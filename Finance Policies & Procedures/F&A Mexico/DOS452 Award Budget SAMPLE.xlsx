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1"/>
  <workbookPr checkCompatibility="1" defaultThemeVersion="124226"/>
  <mc:AlternateContent xmlns:mc="http://schemas.openxmlformats.org/markup-compatibility/2006">
    <mc:Choice Requires="x15">
      <x15ac:absPath xmlns:x15ac="http://schemas.microsoft.com/office/spreadsheetml/2010/11/ac" url="https://partnersnet107.sharepoint.com/sites/FA/Finance  Operational/_Teams/Pablo/MEX Training August 2023/_Budget Management August 29/"/>
    </mc:Choice>
  </mc:AlternateContent>
  <xr:revisionPtr revIDLastSave="438" documentId="8_{A55F3FE1-6631-42F2-BE96-97E154B7C2AC}" xr6:coauthVersionLast="47" xr6:coauthVersionMax="47" xr10:uidLastSave="{5EE3C50B-1713-40C5-B3F1-2EB130F5AA00}"/>
  <bookViews>
    <workbookView xWindow="-110" yWindow="-110" windowWidth="22780" windowHeight="14660" firstSheet="3" activeTab="3" xr2:uid="{00000000-000D-0000-FFFF-FFFF00000000}"/>
  </bookViews>
  <sheets>
    <sheet name="SF424" sheetId="22" state="hidden" r:id="rId1"/>
    <sheet name="SF424A" sheetId="21" state="hidden" r:id="rId2"/>
    <sheet name="Budget Summary" sheetId="6" r:id="rId3"/>
    <sheet name="Line Item Budget" sheetId="5" r:id="rId4"/>
    <sheet name="Cereal" sheetId="18" state="hidden" r:id="rId5"/>
    <sheet name="CDM" sheetId="30" state="hidden" r:id="rId6"/>
    <sheet name="RMS" sheetId="31" state="hidden" r:id="rId7"/>
    <sheet name="Consultants" sheetId="27" state="hidden" r:id="rId8"/>
    <sheet name="Detailed Budget (2)" sheetId="23" state="hidden" r:id="rId9"/>
    <sheet name="Sheet2" sheetId="24" state="hidden" r:id="rId10"/>
    <sheet name="Detailed Budget (3)" sheetId="25" state="hidden" r:id="rId11"/>
    <sheet name="Budget Summary + 12 Add Months" sheetId="32" state="hidden" r:id="rId12"/>
  </sheets>
  <definedNames>
    <definedName name="_xlnm.Print_Area" localSheetId="2">'Budget Summary'!$B$3:$N$19</definedName>
    <definedName name="_xlnm.Print_Area" localSheetId="11">'Budget Summary + 12 Add Months'!$A$2:$P$18</definedName>
    <definedName name="_xlnm.Print_Area" localSheetId="5">CDM!$C$1:$U$45</definedName>
    <definedName name="_xlnm.Print_Area" localSheetId="4">Cereal!$C$1:$U$42</definedName>
    <definedName name="_xlnm.Print_Area" localSheetId="7">Consultants!$A$1:$R$8</definedName>
    <definedName name="_xlnm.Print_Area" localSheetId="8">'Detailed Budget (2)'!$B$1:$Y$49</definedName>
    <definedName name="_xlnm.Print_Area" localSheetId="10">'Detailed Budget (3)'!$B$1:$Y$56</definedName>
    <definedName name="_xlnm.Print_Area" localSheetId="3">'Line Item Budget'!$E$5:$AB$94</definedName>
    <definedName name="_xlnm.Print_Area" localSheetId="6">RMS!$C$1:$U$43</definedName>
    <definedName name="_xlnm.Print_Titles" localSheetId="8">'Detailed Budget (2)'!$2:$2</definedName>
    <definedName name="_xlnm.Print_Titles" localSheetId="10">'Detailed Budget (3)'!$2:$2</definedName>
    <definedName name="_xlnm.Print_Titles" localSheetId="3">'Line Item Budget'!$6:$6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84" i="5" l="1"/>
  <c r="P84" i="5"/>
  <c r="V84" i="5" s="1"/>
  <c r="W84" i="5" s="1"/>
  <c r="Q84" i="5" l="1"/>
  <c r="R84" i="5" s="1"/>
  <c r="S84" i="5" s="1"/>
  <c r="X84" i="5"/>
  <c r="Y84" i="5" s="1"/>
  <c r="L84" i="5"/>
  <c r="P37" i="30"/>
  <c r="M37" i="30"/>
  <c r="J37" i="30"/>
  <c r="Z84" i="5" l="1"/>
  <c r="AB84" i="5" s="1"/>
  <c r="M84" i="5"/>
  <c r="AA84" i="5" s="1"/>
  <c r="S37" i="30"/>
  <c r="K37" i="30"/>
  <c r="N37" i="30"/>
  <c r="O37" i="30" s="1"/>
  <c r="Q37" i="30"/>
  <c r="R37" i="30" s="1"/>
  <c r="K22" i="5"/>
  <c r="L22" i="5" s="1"/>
  <c r="N11" i="5"/>
  <c r="P11" i="5"/>
  <c r="P22" i="5" s="1"/>
  <c r="AA11" i="5"/>
  <c r="H22" i="5"/>
  <c r="J22" i="5"/>
  <c r="K83" i="5"/>
  <c r="P36" i="30"/>
  <c r="J36" i="30"/>
  <c r="P72" i="5"/>
  <c r="V72" i="5" s="1"/>
  <c r="W72" i="5" s="1"/>
  <c r="K72" i="5"/>
  <c r="L72" i="5" s="1"/>
  <c r="M72" i="5" s="1"/>
  <c r="P71" i="5"/>
  <c r="V71" i="5" s="1"/>
  <c r="W71" i="5" s="1"/>
  <c r="K71" i="5"/>
  <c r="P70" i="5"/>
  <c r="V70" i="5" s="1"/>
  <c r="W70" i="5" s="1"/>
  <c r="K70" i="5"/>
  <c r="L70" i="5" s="1"/>
  <c r="P69" i="5"/>
  <c r="V69" i="5" s="1"/>
  <c r="W69" i="5" s="1"/>
  <c r="K69" i="5"/>
  <c r="V11" i="5" l="1"/>
  <c r="V22" i="5" s="1"/>
  <c r="Q11" i="5"/>
  <c r="Q22" i="5" s="1"/>
  <c r="T37" i="30"/>
  <c r="U37" i="30" s="1"/>
  <c r="T11" i="5"/>
  <c r="Q70" i="5"/>
  <c r="R70" i="5" s="1"/>
  <c r="S70" i="5" s="1"/>
  <c r="Q69" i="5"/>
  <c r="Z69" i="5" s="1"/>
  <c r="X72" i="5"/>
  <c r="Y72" i="5" s="1"/>
  <c r="X70" i="5"/>
  <c r="Y70" i="5" s="1"/>
  <c r="X69" i="5"/>
  <c r="Y69" i="5" s="1"/>
  <c r="X71" i="5"/>
  <c r="Y71" i="5" s="1"/>
  <c r="Q72" i="5"/>
  <c r="M70" i="5"/>
  <c r="L69" i="5"/>
  <c r="M69" i="5" s="1"/>
  <c r="L71" i="5"/>
  <c r="M71" i="5" s="1"/>
  <c r="Q71" i="5"/>
  <c r="Z71" i="5" s="1"/>
  <c r="W11" i="5" l="1"/>
  <c r="W22" i="5" s="1"/>
  <c r="R11" i="5"/>
  <c r="R22" i="5"/>
  <c r="S22" i="5" s="1"/>
  <c r="Z70" i="5"/>
  <c r="R69" i="5"/>
  <c r="S69" i="5" s="1"/>
  <c r="AA69" i="5" s="1"/>
  <c r="AB69" i="5" s="1"/>
  <c r="AA70" i="5"/>
  <c r="R71" i="5"/>
  <c r="S71" i="5" s="1"/>
  <c r="AA71" i="5" s="1"/>
  <c r="AB71" i="5" s="1"/>
  <c r="Z72" i="5"/>
  <c r="R72" i="5"/>
  <c r="S72" i="5" s="1"/>
  <c r="AA72" i="5" s="1"/>
  <c r="P37" i="31"/>
  <c r="M37" i="31"/>
  <c r="J37" i="31"/>
  <c r="K37" i="31" s="1"/>
  <c r="P36" i="31"/>
  <c r="M36" i="31"/>
  <c r="J36" i="31"/>
  <c r="K36" i="31" s="1"/>
  <c r="P39" i="30"/>
  <c r="M39" i="30"/>
  <c r="N39" i="30" s="1"/>
  <c r="J39" i="30"/>
  <c r="K39" i="30" s="1"/>
  <c r="P38" i="30"/>
  <c r="Q38" i="30" s="1"/>
  <c r="M38" i="30"/>
  <c r="J38" i="30"/>
  <c r="P33" i="30"/>
  <c r="M33" i="30"/>
  <c r="N33" i="30" s="1"/>
  <c r="J33" i="30"/>
  <c r="P33" i="18"/>
  <c r="M33" i="18"/>
  <c r="N33" i="18" s="1"/>
  <c r="O33" i="18" s="1"/>
  <c r="J33" i="18"/>
  <c r="P37" i="5"/>
  <c r="Q37" i="5" s="1"/>
  <c r="K37" i="5"/>
  <c r="X11" i="5" l="1"/>
  <c r="Z11" i="5" s="1"/>
  <c r="AB11" i="5" s="1"/>
  <c r="X22" i="5"/>
  <c r="Z22" i="5" s="1"/>
  <c r="S38" i="30"/>
  <c r="S33" i="30"/>
  <c r="AB70" i="5"/>
  <c r="AB72" i="5"/>
  <c r="N37" i="31"/>
  <c r="O37" i="31" s="1"/>
  <c r="Q37" i="31"/>
  <c r="R37" i="31" s="1"/>
  <c r="Q36" i="31"/>
  <c r="R36" i="31" s="1"/>
  <c r="S36" i="31"/>
  <c r="N36" i="31"/>
  <c r="O36" i="31" s="1"/>
  <c r="S37" i="31"/>
  <c r="O39" i="30"/>
  <c r="R38" i="30"/>
  <c r="K38" i="30"/>
  <c r="Q39" i="30"/>
  <c r="R39" i="30" s="1"/>
  <c r="S39" i="30"/>
  <c r="N38" i="30"/>
  <c r="O38" i="30" s="1"/>
  <c r="O33" i="30"/>
  <c r="Q33" i="30"/>
  <c r="R33" i="30" s="1"/>
  <c r="K33" i="30"/>
  <c r="Q33" i="18"/>
  <c r="R33" i="18" s="1"/>
  <c r="S33" i="18"/>
  <c r="K33" i="18"/>
  <c r="V37" i="5"/>
  <c r="W37" i="5" s="1"/>
  <c r="X37" i="5" s="1"/>
  <c r="Y37" i="5" s="1"/>
  <c r="R37" i="5"/>
  <c r="S37" i="5" s="1"/>
  <c r="L37" i="5"/>
  <c r="K65" i="5"/>
  <c r="Y22" i="5" l="1"/>
  <c r="AA22" i="5" s="1"/>
  <c r="AB22" i="5" s="1"/>
  <c r="T33" i="18"/>
  <c r="U33" i="18" s="1"/>
  <c r="T36" i="31"/>
  <c r="U36" i="31" s="1"/>
  <c r="T37" i="31"/>
  <c r="U37" i="31" s="1"/>
  <c r="T38" i="30"/>
  <c r="U38" i="30" s="1"/>
  <c r="T39" i="30"/>
  <c r="U39" i="30" s="1"/>
  <c r="T33" i="30"/>
  <c r="U33" i="30" s="1"/>
  <c r="L33" i="30"/>
  <c r="L33" i="18"/>
  <c r="Z37" i="5"/>
  <c r="M37" i="5"/>
  <c r="AA37" i="5" s="1"/>
  <c r="J26" i="18"/>
  <c r="J27" i="18"/>
  <c r="M14" i="18"/>
  <c r="AB37" i="5" l="1"/>
  <c r="J12" i="32"/>
  <c r="J10" i="32"/>
  <c r="J7" i="32"/>
  <c r="I18" i="32"/>
  <c r="J14" i="18" l="1"/>
  <c r="J16" i="18" l="1"/>
  <c r="P14" i="18"/>
  <c r="Q14" i="18" s="1"/>
  <c r="J18" i="5"/>
  <c r="K20" i="5"/>
  <c r="P14" i="5"/>
  <c r="P9" i="5"/>
  <c r="P20" i="5" s="1"/>
  <c r="V14" i="5" l="1"/>
  <c r="P12" i="5"/>
  <c r="V12" i="5" s="1"/>
  <c r="P10" i="5"/>
  <c r="V10" i="5" s="1"/>
  <c r="V9" i="5"/>
  <c r="P35" i="5"/>
  <c r="V35" i="5" s="1"/>
  <c r="P34" i="5"/>
  <c r="V34" i="5" s="1"/>
  <c r="P33" i="5"/>
  <c r="V33" i="5" s="1"/>
  <c r="P32" i="5"/>
  <c r="V32" i="5" s="1"/>
  <c r="P30" i="5"/>
  <c r="V30" i="5" s="1"/>
  <c r="P29" i="5"/>
  <c r="V29" i="5" s="1"/>
  <c r="P28" i="5"/>
  <c r="V28" i="5" s="1"/>
  <c r="P27" i="5"/>
  <c r="V27" i="5" s="1"/>
  <c r="J20" i="5" l="1"/>
  <c r="P18" i="5" l="1"/>
  <c r="K80" i="5" l="1"/>
  <c r="L80" i="5" s="1"/>
  <c r="P80" i="5"/>
  <c r="Q80" i="5" s="1"/>
  <c r="R80" i="5" s="1"/>
  <c r="S80" i="5" s="1"/>
  <c r="J7" i="18"/>
  <c r="J6" i="18"/>
  <c r="J10" i="18" s="1"/>
  <c r="J7" i="30"/>
  <c r="J6" i="30"/>
  <c r="J5" i="31"/>
  <c r="J9" i="31" s="1"/>
  <c r="J6" i="31"/>
  <c r="J10" i="31" s="1"/>
  <c r="K10" i="31" s="1"/>
  <c r="L10" i="31" s="1"/>
  <c r="M7" i="30"/>
  <c r="M6" i="30"/>
  <c r="E15" i="18"/>
  <c r="K16" i="18"/>
  <c r="L16" i="18" s="1"/>
  <c r="M16" i="18"/>
  <c r="N16" i="18" s="1"/>
  <c r="O16" i="18" s="1"/>
  <c r="P16" i="18"/>
  <c r="Q16" i="18" s="1"/>
  <c r="R16" i="18" s="1"/>
  <c r="M14" i="30"/>
  <c r="N14" i="30" s="1"/>
  <c r="O14" i="30" s="1"/>
  <c r="E15" i="30"/>
  <c r="J15" i="30" s="1"/>
  <c r="K15" i="30" s="1"/>
  <c r="J16" i="30"/>
  <c r="K16" i="30" s="1"/>
  <c r="M16" i="30"/>
  <c r="N16" i="30" s="1"/>
  <c r="O16" i="30" s="1"/>
  <c r="P16" i="30"/>
  <c r="Q16" i="30" s="1"/>
  <c r="R16" i="30" s="1"/>
  <c r="M15" i="31"/>
  <c r="M5" i="31"/>
  <c r="M9" i="31" s="1"/>
  <c r="M6" i="31"/>
  <c r="M10" i="31" s="1"/>
  <c r="N10" i="31" s="1"/>
  <c r="O10" i="31" s="1"/>
  <c r="M6" i="18"/>
  <c r="M7" i="18"/>
  <c r="K76" i="5"/>
  <c r="L76" i="5" s="1"/>
  <c r="P76" i="5"/>
  <c r="Q76" i="5" s="1"/>
  <c r="R76" i="5" s="1"/>
  <c r="S76" i="5" s="1"/>
  <c r="V54" i="5"/>
  <c r="W54" i="5" s="1"/>
  <c r="X54" i="5" s="1"/>
  <c r="P54" i="5"/>
  <c r="Q54" i="5" s="1"/>
  <c r="R54" i="5" s="1"/>
  <c r="K54" i="5"/>
  <c r="L54" i="5" s="1"/>
  <c r="M54" i="5"/>
  <c r="S54" i="5"/>
  <c r="Y54" i="5"/>
  <c r="J27" i="31"/>
  <c r="K27" i="31" s="1"/>
  <c r="M27" i="31"/>
  <c r="N27" i="31" s="1"/>
  <c r="O27" i="31" s="1"/>
  <c r="P27" i="31"/>
  <c r="Q27" i="31" s="1"/>
  <c r="R27" i="31" s="1"/>
  <c r="J28" i="31"/>
  <c r="K28" i="31" s="1"/>
  <c r="M28" i="31"/>
  <c r="N28" i="31" s="1"/>
  <c r="O28" i="31" s="1"/>
  <c r="P28" i="31"/>
  <c r="Q28" i="31" s="1"/>
  <c r="R28" i="31" s="1"/>
  <c r="J28" i="30"/>
  <c r="M28" i="30"/>
  <c r="N28" i="30" s="1"/>
  <c r="O28" i="30" s="1"/>
  <c r="P28" i="30"/>
  <c r="Q28" i="30" s="1"/>
  <c r="J29" i="30"/>
  <c r="M29" i="30"/>
  <c r="N29" i="30" s="1"/>
  <c r="O29" i="30" s="1"/>
  <c r="P29" i="30"/>
  <c r="Q29" i="30" s="1"/>
  <c r="J28" i="18"/>
  <c r="M28" i="18"/>
  <c r="N28" i="18" s="1"/>
  <c r="O28" i="18" s="1"/>
  <c r="P28" i="18"/>
  <c r="Q28" i="18" s="1"/>
  <c r="J29" i="18"/>
  <c r="K29" i="18" s="1"/>
  <c r="M29" i="18"/>
  <c r="N29" i="18" s="1"/>
  <c r="O29" i="18" s="1"/>
  <c r="P29" i="18"/>
  <c r="Q29" i="18" s="1"/>
  <c r="P6" i="18"/>
  <c r="P7" i="18"/>
  <c r="P6" i="30"/>
  <c r="P7" i="30"/>
  <c r="P6" i="31"/>
  <c r="P10" i="31" s="1"/>
  <c r="Q10" i="31" s="1"/>
  <c r="R10" i="31" s="1"/>
  <c r="P5" i="31"/>
  <c r="P9" i="31" s="1"/>
  <c r="Q9" i="31" s="1"/>
  <c r="M15" i="18" l="1"/>
  <c r="J15" i="18"/>
  <c r="V80" i="5"/>
  <c r="W80" i="5" s="1"/>
  <c r="X80" i="5" s="1"/>
  <c r="Y80" i="5" s="1"/>
  <c r="S9" i="31"/>
  <c r="P11" i="31"/>
  <c r="K9" i="31"/>
  <c r="K11" i="31" s="1"/>
  <c r="J11" i="31"/>
  <c r="M11" i="31"/>
  <c r="N9" i="31"/>
  <c r="N11" i="31" s="1"/>
  <c r="S10" i="31"/>
  <c r="U10" i="31"/>
  <c r="Q11" i="31"/>
  <c r="R9" i="31"/>
  <c r="R11" i="31" s="1"/>
  <c r="T10" i="31"/>
  <c r="N7" i="30"/>
  <c r="O7" i="30" s="1"/>
  <c r="M11" i="30"/>
  <c r="N11" i="30" s="1"/>
  <c r="O11" i="30" s="1"/>
  <c r="Q7" i="30"/>
  <c r="R7" i="30" s="1"/>
  <c r="P11" i="30"/>
  <c r="Q11" i="30" s="1"/>
  <c r="R11" i="30" s="1"/>
  <c r="Q6" i="30"/>
  <c r="R6" i="30" s="1"/>
  <c r="P10" i="30"/>
  <c r="N6" i="30"/>
  <c r="O6" i="30" s="1"/>
  <c r="M10" i="30"/>
  <c r="K6" i="30"/>
  <c r="L6" i="30" s="1"/>
  <c r="J10" i="30"/>
  <c r="K7" i="30"/>
  <c r="J11" i="30"/>
  <c r="J14" i="30"/>
  <c r="K14" i="30" s="1"/>
  <c r="P14" i="30"/>
  <c r="Q14" i="30" s="1"/>
  <c r="R14" i="30" s="1"/>
  <c r="P15" i="30"/>
  <c r="Q15" i="30" s="1"/>
  <c r="R15" i="30" s="1"/>
  <c r="N7" i="18"/>
  <c r="O7" i="18" s="1"/>
  <c r="M11" i="18"/>
  <c r="N11" i="18" s="1"/>
  <c r="O11" i="18" s="1"/>
  <c r="Q7" i="18"/>
  <c r="R7" i="18" s="1"/>
  <c r="P11" i="18"/>
  <c r="Q11" i="18" s="1"/>
  <c r="R11" i="18" s="1"/>
  <c r="Q6" i="18"/>
  <c r="R6" i="18" s="1"/>
  <c r="P10" i="18"/>
  <c r="N6" i="18"/>
  <c r="O6" i="18" s="1"/>
  <c r="M10" i="18"/>
  <c r="K7" i="18"/>
  <c r="L7" i="18" s="1"/>
  <c r="J11" i="18"/>
  <c r="K6" i="18"/>
  <c r="L6" i="18" s="1"/>
  <c r="S16" i="18"/>
  <c r="R28" i="18"/>
  <c r="U16" i="18"/>
  <c r="R28" i="30"/>
  <c r="N15" i="18"/>
  <c r="O15" i="18" s="1"/>
  <c r="AA54" i="5"/>
  <c r="M15" i="30"/>
  <c r="N15" i="30" s="1"/>
  <c r="O15" i="30" s="1"/>
  <c r="R14" i="18"/>
  <c r="K14" i="18"/>
  <c r="M8" i="18"/>
  <c r="J8" i="18"/>
  <c r="V76" i="5"/>
  <c r="W76" i="5" s="1"/>
  <c r="X76" i="5" s="1"/>
  <c r="Y76" i="5" s="1"/>
  <c r="L16" i="30"/>
  <c r="U16" i="30" s="1"/>
  <c r="T16" i="30"/>
  <c r="L15" i="30"/>
  <c r="N14" i="18"/>
  <c r="O14" i="18" s="1"/>
  <c r="K15" i="18"/>
  <c r="L15" i="18" s="1"/>
  <c r="M80" i="5"/>
  <c r="S16" i="30"/>
  <c r="T16" i="18"/>
  <c r="P15" i="18"/>
  <c r="P8" i="18"/>
  <c r="R29" i="18"/>
  <c r="T29" i="18"/>
  <c r="K29" i="30"/>
  <c r="T29" i="30" s="1"/>
  <c r="S29" i="30"/>
  <c r="L28" i="31"/>
  <c r="T28" i="31"/>
  <c r="L27" i="31"/>
  <c r="T27" i="31"/>
  <c r="S7" i="30"/>
  <c r="S6" i="30"/>
  <c r="S7" i="18"/>
  <c r="S6" i="18"/>
  <c r="S29" i="18"/>
  <c r="L29" i="18"/>
  <c r="K28" i="18"/>
  <c r="S28" i="18"/>
  <c r="R29" i="30"/>
  <c r="K28" i="30"/>
  <c r="S28" i="30"/>
  <c r="Z54" i="5"/>
  <c r="M76" i="5"/>
  <c r="S28" i="31"/>
  <c r="S27" i="31"/>
  <c r="H20" i="5"/>
  <c r="P15" i="31"/>
  <c r="Q15" i="31" s="1"/>
  <c r="R15" i="31" s="1"/>
  <c r="J15" i="31"/>
  <c r="E14" i="31"/>
  <c r="Q6" i="31"/>
  <c r="R6" i="31" s="1"/>
  <c r="Q5" i="31"/>
  <c r="R5" i="31" s="1"/>
  <c r="N5" i="31"/>
  <c r="M6" i="27"/>
  <c r="N6" i="27" s="1"/>
  <c r="O6" i="27" s="1"/>
  <c r="J6" i="27"/>
  <c r="K6" i="27" s="1"/>
  <c r="L6" i="27" s="1"/>
  <c r="G6" i="27"/>
  <c r="H6" i="27" s="1"/>
  <c r="I6" i="27" s="1"/>
  <c r="P35" i="31"/>
  <c r="Q35" i="31" s="1"/>
  <c r="M35" i="31"/>
  <c r="J35" i="31"/>
  <c r="K35" i="31" s="1"/>
  <c r="M36" i="30"/>
  <c r="N36" i="30" s="1"/>
  <c r="O36" i="30" s="1"/>
  <c r="K36" i="30"/>
  <c r="P36" i="18"/>
  <c r="M36" i="18"/>
  <c r="J36" i="18"/>
  <c r="K36" i="18" s="1"/>
  <c r="P83" i="5"/>
  <c r="Q83" i="5" s="1"/>
  <c r="L83" i="5"/>
  <c r="P79" i="5"/>
  <c r="V79" i="5" s="1"/>
  <c r="W79" i="5" s="1"/>
  <c r="K79" i="5"/>
  <c r="U6" i="30" l="1"/>
  <c r="U7" i="18"/>
  <c r="S11" i="31"/>
  <c r="U28" i="31"/>
  <c r="Z80" i="5"/>
  <c r="AB80" i="5" s="1"/>
  <c r="T6" i="30"/>
  <c r="AA80" i="5"/>
  <c r="T7" i="30"/>
  <c r="L29" i="30"/>
  <c r="T14" i="30"/>
  <c r="L9" i="31"/>
  <c r="L11" i="31" s="1"/>
  <c r="T9" i="31"/>
  <c r="T11" i="31" s="1"/>
  <c r="O9" i="31"/>
  <c r="O11" i="31" s="1"/>
  <c r="U27" i="31"/>
  <c r="AB54" i="5"/>
  <c r="L7" i="30"/>
  <c r="U7" i="30" s="1"/>
  <c r="S10" i="30"/>
  <c r="K10" i="30"/>
  <c r="Q10" i="30"/>
  <c r="Q12" i="30" s="1"/>
  <c r="P12" i="30"/>
  <c r="M12" i="30"/>
  <c r="N10" i="30"/>
  <c r="S11" i="30"/>
  <c r="K11" i="30"/>
  <c r="J12" i="30"/>
  <c r="L14" i="30"/>
  <c r="U14" i="30" s="1"/>
  <c r="S14" i="30"/>
  <c r="T7" i="18"/>
  <c r="Q8" i="18"/>
  <c r="R8" i="18"/>
  <c r="J12" i="18"/>
  <c r="N10" i="18"/>
  <c r="M12" i="18"/>
  <c r="Q10" i="18"/>
  <c r="P12" i="18"/>
  <c r="U6" i="18"/>
  <c r="U8" i="18" s="1"/>
  <c r="K8" i="18"/>
  <c r="T6" i="18"/>
  <c r="K11" i="18"/>
  <c r="S11" i="18"/>
  <c r="S10" i="18"/>
  <c r="K10" i="18"/>
  <c r="L14" i="18"/>
  <c r="U14" i="18" s="1"/>
  <c r="S14" i="18"/>
  <c r="S8" i="18"/>
  <c r="T15" i="30"/>
  <c r="U15" i="30"/>
  <c r="S15" i="30"/>
  <c r="T14" i="18"/>
  <c r="Z76" i="5"/>
  <c r="AB76" i="5" s="1"/>
  <c r="AA76" i="5"/>
  <c r="J14" i="31"/>
  <c r="K14" i="31" s="1"/>
  <c r="M14" i="31"/>
  <c r="N14" i="31" s="1"/>
  <c r="O14" i="31" s="1"/>
  <c r="N8" i="18"/>
  <c r="O8" i="18"/>
  <c r="Q15" i="18"/>
  <c r="R15" i="18" s="1"/>
  <c r="U15" i="18" s="1"/>
  <c r="M13" i="31"/>
  <c r="N13" i="31" s="1"/>
  <c r="O13" i="31" s="1"/>
  <c r="J13" i="31"/>
  <c r="K13" i="31" s="1"/>
  <c r="P13" i="31"/>
  <c r="Q13" i="31" s="1"/>
  <c r="R13" i="31" s="1"/>
  <c r="U29" i="18"/>
  <c r="L8" i="18"/>
  <c r="S15" i="18"/>
  <c r="P14" i="31"/>
  <c r="Q14" i="31" s="1"/>
  <c r="R14" i="31" s="1"/>
  <c r="T28" i="30"/>
  <c r="U28" i="30" s="1"/>
  <c r="L28" i="30"/>
  <c r="T28" i="18"/>
  <c r="U28" i="18" s="1"/>
  <c r="L28" i="18"/>
  <c r="O5" i="31"/>
  <c r="U29" i="30"/>
  <c r="S15" i="31"/>
  <c r="Q79" i="5"/>
  <c r="R79" i="5" s="1"/>
  <c r="S79" i="5" s="1"/>
  <c r="J7" i="27"/>
  <c r="J8" i="27" s="1"/>
  <c r="P56" i="5" s="1"/>
  <c r="M7" i="27"/>
  <c r="M8" i="27" s="1"/>
  <c r="V56" i="5" s="1"/>
  <c r="N15" i="31"/>
  <c r="O15" i="31" s="1"/>
  <c r="K15" i="31"/>
  <c r="K5" i="31"/>
  <c r="T5" i="31" s="1"/>
  <c r="S5" i="31"/>
  <c r="N6" i="31"/>
  <c r="O6" i="31" s="1"/>
  <c r="K6" i="31"/>
  <c r="S6" i="31"/>
  <c r="S35" i="31"/>
  <c r="N35" i="31"/>
  <c r="O35" i="31" s="1"/>
  <c r="Q36" i="30"/>
  <c r="T36" i="30" s="1"/>
  <c r="P6" i="27"/>
  <c r="R35" i="31"/>
  <c r="S36" i="30"/>
  <c r="N36" i="18"/>
  <c r="S36" i="18"/>
  <c r="Q36" i="18"/>
  <c r="R36" i="18" s="1"/>
  <c r="M83" i="5"/>
  <c r="R83" i="5"/>
  <c r="S83" i="5" s="1"/>
  <c r="V83" i="5"/>
  <c r="W83" i="5" s="1"/>
  <c r="X79" i="5"/>
  <c r="Y79" i="5" s="1"/>
  <c r="L79" i="5"/>
  <c r="AB53" i="25"/>
  <c r="AA53" i="25"/>
  <c r="Z53" i="25"/>
  <c r="AD50" i="25"/>
  <c r="L50" i="25"/>
  <c r="R50" i="25" s="1"/>
  <c r="K50" i="25"/>
  <c r="Q50" i="25" s="1"/>
  <c r="M50" i="25"/>
  <c r="S50" i="25" s="1"/>
  <c r="L49" i="25"/>
  <c r="R49" i="25" s="1"/>
  <c r="K49" i="25"/>
  <c r="Q49" i="25" s="1"/>
  <c r="M49" i="25"/>
  <c r="S49" i="25" s="1"/>
  <c r="L48" i="25"/>
  <c r="R48" i="25" s="1"/>
  <c r="K48" i="25"/>
  <c r="Q48" i="25" s="1"/>
  <c r="M48" i="25"/>
  <c r="S48" i="25" s="1"/>
  <c r="L47" i="25"/>
  <c r="R47" i="25" s="1"/>
  <c r="K47" i="25"/>
  <c r="Q47" i="25" s="1"/>
  <c r="G47" i="25"/>
  <c r="M47" i="25" s="1"/>
  <c r="S47" i="25" s="1"/>
  <c r="L46" i="25"/>
  <c r="R46" i="25" s="1"/>
  <c r="K46" i="25"/>
  <c r="Q46" i="25" s="1"/>
  <c r="G46" i="25"/>
  <c r="M46" i="25" s="1"/>
  <c r="U45" i="25"/>
  <c r="O45" i="25"/>
  <c r="P45" i="25" s="1"/>
  <c r="G45" i="25"/>
  <c r="H45" i="25" s="1"/>
  <c r="U44" i="25"/>
  <c r="O44" i="25"/>
  <c r="P44" i="25" s="1"/>
  <c r="G44" i="25"/>
  <c r="H44" i="25" s="1"/>
  <c r="R43" i="25"/>
  <c r="K43" i="25"/>
  <c r="Q43" i="25" s="1"/>
  <c r="G43" i="25"/>
  <c r="H43" i="25" s="1"/>
  <c r="AB42" i="25"/>
  <c r="AA42" i="25"/>
  <c r="Z42" i="25"/>
  <c r="W40" i="25"/>
  <c r="AA40" i="25" s="1"/>
  <c r="L40" i="25"/>
  <c r="R40" i="25" s="1"/>
  <c r="K40" i="25"/>
  <c r="Q40" i="25" s="1"/>
  <c r="G40" i="25"/>
  <c r="N40" i="25" s="1"/>
  <c r="P40" i="25" s="1"/>
  <c r="R39" i="25"/>
  <c r="AB38" i="25"/>
  <c r="AA38" i="25"/>
  <c r="Z38" i="25"/>
  <c r="L36" i="25"/>
  <c r="R36" i="25" s="1"/>
  <c r="K36" i="25"/>
  <c r="G36" i="25"/>
  <c r="L35" i="25"/>
  <c r="R35" i="25" s="1"/>
  <c r="K35" i="25"/>
  <c r="I35" i="25"/>
  <c r="H35" i="25"/>
  <c r="AB34" i="25"/>
  <c r="AA34" i="25"/>
  <c r="Z34" i="25"/>
  <c r="R32" i="25"/>
  <c r="Q32" i="25"/>
  <c r="O32" i="25"/>
  <c r="G32" i="25"/>
  <c r="M32" i="25" s="1"/>
  <c r="R31" i="25"/>
  <c r="Q31" i="25"/>
  <c r="M31" i="25"/>
  <c r="R30" i="25"/>
  <c r="Q30" i="25"/>
  <c r="K30" i="25"/>
  <c r="G30" i="25"/>
  <c r="M30" i="25" s="1"/>
  <c r="S30" i="25" s="1"/>
  <c r="C30" i="25"/>
  <c r="H30" i="25" s="1"/>
  <c r="R29" i="25"/>
  <c r="Q29" i="25"/>
  <c r="K29" i="25"/>
  <c r="G29" i="25"/>
  <c r="M29" i="25" s="1"/>
  <c r="S29" i="25" s="1"/>
  <c r="C29" i="25"/>
  <c r="R28" i="25"/>
  <c r="G28" i="25"/>
  <c r="H28" i="25" s="1"/>
  <c r="AB27" i="25"/>
  <c r="AA27" i="25"/>
  <c r="Z27" i="25"/>
  <c r="L25" i="25"/>
  <c r="R25" i="25" s="1"/>
  <c r="L24" i="25"/>
  <c r="R24" i="25" s="1"/>
  <c r="M24" i="25"/>
  <c r="S24" i="25" s="1"/>
  <c r="L23" i="25"/>
  <c r="R23" i="25" s="1"/>
  <c r="M23" i="25"/>
  <c r="S23" i="25" s="1"/>
  <c r="L22" i="25"/>
  <c r="R22" i="25" s="1"/>
  <c r="M22" i="25"/>
  <c r="B20" i="25"/>
  <c r="L19" i="25"/>
  <c r="R19" i="25" s="1"/>
  <c r="C19" i="25"/>
  <c r="K19" i="25" s="1"/>
  <c r="Q19" i="25" s="1"/>
  <c r="B19" i="25"/>
  <c r="L18" i="25"/>
  <c r="R18" i="25" s="1"/>
  <c r="C18" i="25"/>
  <c r="K18" i="25" s="1"/>
  <c r="Q18" i="25" s="1"/>
  <c r="B18" i="25"/>
  <c r="L17" i="25"/>
  <c r="R17" i="25" s="1"/>
  <c r="C17" i="25"/>
  <c r="K17" i="25" s="1"/>
  <c r="Q17" i="25" s="1"/>
  <c r="B17" i="25"/>
  <c r="L16" i="25"/>
  <c r="R16" i="25" s="1"/>
  <c r="C16" i="25"/>
  <c r="K16" i="25" s="1"/>
  <c r="Q16" i="25" s="1"/>
  <c r="B16" i="25"/>
  <c r="L15" i="25"/>
  <c r="R15" i="25" s="1"/>
  <c r="C15" i="25"/>
  <c r="K15" i="25" s="1"/>
  <c r="Q15" i="25" s="1"/>
  <c r="B15" i="25"/>
  <c r="AB13" i="25"/>
  <c r="AA13" i="25"/>
  <c r="Z13" i="25"/>
  <c r="L11" i="25"/>
  <c r="R11" i="25" s="1"/>
  <c r="M11" i="25"/>
  <c r="S11" i="25" s="1"/>
  <c r="L10" i="25"/>
  <c r="R10" i="25" s="1"/>
  <c r="M10" i="25"/>
  <c r="S10" i="25" s="1"/>
  <c r="L9" i="25"/>
  <c r="R9" i="25" s="1"/>
  <c r="K9" i="25"/>
  <c r="G9" i="25"/>
  <c r="G19" i="25" s="1"/>
  <c r="L8" i="25"/>
  <c r="R8" i="25" s="1"/>
  <c r="K8" i="25"/>
  <c r="G8" i="25"/>
  <c r="G18" i="25" s="1"/>
  <c r="L7" i="25"/>
  <c r="R7" i="25" s="1"/>
  <c r="K7" i="25"/>
  <c r="G7" i="25"/>
  <c r="G17" i="25" s="1"/>
  <c r="X6" i="25"/>
  <c r="AB6" i="25" s="1"/>
  <c r="L6" i="25"/>
  <c r="R6" i="25" s="1"/>
  <c r="K6" i="25"/>
  <c r="Q6" i="25" s="1"/>
  <c r="G6" i="25"/>
  <c r="G16" i="25" s="1"/>
  <c r="L5" i="25"/>
  <c r="R5" i="25" s="1"/>
  <c r="K5" i="25"/>
  <c r="Q5" i="25" s="1"/>
  <c r="G5" i="25"/>
  <c r="G15" i="25" s="1"/>
  <c r="V3" i="25"/>
  <c r="P3" i="25"/>
  <c r="J3" i="25"/>
  <c r="A1" i="25"/>
  <c r="AB46" i="23"/>
  <c r="AA46" i="23"/>
  <c r="Z46" i="23"/>
  <c r="L43" i="23"/>
  <c r="R43" i="23" s="1"/>
  <c r="K43" i="23"/>
  <c r="Q43" i="23" s="1"/>
  <c r="M43" i="23"/>
  <c r="L42" i="23"/>
  <c r="R42" i="23" s="1"/>
  <c r="K42" i="23"/>
  <c r="Q42" i="23" s="1"/>
  <c r="M42" i="23"/>
  <c r="L41" i="23"/>
  <c r="R41" i="23" s="1"/>
  <c r="K41" i="23"/>
  <c r="Q41" i="23" s="1"/>
  <c r="M41" i="23"/>
  <c r="L40" i="23"/>
  <c r="R40" i="23" s="1"/>
  <c r="K40" i="23"/>
  <c r="Q40" i="23" s="1"/>
  <c r="G40" i="23"/>
  <c r="M40" i="23" s="1"/>
  <c r="L39" i="23"/>
  <c r="R39" i="23" s="1"/>
  <c r="K39" i="23"/>
  <c r="Q39" i="23" s="1"/>
  <c r="G39" i="23"/>
  <c r="M39" i="23" s="1"/>
  <c r="U38" i="23"/>
  <c r="O38" i="23"/>
  <c r="P38" i="23" s="1"/>
  <c r="G38" i="23"/>
  <c r="H38" i="23" s="1"/>
  <c r="U37" i="23"/>
  <c r="O37" i="23"/>
  <c r="P37" i="23" s="1"/>
  <c r="G37" i="23"/>
  <c r="H37" i="23" s="1"/>
  <c r="R36" i="23"/>
  <c r="K36" i="23"/>
  <c r="N36" i="23" s="1"/>
  <c r="G36" i="23"/>
  <c r="H36" i="23" s="1"/>
  <c r="AB35" i="23"/>
  <c r="AA35" i="23"/>
  <c r="Z35" i="23"/>
  <c r="W33" i="23"/>
  <c r="AA33" i="23" s="1"/>
  <c r="L33" i="23"/>
  <c r="R33" i="23" s="1"/>
  <c r="K33" i="23"/>
  <c r="Q33" i="23" s="1"/>
  <c r="G33" i="23"/>
  <c r="T33" i="23" s="1"/>
  <c r="V33" i="23" s="1"/>
  <c r="R32" i="23"/>
  <c r="AB31" i="23"/>
  <c r="AA31" i="23"/>
  <c r="Z31" i="23"/>
  <c r="L29" i="23"/>
  <c r="R29" i="23" s="1"/>
  <c r="K29" i="23"/>
  <c r="Q29" i="23" s="1"/>
  <c r="G29" i="23"/>
  <c r="M29" i="23" s="1"/>
  <c r="L28" i="23"/>
  <c r="R28" i="23" s="1"/>
  <c r="K28" i="23"/>
  <c r="Q28" i="23" s="1"/>
  <c r="I28" i="23"/>
  <c r="M28" i="23"/>
  <c r="S28" i="23" s="1"/>
  <c r="AB27" i="23"/>
  <c r="AA27" i="23"/>
  <c r="Z27" i="23"/>
  <c r="R25" i="23"/>
  <c r="Q25" i="23"/>
  <c r="O25" i="23"/>
  <c r="G25" i="23"/>
  <c r="M25" i="23" s="1"/>
  <c r="R24" i="23"/>
  <c r="Q24" i="23"/>
  <c r="H24" i="23"/>
  <c r="R23" i="23"/>
  <c r="Q23" i="23"/>
  <c r="K23" i="23"/>
  <c r="G23" i="23"/>
  <c r="M23" i="23" s="1"/>
  <c r="S23" i="23" s="1"/>
  <c r="C23" i="23"/>
  <c r="R22" i="23"/>
  <c r="Q22" i="23"/>
  <c r="K22" i="23"/>
  <c r="G22" i="23"/>
  <c r="M22" i="23" s="1"/>
  <c r="S22" i="23" s="1"/>
  <c r="C22" i="23"/>
  <c r="R21" i="23"/>
  <c r="G21" i="23"/>
  <c r="M21" i="23" s="1"/>
  <c r="AB20" i="23"/>
  <c r="AA20" i="23"/>
  <c r="Z20" i="23"/>
  <c r="L18" i="23"/>
  <c r="R18" i="23" s="1"/>
  <c r="L17" i="23"/>
  <c r="R17" i="23" s="1"/>
  <c r="M17" i="23"/>
  <c r="S17" i="23" s="1"/>
  <c r="L16" i="23"/>
  <c r="R16" i="23" s="1"/>
  <c r="M16" i="23"/>
  <c r="S16" i="23" s="1"/>
  <c r="L15" i="23"/>
  <c r="R15" i="23" s="1"/>
  <c r="H15" i="23"/>
  <c r="L14" i="23"/>
  <c r="R14" i="23" s="1"/>
  <c r="C14" i="23"/>
  <c r="K14" i="23" s="1"/>
  <c r="Q14" i="23" s="1"/>
  <c r="AB13" i="23"/>
  <c r="AA13" i="23"/>
  <c r="Z13" i="23"/>
  <c r="L11" i="23"/>
  <c r="R11" i="23" s="1"/>
  <c r="M11" i="23"/>
  <c r="S11" i="23" s="1"/>
  <c r="K11" i="23"/>
  <c r="L10" i="23"/>
  <c r="R10" i="23" s="1"/>
  <c r="M10" i="23"/>
  <c r="S10" i="23" s="1"/>
  <c r="C17" i="23"/>
  <c r="L9" i="23"/>
  <c r="R9" i="23" s="1"/>
  <c r="K9" i="23"/>
  <c r="Q9" i="23" s="1"/>
  <c r="G9" i="23"/>
  <c r="M9" i="23" s="1"/>
  <c r="L8" i="23"/>
  <c r="R8" i="23" s="1"/>
  <c r="K8" i="23"/>
  <c r="Q8" i="23" s="1"/>
  <c r="G8" i="23"/>
  <c r="M8" i="23" s="1"/>
  <c r="S8" i="23" s="1"/>
  <c r="L7" i="23"/>
  <c r="R7" i="23" s="1"/>
  <c r="K7" i="23"/>
  <c r="Q7" i="23" s="1"/>
  <c r="G7" i="23"/>
  <c r="M7" i="23" s="1"/>
  <c r="S7" i="23" s="1"/>
  <c r="X6" i="23"/>
  <c r="AB6" i="23" s="1"/>
  <c r="L6" i="23"/>
  <c r="R6" i="23" s="1"/>
  <c r="K6" i="23"/>
  <c r="Q6" i="23" s="1"/>
  <c r="G6" i="23"/>
  <c r="M6" i="23" s="1"/>
  <c r="L5" i="23"/>
  <c r="R5" i="23" s="1"/>
  <c r="K5" i="23"/>
  <c r="G5" i="23"/>
  <c r="H5" i="23" s="1"/>
  <c r="V3" i="23"/>
  <c r="P3" i="23"/>
  <c r="J3" i="23"/>
  <c r="A1" i="23"/>
  <c r="N5" i="27"/>
  <c r="N7" i="27" s="1"/>
  <c r="N8" i="27" s="1"/>
  <c r="K5" i="27"/>
  <c r="L5" i="27" s="1"/>
  <c r="L7" i="27" s="1"/>
  <c r="L8" i="27" s="1"/>
  <c r="G5" i="27"/>
  <c r="H5" i="27" s="1"/>
  <c r="P32" i="31"/>
  <c r="M32" i="31"/>
  <c r="J32" i="31"/>
  <c r="K32" i="31" s="1"/>
  <c r="P29" i="31"/>
  <c r="Q29" i="31" s="1"/>
  <c r="R29" i="31" s="1"/>
  <c r="M29" i="31"/>
  <c r="J29" i="31"/>
  <c r="K29" i="31" s="1"/>
  <c r="P26" i="31"/>
  <c r="Q26" i="31" s="1"/>
  <c r="R26" i="31" s="1"/>
  <c r="M26" i="31"/>
  <c r="J26" i="31"/>
  <c r="P25" i="31"/>
  <c r="M25" i="31"/>
  <c r="J25" i="31"/>
  <c r="P7" i="31"/>
  <c r="M7" i="31"/>
  <c r="P30" i="30"/>
  <c r="Q30" i="30" s="1"/>
  <c r="R30" i="30" s="1"/>
  <c r="M30" i="30"/>
  <c r="J30" i="30"/>
  <c r="P27" i="30"/>
  <c r="Q27" i="30" s="1"/>
  <c r="M27" i="30"/>
  <c r="J27" i="30"/>
  <c r="P26" i="30"/>
  <c r="M26" i="30"/>
  <c r="J26" i="30"/>
  <c r="P30" i="18"/>
  <c r="Q30" i="18" s="1"/>
  <c r="R30" i="18" s="1"/>
  <c r="M30" i="18"/>
  <c r="J30" i="18"/>
  <c r="K30" i="18" s="1"/>
  <c r="P27" i="18"/>
  <c r="Q27" i="18" s="1"/>
  <c r="M27" i="18"/>
  <c r="K27" i="18"/>
  <c r="P26" i="18"/>
  <c r="M26" i="18"/>
  <c r="P88" i="5"/>
  <c r="Q88" i="5" s="1"/>
  <c r="R88" i="5" s="1"/>
  <c r="K88" i="5"/>
  <c r="L88" i="5" s="1"/>
  <c r="P87" i="5"/>
  <c r="Q87" i="5" s="1"/>
  <c r="K87" i="5"/>
  <c r="P86" i="5"/>
  <c r="K86" i="5"/>
  <c r="P78" i="5"/>
  <c r="K78" i="5"/>
  <c r="L78" i="5" s="1"/>
  <c r="P75" i="5"/>
  <c r="Q75" i="5" s="1"/>
  <c r="R75" i="5" s="1"/>
  <c r="K75" i="5"/>
  <c r="L75" i="5" s="1"/>
  <c r="P68" i="5"/>
  <c r="Q68" i="5" s="1"/>
  <c r="R68" i="5" s="1"/>
  <c r="K68" i="5"/>
  <c r="V65" i="5"/>
  <c r="W65" i="5" s="1"/>
  <c r="Q65" i="5"/>
  <c r="R65" i="5" s="1"/>
  <c r="S65" i="5" s="1"/>
  <c r="L65" i="5"/>
  <c r="K64" i="5"/>
  <c r="L64" i="5" s="1"/>
  <c r="M64" i="5" s="1"/>
  <c r="P63" i="5"/>
  <c r="K63" i="5"/>
  <c r="L63" i="5" s="1"/>
  <c r="O56" i="5"/>
  <c r="U56" i="5" s="1"/>
  <c r="N56" i="5"/>
  <c r="U51" i="5"/>
  <c r="P47" i="5"/>
  <c r="V47" i="5" s="1"/>
  <c r="W47" i="5" s="1"/>
  <c r="K47" i="5"/>
  <c r="L47" i="5" s="1"/>
  <c r="P46" i="5"/>
  <c r="K46" i="5"/>
  <c r="L46" i="5" s="1"/>
  <c r="M46" i="5" s="1"/>
  <c r="P45" i="5"/>
  <c r="K45" i="5"/>
  <c r="P44" i="5"/>
  <c r="Q44" i="5" s="1"/>
  <c r="R44" i="5" s="1"/>
  <c r="K44" i="5"/>
  <c r="L44" i="5" s="1"/>
  <c r="P43" i="5"/>
  <c r="V43" i="5" s="1"/>
  <c r="W43" i="5" s="1"/>
  <c r="K43" i="5"/>
  <c r="L43" i="5" s="1"/>
  <c r="P42" i="5"/>
  <c r="K42" i="5"/>
  <c r="L42" i="5" s="1"/>
  <c r="P41" i="5"/>
  <c r="K41" i="5"/>
  <c r="K35" i="5"/>
  <c r="L35" i="5" s="1"/>
  <c r="K34" i="5"/>
  <c r="Q33" i="5"/>
  <c r="R33" i="5" s="1"/>
  <c r="K33" i="5"/>
  <c r="L33" i="5" s="1"/>
  <c r="W32" i="5"/>
  <c r="K32" i="5"/>
  <c r="L32" i="5" s="1"/>
  <c r="W30" i="5"/>
  <c r="X30" i="5" s="1"/>
  <c r="K30" i="5"/>
  <c r="L30" i="5" s="1"/>
  <c r="M30" i="5" s="1"/>
  <c r="K29" i="5"/>
  <c r="L29" i="5" s="1"/>
  <c r="Q28" i="5"/>
  <c r="K28" i="5"/>
  <c r="W27" i="5"/>
  <c r="K27" i="5"/>
  <c r="J23" i="5"/>
  <c r="H23" i="5"/>
  <c r="J21" i="5"/>
  <c r="H21" i="5"/>
  <c r="O18" i="5"/>
  <c r="O14" i="5"/>
  <c r="Q14" i="5" s="1"/>
  <c r="K18" i="5"/>
  <c r="N12" i="5"/>
  <c r="T12" i="5" s="1"/>
  <c r="K23" i="5"/>
  <c r="AA10" i="5"/>
  <c r="V21" i="5"/>
  <c r="N10" i="5"/>
  <c r="K21" i="5"/>
  <c r="V20" i="5"/>
  <c r="O9" i="5"/>
  <c r="N9" i="5"/>
  <c r="L20" i="5"/>
  <c r="H57" i="21"/>
  <c r="B53" i="21"/>
  <c r="G44" i="21"/>
  <c r="F44" i="21"/>
  <c r="H43" i="21"/>
  <c r="H42" i="21"/>
  <c r="H41" i="21"/>
  <c r="G30" i="21"/>
  <c r="F30" i="21"/>
  <c r="E30" i="21"/>
  <c r="D30" i="21"/>
  <c r="H26" i="21"/>
  <c r="H23" i="21"/>
  <c r="E16" i="21"/>
  <c r="D16" i="21"/>
  <c r="H15" i="21"/>
  <c r="H14" i="21"/>
  <c r="H13" i="21"/>
  <c r="H12" i="21"/>
  <c r="N25" i="31" l="1"/>
  <c r="M38" i="31"/>
  <c r="Q25" i="31"/>
  <c r="R25" i="31" s="1"/>
  <c r="P38" i="31"/>
  <c r="K25" i="31"/>
  <c r="L25" i="31" s="1"/>
  <c r="J38" i="31"/>
  <c r="J40" i="30"/>
  <c r="P40" i="30"/>
  <c r="N26" i="30"/>
  <c r="O26" i="30" s="1"/>
  <c r="M40" i="30"/>
  <c r="L27" i="5"/>
  <c r="K38" i="5"/>
  <c r="R28" i="5"/>
  <c r="S28" i="5" s="1"/>
  <c r="D7" i="6"/>
  <c r="C6" i="32"/>
  <c r="T43" i="25"/>
  <c r="H42" i="23"/>
  <c r="J42" i="23" s="1"/>
  <c r="T9" i="5"/>
  <c r="W9" i="5" s="1"/>
  <c r="W20" i="5" s="1"/>
  <c r="Q9" i="5"/>
  <c r="Q20" i="5" s="1"/>
  <c r="L23" i="5"/>
  <c r="H17" i="23"/>
  <c r="J17" i="23" s="1"/>
  <c r="H43" i="23"/>
  <c r="I43" i="23" s="1"/>
  <c r="O43" i="23" s="1"/>
  <c r="U43" i="23" s="1"/>
  <c r="T40" i="25"/>
  <c r="V40" i="25" s="1"/>
  <c r="L21" i="5"/>
  <c r="L18" i="5"/>
  <c r="H41" i="23"/>
  <c r="J41" i="23" s="1"/>
  <c r="N30" i="25"/>
  <c r="H21" i="23"/>
  <c r="I21" i="23" s="1"/>
  <c r="H29" i="23"/>
  <c r="I29" i="23" s="1"/>
  <c r="N43" i="25"/>
  <c r="K12" i="18"/>
  <c r="H7" i="23"/>
  <c r="I7" i="23" s="1"/>
  <c r="K10" i="23"/>
  <c r="K16" i="23" s="1"/>
  <c r="N16" i="23" s="1"/>
  <c r="H39" i="23"/>
  <c r="I39" i="23" s="1"/>
  <c r="H5" i="25"/>
  <c r="I5" i="25" s="1"/>
  <c r="H29" i="25"/>
  <c r="U9" i="31"/>
  <c r="U11" i="31" s="1"/>
  <c r="S13" i="31"/>
  <c r="S14" i="31"/>
  <c r="S12" i="30"/>
  <c r="O10" i="30"/>
  <c r="O12" i="30" s="1"/>
  <c r="N12" i="30"/>
  <c r="R10" i="30"/>
  <c r="R12" i="30" s="1"/>
  <c r="L10" i="30"/>
  <c r="T10" i="30"/>
  <c r="K12" i="30"/>
  <c r="T11" i="30"/>
  <c r="L11" i="30"/>
  <c r="T8" i="18"/>
  <c r="R10" i="18"/>
  <c r="R12" i="18" s="1"/>
  <c r="Q12" i="18"/>
  <c r="O10" i="18"/>
  <c r="O12" i="18" s="1"/>
  <c r="N12" i="18"/>
  <c r="S12" i="18"/>
  <c r="L11" i="18"/>
  <c r="U11" i="18" s="1"/>
  <c r="T11" i="18"/>
  <c r="L10" i="18"/>
  <c r="T10" i="18"/>
  <c r="J37" i="18"/>
  <c r="M37" i="18"/>
  <c r="P37" i="18"/>
  <c r="N22" i="23"/>
  <c r="T30" i="25"/>
  <c r="U30" i="25" s="1"/>
  <c r="V30" i="25" s="1"/>
  <c r="M40" i="25"/>
  <c r="S40" i="25" s="1"/>
  <c r="T8" i="23"/>
  <c r="U8" i="23" s="1"/>
  <c r="V8" i="23" s="1"/>
  <c r="H40" i="23"/>
  <c r="I40" i="23" s="1"/>
  <c r="M6" i="25"/>
  <c r="M16" i="25" s="1"/>
  <c r="N16" i="25" s="1"/>
  <c r="H22" i="25"/>
  <c r="J22" i="25" s="1"/>
  <c r="H32" i="25"/>
  <c r="J32" i="25" s="1"/>
  <c r="T29" i="25"/>
  <c r="T50" i="25"/>
  <c r="H9" i="23"/>
  <c r="I9" i="23" s="1"/>
  <c r="H23" i="23"/>
  <c r="I23" i="23" s="1"/>
  <c r="H31" i="25"/>
  <c r="J31" i="25" s="1"/>
  <c r="H40" i="25"/>
  <c r="H22" i="23"/>
  <c r="I22" i="23" s="1"/>
  <c r="N23" i="23"/>
  <c r="O23" i="23" s="1"/>
  <c r="P23" i="23" s="1"/>
  <c r="H6" i="25"/>
  <c r="I6" i="25" s="1"/>
  <c r="Q32" i="31"/>
  <c r="L86" i="5"/>
  <c r="K89" i="5"/>
  <c r="T15" i="18"/>
  <c r="S6" i="23"/>
  <c r="T6" i="23" s="1"/>
  <c r="U6" i="23" s="1"/>
  <c r="N6" i="23"/>
  <c r="O6" i="23" s="1"/>
  <c r="S9" i="23"/>
  <c r="T9" i="23" s="1"/>
  <c r="N9" i="23"/>
  <c r="J15" i="23"/>
  <c r="S21" i="23"/>
  <c r="T21" i="23" s="1"/>
  <c r="N21" i="23"/>
  <c r="I5" i="23"/>
  <c r="T7" i="23"/>
  <c r="Q11" i="23"/>
  <c r="T11" i="23" s="1"/>
  <c r="N11" i="23"/>
  <c r="T22" i="23"/>
  <c r="T23" i="23"/>
  <c r="J24" i="23"/>
  <c r="S25" i="23"/>
  <c r="T25" i="23" s="1"/>
  <c r="N25" i="23"/>
  <c r="P25" i="23" s="1"/>
  <c r="M5" i="23"/>
  <c r="S5" i="23" s="1"/>
  <c r="Q5" i="23"/>
  <c r="N7" i="23"/>
  <c r="H8" i="23"/>
  <c r="N8" i="23"/>
  <c r="O10" i="23"/>
  <c r="U10" i="23" s="1"/>
  <c r="H11" i="23"/>
  <c r="M15" i="23"/>
  <c r="O15" i="23"/>
  <c r="U15" i="23" s="1"/>
  <c r="C16" i="23"/>
  <c r="H16" i="23" s="1"/>
  <c r="O17" i="23"/>
  <c r="U17" i="23" s="1"/>
  <c r="W17" i="23" s="1"/>
  <c r="C18" i="23"/>
  <c r="M24" i="23"/>
  <c r="O24" i="23"/>
  <c r="U24" i="23" s="1"/>
  <c r="T28" i="23"/>
  <c r="S29" i="23"/>
  <c r="T29" i="23" s="1"/>
  <c r="N29" i="23"/>
  <c r="I36" i="23"/>
  <c r="I38" i="23"/>
  <c r="S42" i="23"/>
  <c r="N42" i="23"/>
  <c r="P5" i="27"/>
  <c r="Q5" i="27" s="1"/>
  <c r="R5" i="27" s="1"/>
  <c r="H6" i="23"/>
  <c r="H10" i="23"/>
  <c r="N10" i="23"/>
  <c r="O11" i="23"/>
  <c r="U11" i="23" s="1"/>
  <c r="C15" i="23"/>
  <c r="K15" i="23" s="1"/>
  <c r="Q15" i="23" s="1"/>
  <c r="O16" i="23"/>
  <c r="U16" i="23" s="1"/>
  <c r="O18" i="23"/>
  <c r="U18" i="23" s="1"/>
  <c r="H25" i="23"/>
  <c r="U25" i="23"/>
  <c r="O36" i="23"/>
  <c r="S39" i="23"/>
  <c r="T39" i="23" s="1"/>
  <c r="M44" i="23"/>
  <c r="N39" i="23"/>
  <c r="S40" i="23"/>
  <c r="T40" i="23" s="1"/>
  <c r="N40" i="23"/>
  <c r="S41" i="23"/>
  <c r="T41" i="23" s="1"/>
  <c r="N41" i="23"/>
  <c r="T42" i="23"/>
  <c r="S43" i="23"/>
  <c r="T43" i="23" s="1"/>
  <c r="N43" i="23"/>
  <c r="H28" i="23"/>
  <c r="N28" i="23"/>
  <c r="I30" i="23"/>
  <c r="N33" i="23"/>
  <c r="P33" i="23" s="1"/>
  <c r="Q36" i="23"/>
  <c r="T36" i="23" s="1"/>
  <c r="J39" i="23"/>
  <c r="J40" i="23"/>
  <c r="O16" i="25"/>
  <c r="P16" i="25" s="1"/>
  <c r="M7" i="25"/>
  <c r="N7" i="25" s="1"/>
  <c r="Q7" i="25"/>
  <c r="M8" i="25"/>
  <c r="Q8" i="25"/>
  <c r="M9" i="25"/>
  <c r="Q9" i="25"/>
  <c r="C23" i="25"/>
  <c r="H23" i="25" s="1"/>
  <c r="C24" i="25"/>
  <c r="H24" i="25" s="1"/>
  <c r="C22" i="25"/>
  <c r="K22" i="25" s="1"/>
  <c r="Q22" i="25" s="1"/>
  <c r="H10" i="25"/>
  <c r="C25" i="25"/>
  <c r="K11" i="25"/>
  <c r="H11" i="25"/>
  <c r="S22" i="25"/>
  <c r="T22" i="25" s="1"/>
  <c r="N22" i="25"/>
  <c r="U29" i="25"/>
  <c r="I30" i="25"/>
  <c r="O30" i="25"/>
  <c r="P30" i="25" s="1"/>
  <c r="N32" i="25"/>
  <c r="P32" i="25" s="1"/>
  <c r="S32" i="25"/>
  <c r="T32" i="25" s="1"/>
  <c r="O28" i="23"/>
  <c r="H33" i="23"/>
  <c r="M33" i="23"/>
  <c r="S33" i="23" s="1"/>
  <c r="I37" i="23"/>
  <c r="O41" i="23"/>
  <c r="U41" i="23" s="1"/>
  <c r="O42" i="23"/>
  <c r="U42" i="23" s="1"/>
  <c r="M5" i="25"/>
  <c r="S6" i="25"/>
  <c r="S16" i="25" s="1"/>
  <c r="T16" i="25" s="1"/>
  <c r="H7" i="25"/>
  <c r="H8" i="25"/>
  <c r="H9" i="25"/>
  <c r="K10" i="25"/>
  <c r="O10" i="25"/>
  <c r="U10" i="25" s="1"/>
  <c r="I28" i="25"/>
  <c r="J28" i="25" s="1"/>
  <c r="I29" i="25"/>
  <c r="N29" i="25"/>
  <c r="S31" i="25"/>
  <c r="T31" i="25" s="1"/>
  <c r="N31" i="25"/>
  <c r="O11" i="25"/>
  <c r="U11" i="25" s="1"/>
  <c r="H16" i="25"/>
  <c r="I16" i="25" s="1"/>
  <c r="H17" i="25"/>
  <c r="I17" i="25" s="1"/>
  <c r="H18" i="25"/>
  <c r="I18" i="25" s="1"/>
  <c r="H19" i="25"/>
  <c r="I19" i="25" s="1"/>
  <c r="O23" i="25"/>
  <c r="U23" i="25" s="1"/>
  <c r="O25" i="25"/>
  <c r="U25" i="25" s="1"/>
  <c r="M28" i="25"/>
  <c r="U32" i="25"/>
  <c r="O35" i="25"/>
  <c r="U43" i="25"/>
  <c r="V43" i="25" s="1"/>
  <c r="H15" i="25"/>
  <c r="O22" i="25"/>
  <c r="U22" i="25" s="1"/>
  <c r="O24" i="25"/>
  <c r="U24" i="25" s="1"/>
  <c r="O31" i="25"/>
  <c r="U31" i="25" s="1"/>
  <c r="J35" i="25"/>
  <c r="M35" i="25"/>
  <c r="S35" i="25" s="1"/>
  <c r="Q35" i="25"/>
  <c r="M36" i="25"/>
  <c r="S36" i="25" s="1"/>
  <c r="H36" i="25"/>
  <c r="H37" i="25" s="1"/>
  <c r="Q36" i="25"/>
  <c r="I44" i="25"/>
  <c r="J44" i="25"/>
  <c r="M51" i="25"/>
  <c r="S46" i="25"/>
  <c r="S51" i="25" s="1"/>
  <c r="T47" i="25"/>
  <c r="T48" i="25"/>
  <c r="T49" i="25"/>
  <c r="J40" i="25"/>
  <c r="I43" i="25"/>
  <c r="O43" i="25"/>
  <c r="I45" i="25"/>
  <c r="H46" i="25"/>
  <c r="N46" i="25"/>
  <c r="H47" i="25"/>
  <c r="N47" i="25"/>
  <c r="H48" i="25"/>
  <c r="N48" i="25"/>
  <c r="H49" i="25"/>
  <c r="N49" i="25"/>
  <c r="H50" i="25"/>
  <c r="N50" i="25"/>
  <c r="O48" i="25"/>
  <c r="U48" i="25" s="1"/>
  <c r="O49" i="25"/>
  <c r="U49" i="25" s="1"/>
  <c r="T14" i="31"/>
  <c r="T13" i="31"/>
  <c r="T6" i="31"/>
  <c r="Z79" i="5"/>
  <c r="AB79" i="5" s="1"/>
  <c r="O5" i="27"/>
  <c r="O7" i="27" s="1"/>
  <c r="O8" i="27" s="1"/>
  <c r="K7" i="27"/>
  <c r="K8" i="27" s="1"/>
  <c r="H7" i="27"/>
  <c r="H8" i="27" s="1"/>
  <c r="J56" i="5" s="1"/>
  <c r="K56" i="5" s="1"/>
  <c r="L56" i="5" s="1"/>
  <c r="G7" i="27"/>
  <c r="G8" i="27" s="1"/>
  <c r="L14" i="31"/>
  <c r="U14" i="31" s="1"/>
  <c r="L15" i="31"/>
  <c r="U15" i="31" s="1"/>
  <c r="T15" i="31"/>
  <c r="L13" i="31"/>
  <c r="U13" i="31" s="1"/>
  <c r="L6" i="31"/>
  <c r="U6" i="31" s="1"/>
  <c r="L5" i="31"/>
  <c r="U5" i="31" s="1"/>
  <c r="R7" i="31"/>
  <c r="T35" i="31"/>
  <c r="U35" i="31" s="1"/>
  <c r="S29" i="31"/>
  <c r="U36" i="30"/>
  <c r="R36" i="30"/>
  <c r="Q6" i="27"/>
  <c r="I5" i="27"/>
  <c r="T36" i="18"/>
  <c r="U36" i="18" s="1"/>
  <c r="O36" i="18"/>
  <c r="R27" i="30"/>
  <c r="M8" i="30"/>
  <c r="S30" i="30"/>
  <c r="P8" i="30"/>
  <c r="S27" i="30"/>
  <c r="X83" i="5"/>
  <c r="Z83" i="5" s="1"/>
  <c r="AB83" i="5" s="1"/>
  <c r="M79" i="5"/>
  <c r="AA79" i="5" s="1"/>
  <c r="Q32" i="5"/>
  <c r="R32" i="5" s="1"/>
  <c r="Q18" i="5"/>
  <c r="V87" i="5"/>
  <c r="W87" i="5" s="1"/>
  <c r="X87" i="5" s="1"/>
  <c r="Y87" i="5" s="1"/>
  <c r="S75" i="5"/>
  <c r="Q27" i="5"/>
  <c r="R27" i="5" s="1"/>
  <c r="Q12" i="5"/>
  <c r="R12" i="5" s="1"/>
  <c r="S12" i="5" s="1"/>
  <c r="M17" i="30"/>
  <c r="J8" i="30"/>
  <c r="N27" i="30"/>
  <c r="N30" i="30"/>
  <c r="O30" i="30" s="1"/>
  <c r="K30" i="30"/>
  <c r="Q26" i="30"/>
  <c r="Q40" i="30" s="1"/>
  <c r="K26" i="30"/>
  <c r="S26" i="30"/>
  <c r="K27" i="30"/>
  <c r="J16" i="31"/>
  <c r="S32" i="31"/>
  <c r="J7" i="31"/>
  <c r="N26" i="31"/>
  <c r="O26" i="31" s="1"/>
  <c r="N29" i="31"/>
  <c r="T29" i="31" s="1"/>
  <c r="S25" i="31"/>
  <c r="N32" i="31"/>
  <c r="O32" i="31" s="1"/>
  <c r="K26" i="31"/>
  <c r="S26" i="31"/>
  <c r="V88" i="5"/>
  <c r="W88" i="5" s="1"/>
  <c r="X88" i="5" s="1"/>
  <c r="Z88" i="5" s="1"/>
  <c r="M75" i="5"/>
  <c r="W33" i="5"/>
  <c r="X33" i="5" s="1"/>
  <c r="Z33" i="5" s="1"/>
  <c r="L68" i="5"/>
  <c r="M68" i="5" s="1"/>
  <c r="L87" i="5"/>
  <c r="M87" i="5" s="1"/>
  <c r="W28" i="5"/>
  <c r="X28" i="5" s="1"/>
  <c r="Y28" i="5" s="1"/>
  <c r="V68" i="5"/>
  <c r="W68" i="5" s="1"/>
  <c r="X68" i="5" s="1"/>
  <c r="Y68" i="5" s="1"/>
  <c r="V75" i="5"/>
  <c r="W75" i="5" s="1"/>
  <c r="X75" i="5" s="1"/>
  <c r="Z75" i="5" s="1"/>
  <c r="AB75" i="5" s="1"/>
  <c r="M9" i="5"/>
  <c r="M33" i="5"/>
  <c r="M35" i="5"/>
  <c r="Q43" i="5"/>
  <c r="R43" i="5" s="1"/>
  <c r="S43" i="5" s="1"/>
  <c r="S44" i="5"/>
  <c r="M42" i="5"/>
  <c r="M44" i="5"/>
  <c r="M47" i="5"/>
  <c r="V44" i="5"/>
  <c r="W44" i="5" s="1"/>
  <c r="X44" i="5" s="1"/>
  <c r="Y44" i="5" s="1"/>
  <c r="Q47" i="5"/>
  <c r="R47" i="5" s="1"/>
  <c r="S47" i="5" s="1"/>
  <c r="N26" i="18"/>
  <c r="O26" i="18" s="1"/>
  <c r="Q26" i="18"/>
  <c r="R26" i="18" s="1"/>
  <c r="L27" i="18"/>
  <c r="Q46" i="5"/>
  <c r="V46" i="5"/>
  <c r="W46" i="5" s="1"/>
  <c r="L28" i="5"/>
  <c r="M28" i="5" s="1"/>
  <c r="M29" i="5"/>
  <c r="S88" i="5"/>
  <c r="P21" i="5"/>
  <c r="W29" i="5"/>
  <c r="Q29" i="5"/>
  <c r="Q30" i="5"/>
  <c r="S33" i="5"/>
  <c r="V45" i="5"/>
  <c r="W45" i="5" s="1"/>
  <c r="Q45" i="5"/>
  <c r="X47" i="5"/>
  <c r="Y47" i="5" s="1"/>
  <c r="M65" i="5"/>
  <c r="R87" i="5"/>
  <c r="S87" i="5" s="1"/>
  <c r="V18" i="5"/>
  <c r="L45" i="5"/>
  <c r="M45" i="5" s="1"/>
  <c r="M78" i="5"/>
  <c r="Q86" i="5"/>
  <c r="V86" i="5"/>
  <c r="W86" i="5" s="1"/>
  <c r="T10" i="5"/>
  <c r="W10" i="5" s="1"/>
  <c r="Q10" i="5"/>
  <c r="S68" i="5"/>
  <c r="V78" i="5"/>
  <c r="W78" i="5" s="1"/>
  <c r="Q78" i="5"/>
  <c r="V23" i="5"/>
  <c r="P23" i="5"/>
  <c r="M14" i="5"/>
  <c r="Y30" i="5"/>
  <c r="X32" i="5"/>
  <c r="M63" i="5"/>
  <c r="Q64" i="5"/>
  <c r="V64" i="5"/>
  <c r="W64" i="5" s="1"/>
  <c r="X27" i="5"/>
  <c r="Q35" i="5"/>
  <c r="W35" i="5"/>
  <c r="K48" i="5"/>
  <c r="Q42" i="5"/>
  <c r="V42" i="5"/>
  <c r="W42" i="5" s="1"/>
  <c r="L34" i="5"/>
  <c r="M34" i="5" s="1"/>
  <c r="L41" i="5"/>
  <c r="T56" i="5"/>
  <c r="W56" i="5" s="1"/>
  <c r="Q56" i="5"/>
  <c r="V63" i="5"/>
  <c r="W63" i="5" s="1"/>
  <c r="Q63" i="5"/>
  <c r="M88" i="5"/>
  <c r="W34" i="5"/>
  <c r="Q34" i="5"/>
  <c r="V41" i="5"/>
  <c r="W41" i="5" s="1"/>
  <c r="Q41" i="5"/>
  <c r="X43" i="5"/>
  <c r="Y43" i="5" s="1"/>
  <c r="X65" i="5"/>
  <c r="Z65" i="5" s="1"/>
  <c r="AB65" i="5" s="1"/>
  <c r="M27" i="5"/>
  <c r="M32" i="5"/>
  <c r="M43" i="5"/>
  <c r="R27" i="18"/>
  <c r="S27" i="18"/>
  <c r="S30" i="18"/>
  <c r="N27" i="18"/>
  <c r="N30" i="18"/>
  <c r="O30" i="18" s="1"/>
  <c r="K26" i="18"/>
  <c r="S26" i="18"/>
  <c r="T25" i="31" l="1"/>
  <c r="U25" i="31" s="1"/>
  <c r="O25" i="31"/>
  <c r="N38" i="31"/>
  <c r="S38" i="31"/>
  <c r="K38" i="31"/>
  <c r="Q38" i="31"/>
  <c r="S40" i="30"/>
  <c r="N40" i="30"/>
  <c r="K40" i="30"/>
  <c r="M38" i="5"/>
  <c r="W38" i="5"/>
  <c r="L38" i="5"/>
  <c r="L48" i="5"/>
  <c r="B9" i="32" s="1"/>
  <c r="Q38" i="5"/>
  <c r="V32" i="25"/>
  <c r="J9" i="23"/>
  <c r="H33" i="25"/>
  <c r="W11" i="23"/>
  <c r="AA11" i="23" s="1"/>
  <c r="N51" i="25"/>
  <c r="W10" i="23"/>
  <c r="AA10" i="23" s="1"/>
  <c r="P10" i="23"/>
  <c r="J43" i="23"/>
  <c r="J29" i="23"/>
  <c r="P43" i="23"/>
  <c r="V43" i="23"/>
  <c r="O22" i="23"/>
  <c r="P22" i="23" s="1"/>
  <c r="W11" i="25"/>
  <c r="AA11" i="25" s="1"/>
  <c r="T5" i="23"/>
  <c r="T14" i="23" s="1"/>
  <c r="V29" i="25"/>
  <c r="T26" i="31"/>
  <c r="U26" i="31" s="1"/>
  <c r="H51" i="25"/>
  <c r="T36" i="25"/>
  <c r="U36" i="25" s="1"/>
  <c r="V36" i="25" s="1"/>
  <c r="H44" i="23"/>
  <c r="T12" i="30"/>
  <c r="J39" i="31"/>
  <c r="N6" i="25"/>
  <c r="O6" i="25" s="1"/>
  <c r="Q10" i="23"/>
  <c r="T10" i="23" s="1"/>
  <c r="V10" i="23" s="1"/>
  <c r="K17" i="23"/>
  <c r="N17" i="23" s="1"/>
  <c r="P17" i="23" s="1"/>
  <c r="J7" i="23"/>
  <c r="K37" i="18"/>
  <c r="M41" i="30"/>
  <c r="U10" i="30"/>
  <c r="U11" i="30"/>
  <c r="L12" i="30"/>
  <c r="T12" i="18"/>
  <c r="U10" i="18"/>
  <c r="U12" i="18" s="1"/>
  <c r="L12" i="18"/>
  <c r="S37" i="18"/>
  <c r="W49" i="25"/>
  <c r="AA49" i="25" s="1"/>
  <c r="P49" i="25"/>
  <c r="W48" i="25"/>
  <c r="AA48" i="25" s="1"/>
  <c r="P48" i="25"/>
  <c r="V49" i="25"/>
  <c r="Q37" i="18"/>
  <c r="V41" i="23"/>
  <c r="W43" i="23"/>
  <c r="N37" i="18"/>
  <c r="W10" i="25"/>
  <c r="AA10" i="25" s="1"/>
  <c r="W25" i="23"/>
  <c r="AA25" i="23" s="1"/>
  <c r="W15" i="23"/>
  <c r="Q89" i="5"/>
  <c r="P7" i="27"/>
  <c r="P8" i="27" s="1"/>
  <c r="R32" i="31"/>
  <c r="R38" i="31" s="1"/>
  <c r="W89" i="5"/>
  <c r="M86" i="5"/>
  <c r="L89" i="5"/>
  <c r="O7" i="25"/>
  <c r="P7" i="25" s="1"/>
  <c r="O47" i="25"/>
  <c r="P47" i="25" s="1"/>
  <c r="O46" i="25"/>
  <c r="P46" i="25"/>
  <c r="W43" i="25"/>
  <c r="AA43" i="25" s="1"/>
  <c r="U47" i="25"/>
  <c r="V47" i="25" s="1"/>
  <c r="X44" i="25"/>
  <c r="AB44" i="25" s="1"/>
  <c r="J43" i="25"/>
  <c r="U35" i="25"/>
  <c r="W35" i="25" s="1"/>
  <c r="S28" i="25"/>
  <c r="T28" i="25" s="1"/>
  <c r="N28" i="25"/>
  <c r="V31" i="25"/>
  <c r="J29" i="25"/>
  <c r="K24" i="25"/>
  <c r="N24" i="25" s="1"/>
  <c r="P24" i="25" s="1"/>
  <c r="K23" i="25"/>
  <c r="N23" i="25" s="1"/>
  <c r="P23" i="25" s="1"/>
  <c r="Q10" i="25"/>
  <c r="N10" i="25"/>
  <c r="P10" i="25" s="1"/>
  <c r="I8" i="25"/>
  <c r="J8" i="25" s="1"/>
  <c r="U16" i="25"/>
  <c r="W16" i="25" s="1"/>
  <c r="J33" i="23"/>
  <c r="U28" i="23"/>
  <c r="V28" i="23" s="1"/>
  <c r="V22" i="25"/>
  <c r="Q11" i="25"/>
  <c r="T11" i="25" s="1"/>
  <c r="V11" i="25" s="1"/>
  <c r="N11" i="25"/>
  <c r="P11" i="25" s="1"/>
  <c r="J10" i="25"/>
  <c r="J24" i="25"/>
  <c r="H12" i="25"/>
  <c r="T44" i="23"/>
  <c r="U36" i="23"/>
  <c r="W36" i="23" s="1"/>
  <c r="H30" i="23"/>
  <c r="J28" i="23"/>
  <c r="V42" i="23"/>
  <c r="O40" i="23"/>
  <c r="P40" i="23" s="1"/>
  <c r="U39" i="23"/>
  <c r="V39" i="23"/>
  <c r="N44" i="23"/>
  <c r="J25" i="23"/>
  <c r="I26" i="23"/>
  <c r="I6" i="23"/>
  <c r="O29" i="23"/>
  <c r="P29" i="23" s="1"/>
  <c r="T30" i="23"/>
  <c r="J21" i="23"/>
  <c r="N15" i="23"/>
  <c r="S15" i="23"/>
  <c r="T15" i="23" s="1"/>
  <c r="V15" i="23" s="1"/>
  <c r="I8" i="23"/>
  <c r="J8" i="23" s="1"/>
  <c r="O7" i="23"/>
  <c r="V25" i="23"/>
  <c r="U23" i="23"/>
  <c r="V23" i="23" s="1"/>
  <c r="U22" i="23"/>
  <c r="V22" i="23" s="1"/>
  <c r="W22" i="23"/>
  <c r="H26" i="23"/>
  <c r="AA17" i="23"/>
  <c r="V11" i="23"/>
  <c r="U7" i="23"/>
  <c r="V7" i="23" s="1"/>
  <c r="I12" i="23"/>
  <c r="J5" i="23"/>
  <c r="H12" i="23"/>
  <c r="O21" i="23"/>
  <c r="O26" i="23" s="1"/>
  <c r="U9" i="23"/>
  <c r="V9" i="23" s="1"/>
  <c r="I50" i="25"/>
  <c r="J50" i="25" s="1"/>
  <c r="J49" i="25"/>
  <c r="J48" i="25"/>
  <c r="I47" i="25"/>
  <c r="J47" i="25" s="1"/>
  <c r="I46" i="25"/>
  <c r="J46" i="25"/>
  <c r="W45" i="25"/>
  <c r="AA45" i="25" s="1"/>
  <c r="X40" i="25"/>
  <c r="Y40" i="25" s="1"/>
  <c r="Z40" i="25" s="1"/>
  <c r="V48" i="25"/>
  <c r="J45" i="25"/>
  <c r="W44" i="25"/>
  <c r="P43" i="25"/>
  <c r="N36" i="25"/>
  <c r="I36" i="25"/>
  <c r="J36" i="25" s="1"/>
  <c r="T35" i="25"/>
  <c r="N35" i="25"/>
  <c r="W32" i="25"/>
  <c r="W31" i="25"/>
  <c r="AA31" i="25" s="1"/>
  <c r="W24" i="25"/>
  <c r="AA24" i="25" s="1"/>
  <c r="W22" i="25"/>
  <c r="I15" i="25"/>
  <c r="T46" i="25"/>
  <c r="X32" i="25"/>
  <c r="AB32" i="25" s="1"/>
  <c r="W25" i="25"/>
  <c r="W23" i="25"/>
  <c r="AA23" i="25" s="1"/>
  <c r="P31" i="25"/>
  <c r="O29" i="25"/>
  <c r="W29" i="25" s="1"/>
  <c r="I33" i="25"/>
  <c r="I9" i="25"/>
  <c r="J9" i="25" s="1"/>
  <c r="I7" i="25"/>
  <c r="M15" i="25"/>
  <c r="N15" i="25" s="1"/>
  <c r="S5" i="25"/>
  <c r="N5" i="25"/>
  <c r="W42" i="23"/>
  <c r="W41" i="23"/>
  <c r="AA41" i="23" s="1"/>
  <c r="W37" i="23"/>
  <c r="AA37" i="23" s="1"/>
  <c r="W30" i="25"/>
  <c r="J30" i="25"/>
  <c r="P22" i="25"/>
  <c r="J11" i="25"/>
  <c r="K25" i="25"/>
  <c r="G25" i="25"/>
  <c r="M25" i="25" s="1"/>
  <c r="S25" i="25" s="1"/>
  <c r="J23" i="25"/>
  <c r="M19" i="25"/>
  <c r="N19" i="25" s="1"/>
  <c r="S9" i="25"/>
  <c r="S19" i="25" s="1"/>
  <c r="T19" i="25" s="1"/>
  <c r="M18" i="25"/>
  <c r="N18" i="25" s="1"/>
  <c r="S8" i="25"/>
  <c r="S18" i="25" s="1"/>
  <c r="T18" i="25" s="1"/>
  <c r="M17" i="25"/>
  <c r="N17" i="25" s="1"/>
  <c r="S7" i="25"/>
  <c r="S17" i="25" s="1"/>
  <c r="T17" i="25" s="1"/>
  <c r="J5" i="25"/>
  <c r="J37" i="23"/>
  <c r="N30" i="23"/>
  <c r="P28" i="23"/>
  <c r="N8" i="25"/>
  <c r="P41" i="23"/>
  <c r="U40" i="23"/>
  <c r="V40" i="23" s="1"/>
  <c r="O39" i="23"/>
  <c r="P39" i="23"/>
  <c r="S44" i="23"/>
  <c r="P36" i="23"/>
  <c r="W18" i="23"/>
  <c r="W16" i="23"/>
  <c r="J10" i="23"/>
  <c r="N9" i="25"/>
  <c r="T6" i="25"/>
  <c r="U6" i="25" s="1"/>
  <c r="W6" i="25" s="1"/>
  <c r="Y6" i="25" s="1"/>
  <c r="AA43" i="23"/>
  <c r="P42" i="23"/>
  <c r="W38" i="23"/>
  <c r="AA38" i="23" s="1"/>
  <c r="J38" i="23"/>
  <c r="I44" i="23"/>
  <c r="J36" i="23"/>
  <c r="U29" i="23"/>
  <c r="V29" i="23"/>
  <c r="W24" i="23"/>
  <c r="AA24" i="23" s="1"/>
  <c r="N24" i="23"/>
  <c r="S24" i="23"/>
  <c r="T24" i="23" s="1"/>
  <c r="V24" i="23" s="1"/>
  <c r="K18" i="23"/>
  <c r="G18" i="23"/>
  <c r="M18" i="23" s="1"/>
  <c r="S18" i="23" s="1"/>
  <c r="J16" i="23"/>
  <c r="J11" i="23"/>
  <c r="Q16" i="23"/>
  <c r="T16" i="23" s="1"/>
  <c r="V16" i="23" s="1"/>
  <c r="O8" i="23"/>
  <c r="P8" i="23" s="1"/>
  <c r="J23" i="23"/>
  <c r="J22" i="23"/>
  <c r="AA15" i="23"/>
  <c r="P11" i="23"/>
  <c r="P16" i="23"/>
  <c r="G14" i="23"/>
  <c r="M14" i="23" s="1"/>
  <c r="S14" i="23" s="1"/>
  <c r="H14" i="23"/>
  <c r="U21" i="23"/>
  <c r="U26" i="23" s="1"/>
  <c r="O9" i="23"/>
  <c r="N5" i="23"/>
  <c r="Q23" i="5"/>
  <c r="R23" i="5" s="1"/>
  <c r="S23" i="5" s="1"/>
  <c r="I7" i="27"/>
  <c r="I8" i="27" s="1"/>
  <c r="R6" i="27"/>
  <c r="R7" i="27" s="1"/>
  <c r="R8" i="27" s="1"/>
  <c r="Q7" i="27"/>
  <c r="Q8" i="27" s="1"/>
  <c r="M56" i="5"/>
  <c r="N16" i="31"/>
  <c r="N7" i="31"/>
  <c r="L26" i="31"/>
  <c r="L38" i="31" s="1"/>
  <c r="M16" i="31"/>
  <c r="M39" i="31" s="1"/>
  <c r="O29" i="31"/>
  <c r="Q7" i="31"/>
  <c r="P17" i="30"/>
  <c r="Q17" i="18"/>
  <c r="T30" i="18"/>
  <c r="U30" i="18" s="1"/>
  <c r="K17" i="18"/>
  <c r="S16" i="31"/>
  <c r="S7" i="31"/>
  <c r="T30" i="30"/>
  <c r="U30" i="30" s="1"/>
  <c r="R26" i="30"/>
  <c r="R40" i="30" s="1"/>
  <c r="S8" i="30"/>
  <c r="R8" i="30"/>
  <c r="Q8" i="30"/>
  <c r="Q17" i="30"/>
  <c r="Y83" i="5"/>
  <c r="AA83" i="5" s="1"/>
  <c r="S32" i="5"/>
  <c r="Z32" i="5"/>
  <c r="Y75" i="5"/>
  <c r="AA75" i="5" s="1"/>
  <c r="Z28" i="5"/>
  <c r="R18" i="5"/>
  <c r="S18" i="5" s="1"/>
  <c r="R14" i="5"/>
  <c r="S14" i="5" s="1"/>
  <c r="X9" i="5"/>
  <c r="Y9" i="5" s="1"/>
  <c r="P17" i="18"/>
  <c r="P38" i="18" s="1"/>
  <c r="Q38" i="18" s="1"/>
  <c r="R38" i="18" s="1"/>
  <c r="L17" i="18"/>
  <c r="J17" i="18"/>
  <c r="J38" i="18" s="1"/>
  <c r="T26" i="30"/>
  <c r="L26" i="30"/>
  <c r="O8" i="30"/>
  <c r="S17" i="30"/>
  <c r="J17" i="30"/>
  <c r="J41" i="30" s="1"/>
  <c r="N17" i="30"/>
  <c r="O27" i="30"/>
  <c r="O40" i="30" s="1"/>
  <c r="K8" i="30"/>
  <c r="T27" i="30"/>
  <c r="U27" i="30" s="1"/>
  <c r="L27" i="30"/>
  <c r="O17" i="30"/>
  <c r="N8" i="30"/>
  <c r="U29" i="31"/>
  <c r="L7" i="31"/>
  <c r="Q16" i="31"/>
  <c r="P16" i="31"/>
  <c r="P39" i="31" s="1"/>
  <c r="K16" i="31"/>
  <c r="O7" i="31"/>
  <c r="T32" i="31"/>
  <c r="O16" i="31"/>
  <c r="T7" i="31"/>
  <c r="K7" i="31"/>
  <c r="Y33" i="5"/>
  <c r="AA33" i="5" s="1"/>
  <c r="AB33" i="5" s="1"/>
  <c r="Z27" i="5"/>
  <c r="W12" i="5"/>
  <c r="X12" i="5" s="1"/>
  <c r="Y12" i="5" s="1"/>
  <c r="AA44" i="5"/>
  <c r="Z68" i="5"/>
  <c r="Z43" i="5"/>
  <c r="Z47" i="5"/>
  <c r="AA43" i="5"/>
  <c r="M17" i="18"/>
  <c r="M38" i="18" s="1"/>
  <c r="N38" i="18" s="1"/>
  <c r="O38" i="18" s="1"/>
  <c r="AA87" i="5"/>
  <c r="AA47" i="5"/>
  <c r="R34" i="5"/>
  <c r="S34" i="5" s="1"/>
  <c r="R35" i="5"/>
  <c r="R45" i="5"/>
  <c r="S45" i="5" s="1"/>
  <c r="R63" i="5"/>
  <c r="Q21" i="5"/>
  <c r="R10" i="5"/>
  <c r="Y88" i="5"/>
  <c r="AA88" i="5" s="1"/>
  <c r="AB88" i="5" s="1"/>
  <c r="X63" i="5"/>
  <c r="Y63" i="5" s="1"/>
  <c r="Y32" i="5"/>
  <c r="R56" i="5"/>
  <c r="S56" i="5" s="1"/>
  <c r="X42" i="5"/>
  <c r="Y42" i="5" s="1"/>
  <c r="X64" i="5"/>
  <c r="Y64" i="5" s="1"/>
  <c r="R78" i="5"/>
  <c r="R9" i="5"/>
  <c r="M12" i="5"/>
  <c r="AA68" i="5"/>
  <c r="Z87" i="5"/>
  <c r="X56" i="5"/>
  <c r="Y56" i="5" s="1"/>
  <c r="R42" i="5"/>
  <c r="S42" i="5" s="1"/>
  <c r="Y27" i="5"/>
  <c r="R64" i="5"/>
  <c r="X78" i="5"/>
  <c r="Y78" i="5" s="1"/>
  <c r="Z44" i="5"/>
  <c r="X86" i="5"/>
  <c r="X34" i="5"/>
  <c r="Y34" i="5" s="1"/>
  <c r="Q48" i="5"/>
  <c r="R41" i="5"/>
  <c r="W14" i="5"/>
  <c r="W18" i="5" s="1"/>
  <c r="R29" i="5"/>
  <c r="R46" i="5"/>
  <c r="S46" i="5" s="1"/>
  <c r="Y65" i="5"/>
  <c r="AA65" i="5" s="1"/>
  <c r="S27" i="5"/>
  <c r="AA28" i="5"/>
  <c r="X45" i="5"/>
  <c r="W21" i="5"/>
  <c r="X10" i="5"/>
  <c r="X20" i="5"/>
  <c r="Y20" i="5" s="1"/>
  <c r="M41" i="5"/>
  <c r="R86" i="5"/>
  <c r="R30" i="5"/>
  <c r="Z30" i="5" s="1"/>
  <c r="X46" i="5"/>
  <c r="Y46" i="5" s="1"/>
  <c r="W48" i="5"/>
  <c r="X41" i="5"/>
  <c r="X35" i="5"/>
  <c r="Y35" i="5" s="1"/>
  <c r="X29" i="5"/>
  <c r="O27" i="18"/>
  <c r="O37" i="18" s="1"/>
  <c r="T27" i="18"/>
  <c r="U27" i="18" s="1"/>
  <c r="N17" i="18"/>
  <c r="R17" i="18"/>
  <c r="T26" i="18"/>
  <c r="U26" i="18" s="1"/>
  <c r="L26" i="18"/>
  <c r="R37" i="18"/>
  <c r="O38" i="31" l="1"/>
  <c r="X38" i="5"/>
  <c r="T38" i="31"/>
  <c r="L37" i="18"/>
  <c r="U26" i="30"/>
  <c r="U40" i="30" s="1"/>
  <c r="T40" i="30"/>
  <c r="L40" i="30"/>
  <c r="C10" i="6"/>
  <c r="R38" i="5"/>
  <c r="C8" i="6"/>
  <c r="B7" i="32"/>
  <c r="C7" i="6"/>
  <c r="E7" i="6" s="1"/>
  <c r="B6" i="32"/>
  <c r="D8" i="6"/>
  <c r="C7" i="32"/>
  <c r="W28" i="23"/>
  <c r="C13" i="6"/>
  <c r="B12" i="32"/>
  <c r="C6" i="6"/>
  <c r="B5" i="32"/>
  <c r="D6" i="6"/>
  <c r="C5" i="32"/>
  <c r="X43" i="23"/>
  <c r="AB43" i="23" s="1"/>
  <c r="T26" i="23"/>
  <c r="U5" i="23"/>
  <c r="U12" i="23" s="1"/>
  <c r="V16" i="25"/>
  <c r="X16" i="25" s="1"/>
  <c r="S39" i="31"/>
  <c r="T39" i="31" s="1"/>
  <c r="Q17" i="23"/>
  <c r="T17" i="23" s="1"/>
  <c r="V17" i="23" s="1"/>
  <c r="X17" i="23" s="1"/>
  <c r="Y17" i="23" s="1"/>
  <c r="Z17" i="23" s="1"/>
  <c r="P30" i="23"/>
  <c r="Y44" i="25"/>
  <c r="Z44" i="25" s="1"/>
  <c r="S41" i="30"/>
  <c r="T41" i="30" s="1"/>
  <c r="W23" i="23"/>
  <c r="P41" i="30"/>
  <c r="Q41" i="30" s="1"/>
  <c r="R41" i="30" s="1"/>
  <c r="R43" i="30" s="1"/>
  <c r="R44" i="30" s="1"/>
  <c r="R45" i="30" s="1"/>
  <c r="Y52" i="5" s="1"/>
  <c r="U12" i="30"/>
  <c r="T37" i="18"/>
  <c r="Y32" i="25"/>
  <c r="Z32" i="25" s="1"/>
  <c r="U37" i="18"/>
  <c r="M89" i="5"/>
  <c r="H18" i="23"/>
  <c r="J18" i="23" s="1"/>
  <c r="J19" i="23" s="1"/>
  <c r="X42" i="23"/>
  <c r="AB42" i="23" s="1"/>
  <c r="X31" i="25"/>
  <c r="AB31" i="25" s="1"/>
  <c r="X22" i="25"/>
  <c r="AB22" i="25" s="1"/>
  <c r="M40" i="18"/>
  <c r="P44" i="23"/>
  <c r="P21" i="23"/>
  <c r="R89" i="5"/>
  <c r="Y86" i="5"/>
  <c r="X89" i="5"/>
  <c r="N14" i="23"/>
  <c r="N12" i="23"/>
  <c r="O5" i="23"/>
  <c r="P5" i="23" s="1"/>
  <c r="W9" i="23"/>
  <c r="I14" i="23"/>
  <c r="X11" i="23"/>
  <c r="Y11" i="23" s="1"/>
  <c r="Z11" i="23" s="1"/>
  <c r="X16" i="23"/>
  <c r="Y16" i="23" s="1"/>
  <c r="Z16" i="23" s="1"/>
  <c r="Q18" i="23"/>
  <c r="T18" i="23" s="1"/>
  <c r="V18" i="23" s="1"/>
  <c r="N18" i="23"/>
  <c r="P18" i="23" s="1"/>
  <c r="P24" i="23"/>
  <c r="P26" i="23" s="1"/>
  <c r="J44" i="23"/>
  <c r="X38" i="23"/>
  <c r="AB38" i="23" s="1"/>
  <c r="O9" i="25"/>
  <c r="P9" i="25" s="1"/>
  <c r="O8" i="25"/>
  <c r="P8" i="25" s="1"/>
  <c r="U17" i="25"/>
  <c r="V17" i="25" s="1"/>
  <c r="U18" i="25"/>
  <c r="V18" i="25" s="1"/>
  <c r="U19" i="25"/>
  <c r="V19" i="25" s="1"/>
  <c r="H25" i="25"/>
  <c r="S15" i="25"/>
  <c r="T15" i="25" s="1"/>
  <c r="T5" i="25"/>
  <c r="Y16" i="25"/>
  <c r="W20" i="25"/>
  <c r="U46" i="25"/>
  <c r="T51" i="25"/>
  <c r="I26" i="25"/>
  <c r="T37" i="25"/>
  <c r="V35" i="25"/>
  <c r="V37" i="25" s="1"/>
  <c r="O36" i="25"/>
  <c r="O37" i="25" s="1"/>
  <c r="X45" i="25"/>
  <c r="AB45" i="25" s="1"/>
  <c r="X47" i="25"/>
  <c r="AB47" i="25" s="1"/>
  <c r="W47" i="25"/>
  <c r="J12" i="23"/>
  <c r="U14" i="23"/>
  <c r="U19" i="23" s="1"/>
  <c r="T12" i="23"/>
  <c r="W7" i="23"/>
  <c r="AA7" i="23" s="1"/>
  <c r="P15" i="23"/>
  <c r="V30" i="23"/>
  <c r="AA42" i="23"/>
  <c r="W21" i="23"/>
  <c r="AA21" i="23" s="1"/>
  <c r="Z6" i="25"/>
  <c r="X29" i="23"/>
  <c r="AB29" i="23" s="1"/>
  <c r="U44" i="23"/>
  <c r="X39" i="23"/>
  <c r="AB39" i="23" s="1"/>
  <c r="X40" i="23"/>
  <c r="AB40" i="23" s="1"/>
  <c r="X41" i="23"/>
  <c r="AB41" i="23" s="1"/>
  <c r="T8" i="25"/>
  <c r="AA25" i="25"/>
  <c r="U30" i="23"/>
  <c r="X33" i="23"/>
  <c r="Y33" i="23" s="1"/>
  <c r="Z33" i="23" s="1"/>
  <c r="I12" i="25"/>
  <c r="AA6" i="25"/>
  <c r="AA29" i="25"/>
  <c r="N33" i="25"/>
  <c r="O28" i="25"/>
  <c r="J51" i="25"/>
  <c r="X43" i="25"/>
  <c r="P9" i="23"/>
  <c r="V21" i="23"/>
  <c r="V26" i="23" s="1"/>
  <c r="AA18" i="23"/>
  <c r="X22" i="23"/>
  <c r="Y22" i="23" s="1"/>
  <c r="Z22" i="23" s="1"/>
  <c r="X23" i="23"/>
  <c r="AB23" i="23" s="1"/>
  <c r="AA36" i="23"/>
  <c r="X10" i="23"/>
  <c r="Y10" i="23" s="1"/>
  <c r="Z10" i="23" s="1"/>
  <c r="AA28" i="23"/>
  <c r="W39" i="23"/>
  <c r="X37" i="23"/>
  <c r="AB37" i="23" s="1"/>
  <c r="O17" i="25"/>
  <c r="W17" i="25" s="1"/>
  <c r="O18" i="25"/>
  <c r="W18" i="25" s="1"/>
  <c r="O19" i="25"/>
  <c r="W19" i="25" s="1"/>
  <c r="N25" i="25"/>
  <c r="P25" i="25" s="1"/>
  <c r="Q25" i="25"/>
  <c r="T25" i="25" s="1"/>
  <c r="V25" i="25" s="1"/>
  <c r="X11" i="25"/>
  <c r="Y11" i="25" s="1"/>
  <c r="Z11" i="25" s="1"/>
  <c r="X30" i="25"/>
  <c r="AB30" i="25" s="1"/>
  <c r="AA30" i="25"/>
  <c r="N12" i="25"/>
  <c r="O5" i="25"/>
  <c r="P5" i="25" s="1"/>
  <c r="O15" i="25"/>
  <c r="P15" i="25" s="1"/>
  <c r="J7" i="25"/>
  <c r="J12" i="25" s="1"/>
  <c r="P29" i="25"/>
  <c r="N37" i="25"/>
  <c r="P35" i="25"/>
  <c r="I37" i="25"/>
  <c r="AA44" i="25"/>
  <c r="AB40" i="25"/>
  <c r="Y45" i="25"/>
  <c r="Z45" i="25" s="1"/>
  <c r="W46" i="25"/>
  <c r="X48" i="25"/>
  <c r="Y48" i="25" s="1"/>
  <c r="Z48" i="25" s="1"/>
  <c r="X49" i="25"/>
  <c r="Y49" i="25" s="1"/>
  <c r="Z49" i="25" s="1"/>
  <c r="O50" i="25"/>
  <c r="AA16" i="23"/>
  <c r="N26" i="23"/>
  <c r="AA22" i="23"/>
  <c r="AA23" i="23"/>
  <c r="P7" i="23"/>
  <c r="X8" i="23"/>
  <c r="AB8" i="23" s="1"/>
  <c r="W8" i="23"/>
  <c r="J26" i="23"/>
  <c r="W29" i="23"/>
  <c r="Y29" i="23" s="1"/>
  <c r="Z29" i="23" s="1"/>
  <c r="W6" i="23"/>
  <c r="Y6" i="23" s="1"/>
  <c r="Z6" i="23" s="1"/>
  <c r="X25" i="23"/>
  <c r="Y25" i="23" s="1"/>
  <c r="Z25" i="23" s="1"/>
  <c r="O44" i="23"/>
  <c r="W40" i="23"/>
  <c r="J30" i="23"/>
  <c r="X28" i="23"/>
  <c r="X30" i="23" s="1"/>
  <c r="V36" i="23"/>
  <c r="V44" i="23" s="1"/>
  <c r="T7" i="25"/>
  <c r="T9" i="25"/>
  <c r="AA22" i="25"/>
  <c r="O30" i="23"/>
  <c r="Q24" i="25"/>
  <c r="T24" i="25" s="1"/>
  <c r="Q23" i="25"/>
  <c r="T23" i="25" s="1"/>
  <c r="T10" i="25"/>
  <c r="J33" i="25"/>
  <c r="T33" i="25"/>
  <c r="U28" i="25"/>
  <c r="U33" i="25" s="1"/>
  <c r="U37" i="25"/>
  <c r="AA35" i="25"/>
  <c r="J37" i="25"/>
  <c r="Y43" i="25"/>
  <c r="I51" i="25"/>
  <c r="AA32" i="25"/>
  <c r="AA27" i="5"/>
  <c r="W23" i="5"/>
  <c r="X23" i="5" s="1"/>
  <c r="Z23" i="5" s="1"/>
  <c r="Z86" i="5"/>
  <c r="AA32" i="5"/>
  <c r="AB32" i="5" s="1"/>
  <c r="U32" i="31"/>
  <c r="U38" i="31" s="1"/>
  <c r="T17" i="18"/>
  <c r="S17" i="18"/>
  <c r="S38" i="18" s="1"/>
  <c r="T38" i="18" s="1"/>
  <c r="T16" i="31"/>
  <c r="R17" i="30"/>
  <c r="T8" i="30"/>
  <c r="AB28" i="5"/>
  <c r="Z64" i="5"/>
  <c r="Z29" i="5"/>
  <c r="Z35" i="5"/>
  <c r="AA34" i="5"/>
  <c r="AB44" i="5"/>
  <c r="P40" i="18"/>
  <c r="Q40" i="18" s="1"/>
  <c r="Q41" i="18" s="1"/>
  <c r="L17" i="30"/>
  <c r="L8" i="30"/>
  <c r="U8" i="30"/>
  <c r="J43" i="30"/>
  <c r="K41" i="30"/>
  <c r="L41" i="30" s="1"/>
  <c r="L43" i="30" s="1"/>
  <c r="L44" i="30" s="1"/>
  <c r="L45" i="30" s="1"/>
  <c r="M52" i="5" s="1"/>
  <c r="K17" i="30"/>
  <c r="N41" i="30"/>
  <c r="M43" i="30"/>
  <c r="M41" i="31"/>
  <c r="N39" i="31"/>
  <c r="O39" i="31" s="1"/>
  <c r="O41" i="31" s="1"/>
  <c r="O42" i="31" s="1"/>
  <c r="O43" i="31" s="1"/>
  <c r="S53" i="5" s="1"/>
  <c r="P41" i="31"/>
  <c r="Q39" i="31"/>
  <c r="R39" i="31" s="1"/>
  <c r="R41" i="31" s="1"/>
  <c r="R42" i="31" s="1"/>
  <c r="R43" i="31" s="1"/>
  <c r="Y53" i="5" s="1"/>
  <c r="U16" i="31"/>
  <c r="L16" i="31"/>
  <c r="R16" i="31"/>
  <c r="K39" i="31"/>
  <c r="L39" i="31" s="1"/>
  <c r="L41" i="31" s="1"/>
  <c r="L42" i="31" s="1"/>
  <c r="L43" i="31" s="1"/>
  <c r="M53" i="5" s="1"/>
  <c r="J41" i="31"/>
  <c r="U7" i="31"/>
  <c r="Z10" i="5"/>
  <c r="AB10" i="5" s="1"/>
  <c r="AB47" i="5"/>
  <c r="AB43" i="5"/>
  <c r="S86" i="5"/>
  <c r="AB87" i="5"/>
  <c r="Z63" i="5"/>
  <c r="AB63" i="5" s="1"/>
  <c r="S64" i="5"/>
  <c r="AA64" i="5" s="1"/>
  <c r="Y29" i="5"/>
  <c r="Y38" i="5" s="1"/>
  <c r="Z78" i="5"/>
  <c r="AB78" i="5" s="1"/>
  <c r="AA46" i="5"/>
  <c r="X48" i="5"/>
  <c r="AA42" i="5"/>
  <c r="R48" i="5"/>
  <c r="Z45" i="5"/>
  <c r="AB68" i="5"/>
  <c r="R20" i="5"/>
  <c r="Z20" i="5" s="1"/>
  <c r="S30" i="5"/>
  <c r="AA30" i="5" s="1"/>
  <c r="AB30" i="5" s="1"/>
  <c r="Z34" i="5"/>
  <c r="Z9" i="5"/>
  <c r="Z12" i="5"/>
  <c r="Y41" i="5"/>
  <c r="Z46" i="5"/>
  <c r="Z42" i="5"/>
  <c r="S9" i="5"/>
  <c r="Z56" i="5"/>
  <c r="R21" i="5"/>
  <c r="S21" i="5" s="1"/>
  <c r="S35" i="5"/>
  <c r="AA35" i="5" s="1"/>
  <c r="AA56" i="5"/>
  <c r="S78" i="5"/>
  <c r="AA78" i="5" s="1"/>
  <c r="S63" i="5"/>
  <c r="AA63" i="5" s="1"/>
  <c r="S41" i="5"/>
  <c r="S48" i="5" s="1"/>
  <c r="M48" i="5"/>
  <c r="X21" i="5"/>
  <c r="Y21" i="5" s="1"/>
  <c r="Y45" i="5"/>
  <c r="AA45" i="5" s="1"/>
  <c r="AA12" i="5"/>
  <c r="Z41" i="5"/>
  <c r="S29" i="5"/>
  <c r="X14" i="5"/>
  <c r="Z14" i="5" s="1"/>
  <c r="J40" i="18"/>
  <c r="K38" i="18"/>
  <c r="L38" i="18" s="1"/>
  <c r="O17" i="18"/>
  <c r="U17" i="18"/>
  <c r="S38" i="5" l="1"/>
  <c r="Z38" i="5"/>
  <c r="L8" i="6" s="1"/>
  <c r="AB27" i="5"/>
  <c r="E8" i="6"/>
  <c r="E6" i="6"/>
  <c r="P43" i="30"/>
  <c r="Q43" i="30" s="1"/>
  <c r="Q44" i="30" s="1"/>
  <c r="Q45" i="30" s="1"/>
  <c r="X52" i="5" s="1"/>
  <c r="F13" i="6"/>
  <c r="E12" i="32"/>
  <c r="D5" i="32"/>
  <c r="F10" i="6"/>
  <c r="E9" i="32"/>
  <c r="J8" i="6"/>
  <c r="L7" i="32"/>
  <c r="I8" i="6"/>
  <c r="K7" i="32"/>
  <c r="F6" i="6"/>
  <c r="E5" i="32"/>
  <c r="I10" i="6"/>
  <c r="K9" i="32"/>
  <c r="V5" i="23"/>
  <c r="V12" i="23" s="1"/>
  <c r="D7" i="32"/>
  <c r="G10" i="6"/>
  <c r="F9" i="32"/>
  <c r="D13" i="6"/>
  <c r="E13" i="6" s="1"/>
  <c r="C12" i="32"/>
  <c r="D12" i="32" s="1"/>
  <c r="D6" i="32"/>
  <c r="F8" i="6"/>
  <c r="E7" i="32"/>
  <c r="D10" i="6"/>
  <c r="E10" i="6" s="1"/>
  <c r="C9" i="32"/>
  <c r="D9" i="32" s="1"/>
  <c r="Y37" i="23"/>
  <c r="Z37" i="23" s="1"/>
  <c r="I13" i="6"/>
  <c r="K12" i="32"/>
  <c r="Y43" i="23"/>
  <c r="Z43" i="23" s="1"/>
  <c r="Y41" i="23"/>
  <c r="Z41" i="23" s="1"/>
  <c r="AB48" i="25"/>
  <c r="Y22" i="25"/>
  <c r="Z22" i="25" s="1"/>
  <c r="N26" i="25"/>
  <c r="AA46" i="25"/>
  <c r="X21" i="23"/>
  <c r="AB21" i="23" s="1"/>
  <c r="Y38" i="23"/>
  <c r="Z38" i="23" s="1"/>
  <c r="Y39" i="23"/>
  <c r="Z39" i="23" s="1"/>
  <c r="AB49" i="25"/>
  <c r="AB17" i="23"/>
  <c r="Y42" i="23"/>
  <c r="Z42" i="23" s="1"/>
  <c r="AA6" i="23"/>
  <c r="W36" i="25"/>
  <c r="Y31" i="25"/>
  <c r="Z31" i="25" s="1"/>
  <c r="Y47" i="25"/>
  <c r="Z47" i="25" s="1"/>
  <c r="P36" i="25"/>
  <c r="X36" i="25" s="1"/>
  <c r="U38" i="18"/>
  <c r="O40" i="18"/>
  <c r="O41" i="18" s="1"/>
  <c r="O42" i="18" s="1"/>
  <c r="AB64" i="5"/>
  <c r="Z89" i="5"/>
  <c r="L13" i="6" s="1"/>
  <c r="M41" i="18"/>
  <c r="M42" i="18" s="1"/>
  <c r="N39" i="25" s="1"/>
  <c r="N41" i="25" s="1"/>
  <c r="N40" i="18"/>
  <c r="N41" i="18" s="1"/>
  <c r="V28" i="25"/>
  <c r="V33" i="25" s="1"/>
  <c r="Y8" i="23"/>
  <c r="Z8" i="23" s="1"/>
  <c r="AB16" i="23"/>
  <c r="AB11" i="23"/>
  <c r="AA47" i="25"/>
  <c r="AB10" i="23"/>
  <c r="H19" i="23"/>
  <c r="Y40" i="23"/>
  <c r="Z40" i="23" s="1"/>
  <c r="T19" i="23"/>
  <c r="Y89" i="5"/>
  <c r="AA86" i="5"/>
  <c r="V10" i="25"/>
  <c r="V24" i="25"/>
  <c r="U9" i="25"/>
  <c r="AB30" i="23"/>
  <c r="X7" i="23"/>
  <c r="AB7" i="23" s="1"/>
  <c r="U50" i="25"/>
  <c r="V50" i="25" s="1"/>
  <c r="P50" i="25"/>
  <c r="O51" i="25"/>
  <c r="P37" i="25"/>
  <c r="X35" i="25"/>
  <c r="P12" i="25"/>
  <c r="O33" i="25"/>
  <c r="W28" i="25"/>
  <c r="X29" i="25"/>
  <c r="Y29" i="25" s="1"/>
  <c r="Z29" i="25" s="1"/>
  <c r="U8" i="25"/>
  <c r="V8" i="25" s="1"/>
  <c r="Y23" i="23"/>
  <c r="Z23" i="23" s="1"/>
  <c r="U15" i="25"/>
  <c r="U26" i="25" s="1"/>
  <c r="T26" i="25"/>
  <c r="W30" i="23"/>
  <c r="AA30" i="23" s="1"/>
  <c r="Y30" i="25"/>
  <c r="Z30" i="25" s="1"/>
  <c r="W44" i="23"/>
  <c r="AA44" i="23" s="1"/>
  <c r="X36" i="23"/>
  <c r="AB36" i="23" s="1"/>
  <c r="X24" i="23"/>
  <c r="Y24" i="23" s="1"/>
  <c r="Z24" i="23" s="1"/>
  <c r="P12" i="23"/>
  <c r="Z43" i="25"/>
  <c r="V23" i="25"/>
  <c r="U7" i="25"/>
  <c r="V7" i="25" s="1"/>
  <c r="X7" i="25" s="1"/>
  <c r="AB7" i="25" s="1"/>
  <c r="AB28" i="23"/>
  <c r="AA40" i="23"/>
  <c r="AB25" i="23"/>
  <c r="AA29" i="23"/>
  <c r="AA8" i="23"/>
  <c r="O26" i="25"/>
  <c r="O12" i="25"/>
  <c r="AB11" i="25"/>
  <c r="P19" i="25"/>
  <c r="X19" i="25" s="1"/>
  <c r="Y19" i="25" s="1"/>
  <c r="P18" i="25"/>
  <c r="X18" i="25" s="1"/>
  <c r="Y18" i="25" s="1"/>
  <c r="P17" i="25"/>
  <c r="X17" i="25" s="1"/>
  <c r="Y17" i="25" s="1"/>
  <c r="AA39" i="23"/>
  <c r="AB22" i="23"/>
  <c r="X9" i="23"/>
  <c r="Y9" i="23" s="1"/>
  <c r="Z9" i="23" s="1"/>
  <c r="AB43" i="25"/>
  <c r="P28" i="25"/>
  <c r="AB33" i="23"/>
  <c r="W26" i="23"/>
  <c r="AA26" i="23" s="1"/>
  <c r="X15" i="23"/>
  <c r="Y15" i="23" s="1"/>
  <c r="Z15" i="23" s="1"/>
  <c r="V14" i="23"/>
  <c r="V19" i="23" s="1"/>
  <c r="V46" i="25"/>
  <c r="T12" i="25"/>
  <c r="U5" i="25"/>
  <c r="Y28" i="23"/>
  <c r="J25" i="25"/>
  <c r="H26" i="25"/>
  <c r="X18" i="23"/>
  <c r="Y18" i="23" s="1"/>
  <c r="Z18" i="23" s="1"/>
  <c r="I19" i="23"/>
  <c r="AA9" i="23"/>
  <c r="O12" i="23"/>
  <c r="W5" i="23"/>
  <c r="AA5" i="23" s="1"/>
  <c r="O14" i="23"/>
  <c r="O19" i="23" s="1"/>
  <c r="N19" i="23"/>
  <c r="AA53" i="5"/>
  <c r="P41" i="18"/>
  <c r="P42" i="18" s="1"/>
  <c r="S39" i="25" s="1"/>
  <c r="Q42" i="18"/>
  <c r="U32" i="23" s="1"/>
  <c r="U39" i="31"/>
  <c r="T17" i="30"/>
  <c r="AB45" i="5"/>
  <c r="AB46" i="5"/>
  <c r="AB42" i="5"/>
  <c r="AB35" i="5"/>
  <c r="Y23" i="5"/>
  <c r="AA23" i="5" s="1"/>
  <c r="AB23" i="5" s="1"/>
  <c r="Y14" i="5"/>
  <c r="AA14" i="5" s="1"/>
  <c r="AB14" i="5" s="1"/>
  <c r="AB34" i="5"/>
  <c r="M44" i="30"/>
  <c r="M45" i="30" s="1"/>
  <c r="P52" i="5" s="1"/>
  <c r="Q52" i="5" s="1"/>
  <c r="N43" i="30"/>
  <c r="N44" i="30" s="1"/>
  <c r="N45" i="30" s="1"/>
  <c r="R52" i="5" s="1"/>
  <c r="O41" i="30"/>
  <c r="O43" i="30" s="1"/>
  <c r="O44" i="30" s="1"/>
  <c r="O45" i="30" s="1"/>
  <c r="S52" i="5" s="1"/>
  <c r="AA52" i="5" s="1"/>
  <c r="K43" i="30"/>
  <c r="K44" i="30" s="1"/>
  <c r="K45" i="30" s="1"/>
  <c r="J44" i="30"/>
  <c r="J45" i="30" s="1"/>
  <c r="J52" i="5" s="1"/>
  <c r="K52" i="5" s="1"/>
  <c r="L52" i="5" s="1"/>
  <c r="U17" i="30"/>
  <c r="U41" i="30" s="1"/>
  <c r="Q41" i="31"/>
  <c r="Q42" i="31" s="1"/>
  <c r="Q43" i="31" s="1"/>
  <c r="X53" i="5" s="1"/>
  <c r="P42" i="31"/>
  <c r="P43" i="31" s="1"/>
  <c r="V53" i="5" s="1"/>
  <c r="W53" i="5" s="1"/>
  <c r="J42" i="31"/>
  <c r="J43" i="31" s="1"/>
  <c r="J53" i="5" s="1"/>
  <c r="K53" i="5" s="1"/>
  <c r="L53" i="5" s="1"/>
  <c r="S41" i="31"/>
  <c r="K41" i="31"/>
  <c r="K42" i="31" s="1"/>
  <c r="K43" i="31" s="1"/>
  <c r="M42" i="31"/>
  <c r="M43" i="31" s="1"/>
  <c r="P53" i="5" s="1"/>
  <c r="Q53" i="5" s="1"/>
  <c r="N41" i="31"/>
  <c r="N42" i="31" s="1"/>
  <c r="N43" i="31" s="1"/>
  <c r="R53" i="5" s="1"/>
  <c r="AA29" i="5"/>
  <c r="AA38" i="5" s="1"/>
  <c r="AB12" i="5"/>
  <c r="AA41" i="5"/>
  <c r="AA48" i="5" s="1"/>
  <c r="L6" i="6"/>
  <c r="AA21" i="5"/>
  <c r="S20" i="5"/>
  <c r="AA9" i="5"/>
  <c r="Z48" i="5"/>
  <c r="L10" i="6" s="1"/>
  <c r="Z21" i="5"/>
  <c r="Y48" i="5"/>
  <c r="X18" i="5"/>
  <c r="S89" i="5"/>
  <c r="AB56" i="5"/>
  <c r="R40" i="18"/>
  <c r="R41" i="18" s="1"/>
  <c r="R42" i="18" s="1"/>
  <c r="S40" i="18"/>
  <c r="K40" i="18"/>
  <c r="K41" i="18" s="1"/>
  <c r="K42" i="18" s="1"/>
  <c r="J41" i="18"/>
  <c r="J42" i="18" s="1"/>
  <c r="H10" i="6" l="1"/>
  <c r="N12" i="32"/>
  <c r="K8" i="6"/>
  <c r="P44" i="30"/>
  <c r="P45" i="30" s="1"/>
  <c r="V52" i="5" s="1"/>
  <c r="W52" i="5" s="1"/>
  <c r="S43" i="30"/>
  <c r="T43" i="30" s="1"/>
  <c r="G13" i="6"/>
  <c r="H13" i="6" s="1"/>
  <c r="F12" i="32"/>
  <c r="G12" i="32" s="1"/>
  <c r="I6" i="6"/>
  <c r="K5" i="32"/>
  <c r="G8" i="6"/>
  <c r="H8" i="6" s="1"/>
  <c r="F7" i="32"/>
  <c r="G7" i="32" s="1"/>
  <c r="H5" i="32"/>
  <c r="J5" i="32" s="1"/>
  <c r="F7" i="6"/>
  <c r="E6" i="32"/>
  <c r="J13" i="6"/>
  <c r="K13" i="6" s="1"/>
  <c r="L12" i="32"/>
  <c r="M12" i="32" s="1"/>
  <c r="G6" i="6"/>
  <c r="H6" i="6" s="1"/>
  <c r="F5" i="32"/>
  <c r="G5" i="32" s="1"/>
  <c r="M8" i="6"/>
  <c r="N8" i="6" s="1"/>
  <c r="C22" i="21" s="1"/>
  <c r="H22" i="21" s="1"/>
  <c r="O7" i="32"/>
  <c r="X5" i="23"/>
  <c r="AB5" i="23" s="1"/>
  <c r="M7" i="32"/>
  <c r="H9" i="32"/>
  <c r="N9" i="32" s="1"/>
  <c r="G9" i="32"/>
  <c r="J10" i="6"/>
  <c r="K10" i="6" s="1"/>
  <c r="L9" i="32"/>
  <c r="M9" i="32" s="1"/>
  <c r="M10" i="6"/>
  <c r="N10" i="6" s="1"/>
  <c r="C24" i="21" s="1"/>
  <c r="H24" i="21" s="1"/>
  <c r="O9" i="32"/>
  <c r="Y21" i="23"/>
  <c r="N7" i="32"/>
  <c r="W50" i="25"/>
  <c r="N52" i="25"/>
  <c r="N54" i="25" s="1"/>
  <c r="N55" i="25" s="1"/>
  <c r="N56" i="25" s="1"/>
  <c r="AB36" i="25"/>
  <c r="Y36" i="25"/>
  <c r="Z36" i="25" s="1"/>
  <c r="Y7" i="23"/>
  <c r="Z7" i="23" s="1"/>
  <c r="AB15" i="23"/>
  <c r="Y18" i="5"/>
  <c r="Z18" i="5"/>
  <c r="U12" i="25"/>
  <c r="W37" i="25"/>
  <c r="AA37" i="25" s="1"/>
  <c r="AA36" i="25"/>
  <c r="U51" i="25"/>
  <c r="N42" i="18"/>
  <c r="R51" i="5" s="1"/>
  <c r="R57" i="5" s="1"/>
  <c r="M32" i="23"/>
  <c r="M34" i="23" s="1"/>
  <c r="N32" i="23"/>
  <c r="N34" i="23" s="1"/>
  <c r="N45" i="23" s="1"/>
  <c r="N47" i="23" s="1"/>
  <c r="N48" i="23" s="1"/>
  <c r="N49" i="23" s="1"/>
  <c r="P51" i="5"/>
  <c r="Q51" i="5" s="1"/>
  <c r="Q57" i="5" s="1"/>
  <c r="Q90" i="5" s="1"/>
  <c r="Q92" i="5" s="1"/>
  <c r="Q93" i="5" s="1"/>
  <c r="Q94" i="5" s="1"/>
  <c r="M39" i="25"/>
  <c r="M41" i="25" s="1"/>
  <c r="V15" i="25"/>
  <c r="X15" i="25" s="1"/>
  <c r="AB24" i="23"/>
  <c r="P14" i="23"/>
  <c r="X14" i="23" s="1"/>
  <c r="X19" i="23" s="1"/>
  <c r="W14" i="23"/>
  <c r="W19" i="23" s="1"/>
  <c r="AA19" i="23" s="1"/>
  <c r="W15" i="25"/>
  <c r="W21" i="25" s="1"/>
  <c r="W26" i="25" s="1"/>
  <c r="AA26" i="25" s="1"/>
  <c r="X26" i="23"/>
  <c r="AB26" i="23" s="1"/>
  <c r="AA89" i="5"/>
  <c r="AB86" i="5"/>
  <c r="AB89" i="5" s="1"/>
  <c r="X25" i="25"/>
  <c r="J26" i="25"/>
  <c r="Y30" i="23"/>
  <c r="Z30" i="23" s="1"/>
  <c r="Z28" i="23"/>
  <c r="V51" i="25"/>
  <c r="X46" i="25"/>
  <c r="AB46" i="25" s="1"/>
  <c r="Y26" i="23"/>
  <c r="Z26" i="23" s="1"/>
  <c r="Z21" i="23"/>
  <c r="P33" i="25"/>
  <c r="X28" i="25"/>
  <c r="X33" i="25" s="1"/>
  <c r="W5" i="25"/>
  <c r="AA5" i="25" s="1"/>
  <c r="W51" i="25"/>
  <c r="X23" i="25"/>
  <c r="Y23" i="25" s="1"/>
  <c r="Z23" i="25" s="1"/>
  <c r="X44" i="23"/>
  <c r="AB44" i="23" s="1"/>
  <c r="Y36" i="23"/>
  <c r="V26" i="25"/>
  <c r="W33" i="25"/>
  <c r="AA33" i="25" s="1"/>
  <c r="X37" i="25"/>
  <c r="AB37" i="25" s="1"/>
  <c r="Y35" i="25"/>
  <c r="W9" i="25"/>
  <c r="X24" i="25"/>
  <c r="Y24" i="25" s="1"/>
  <c r="Z24" i="25" s="1"/>
  <c r="X10" i="25"/>
  <c r="Y10" i="25" s="1"/>
  <c r="Z10" i="25" s="1"/>
  <c r="X8" i="25"/>
  <c r="AB8" i="25" s="1"/>
  <c r="W12" i="23"/>
  <c r="AA12" i="23" s="1"/>
  <c r="Y5" i="23"/>
  <c r="AA14" i="23"/>
  <c r="AB18" i="23"/>
  <c r="V5" i="25"/>
  <c r="AB9" i="23"/>
  <c r="W7" i="25"/>
  <c r="Y7" i="25" s="1"/>
  <c r="Z7" i="25" s="1"/>
  <c r="X12" i="23"/>
  <c r="AB12" i="23" s="1"/>
  <c r="W8" i="25"/>
  <c r="AA28" i="25"/>
  <c r="P26" i="25"/>
  <c r="AB35" i="25"/>
  <c r="AA50" i="25"/>
  <c r="X50" i="25"/>
  <c r="Y50" i="25" s="1"/>
  <c r="Z50" i="25" s="1"/>
  <c r="P51" i="25"/>
  <c r="V9" i="25"/>
  <c r="AB29" i="25"/>
  <c r="Z53" i="5"/>
  <c r="AB53" i="5" s="1"/>
  <c r="Z52" i="5"/>
  <c r="AB52" i="5" s="1"/>
  <c r="V51" i="5"/>
  <c r="W51" i="5" s="1"/>
  <c r="S32" i="23"/>
  <c r="S34" i="23" s="1"/>
  <c r="X51" i="5"/>
  <c r="X57" i="5" s="1"/>
  <c r="U39" i="25"/>
  <c r="U41" i="25" s="1"/>
  <c r="S42" i="31"/>
  <c r="S43" i="31" s="1"/>
  <c r="T41" i="31"/>
  <c r="AB41" i="5"/>
  <c r="AB48" i="5" s="1"/>
  <c r="AB29" i="5"/>
  <c r="AB38" i="5" s="1"/>
  <c r="AB21" i="5"/>
  <c r="AA20" i="5"/>
  <c r="AB20" i="5" s="1"/>
  <c r="AB9" i="5"/>
  <c r="P32" i="23"/>
  <c r="P34" i="23" s="1"/>
  <c r="S51" i="5"/>
  <c r="S57" i="5" s="1"/>
  <c r="F10" i="32" s="1"/>
  <c r="P39" i="25"/>
  <c r="I32" i="23"/>
  <c r="I39" i="25"/>
  <c r="H32" i="23"/>
  <c r="G32" i="23"/>
  <c r="H39" i="25"/>
  <c r="G39" i="25"/>
  <c r="J51" i="5"/>
  <c r="K51" i="5" s="1"/>
  <c r="K57" i="5" s="1"/>
  <c r="V39" i="25"/>
  <c r="Y51" i="5"/>
  <c r="Y57" i="5" s="1"/>
  <c r="L10" i="32" s="1"/>
  <c r="V32" i="23"/>
  <c r="V34" i="23" s="1"/>
  <c r="V45" i="23" s="1"/>
  <c r="V47" i="23" s="1"/>
  <c r="V48" i="23" s="1"/>
  <c r="V49" i="23" s="1"/>
  <c r="L40" i="18"/>
  <c r="L41" i="18" s="1"/>
  <c r="L42" i="18" s="1"/>
  <c r="S41" i="25"/>
  <c r="T39" i="25"/>
  <c r="T41" i="25" s="1"/>
  <c r="T52" i="25" s="1"/>
  <c r="T54" i="25" s="1"/>
  <c r="T55" i="25" s="1"/>
  <c r="T56" i="25" s="1"/>
  <c r="T40" i="18"/>
  <c r="T41" i="18" s="1"/>
  <c r="T42" i="18" s="1"/>
  <c r="S41" i="18"/>
  <c r="S42" i="18" s="1"/>
  <c r="U34" i="23"/>
  <c r="U45" i="23" s="1"/>
  <c r="U47" i="23" s="1"/>
  <c r="U48" i="23" s="1"/>
  <c r="U49" i="23" s="1"/>
  <c r="P9" i="32" l="1"/>
  <c r="S44" i="30"/>
  <c r="S45" i="30" s="1"/>
  <c r="P7" i="32"/>
  <c r="J7" i="6"/>
  <c r="L6" i="32"/>
  <c r="AA18" i="5"/>
  <c r="AB18" i="5" s="1"/>
  <c r="P19" i="23"/>
  <c r="P45" i="23" s="1"/>
  <c r="P47" i="23" s="1"/>
  <c r="P48" i="23" s="1"/>
  <c r="P49" i="23" s="1"/>
  <c r="J9" i="32"/>
  <c r="H6" i="32"/>
  <c r="M6" i="6"/>
  <c r="N6" i="6" s="1"/>
  <c r="C20" i="21" s="1"/>
  <c r="H20" i="21" s="1"/>
  <c r="O5" i="32"/>
  <c r="I7" i="6"/>
  <c r="K6" i="32"/>
  <c r="I11" i="6"/>
  <c r="K10" i="32"/>
  <c r="M10" i="32" s="1"/>
  <c r="R90" i="5"/>
  <c r="E10" i="32"/>
  <c r="G10" i="32" s="1"/>
  <c r="N5" i="32"/>
  <c r="G7" i="6"/>
  <c r="H7" i="6" s="1"/>
  <c r="F6" i="32"/>
  <c r="G6" i="32" s="1"/>
  <c r="J6" i="6"/>
  <c r="K6" i="6" s="1"/>
  <c r="L5" i="32"/>
  <c r="M5" i="32" s="1"/>
  <c r="M13" i="6"/>
  <c r="N13" i="6" s="1"/>
  <c r="C27" i="21" s="1"/>
  <c r="H27" i="21" s="1"/>
  <c r="O12" i="32"/>
  <c r="P12" i="32" s="1"/>
  <c r="AB50" i="25"/>
  <c r="AA15" i="25"/>
  <c r="O32" i="23"/>
  <c r="O34" i="23" s="1"/>
  <c r="O45" i="23" s="1"/>
  <c r="O47" i="23" s="1"/>
  <c r="O48" i="23" s="1"/>
  <c r="O49" i="23" s="1"/>
  <c r="Y8" i="25"/>
  <c r="Z8" i="25" s="1"/>
  <c r="AA51" i="25"/>
  <c r="AB33" i="25"/>
  <c r="U52" i="25"/>
  <c r="U54" i="25" s="1"/>
  <c r="U55" i="25" s="1"/>
  <c r="U56" i="25" s="1"/>
  <c r="AA7" i="25"/>
  <c r="Y28" i="25"/>
  <c r="Z28" i="25" s="1"/>
  <c r="AB28" i="25"/>
  <c r="O39" i="25"/>
  <c r="O41" i="25" s="1"/>
  <c r="O52" i="25" s="1"/>
  <c r="O54" i="25" s="1"/>
  <c r="O55" i="25" s="1"/>
  <c r="O56" i="25" s="1"/>
  <c r="T32" i="23"/>
  <c r="T34" i="23" s="1"/>
  <c r="T45" i="23" s="1"/>
  <c r="T47" i="23" s="1"/>
  <c r="T48" i="23" s="1"/>
  <c r="T49" i="23" s="1"/>
  <c r="AA8" i="25"/>
  <c r="AB10" i="25"/>
  <c r="AB24" i="25"/>
  <c r="AB14" i="23"/>
  <c r="AB23" i="25"/>
  <c r="V12" i="25"/>
  <c r="X5" i="25"/>
  <c r="Y33" i="25"/>
  <c r="Z33" i="25" s="1"/>
  <c r="X20" i="25"/>
  <c r="Y25" i="25"/>
  <c r="X9" i="25"/>
  <c r="Y9" i="25" s="1"/>
  <c r="Z9" i="25" s="1"/>
  <c r="Y12" i="23"/>
  <c r="Z12" i="23" s="1"/>
  <c r="Z5" i="23"/>
  <c r="AB19" i="23"/>
  <c r="AA9" i="25"/>
  <c r="Y37" i="25"/>
  <c r="Z37" i="25" s="1"/>
  <c r="Z35" i="25"/>
  <c r="AB15" i="25"/>
  <c r="Y44" i="23"/>
  <c r="Z44" i="23" s="1"/>
  <c r="Z36" i="23"/>
  <c r="Y5" i="25"/>
  <c r="W12" i="25"/>
  <c r="AA12" i="25" s="1"/>
  <c r="Y15" i="25"/>
  <c r="X51" i="25"/>
  <c r="AB51" i="25" s="1"/>
  <c r="Y46" i="25"/>
  <c r="AB25" i="25"/>
  <c r="Y14" i="23"/>
  <c r="W57" i="5"/>
  <c r="W90" i="5" s="1"/>
  <c r="R92" i="5"/>
  <c r="F11" i="6"/>
  <c r="T44" i="30"/>
  <c r="T45" i="30" s="1"/>
  <c r="U43" i="30"/>
  <c r="U44" i="30" s="1"/>
  <c r="U45" i="30" s="1"/>
  <c r="T42" i="31"/>
  <c r="T43" i="31" s="1"/>
  <c r="U41" i="31"/>
  <c r="U42" i="31" s="1"/>
  <c r="U43" i="31" s="1"/>
  <c r="U40" i="18"/>
  <c r="U41" i="18" s="1"/>
  <c r="U42" i="18" s="1"/>
  <c r="L7" i="6"/>
  <c r="X90" i="5"/>
  <c r="L51" i="5"/>
  <c r="I41" i="25"/>
  <c r="I34" i="23"/>
  <c r="J11" i="6"/>
  <c r="Y90" i="5"/>
  <c r="H34" i="23"/>
  <c r="H41" i="25"/>
  <c r="V41" i="25"/>
  <c r="P41" i="25"/>
  <c r="P52" i="25" s="1"/>
  <c r="P54" i="25" s="1"/>
  <c r="P55" i="25" s="1"/>
  <c r="P56" i="25" s="1"/>
  <c r="J39" i="25"/>
  <c r="J41" i="25" s="1"/>
  <c r="M51" i="5"/>
  <c r="J32" i="23"/>
  <c r="S90" i="5"/>
  <c r="G11" i="6"/>
  <c r="K7" i="6" l="1"/>
  <c r="M6" i="32"/>
  <c r="P5" i="32"/>
  <c r="M7" i="6"/>
  <c r="N7" i="6" s="1"/>
  <c r="C21" i="21" s="1"/>
  <c r="H21" i="21" s="1"/>
  <c r="J6" i="32"/>
  <c r="H14" i="32"/>
  <c r="J14" i="32" s="1"/>
  <c r="K11" i="6"/>
  <c r="G15" i="6"/>
  <c r="F14" i="32"/>
  <c r="J15" i="6"/>
  <c r="L14" i="32"/>
  <c r="S92" i="5"/>
  <c r="G17" i="6" s="1"/>
  <c r="E16" i="32"/>
  <c r="W92" i="5"/>
  <c r="X92" i="5" s="1"/>
  <c r="K16" i="32" s="1"/>
  <c r="K14" i="32"/>
  <c r="F15" i="6"/>
  <c r="E14" i="32"/>
  <c r="N6" i="32"/>
  <c r="W32" i="23"/>
  <c r="W34" i="23" s="1"/>
  <c r="W45" i="23" s="1"/>
  <c r="W47" i="23" s="1"/>
  <c r="AB9" i="25"/>
  <c r="W39" i="25"/>
  <c r="AA39" i="25" s="1"/>
  <c r="V52" i="25"/>
  <c r="V54" i="25" s="1"/>
  <c r="V55" i="25" s="1"/>
  <c r="V56" i="25" s="1"/>
  <c r="X12" i="25"/>
  <c r="AB12" i="25" s="1"/>
  <c r="K90" i="5"/>
  <c r="K92" i="5" s="1"/>
  <c r="K93" i="5" s="1"/>
  <c r="K94" i="5" s="1"/>
  <c r="Y19" i="23"/>
  <c r="Z19" i="23" s="1"/>
  <c r="Z14" i="23"/>
  <c r="Y20" i="25"/>
  <c r="Z25" i="25"/>
  <c r="X21" i="25"/>
  <c r="X26" i="25" s="1"/>
  <c r="AB26" i="25" s="1"/>
  <c r="Z46" i="25"/>
  <c r="Y51" i="25"/>
  <c r="Z51" i="25" s="1"/>
  <c r="Z15" i="25"/>
  <c r="Y12" i="25"/>
  <c r="Z12" i="25" s="1"/>
  <c r="Z5" i="25"/>
  <c r="AB5" i="25"/>
  <c r="I15" i="6"/>
  <c r="R93" i="5"/>
  <c r="R94" i="5" s="1"/>
  <c r="F17" i="6"/>
  <c r="H11" i="6"/>
  <c r="X39" i="25"/>
  <c r="X41" i="25" s="1"/>
  <c r="X32" i="23"/>
  <c r="AB32" i="23" s="1"/>
  <c r="J34" i="23"/>
  <c r="H52" i="25"/>
  <c r="I45" i="23"/>
  <c r="I52" i="25"/>
  <c r="M57" i="5"/>
  <c r="C10" i="32" s="1"/>
  <c r="AA51" i="5"/>
  <c r="AA57" i="5" s="1"/>
  <c r="O10" i="32" s="1"/>
  <c r="J52" i="25"/>
  <c r="H45" i="23"/>
  <c r="Z51" i="5"/>
  <c r="L57" i="5"/>
  <c r="B10" i="32" s="1"/>
  <c r="W41" i="25" l="1"/>
  <c r="W52" i="25" s="1"/>
  <c r="W54" i="25" s="1"/>
  <c r="O6" i="32"/>
  <c r="O14" i="32" s="1"/>
  <c r="F19" i="6"/>
  <c r="F53" i="21" s="1"/>
  <c r="F57" i="21" s="1"/>
  <c r="H16" i="32"/>
  <c r="J16" i="32" s="1"/>
  <c r="AA32" i="23"/>
  <c r="W93" i="5"/>
  <c r="W94" i="5" s="1"/>
  <c r="K15" i="6"/>
  <c r="E18" i="32"/>
  <c r="G14" i="32"/>
  <c r="M14" i="32"/>
  <c r="D10" i="32"/>
  <c r="N10" i="32"/>
  <c r="P10" i="32" s="1"/>
  <c r="K18" i="32"/>
  <c r="S93" i="5"/>
  <c r="S94" i="5" s="1"/>
  <c r="F16" i="32"/>
  <c r="H15" i="6"/>
  <c r="AA34" i="23"/>
  <c r="Y21" i="25"/>
  <c r="Y26" i="25" s="1"/>
  <c r="Z26" i="25" s="1"/>
  <c r="L92" i="5"/>
  <c r="X52" i="25"/>
  <c r="X54" i="25" s="1"/>
  <c r="H17" i="6"/>
  <c r="G19" i="6"/>
  <c r="Y39" i="25"/>
  <c r="Y41" i="25" s="1"/>
  <c r="AB41" i="25"/>
  <c r="AB39" i="25"/>
  <c r="C11" i="6"/>
  <c r="L90" i="5"/>
  <c r="I54" i="25"/>
  <c r="J45" i="23"/>
  <c r="H54" i="25"/>
  <c r="J54" i="25"/>
  <c r="AA45" i="23"/>
  <c r="I47" i="23"/>
  <c r="Y92" i="5"/>
  <c r="L16" i="32" s="1"/>
  <c r="M16" i="32" s="1"/>
  <c r="I17" i="6"/>
  <c r="X93" i="5"/>
  <c r="X94" i="5" s="1"/>
  <c r="H47" i="23"/>
  <c r="AA90" i="5"/>
  <c r="M11" i="6"/>
  <c r="M15" i="6" s="1"/>
  <c r="AB51" i="5"/>
  <c r="AB57" i="5" s="1"/>
  <c r="AB90" i="5" s="1"/>
  <c r="Z57" i="5"/>
  <c r="X34" i="23"/>
  <c r="X45" i="23" s="1"/>
  <c r="X47" i="23" s="1"/>
  <c r="Y32" i="23"/>
  <c r="M90" i="5"/>
  <c r="D11" i="6"/>
  <c r="AA41" i="25" l="1"/>
  <c r="AA52" i="25"/>
  <c r="P6" i="32"/>
  <c r="H18" i="32"/>
  <c r="J18" i="32" s="1"/>
  <c r="H19" i="6"/>
  <c r="G16" i="32"/>
  <c r="G18" i="32" s="1"/>
  <c r="F18" i="32"/>
  <c r="M18" i="32"/>
  <c r="C15" i="6"/>
  <c r="B14" i="32"/>
  <c r="M92" i="5"/>
  <c r="D17" i="6" s="1"/>
  <c r="B16" i="32"/>
  <c r="L18" i="32"/>
  <c r="D15" i="6"/>
  <c r="C14" i="32"/>
  <c r="L93" i="5"/>
  <c r="L94" i="5" s="1"/>
  <c r="C17" i="6"/>
  <c r="Z92" i="5"/>
  <c r="Z93" i="5" s="1"/>
  <c r="AB52" i="25"/>
  <c r="Z39" i="25"/>
  <c r="AB34" i="23"/>
  <c r="H55" i="25"/>
  <c r="Y34" i="23"/>
  <c r="Z32" i="23"/>
  <c r="I70" i="23"/>
  <c r="AA47" i="23"/>
  <c r="I48" i="23"/>
  <c r="Y52" i="25"/>
  <c r="Z41" i="25"/>
  <c r="H48" i="23"/>
  <c r="I19" i="6"/>
  <c r="G53" i="21" s="1"/>
  <c r="G57" i="21" s="1"/>
  <c r="I55" i="25"/>
  <c r="AA54" i="25"/>
  <c r="L11" i="6"/>
  <c r="N11" i="6" s="1"/>
  <c r="C25" i="21" s="1"/>
  <c r="Z90" i="5"/>
  <c r="J17" i="6"/>
  <c r="J19" i="6" s="1"/>
  <c r="Y93" i="5"/>
  <c r="Y94" i="5" s="1"/>
  <c r="J55" i="25"/>
  <c r="AB54" i="25"/>
  <c r="AB45" i="23"/>
  <c r="J47" i="23"/>
  <c r="F48" i="21"/>
  <c r="E48" i="21"/>
  <c r="G48" i="21"/>
  <c r="H48" i="21"/>
  <c r="H47" i="21"/>
  <c r="F47" i="21"/>
  <c r="E11" i="6"/>
  <c r="G47" i="21"/>
  <c r="E47" i="21"/>
  <c r="C19" i="6" l="1"/>
  <c r="D47" i="21" s="1"/>
  <c r="E15" i="6"/>
  <c r="D19" i="6"/>
  <c r="D48" i="21" s="1"/>
  <c r="AA92" i="5"/>
  <c r="AB92" i="5" s="1"/>
  <c r="AB93" i="5" s="1"/>
  <c r="AB94" i="5" s="1"/>
  <c r="N16" i="32"/>
  <c r="M93" i="5"/>
  <c r="M94" i="5" s="1"/>
  <c r="C16" i="32"/>
  <c r="B18" i="32"/>
  <c r="D14" i="32"/>
  <c r="N14" i="32"/>
  <c r="L17" i="6"/>
  <c r="E17" i="6"/>
  <c r="F49" i="21"/>
  <c r="H49" i="21"/>
  <c r="E49" i="21"/>
  <c r="G49" i="21"/>
  <c r="K17" i="6"/>
  <c r="K19" i="6" s="1"/>
  <c r="H49" i="23"/>
  <c r="Y45" i="23"/>
  <c r="Z34" i="23"/>
  <c r="X55" i="25"/>
  <c r="X56" i="25" s="1"/>
  <c r="J56" i="25"/>
  <c r="Y54" i="25"/>
  <c r="Z54" i="25" s="1"/>
  <c r="Z52" i="25"/>
  <c r="C28" i="21"/>
  <c r="H25" i="21"/>
  <c r="H56" i="25"/>
  <c r="W48" i="23"/>
  <c r="AA48" i="23" s="1"/>
  <c r="I49" i="23"/>
  <c r="I56" i="25"/>
  <c r="W55" i="25"/>
  <c r="AA55" i="25" s="1"/>
  <c r="AB47" i="23"/>
  <c r="J48" i="23"/>
  <c r="Z94" i="5"/>
  <c r="L15" i="6"/>
  <c r="E53" i="21" l="1"/>
  <c r="E57" i="21" s="1"/>
  <c r="E19" i="6"/>
  <c r="D49" i="21"/>
  <c r="O16" i="32"/>
  <c r="O18" i="32" s="1"/>
  <c r="M17" i="6"/>
  <c r="M19" i="6" s="1"/>
  <c r="E40" i="21" s="1"/>
  <c r="H40" i="21" s="1"/>
  <c r="H44" i="21" s="1"/>
  <c r="AA93" i="5"/>
  <c r="AA94" i="5" s="1"/>
  <c r="D16" i="32"/>
  <c r="D18" i="32" s="1"/>
  <c r="C18" i="32"/>
  <c r="N18" i="32"/>
  <c r="P14" i="32"/>
  <c r="AB56" i="25"/>
  <c r="H28" i="21"/>
  <c r="N15" i="6"/>
  <c r="L19" i="6"/>
  <c r="F11" i="21" s="1"/>
  <c r="Y55" i="25"/>
  <c r="W56" i="25"/>
  <c r="AA56" i="25" s="1"/>
  <c r="W49" i="23"/>
  <c r="AA49" i="23" s="1"/>
  <c r="Y47" i="23"/>
  <c r="Z47" i="23" s="1"/>
  <c r="Z45" i="23"/>
  <c r="X48" i="23"/>
  <c r="X49" i="23" s="1"/>
  <c r="J49" i="23"/>
  <c r="AB55" i="25"/>
  <c r="P16" i="32" l="1"/>
  <c r="P18" i="32" s="1"/>
  <c r="E44" i="21"/>
  <c r="N17" i="6"/>
  <c r="C29" i="21" s="1"/>
  <c r="H29" i="21" s="1"/>
  <c r="G11" i="21"/>
  <c r="G16" i="21" s="1"/>
  <c r="C126" i="22" s="1"/>
  <c r="AB48" i="23"/>
  <c r="AB49" i="23"/>
  <c r="F16" i="21"/>
  <c r="C124" i="22" s="1"/>
  <c r="Y48" i="23"/>
  <c r="Y56" i="25"/>
  <c r="Z56" i="25" s="1"/>
  <c r="Z55" i="25"/>
  <c r="C30" i="21" l="1"/>
  <c r="H30" i="21" s="1"/>
  <c r="C136" i="22"/>
  <c r="H11" i="21"/>
  <c r="H16" i="21" s="1"/>
  <c r="N19" i="6"/>
  <c r="Y49" i="23"/>
  <c r="Z49" i="23" s="1"/>
  <c r="Z48" i="23"/>
</calcChain>
</file>

<file path=xl/sharedStrings.xml><?xml version="1.0" encoding="utf-8"?>
<sst xmlns="http://schemas.openxmlformats.org/spreadsheetml/2006/main" count="1165" uniqueCount="510">
  <si>
    <t>Application for Federal Assistance SF-424</t>
  </si>
  <si>
    <t>* 1.Type of Submission:</t>
  </si>
  <si>
    <t>* 2. Type of Application</t>
  </si>
  <si>
    <t>* If Revision, select appropriate letter(s):</t>
  </si>
  <si>
    <t xml:space="preserve">        Preapplication</t>
  </si>
  <si>
    <t xml:space="preserve">        New</t>
  </si>
  <si>
    <t xml:space="preserve">Response to Issues Letter </t>
  </si>
  <si>
    <t xml:space="preserve">        Application</t>
  </si>
  <si>
    <t xml:space="preserve">        Continuation</t>
  </si>
  <si>
    <t>* Other (Specify)</t>
  </si>
  <si>
    <t xml:space="preserve">        Changed/Corrected Application</t>
  </si>
  <si>
    <t xml:space="preserve">        Revision</t>
  </si>
  <si>
    <t>* 3. Date Received:</t>
  </si>
  <si>
    <t>4. Applicant Identifier:</t>
  </si>
  <si>
    <t>Completed by Grants.gov upon submission.</t>
  </si>
  <si>
    <t>5a. Federal Entity Identifier:</t>
  </si>
  <si>
    <t>* 5b. Federal Award Identifier:</t>
  </si>
  <si>
    <t>State Use Only:</t>
  </si>
  <si>
    <t>6. Date Received by State:</t>
  </si>
  <si>
    <t>7. State Application Identifier:</t>
  </si>
  <si>
    <t>8. APPLICANT INFORMATION:</t>
  </si>
  <si>
    <t>* a. Legal Name:</t>
  </si>
  <si>
    <t>Catholic Relief Services - United States Conference of Catholic Bishops</t>
  </si>
  <si>
    <t>* b. Employer/Taxpayer Identification Number (EIN/TIN):</t>
  </si>
  <si>
    <t>* c. Organizational DUNS:</t>
  </si>
  <si>
    <t>13-5563422</t>
  </si>
  <si>
    <t>d. Address:</t>
  </si>
  <si>
    <t>* Street 1:</t>
  </si>
  <si>
    <t>228 West Lexington Street</t>
  </si>
  <si>
    <t xml:space="preserve">   Street 2:</t>
  </si>
  <si>
    <t>* City:</t>
  </si>
  <si>
    <t>Baltimore</t>
  </si>
  <si>
    <t xml:space="preserve">   County:</t>
  </si>
  <si>
    <t>* State:</t>
  </si>
  <si>
    <t>Maryland</t>
  </si>
  <si>
    <t xml:space="preserve">   Province:</t>
  </si>
  <si>
    <t>* Country:</t>
  </si>
  <si>
    <t>USA</t>
  </si>
  <si>
    <t>* Zip / Postal Code:</t>
  </si>
  <si>
    <t>e. Organization Unit:</t>
  </si>
  <si>
    <t>Department Name:</t>
  </si>
  <si>
    <t>Division Name:</t>
  </si>
  <si>
    <t>f. Name and contact information of person to be contacted on matters involving this application:</t>
  </si>
  <si>
    <t>Prefix:</t>
  </si>
  <si>
    <t>Ms.</t>
  </si>
  <si>
    <t>First Name:</t>
  </si>
  <si>
    <t>Chelsea</t>
  </si>
  <si>
    <t>Middle Name:</t>
  </si>
  <si>
    <t>Last Name:</t>
  </si>
  <si>
    <t>Treadwell</t>
  </si>
  <si>
    <t>Suffix:</t>
  </si>
  <si>
    <t>Title:</t>
  </si>
  <si>
    <t>Public Donor Liaison - Asia</t>
  </si>
  <si>
    <t>Organizational Affiliation:</t>
  </si>
  <si>
    <t>Catholic Relief Services</t>
  </si>
  <si>
    <t>* Telephone Number:</t>
  </si>
  <si>
    <t>410-951-7468</t>
  </si>
  <si>
    <t xml:space="preserve">Fax Number: </t>
  </si>
  <si>
    <t>* Email:</t>
  </si>
  <si>
    <t>chelsea.treadwell@crs.org</t>
  </si>
  <si>
    <t>9. Type of Applicant 1: Select Applicant Type:</t>
  </si>
  <si>
    <t>M: Nonprofit with 501C3 IRS Status (Other than Institution of Higher Education)</t>
  </si>
  <si>
    <t>Type of Applicant 2: Select Applicant Type:</t>
  </si>
  <si>
    <t>Type of Applicant 3: Select Applicant Type:</t>
  </si>
  <si>
    <t>* Other (specify):</t>
  </si>
  <si>
    <t>* 10. Name of Federal Agency:</t>
  </si>
  <si>
    <t>US Department of State Bureau of Population Refugees and Migration</t>
  </si>
  <si>
    <t>11. Catalog of Federal Domestic Assistance Number:</t>
  </si>
  <si>
    <t>CFDA Title:</t>
  </si>
  <si>
    <t>Overseas Refugee Assistance Program for Near East and South Asia</t>
  </si>
  <si>
    <t>* 12. Funding Opportunity Number:</t>
  </si>
  <si>
    <t>PRM-PRMOAPNE-14-006-049311 / PRM-PRMOAPNE-14-006</t>
  </si>
  <si>
    <t>* Title:</t>
  </si>
  <si>
    <t>13. Competition Identification Number:</t>
  </si>
  <si>
    <t>FY 2014 Funding Opportunity Announcement for NGO Programs Benefiting Sri Lankan Refugees in India</t>
  </si>
  <si>
    <t>14. Areas Affected by Project (Cities, Counties, States, etc.):</t>
  </si>
  <si>
    <t>* 15. Descriptive Title of Applicant's Project:</t>
  </si>
  <si>
    <t xml:space="preserve">Combating Trafficking in Persons (TIP) though Victim-Centered Approaches in India </t>
  </si>
  <si>
    <t>Attach supporting documents as specified in agency instructions.</t>
  </si>
  <si>
    <t>16. Congressional Districts Of:</t>
  </si>
  <si>
    <t>* a. Applicant</t>
  </si>
  <si>
    <t>MD-7</t>
  </si>
  <si>
    <t>* b. Program/Project</t>
  </si>
  <si>
    <t>Attach an additional list of Program/Project Congressional Districts if needed.</t>
  </si>
  <si>
    <t>17. Proposed Project:</t>
  </si>
  <si>
    <t>* a. Start Date:</t>
  </si>
  <si>
    <t>* b. End Date:</t>
  </si>
  <si>
    <t>18. Estimated Funding ($):</t>
  </si>
  <si>
    <t>* a. Federal</t>
  </si>
  <si>
    <t>* b. Applicant</t>
  </si>
  <si>
    <t>* c. State</t>
  </si>
  <si>
    <t>* d. Local</t>
  </si>
  <si>
    <t>* e. Other</t>
  </si>
  <si>
    <t>* f. Program Income</t>
  </si>
  <si>
    <t>* g. TOTAL</t>
  </si>
  <si>
    <t>* 19. Is Application Subject to Review By State Under Executive Order 12372 Process?</t>
  </si>
  <si>
    <t xml:space="preserve">        a. This application was made available to the State under the Executive Order 12372 Process for review on:</t>
  </si>
  <si>
    <t xml:space="preserve">        b. Program is subject to E.O. 12372 but has not been selected by the State for review.</t>
  </si>
  <si>
    <t xml:space="preserve">        c. Program is not covered by E.O. 12372.</t>
  </si>
  <si>
    <t>* 20. Is the Applicant Delinquent On Any Federal Debt? (If "Yes", provide explanation.)</t>
  </si>
  <si>
    <t xml:space="preserve">        Yes</t>
  </si>
  <si>
    <t xml:space="preserve">        No</t>
  </si>
  <si>
    <t>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218, Section 1001)</t>
  </si>
  <si>
    <t xml:space="preserve">        ** I AGREE</t>
  </si>
  <si>
    <t>** The list of certifications and assurances, or an internet site where you may obtain this list, is contained in the announcement or agency specific instructions.</t>
  </si>
  <si>
    <t>Authorized Representative:</t>
  </si>
  <si>
    <t>Mr.</t>
  </si>
  <si>
    <t>* First Name:</t>
  </si>
  <si>
    <t>Tony</t>
  </si>
  <si>
    <t>* Last Name:</t>
  </si>
  <si>
    <t>Castleman</t>
  </si>
  <si>
    <t>Country Representative, India</t>
  </si>
  <si>
    <t>+91-9810880281</t>
  </si>
  <si>
    <t>tony.castleman@crs.org</t>
  </si>
  <si>
    <t xml:space="preserve">* Signature of Authorized Representative: </t>
  </si>
  <si>
    <t>* Date Signed:</t>
  </si>
  <si>
    <t>Standard Form 424A</t>
  </si>
  <si>
    <t>OMB Approval No. 0348-0044</t>
  </si>
  <si>
    <t>Budget Information - Non-Construction Programs</t>
  </si>
  <si>
    <t>SECTION A - BUDGET SUMMARY</t>
  </si>
  <si>
    <t>Grant Program</t>
  </si>
  <si>
    <t>Catalog of Federal</t>
  </si>
  <si>
    <t>Estimated Unobligated Funds</t>
  </si>
  <si>
    <t>New or Revised Budget</t>
  </si>
  <si>
    <t>Function</t>
  </si>
  <si>
    <t>Domestic Assistance</t>
  </si>
  <si>
    <t>or Activity</t>
  </si>
  <si>
    <t>Number</t>
  </si>
  <si>
    <t>Federal</t>
  </si>
  <si>
    <t>Non-Federal</t>
  </si>
  <si>
    <t>Total</t>
  </si>
  <si>
    <t>{a}</t>
  </si>
  <si>
    <t>{b}</t>
  </si>
  <si>
    <t>{c}</t>
  </si>
  <si>
    <t>{d}</t>
  </si>
  <si>
    <t>{e}</t>
  </si>
  <si>
    <t>{f}</t>
  </si>
  <si>
    <t>{g}</t>
  </si>
  <si>
    <t>Anti-Trafficking Program</t>
  </si>
  <si>
    <t>TOTALS</t>
  </si>
  <si>
    <t>SECTION B - BUDGET CATEGORIES</t>
  </si>
  <si>
    <t>Grant Program, Function or Activity</t>
  </si>
  <si>
    <t>6.</t>
  </si>
  <si>
    <t xml:space="preserve"> Object Class Categories</t>
  </si>
  <si>
    <t>{1}</t>
  </si>
  <si>
    <t>{2}</t>
  </si>
  <si>
    <t>{3}</t>
  </si>
  <si>
    <t>{4}</t>
  </si>
  <si>
    <t>{5}</t>
  </si>
  <si>
    <t>{6}</t>
  </si>
  <si>
    <t xml:space="preserve">      a.  Personnel    </t>
  </si>
  <si>
    <t xml:space="preserve">      b.  Fringe Benefits</t>
  </si>
  <si>
    <t xml:space="preserve">      c.  Travel</t>
  </si>
  <si>
    <t xml:space="preserve">      d.  Equipment</t>
  </si>
  <si>
    <t xml:space="preserve">      e.  Supplies</t>
  </si>
  <si>
    <t xml:space="preserve">      f.  Contractual</t>
  </si>
  <si>
    <t xml:space="preserve">      g.  Construction</t>
  </si>
  <si>
    <t xml:space="preserve">      h.  Other</t>
  </si>
  <si>
    <t xml:space="preserve">      i.  Total Direct Charges  (sum of 6a-6h)</t>
  </si>
  <si>
    <t xml:space="preserve">      j.  Indirect Charges</t>
  </si>
  <si>
    <t xml:space="preserve">      k.  TOTALS  (sum of 6i and 6j)</t>
  </si>
  <si>
    <t>7.</t>
  </si>
  <si>
    <t>Program Income</t>
  </si>
  <si>
    <t>Previous Edition Usable</t>
  </si>
  <si>
    <t>Authorized for Local Reproduction</t>
  </si>
  <si>
    <t>Standard Form 424 A (Rev. 4-92)</t>
  </si>
  <si>
    <t>Standard Form 424A  (cont'd)</t>
  </si>
  <si>
    <t>SECTION C - NON-FEDERAL RESOURCES</t>
  </si>
  <si>
    <t>(a)  Grant Program</t>
  </si>
  <si>
    <t>(b)  Applicant</t>
  </si>
  <si>
    <t>(c)  State</t>
  </si>
  <si>
    <t>(d)  Other Sources</t>
  </si>
  <si>
    <t>(e)  TOTALS</t>
  </si>
  <si>
    <t>8.</t>
  </si>
  <si>
    <t>9.</t>
  </si>
  <si>
    <t>10.</t>
  </si>
  <si>
    <t>11.</t>
  </si>
  <si>
    <t>12.</t>
  </si>
  <si>
    <t>TOTAL  (sum of lines 8 - 11)</t>
  </si>
  <si>
    <t>SECTION D - FORCASTED CASH NEEDS</t>
  </si>
  <si>
    <t>Total for 1st Year</t>
  </si>
  <si>
    <t>1st Quarter</t>
  </si>
  <si>
    <t>2nd Quarter</t>
  </si>
  <si>
    <t>3rd Quarter</t>
  </si>
  <si>
    <t>4th Quarter</t>
  </si>
  <si>
    <t>13.</t>
  </si>
  <si>
    <t>14.</t>
  </si>
  <si>
    <t>Non-federal</t>
  </si>
  <si>
    <t>15.</t>
  </si>
  <si>
    <t>TOTAL (sum of lines 13 and 14)</t>
  </si>
  <si>
    <t>SECTION E - BUDGET ESTIMATES OF FEDERAL FUNDS NEEDED FOR BALANCE OF THE PROJECT</t>
  </si>
  <si>
    <t>Future Funding Periods  (Years)</t>
  </si>
  <si>
    <t>(b)  First</t>
  </si>
  <si>
    <t>(c)  Second</t>
  </si>
  <si>
    <t>(d)  Third</t>
  </si>
  <si>
    <t>(e)  Fourth</t>
  </si>
  <si>
    <t>16.</t>
  </si>
  <si>
    <t>17.</t>
  </si>
  <si>
    <t>18.</t>
  </si>
  <si>
    <t>19.</t>
  </si>
  <si>
    <t>20.</t>
  </si>
  <si>
    <t>TOTAL (sum of lines 16 - 19)</t>
  </si>
  <si>
    <t>SECTION F - OTHER BUDGET INFORMATION</t>
  </si>
  <si>
    <t>Direct Charges (Federal only):</t>
  </si>
  <si>
    <t>22.  Indirect Charges (Federal only):</t>
  </si>
  <si>
    <t>Provisional</t>
  </si>
  <si>
    <t>Remarks:</t>
  </si>
  <si>
    <t>Standard Form 424 A (Rev. 4-92)  Page 2</t>
  </si>
  <si>
    <t>PARTNERS OF THE AMERICAS</t>
  </si>
  <si>
    <t>SUMMARY BUDGET FOR MEXICO UNITED 2026</t>
  </si>
  <si>
    <t>Year 1</t>
  </si>
  <si>
    <t>Year 2</t>
  </si>
  <si>
    <t>Year 3</t>
  </si>
  <si>
    <t>BUDGET SUMMARY CATEGORIES</t>
  </si>
  <si>
    <t>Grant</t>
  </si>
  <si>
    <t>Cost Share</t>
  </si>
  <si>
    <t>A. Personnel</t>
  </si>
  <si>
    <t>B. Fringe Benefits</t>
  </si>
  <si>
    <t xml:space="preserve">C. Travel </t>
  </si>
  <si>
    <t>D. Equipment</t>
  </si>
  <si>
    <t>E. Supplies</t>
  </si>
  <si>
    <t>F. Contractual and Subawards</t>
  </si>
  <si>
    <t>G. Construction</t>
  </si>
  <si>
    <t>H. Other Direct Costs</t>
  </si>
  <si>
    <t>I. Total Direct Costs</t>
  </si>
  <si>
    <t>J. Indirect Costs</t>
  </si>
  <si>
    <t>K. Total Costs</t>
  </si>
  <si>
    <t>SAMPLE</t>
  </si>
  <si>
    <t>Entity:</t>
  </si>
  <si>
    <t>P</t>
  </si>
  <si>
    <t>Program/Dept.:</t>
  </si>
  <si>
    <t>Funder-Grant:</t>
  </si>
  <si>
    <t>DOS452</t>
  </si>
  <si>
    <t>*Key Personnel</t>
  </si>
  <si>
    <t>PARTNERS OF THE AMERICAS - MEXICO UNITED 2026</t>
  </si>
  <si>
    <t>Activity Code</t>
  </si>
  <si>
    <t>Object Code</t>
  </si>
  <si>
    <t>Country Code</t>
  </si>
  <si>
    <t>Office Code</t>
  </si>
  <si>
    <t>All costs in US$</t>
  </si>
  <si>
    <t xml:space="preserve">Total </t>
  </si>
  <si>
    <t>Budget Line Items</t>
  </si>
  <si>
    <t>No.</t>
  </si>
  <si>
    <t>Unit Type</t>
  </si>
  <si>
    <t>Freq.</t>
  </si>
  <si>
    <t>%</t>
  </si>
  <si>
    <t>Rate</t>
  </si>
  <si>
    <t>DRL</t>
  </si>
  <si>
    <t>Grand Total</t>
  </si>
  <si>
    <t>A.1 Field Staff Salaries</t>
  </si>
  <si>
    <t>PERSNL-CD</t>
  </si>
  <si>
    <t>70000 (Personnel)/ 81000 (Consultant)</t>
  </si>
  <si>
    <t>MEX</t>
  </si>
  <si>
    <t>A.1.1 Program Coordinator (100%)*</t>
  </si>
  <si>
    <t>Month</t>
  </si>
  <si>
    <t>PERSNL-PS</t>
  </si>
  <si>
    <t>A.1.2 Program Specialist (50%)</t>
  </si>
  <si>
    <t>PERSNL-PA</t>
  </si>
  <si>
    <t>A.1.3 Program Assistant (50%)</t>
  </si>
  <si>
    <t>PERSNL-F&amp;A</t>
  </si>
  <si>
    <t>A.1.4 Administration and Finance Officer (50%)</t>
  </si>
  <si>
    <t>A.2 HQ Staff Salaries</t>
  </si>
  <si>
    <t>PERSNL</t>
  </si>
  <si>
    <t>Timesheets</t>
  </si>
  <si>
    <t>A.2.1 Program Manager (HQ) (20%)</t>
  </si>
  <si>
    <t>Subtotal Personnel</t>
  </si>
  <si>
    <t xml:space="preserve">B.1 HQ Fringe Benefits </t>
  </si>
  <si>
    <t>FRINGE</t>
  </si>
  <si>
    <t>B.1.1 U.S.-Based Personnel Fringe Benefits</t>
  </si>
  <si>
    <t>%/ Month</t>
  </si>
  <si>
    <t xml:space="preserve">B.2 Field Fringe Benefits </t>
  </si>
  <si>
    <t>FRINGE-MX</t>
  </si>
  <si>
    <t>B.2.1 Program Coordinator (100%)</t>
  </si>
  <si>
    <t>B.2.2 Program Specialist (50%)</t>
  </si>
  <si>
    <t>B.2.3 Program Assistant (50%)</t>
  </si>
  <si>
    <t>B.2.4 Administration and Finance Officer (50%)</t>
  </si>
  <si>
    <t>Subtotal Fringe Benefits</t>
  </si>
  <si>
    <t xml:space="preserve">C.1 HQ Staff International Travel </t>
  </si>
  <si>
    <t>STFTRAVEL</t>
  </si>
  <si>
    <t>C.1.1 International Airfare (DC-MX)</t>
  </si>
  <si>
    <t>Flight</t>
  </si>
  <si>
    <t>GROUNDTRAN</t>
  </si>
  <si>
    <t>C.1.2 Ground Transportation</t>
  </si>
  <si>
    <t>Trip</t>
  </si>
  <si>
    <t>LODGING</t>
  </si>
  <si>
    <t>C.1.3 Lodging</t>
  </si>
  <si>
    <t>Night</t>
  </si>
  <si>
    <t>STFCN DIEM</t>
  </si>
  <si>
    <t>C.1.4 M&amp;IE</t>
  </si>
  <si>
    <t>Day</t>
  </si>
  <si>
    <t xml:space="preserve">C.2 Local Staff In-Country Travel </t>
  </si>
  <si>
    <t>LSLODGING</t>
  </si>
  <si>
    <t>C.2.1 Lodging</t>
  </si>
  <si>
    <t>LSM&amp;IE</t>
  </si>
  <si>
    <t>C.2.2 M&amp;IE</t>
  </si>
  <si>
    <t>LSTRANS</t>
  </si>
  <si>
    <t>C.2.3 Ground Transportation</t>
  </si>
  <si>
    <t>LSDOMAIR</t>
  </si>
  <si>
    <t>C.2.4 Domestic Airfare</t>
  </si>
  <si>
    <t>Year</t>
  </si>
  <si>
    <t>C.3 Local Staff International Travel</t>
  </si>
  <si>
    <t>LOCAL TRVL</t>
  </si>
  <si>
    <t>C.3.1 DRL Labor Implementer Workshop Trip</t>
  </si>
  <si>
    <t xml:space="preserve">Subtotal Travel </t>
  </si>
  <si>
    <t>COURIER</t>
  </si>
  <si>
    <t>E.1 Courier fees/services</t>
  </si>
  <si>
    <t>SUPPLIES</t>
  </si>
  <si>
    <t>E.2 Office Supplies</t>
  </si>
  <si>
    <t>RENT &amp; UT</t>
  </si>
  <si>
    <t xml:space="preserve">E.3 Coworking space rent </t>
  </si>
  <si>
    <t>BANK FEES</t>
  </si>
  <si>
    <t>E.4 Banking and Cash Handling Fees</t>
  </si>
  <si>
    <t>EQ.MNT REP</t>
  </si>
  <si>
    <t>E.5 Equipment Maintenance</t>
  </si>
  <si>
    <t>LEGAL</t>
  </si>
  <si>
    <t>E.6 Legal Fees</t>
  </si>
  <si>
    <t>LAPTOP</t>
  </si>
  <si>
    <t xml:space="preserve">E.7 Laptop Computers &amp; Software </t>
  </si>
  <si>
    <t>Unit</t>
  </si>
  <si>
    <t>Subtotal Supplies</t>
  </si>
  <si>
    <t>F. Contractual</t>
  </si>
  <si>
    <t>F.1 Sub-awards</t>
  </si>
  <si>
    <t>SUBCEREAL</t>
  </si>
  <si>
    <t>F.1.1 Sub-awardee: Cereal</t>
  </si>
  <si>
    <t>Lumpsum</t>
  </si>
  <si>
    <t>SUBCDM</t>
  </si>
  <si>
    <t>F.1.2 Sub-awardee: Centro de los Derechos del Migrante (CDM)</t>
  </si>
  <si>
    <t>SUBRMS</t>
  </si>
  <si>
    <t>F.1.3 Sub-awardee: Red de Mujeres Sindicalistas (RMS)</t>
  </si>
  <si>
    <t>SUBSMALL</t>
  </si>
  <si>
    <t>F.1.4 Small sub-grants</t>
  </si>
  <si>
    <t>F.2 Consultants</t>
  </si>
  <si>
    <t>CONSULT</t>
  </si>
  <si>
    <t>MEX/0</t>
  </si>
  <si>
    <t>F.2.1 Consultants</t>
  </si>
  <si>
    <t>Subtotal Contractual</t>
  </si>
  <si>
    <t>Objectives and Activities</t>
  </si>
  <si>
    <t>O1: Increase workers’ knowledge of labor law, and ability to understand the applicability of labor regulations and international labor standards relevant to the United 2026 games.</t>
  </si>
  <si>
    <t>H.1: Activity 1: Expand educational programs led by labor rights organizations in Mexico with experience in popular education methods, to train workers on protections under Mexican labor law, international labor standards, business and human rights frameworks relevant to the United 2026 games, and the risks of the games for Mexican workers.</t>
  </si>
  <si>
    <t>M.1.1</t>
  </si>
  <si>
    <t>H.1.1 Labor rights organizations training coordination</t>
  </si>
  <si>
    <t>Meeting</t>
  </si>
  <si>
    <t>M.1.2</t>
  </si>
  <si>
    <t>H.1.2 Materials for labor rights organization trainings</t>
  </si>
  <si>
    <t>Training</t>
  </si>
  <si>
    <t>M.1.3</t>
  </si>
  <si>
    <t>H.1.3 Development of new modules/materials for labor rights organization trainings</t>
  </si>
  <si>
    <t>O2: Increase engagement and coordination between labor rights organizations, the private sector, and democratic, independent unions on the UHRS and around pre-games planning of United 2026 events, including the implementation of the human rights strategy in each host city, and ways that the Government of Mexico, FIFA and the Mexican National Soccer Federation will address and mitigate labor rights risks associated with the games.</t>
  </si>
  <si>
    <t>H.2: Activity 2 - Establish and facilitate a civil society labor advisory network in Mexico</t>
  </si>
  <si>
    <t>M.2.1</t>
  </si>
  <si>
    <t>87010 (Meeting)/ 82420 (Materials)</t>
  </si>
  <si>
    <t>H.2.1 Coordination meetings (including materials)</t>
  </si>
  <si>
    <t>M.2.2</t>
  </si>
  <si>
    <t>H.2.2 Working summit to establish the civil society advisory network</t>
  </si>
  <si>
    <t>Event</t>
  </si>
  <si>
    <t>M.2.3</t>
  </si>
  <si>
    <t>H.2.3 Printing of materials for summit</t>
  </si>
  <si>
    <t>M.2.4</t>
  </si>
  <si>
    <t>H.2.4 Lodging for participants</t>
  </si>
  <si>
    <t>M.2.5</t>
  </si>
  <si>
    <t>H.2.5 Transportation for participants</t>
  </si>
  <si>
    <t>Participant</t>
  </si>
  <si>
    <t>O3: Strengthen the capacity of civil society actors, independent unions, and workers to monitor and report labor and human right abuses, to prepare to effectively document violations, and make strategic use of reporting and enforcement mechanisms related to the operation of the games</t>
  </si>
  <si>
    <t>H.3: Activity 3 - Develop trainings programs for human rights and labor rights defenders on monitoring, case development, and filing processes for existing grievance and conciliation procedures, and assist with the planning and implementation of alternative grievance procedures </t>
  </si>
  <si>
    <t>M.3.1</t>
  </si>
  <si>
    <t>H.3.1 Coordination meetings (including materials)</t>
  </si>
  <si>
    <t>M.3.2</t>
  </si>
  <si>
    <t>H.3.2 Development of training programs</t>
  </si>
  <si>
    <t>Document</t>
  </si>
  <si>
    <t>H.4: Activity 4 - Strengthen collaboration between civil society and journalists to monitor and report on labor rights impacts during the lifecycle of the games, including tracking violations and complaints submitted to grievance channels</t>
  </si>
  <si>
    <t>M.4.1</t>
  </si>
  <si>
    <t>H.4.1 Training for journalists (including materials)</t>
  </si>
  <si>
    <t>M.4.2</t>
  </si>
  <si>
    <t>H.4.2 Ground transportation for journalists</t>
  </si>
  <si>
    <t>M.4.3</t>
  </si>
  <si>
    <t>H.4.3 Lodging for journalists</t>
  </si>
  <si>
    <t>O4: Increase awareness among the general public of Mexico’s commitments to human rights in regard to the United 2026 games.</t>
  </si>
  <si>
    <t>H.5: Activity 5 - Provide technical assistance to civil society to develop a media campaign to socialize information of labor rights risks in preparation for the United 2026 games.</t>
  </si>
  <si>
    <t>M.5.1</t>
  </si>
  <si>
    <t>H.5.1 Comic book for general public</t>
  </si>
  <si>
    <t>M.5.2</t>
  </si>
  <si>
    <t>H.5.2 United 2026 media campaign</t>
  </si>
  <si>
    <t>Campaign</t>
  </si>
  <si>
    <t>H.6 M&amp;E</t>
  </si>
  <si>
    <t>M.6.1</t>
  </si>
  <si>
    <t>H.6.1 M&amp;E Materials</t>
  </si>
  <si>
    <t>M.6.2</t>
  </si>
  <si>
    <t>H.6.2 M&amp;E Training and Coordination Meetings</t>
  </si>
  <si>
    <t>Meetings</t>
  </si>
  <si>
    <t>M.6.3</t>
  </si>
  <si>
    <t>H.6.3 External Project Evaluation support costs</t>
  </si>
  <si>
    <t>Subtotal Other Direct Costs</t>
  </si>
  <si>
    <t>J. Indirect Cost</t>
  </si>
  <si>
    <t>IDC</t>
  </si>
  <si>
    <t>J.1 Indirect Cost (28% NICRA rate)</t>
  </si>
  <si>
    <t>J.2 Total Indirect Cost</t>
  </si>
  <si>
    <t>K. GRAND TOTAL</t>
  </si>
  <si>
    <t>SUBGRANTEE: CEREAL</t>
  </si>
  <si>
    <t>Description</t>
  </si>
  <si>
    <t>Frequency</t>
  </si>
  <si>
    <t>YEAR 1</t>
  </si>
  <si>
    <t>YEAR 2</t>
  </si>
  <si>
    <t>YEAR 3</t>
  </si>
  <si>
    <t>Activity</t>
  </si>
  <si>
    <t>A.1 Project Coordinator (60%)</t>
  </si>
  <si>
    <t>A.1 Project Administrator (20%)</t>
  </si>
  <si>
    <t>B.1 Project Coordinator (60%)</t>
  </si>
  <si>
    <t>B.2 Project Administrator (20%)</t>
  </si>
  <si>
    <t>C.1 Ground Transportation</t>
  </si>
  <si>
    <t>Monthly</t>
  </si>
  <si>
    <t>C.2 Lodging</t>
  </si>
  <si>
    <t>C.3 M&amp;IE</t>
  </si>
  <si>
    <t>F. Contractual and Subaward</t>
  </si>
  <si>
    <t xml:space="preserve">H.1.1 Labor rights trainings for workers on labor law </t>
  </si>
  <si>
    <t>Workshop</t>
  </si>
  <si>
    <t>H.1.2 Printing of materials for labor rights trainings</t>
  </si>
  <si>
    <t>H.1.3 Lodging for participants</t>
  </si>
  <si>
    <t>H.1.4 Transportation for participants</t>
  </si>
  <si>
    <t>H.1.5 Worker outreach campaign</t>
  </si>
  <si>
    <t xml:space="preserve">H.2 Activity 2: Establish and facilitate a civil society labor advisory network in Mexico.  </t>
  </si>
  <si>
    <t>H.2.1 Coordination Meetings</t>
  </si>
  <si>
    <r>
      <rPr>
        <b/>
        <sz val="12"/>
        <rFont val="Times New Roman"/>
        <family val="1"/>
      </rPr>
      <t>O4</t>
    </r>
    <r>
      <rPr>
        <b/>
        <sz val="12"/>
        <color rgb="FF000000"/>
        <rFont val="Times New Roman"/>
        <family val="1"/>
      </rPr>
      <t>: Increase awareness among the general public of Mexico’s commitments to human rights in regard to the United 2026 games.</t>
    </r>
  </si>
  <si>
    <r>
      <rPr>
        <i/>
        <u/>
        <sz val="12"/>
        <rFont val="Times New Roman"/>
        <family val="1"/>
      </rPr>
      <t>H.3 Activity 5 -</t>
    </r>
    <r>
      <rPr>
        <i/>
        <u/>
        <sz val="12"/>
        <color rgb="FF000000"/>
        <rFont val="Times New Roman"/>
        <family val="1"/>
      </rPr>
      <t xml:space="preserve"> Provide technical assistance to civil society to develop a media campaign to socialize information of labor rights risks in preparation for the United 2026 games.  </t>
    </r>
  </si>
  <si>
    <r>
      <rPr>
        <sz val="12"/>
        <rFont val="Times New Roman"/>
        <family val="1"/>
      </rPr>
      <t xml:space="preserve">H.3.1 </t>
    </r>
    <r>
      <rPr>
        <sz val="12"/>
        <color theme="1"/>
        <rFont val="Times New Roman"/>
        <family val="1"/>
      </rPr>
      <t>United 2026 media campaign</t>
    </r>
  </si>
  <si>
    <t xml:space="preserve">J. Indirect Cost </t>
  </si>
  <si>
    <t>J.1 Administrative Cost (8%)</t>
  </si>
  <si>
    <t>SUBGRANTEE: CENTRO DE LOS DERECHOS DEL MIGRANTE</t>
  </si>
  <si>
    <t>A.2 Project Administrator (20%)</t>
  </si>
  <si>
    <t>Subtotal Travel</t>
  </si>
  <si>
    <r>
      <rPr>
        <i/>
        <u/>
        <sz val="12"/>
        <rFont val="Times New Roman"/>
        <family val="1"/>
      </rPr>
      <t>H.3: </t>
    </r>
    <r>
      <rPr>
        <i/>
        <u/>
        <sz val="12"/>
        <color rgb="FF000000"/>
        <rFont val="Times New Roman"/>
        <family val="1"/>
      </rPr>
      <t>Activity 5 - Provide technical assistance to civil society to develop a media campaign to socialize information of labor rights risks in preparation for the United 2026 games</t>
    </r>
  </si>
  <si>
    <r>
      <rPr>
        <sz val="12"/>
        <rFont val="Times New Roman"/>
        <family val="1"/>
      </rPr>
      <t xml:space="preserve">H.3.1 </t>
    </r>
    <r>
      <rPr>
        <sz val="12"/>
        <color rgb="FF000000"/>
        <rFont val="Times New Roman"/>
        <family val="1"/>
      </rPr>
      <t>Website for labor rights violations</t>
    </r>
  </si>
  <si>
    <t>Website</t>
  </si>
  <si>
    <t>H.3.2 United 2026 media campaign</t>
  </si>
  <si>
    <t>H.3.2 Information sessions for the general public</t>
  </si>
  <si>
    <t>H.3.4 Development/Printing of materials for information sessions</t>
  </si>
  <si>
    <t>SUBGRANTEE: RED DE MUJERES SINDICALISTAS</t>
  </si>
  <si>
    <t>H.1.1 Labor rights trainings for workers on labor law (including venue and materials)</t>
  </si>
  <si>
    <t>H.2 Activity 2- Establish and facilitate a civil society labor advisory network in Mexico</t>
  </si>
  <si>
    <r>
      <rPr>
        <i/>
        <u/>
        <sz val="12"/>
        <rFont val="Times New Roman"/>
        <family val="1"/>
      </rPr>
      <t>H.3: Activity 5 -</t>
    </r>
    <r>
      <rPr>
        <i/>
        <u/>
        <sz val="12"/>
        <color rgb="FF000000"/>
        <rFont val="Times New Roman"/>
        <family val="1"/>
      </rPr>
      <t xml:space="preserve"> Provide technical assistance to civil society to develop a media campaign to socialize information of labor rights risks in preparation for the United 2026 games.  </t>
    </r>
  </si>
  <si>
    <r>
      <rPr>
        <sz val="12"/>
        <rFont val="Times New Roman"/>
        <family val="1"/>
      </rPr>
      <t xml:space="preserve">H.3.1 </t>
    </r>
    <r>
      <rPr>
        <sz val="12"/>
        <color rgb="FF000000"/>
        <rFont val="Times New Roman"/>
        <family val="1"/>
      </rPr>
      <t>United 2026 media campaign</t>
    </r>
  </si>
  <si>
    <t>H.3.3 Development/Printing of materials for information sessions</t>
  </si>
  <si>
    <t>J.1 Red de Mujeres Sindicalistas Administrative Cost (8%)</t>
  </si>
  <si>
    <t>CONSULTANTS</t>
  </si>
  <si>
    <t>Consultants</t>
  </si>
  <si>
    <t>Consultant (Activity 1)</t>
  </si>
  <si>
    <t>Days</t>
  </si>
  <si>
    <t>Communications Specialist</t>
  </si>
  <si>
    <t>Subtotal Consultants</t>
  </si>
  <si>
    <t>GRAND TOTAL</t>
  </si>
  <si>
    <t>Account Code</t>
  </si>
  <si>
    <t>No. of Units</t>
  </si>
  <si>
    <t>CRS</t>
  </si>
  <si>
    <t>6052, 6069</t>
  </si>
  <si>
    <t>Personnel</t>
  </si>
  <si>
    <t>Staff Salaries</t>
  </si>
  <si>
    <t>Head of Office</t>
  </si>
  <si>
    <t>FTE</t>
  </si>
  <si>
    <t xml:space="preserve">Program Coordinator </t>
  </si>
  <si>
    <t>Finance officer</t>
  </si>
  <si>
    <t>Administrative Staff</t>
  </si>
  <si>
    <t>MEAL Cordinator</t>
  </si>
  <si>
    <t>Mang.&amp; tech.advisors - Int’l Staff</t>
  </si>
  <si>
    <t>Mang.&amp; tech.advisors - Nat.staff</t>
  </si>
  <si>
    <t>Sub Total Personnel</t>
  </si>
  <si>
    <t>6061, 6063, 6071</t>
  </si>
  <si>
    <t>Fringe Benefits</t>
  </si>
  <si>
    <t>Fringe Benefits – National Staff</t>
  </si>
  <si>
    <t>Salary</t>
  </si>
  <si>
    <t>Fringe Benefits – Int’l Staff</t>
  </si>
  <si>
    <t>Overseas Allowances – Int’l Staff</t>
  </si>
  <si>
    <t>Housing and Local Benefits – Int’l Staff</t>
  </si>
  <si>
    <t>Mang.&amp; tech.advisors - Nat.staff-Fringe Benefits</t>
  </si>
  <si>
    <t>Sub Total Fringe Benefits</t>
  </si>
  <si>
    <t xml:space="preserve">Travel </t>
  </si>
  <si>
    <t>Domestic Travel</t>
  </si>
  <si>
    <t>flight/train</t>
  </si>
  <si>
    <t>Hotel</t>
  </si>
  <si>
    <t>night</t>
  </si>
  <si>
    <t>Perdiem</t>
  </si>
  <si>
    <t>day</t>
  </si>
  <si>
    <t>Mang.&amp; tech.advisors - Nat.staff-Travel</t>
  </si>
  <si>
    <t>In-country program travel and vehicle expenses</t>
  </si>
  <si>
    <t>Sub Total Travel &amp; Transportation</t>
  </si>
  <si>
    <t>Supplies</t>
  </si>
  <si>
    <t>Office/Computer Supplies, Stationery and Services</t>
  </si>
  <si>
    <t>Printing</t>
  </si>
  <si>
    <t>Sub Total Supplies</t>
  </si>
  <si>
    <t>Contractual</t>
  </si>
  <si>
    <t>Prajwala</t>
  </si>
  <si>
    <t xml:space="preserve">Technical Advisor–Capacity Strengthening of Law enforcement Officials </t>
  </si>
  <si>
    <t>Sub Total Contractual</t>
  </si>
  <si>
    <t>Other Direct Costs</t>
  </si>
  <si>
    <t>Baseline Survey/Mid-term Review/Final Evaluation</t>
  </si>
  <si>
    <t>MEAL Workshop</t>
  </si>
  <si>
    <t xml:space="preserve">Implement. Plan Workshop </t>
  </si>
  <si>
    <t>Communication Expenses</t>
  </si>
  <si>
    <t>Building rent, utilities and maintenance</t>
  </si>
  <si>
    <t>Contracted Audit &amp; Legal Services</t>
  </si>
  <si>
    <t>Information Technology and Communication Expenses &amp; Bank charges</t>
  </si>
  <si>
    <t>Facility Costs, IT Services, Communication, IT Salaries</t>
  </si>
  <si>
    <t>Sq. Mt</t>
  </si>
  <si>
    <t>Sub Total Other Direct Costs</t>
  </si>
  <si>
    <t>Total Direct Costs</t>
  </si>
  <si>
    <t>Indirect Cost Exclusions</t>
  </si>
  <si>
    <t>Modified Total Direct Costs</t>
  </si>
  <si>
    <t>6961, 6963</t>
  </si>
  <si>
    <t>Indirect Cost (17.88%)</t>
  </si>
  <si>
    <t xml:space="preserve">Fringe Benefits </t>
  </si>
  <si>
    <t>SUMMARY BUDGET FOR MEXICO UNITED 2026 (12 Additional Months)</t>
  </si>
  <si>
    <t>Year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</si>
</sst>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_(&quot;$&quot;* \(#,##0.00\);_(&quot;$&quot;* &quot;-&quot;??_);_(@_)"/>
    <numFmt numFmtId="43" formatCode="_(* #,##0.00_);_(* \(#,##0.00\);_(* &quot;-&quot;??_);_(@_)"/>
    <numFmt numFmtId="164" formatCode="_ * #,##0.00_ ;_ * \-#,##0.00_ ;_ * &quot;-&quot;??_ ;_ @_ "/>
    <numFmt numFmtId="165" formatCode="[$INR]\ #,##0.00"/>
    <numFmt numFmtId="166" formatCode="_(* #,##0_);_(* \(#,##0\);_(* &quot;-&quot;??_);_(@_)"/>
    <numFmt numFmtId="167" formatCode="_(&quot;$&quot;* #,##0_);_(&quot;$&quot;* \(#,##0\);_(&quot;$&quot;* &quot;-&quot;??_);_(@_)"/>
    <numFmt numFmtId="168" formatCode="0.00000"/>
    <numFmt numFmtId="169" formatCode="#,##0.0"/>
    <numFmt numFmtId="170" formatCode="0.0"/>
    <numFmt numFmtId="171" formatCode="[$$-1009]#,##0"/>
    <numFmt numFmtId="172" formatCode="[$$-1009]#,##0.00"/>
    <numFmt numFmtId="173" formatCode="_(* #,##0.000_);_(* \(#,##0.000\);_(* &quot;-&quot;??_);_(@_)"/>
    <numFmt numFmtId="174" formatCode="_(* #,##0.0000_);_(* \(#,##0.0000\);_(* &quot;-&quot;??_);_(@_)"/>
    <numFmt numFmtId="175" formatCode="&quot;$&quot;#,##0.00"/>
    <numFmt numFmtId="176" formatCode="[$$-1009]#,##0;\-[$$-1009]#,##0"/>
    <numFmt numFmtId="177" formatCode="[$$-1009]#,##0.00;\-[$$-1009]#,##0.00"/>
    <numFmt numFmtId="178" formatCode="&quot;$&quot;#,##0"/>
  </numFmts>
  <fonts count="36">
    <font>
      <sz val="10"/>
      <name val="Arial"/>
    </font>
    <font>
      <sz val="10"/>
      <name val="Arial"/>
      <family val="2"/>
    </font>
    <font>
      <sz val="8"/>
      <name val="Arial"/>
      <family val="2"/>
    </font>
    <font>
      <b/>
      <sz val="10"/>
      <name val="Times New Roman"/>
      <family val="1"/>
    </font>
    <font>
      <sz val="10"/>
      <name val="Times New Roman"/>
      <family val="1"/>
    </font>
    <font>
      <b/>
      <sz val="14"/>
      <name val="Times New Roman"/>
      <family val="1"/>
    </font>
    <font>
      <b/>
      <sz val="12"/>
      <name val="Times New Roman"/>
      <family val="1"/>
    </font>
    <font>
      <sz val="9"/>
      <name val="Arial"/>
      <family val="2"/>
    </font>
    <font>
      <b/>
      <sz val="9"/>
      <name val="Times New Roman"/>
      <family val="1"/>
    </font>
    <font>
      <sz val="9"/>
      <name val="Times New Roman"/>
      <family val="1"/>
    </font>
    <font>
      <sz val="9"/>
      <name val="Arial Narrow"/>
      <family val="2"/>
    </font>
    <font>
      <b/>
      <sz val="9"/>
      <name val="Arial Narrow"/>
      <family val="2"/>
    </font>
    <font>
      <sz val="11"/>
      <color theme="1"/>
      <name val="Calibri"/>
      <family val="2"/>
      <scheme val="minor"/>
    </font>
    <font>
      <u/>
      <sz val="10"/>
      <color theme="10"/>
      <name val="Arial"/>
      <family val="2"/>
    </font>
    <font>
      <sz val="10"/>
      <color theme="1"/>
      <name val="Times New Roman"/>
      <family val="1"/>
    </font>
    <font>
      <b/>
      <sz val="10"/>
      <color theme="1"/>
      <name val="Calibri"/>
      <family val="2"/>
      <scheme val="minor"/>
    </font>
    <font>
      <sz val="8"/>
      <color theme="1"/>
      <name val="Calibri"/>
      <family val="2"/>
      <scheme val="minor"/>
    </font>
    <font>
      <sz val="9"/>
      <color theme="1"/>
      <name val="Calibri"/>
      <family val="2"/>
      <scheme val="minor"/>
    </font>
    <font>
      <b/>
      <sz val="9"/>
      <color theme="1"/>
      <name val="Calibri"/>
      <family val="2"/>
      <scheme val="minor"/>
    </font>
    <font>
      <b/>
      <sz val="8"/>
      <color theme="1"/>
      <name val="Calibri"/>
      <family val="2"/>
      <scheme val="minor"/>
    </font>
    <font>
      <b/>
      <sz val="9"/>
      <color theme="0" tint="-0.249977111117893"/>
      <name val="Times New Roman"/>
      <family val="1"/>
    </font>
    <font>
      <b/>
      <sz val="9"/>
      <color theme="0" tint="-0.34998626667073579"/>
      <name val="Times New Roman"/>
      <family val="1"/>
    </font>
    <font>
      <sz val="9"/>
      <color rgb="FFFF0000"/>
      <name val="Times New Roman"/>
      <family val="1"/>
    </font>
    <font>
      <sz val="8"/>
      <color theme="0" tint="-0.249977111117893"/>
      <name val="Calibri"/>
      <family val="2"/>
      <scheme val="minor"/>
    </font>
    <font>
      <sz val="12"/>
      <name val="Times New Roman"/>
      <family val="1"/>
    </font>
    <font>
      <b/>
      <sz val="12"/>
      <color theme="0"/>
      <name val="Times New Roman"/>
      <family val="1"/>
    </font>
    <font>
      <b/>
      <sz val="12"/>
      <color theme="0" tint="-0.34998626667073579"/>
      <name val="Times New Roman"/>
      <family val="1"/>
    </font>
    <font>
      <sz val="12"/>
      <color theme="1"/>
      <name val="Times New Roman"/>
      <family val="1"/>
    </font>
    <font>
      <b/>
      <sz val="12"/>
      <color theme="0" tint="-0.249977111117893"/>
      <name val="Times New Roman"/>
      <family val="1"/>
    </font>
    <font>
      <b/>
      <sz val="12"/>
      <color rgb="FF000000"/>
      <name val="Times New Roman"/>
      <family val="1"/>
    </font>
    <font>
      <sz val="12"/>
      <color rgb="FF000000"/>
      <name val="Times New Roman"/>
      <family val="1"/>
    </font>
    <font>
      <i/>
      <u/>
      <sz val="12"/>
      <name val="Times New Roman"/>
      <family val="1"/>
    </font>
    <font>
      <i/>
      <u/>
      <sz val="12"/>
      <color rgb="FF000000"/>
      <name val="Times New Roman"/>
      <family val="1"/>
    </font>
    <font>
      <i/>
      <sz val="12"/>
      <name val="Times New Roman"/>
      <family val="1"/>
    </font>
    <font>
      <b/>
      <sz val="16"/>
      <color theme="1"/>
      <name val="Calibri"/>
      <family val="2"/>
      <scheme val="minor"/>
    </font>
    <font>
      <b/>
      <sz val="17"/>
      <color rgb="FFFF0000"/>
      <name val="Times New Roman"/>
      <family val="1"/>
    </font>
  </fonts>
  <fills count="13">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1"/>
        <bgColor indexed="64"/>
      </patternFill>
    </fill>
    <fill>
      <patternFill patternType="solid">
        <fgColor theme="4" tint="0.39997558519241921"/>
        <bgColor indexed="64"/>
      </patternFill>
    </fill>
    <fill>
      <patternFill patternType="solid">
        <fgColor theme="4" tint="0.59999389629810485"/>
        <bgColor indexed="64"/>
      </patternFill>
    </fill>
  </fills>
  <borders count="68">
    <border>
      <left/>
      <right/>
      <top/>
      <bottom/>
      <diagonal/>
    </border>
    <border>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bottom/>
      <diagonal/>
    </border>
  </borders>
  <cellStyleXfs count="11">
    <xf numFmtId="0" fontId="0" fillId="0" borderId="0"/>
    <xf numFmtId="43" fontId="1" fillId="0" borderId="0" applyFont="0" applyFill="0" applyBorder="0" applyAlignment="0" applyProtection="0"/>
    <xf numFmtId="43" fontId="1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3" fillId="0" borderId="0" applyNumberFormat="0" applyFill="0" applyBorder="0" applyAlignment="0" applyProtection="0"/>
    <xf numFmtId="0" fontId="12" fillId="0" borderId="0"/>
    <xf numFmtId="0" fontId="12" fillId="0" borderId="0"/>
    <xf numFmtId="0" fontId="7" fillId="0" borderId="0"/>
    <xf numFmtId="0" fontId="4" fillId="0" borderId="0"/>
    <xf numFmtId="9" fontId="1" fillId="0" borderId="0" applyFont="0" applyFill="0" applyBorder="0" applyAlignment="0" applyProtection="0"/>
  </cellStyleXfs>
  <cellXfs count="718">
    <xf numFmtId="0" fontId="0" fillId="0" borderId="0" xfId="0"/>
    <xf numFmtId="0" fontId="4" fillId="0" borderId="0" xfId="9"/>
    <xf numFmtId="0" fontId="5" fillId="0" borderId="0" xfId="9" applyFont="1" applyAlignment="1">
      <alignment horizontal="centerContinuous"/>
    </xf>
    <xf numFmtId="0" fontId="4" fillId="0" borderId="0" xfId="9" applyAlignment="1">
      <alignment horizontal="centerContinuous"/>
    </xf>
    <xf numFmtId="0" fontId="6" fillId="0" borderId="0" xfId="9" applyFont="1" applyAlignment="1">
      <alignment horizontal="centerContinuous"/>
    </xf>
    <xf numFmtId="0" fontId="4" fillId="0" borderId="2" xfId="9" applyBorder="1" applyAlignment="1">
      <alignment horizontal="centerContinuous"/>
    </xf>
    <xf numFmtId="0" fontId="4" fillId="0" borderId="1" xfId="9" applyBorder="1" applyAlignment="1">
      <alignment horizontal="centerContinuous"/>
    </xf>
    <xf numFmtId="0" fontId="4" fillId="0" borderId="3" xfId="9" applyBorder="1" applyAlignment="1">
      <alignment horizontal="centerContinuous"/>
    </xf>
    <xf numFmtId="0" fontId="4" fillId="0" borderId="5" xfId="9" applyBorder="1"/>
    <xf numFmtId="0" fontId="4" fillId="0" borderId="6" xfId="9" applyBorder="1"/>
    <xf numFmtId="0" fontId="4" fillId="0" borderId="7" xfId="9" applyBorder="1"/>
    <xf numFmtId="0" fontId="4" fillId="0" borderId="8" xfId="9" applyBorder="1" applyAlignment="1">
      <alignment horizontal="center"/>
    </xf>
    <xf numFmtId="0" fontId="4" fillId="0" borderId="9" xfId="9" applyBorder="1" applyAlignment="1">
      <alignment horizontal="center"/>
    </xf>
    <xf numFmtId="167" fontId="4" fillId="0" borderId="10" xfId="4" applyNumberFormat="1" applyFont="1" applyBorder="1" applyProtection="1"/>
    <xf numFmtId="167" fontId="4" fillId="0" borderId="0" xfId="9" applyNumberFormat="1"/>
    <xf numFmtId="0" fontId="4" fillId="0" borderId="2" xfId="9" applyBorder="1"/>
    <xf numFmtId="0" fontId="4" fillId="0" borderId="11" xfId="9" applyBorder="1" applyAlignment="1">
      <alignment horizontal="centerContinuous"/>
    </xf>
    <xf numFmtId="0" fontId="4" fillId="0" borderId="12" xfId="9" applyBorder="1" applyAlignment="1">
      <alignment horizontal="centerContinuous"/>
    </xf>
    <xf numFmtId="0" fontId="4" fillId="0" borderId="13" xfId="9" applyBorder="1" applyAlignment="1">
      <alignment horizontal="centerContinuous"/>
    </xf>
    <xf numFmtId="0" fontId="4" fillId="0" borderId="8" xfId="9" applyBorder="1" applyAlignment="1">
      <alignment horizontal="centerContinuous"/>
    </xf>
    <xf numFmtId="0" fontId="4" fillId="0" borderId="14" xfId="9" quotePrefix="1" applyBorder="1"/>
    <xf numFmtId="0" fontId="4" fillId="0" borderId="14" xfId="9" applyBorder="1"/>
    <xf numFmtId="0" fontId="4" fillId="0" borderId="10" xfId="9" applyBorder="1" applyAlignment="1">
      <alignment horizontal="centerContinuous"/>
    </xf>
    <xf numFmtId="0" fontId="4" fillId="0" borderId="11" xfId="9" applyBorder="1"/>
    <xf numFmtId="43" fontId="4" fillId="0" borderId="12" xfId="2" applyFont="1" applyBorder="1" applyProtection="1"/>
    <xf numFmtId="0" fontId="4" fillId="0" borderId="11" xfId="9" quotePrefix="1" applyBorder="1"/>
    <xf numFmtId="0" fontId="3" fillId="0" borderId="0" xfId="9" applyFont="1"/>
    <xf numFmtId="0" fontId="3" fillId="0" borderId="0" xfId="9" applyFont="1" applyAlignment="1">
      <alignment horizontal="centerContinuous"/>
    </xf>
    <xf numFmtId="0" fontId="4" fillId="0" borderId="12" xfId="9" applyBorder="1"/>
    <xf numFmtId="0" fontId="4" fillId="0" borderId="13" xfId="9" applyBorder="1"/>
    <xf numFmtId="166" fontId="4" fillId="0" borderId="10" xfId="2" applyNumberFormat="1" applyFont="1" applyBorder="1" applyProtection="1"/>
    <xf numFmtId="0" fontId="4" fillId="0" borderId="5" xfId="9" quotePrefix="1" applyBorder="1"/>
    <xf numFmtId="0" fontId="4" fillId="0" borderId="3" xfId="9" applyBorder="1"/>
    <xf numFmtId="0" fontId="4" fillId="0" borderId="10" xfId="9" applyBorder="1" applyAlignment="1">
      <alignment horizontal="center"/>
    </xf>
    <xf numFmtId="166" fontId="14" fillId="0" borderId="10" xfId="2" applyNumberFormat="1" applyFont="1" applyFill="1" applyBorder="1" applyProtection="1"/>
    <xf numFmtId="3" fontId="4" fillId="0" borderId="0" xfId="9" applyNumberFormat="1"/>
    <xf numFmtId="0" fontId="4" fillId="0" borderId="1" xfId="9" applyBorder="1"/>
    <xf numFmtId="0" fontId="4" fillId="0" borderId="12" xfId="9" applyBorder="1" applyAlignment="1">
      <alignment horizontal="right"/>
    </xf>
    <xf numFmtId="167" fontId="4" fillId="0" borderId="12" xfId="4" applyNumberFormat="1" applyFont="1" applyBorder="1" applyProtection="1"/>
    <xf numFmtId="3" fontId="4" fillId="0" borderId="12" xfId="9" applyNumberFormat="1" applyBorder="1"/>
    <xf numFmtId="167" fontId="4" fillId="0" borderId="13" xfId="9" applyNumberFormat="1" applyBorder="1"/>
    <xf numFmtId="173" fontId="4" fillId="0" borderId="10" xfId="2" applyNumberFormat="1" applyFont="1" applyBorder="1" applyProtection="1"/>
    <xf numFmtId="0" fontId="15" fillId="0" borderId="15" xfId="7" applyFont="1" applyBorder="1" applyAlignment="1">
      <alignment vertical="center"/>
    </xf>
    <xf numFmtId="0" fontId="15" fillId="0" borderId="16" xfId="7" applyFont="1" applyBorder="1" applyAlignment="1">
      <alignment vertical="center"/>
    </xf>
    <xf numFmtId="0" fontId="15" fillId="0" borderId="16" xfId="7" applyFont="1" applyBorder="1" applyAlignment="1">
      <alignment horizontal="right" vertical="center"/>
    </xf>
    <xf numFmtId="0" fontId="15" fillId="0" borderId="17" xfId="7" applyFont="1" applyBorder="1" applyAlignment="1">
      <alignment vertical="center"/>
    </xf>
    <xf numFmtId="0" fontId="15" fillId="0" borderId="0" xfId="7" applyFont="1" applyAlignment="1">
      <alignment vertical="center"/>
    </xf>
    <xf numFmtId="0" fontId="16" fillId="0" borderId="18" xfId="7" applyFont="1" applyBorder="1"/>
    <xf numFmtId="0" fontId="16" fillId="0" borderId="20" xfId="7" applyFont="1" applyBorder="1"/>
    <xf numFmtId="0" fontId="16" fillId="0" borderId="19" xfId="7" applyFont="1" applyBorder="1"/>
    <xf numFmtId="0" fontId="16" fillId="0" borderId="0" xfId="7" applyFont="1"/>
    <xf numFmtId="0" fontId="16" fillId="0" borderId="21" xfId="7" applyFont="1" applyBorder="1"/>
    <xf numFmtId="0" fontId="16" fillId="0" borderId="0" xfId="7" applyFont="1" applyAlignment="1">
      <alignment vertical="center"/>
    </xf>
    <xf numFmtId="0" fontId="16" fillId="0" borderId="22" xfId="7" applyFont="1" applyBorder="1"/>
    <xf numFmtId="0" fontId="16" fillId="0" borderId="23" xfId="7" applyFont="1" applyBorder="1"/>
    <xf numFmtId="0" fontId="16" fillId="0" borderId="24" xfId="7" applyFont="1" applyBorder="1"/>
    <xf numFmtId="0" fontId="16" fillId="0" borderId="25" xfId="7" applyFont="1" applyBorder="1"/>
    <xf numFmtId="0" fontId="17" fillId="0" borderId="15" xfId="7" applyFont="1" applyBorder="1"/>
    <xf numFmtId="0" fontId="18" fillId="0" borderId="16" xfId="7" applyFont="1" applyBorder="1"/>
    <xf numFmtId="0" fontId="17" fillId="0" borderId="16" xfId="7" applyFont="1" applyBorder="1"/>
    <xf numFmtId="0" fontId="17" fillId="0" borderId="17" xfId="7" applyFont="1" applyBorder="1"/>
    <xf numFmtId="0" fontId="17" fillId="0" borderId="0" xfId="7" applyFont="1"/>
    <xf numFmtId="0" fontId="16" fillId="0" borderId="26" xfId="7" applyFont="1" applyBorder="1" applyAlignment="1" applyProtection="1">
      <alignment vertical="top" wrapText="1"/>
      <protection locked="0"/>
    </xf>
    <xf numFmtId="0" fontId="18" fillId="0" borderId="15" xfId="7" applyFont="1" applyBorder="1"/>
    <xf numFmtId="0" fontId="18" fillId="0" borderId="17" xfId="7" applyFont="1" applyBorder="1"/>
    <xf numFmtId="0" fontId="18" fillId="0" borderId="0" xfId="7" applyFont="1"/>
    <xf numFmtId="0" fontId="19" fillId="0" borderId="19" xfId="7" applyFont="1" applyBorder="1"/>
    <xf numFmtId="0" fontId="19" fillId="0" borderId="0" xfId="7" applyFont="1"/>
    <xf numFmtId="0" fontId="19" fillId="0" borderId="18" xfId="7" applyFont="1" applyBorder="1"/>
    <xf numFmtId="0" fontId="19" fillId="0" borderId="20" xfId="7" applyFont="1" applyBorder="1"/>
    <xf numFmtId="0" fontId="16" fillId="0" borderId="21" xfId="7" applyFont="1" applyBorder="1" applyAlignment="1">
      <alignment vertical="center"/>
    </xf>
    <xf numFmtId="0" fontId="16" fillId="0" borderId="22" xfId="7" applyFont="1" applyBorder="1" applyAlignment="1">
      <alignment vertical="center"/>
    </xf>
    <xf numFmtId="0" fontId="19" fillId="0" borderId="0" xfId="7" applyFont="1" applyAlignment="1">
      <alignment vertical="center"/>
    </xf>
    <xf numFmtId="15" fontId="16" fillId="0" borderId="26" xfId="7" applyNumberFormat="1" applyFont="1" applyBorder="1" applyAlignment="1" applyProtection="1">
      <alignment horizontal="left" vertical="top" wrapText="1"/>
      <protection locked="0"/>
    </xf>
    <xf numFmtId="0" fontId="9" fillId="0" borderId="26" xfId="0" applyFont="1" applyBorder="1"/>
    <xf numFmtId="0" fontId="8" fillId="0" borderId="26" xfId="0" applyFont="1" applyBorder="1" applyAlignment="1">
      <alignment horizontal="center" vertical="center" wrapText="1"/>
    </xf>
    <xf numFmtId="9" fontId="8" fillId="0" borderId="26" xfId="0" applyNumberFormat="1" applyFont="1" applyBorder="1" applyAlignment="1">
      <alignment horizontal="center" vertical="center" wrapText="1"/>
    </xf>
    <xf numFmtId="0" fontId="8" fillId="3" borderId="26" xfId="0" applyFont="1" applyFill="1" applyBorder="1"/>
    <xf numFmtId="167" fontId="8" fillId="3" borderId="26" xfId="0" applyNumberFormat="1" applyFont="1" applyFill="1" applyBorder="1"/>
    <xf numFmtId="165" fontId="20" fillId="3" borderId="26" xfId="0" applyNumberFormat="1" applyFont="1" applyFill="1" applyBorder="1"/>
    <xf numFmtId="0" fontId="20" fillId="3" borderId="26" xfId="0" applyFont="1" applyFill="1" applyBorder="1" applyAlignment="1">
      <alignment horizontal="center"/>
    </xf>
    <xf numFmtId="3" fontId="20" fillId="3" borderId="26" xfId="0" applyNumberFormat="1" applyFont="1" applyFill="1" applyBorder="1"/>
    <xf numFmtId="9" fontId="20" fillId="3" borderId="26" xfId="0" applyNumberFormat="1" applyFont="1" applyFill="1" applyBorder="1" applyAlignment="1">
      <alignment horizontal="center"/>
    </xf>
    <xf numFmtId="0" fontId="20" fillId="3" borderId="26" xfId="0" applyFont="1" applyFill="1" applyBorder="1"/>
    <xf numFmtId="0" fontId="8" fillId="0" borderId="26" xfId="0" applyFont="1" applyBorder="1" applyAlignment="1">
      <alignment horizontal="center"/>
    </xf>
    <xf numFmtId="3" fontId="9" fillId="0" borderId="26" xfId="0" applyNumberFormat="1" applyFont="1" applyBorder="1"/>
    <xf numFmtId="9" fontId="9" fillId="0" borderId="26" xfId="0" applyNumberFormat="1" applyFont="1" applyBorder="1" applyAlignment="1">
      <alignment horizontal="center"/>
    </xf>
    <xf numFmtId="0" fontId="9" fillId="0" borderId="26" xfId="0" applyFont="1" applyBorder="1" applyAlignment="1">
      <alignment horizontal="center"/>
    </xf>
    <xf numFmtId="169" fontId="9" fillId="0" borderId="26" xfId="0" applyNumberFormat="1" applyFont="1" applyBorder="1" applyAlignment="1">
      <alignment horizontal="center"/>
    </xf>
    <xf numFmtId="9" fontId="9" fillId="0" borderId="26" xfId="10" applyFont="1" applyFill="1" applyBorder="1" applyAlignment="1">
      <alignment horizontal="center"/>
    </xf>
    <xf numFmtId="176" fontId="10" fillId="0" borderId="26" xfId="3" applyNumberFormat="1" applyFont="1" applyBorder="1" applyAlignment="1"/>
    <xf numFmtId="171" fontId="10" fillId="0" borderId="26" xfId="3" applyNumberFormat="1" applyFont="1" applyBorder="1" applyAlignment="1"/>
    <xf numFmtId="0" fontId="8" fillId="0" borderId="26" xfId="0" applyFont="1" applyBorder="1"/>
    <xf numFmtId="166" fontId="8" fillId="0" borderId="26" xfId="1" applyNumberFormat="1" applyFont="1" applyFill="1" applyBorder="1"/>
    <xf numFmtId="9" fontId="8" fillId="0" borderId="26" xfId="0" applyNumberFormat="1" applyFont="1" applyBorder="1" applyAlignment="1">
      <alignment horizontal="center"/>
    </xf>
    <xf numFmtId="176" fontId="11" fillId="0" borderId="26" xfId="3" applyNumberFormat="1" applyFont="1" applyBorder="1" applyAlignment="1"/>
    <xf numFmtId="0" fontId="8" fillId="4" borderId="26" xfId="0" applyFont="1" applyFill="1" applyBorder="1"/>
    <xf numFmtId="166" fontId="8" fillId="4" borderId="26" xfId="1" applyNumberFormat="1" applyFont="1" applyFill="1" applyBorder="1"/>
    <xf numFmtId="9" fontId="8" fillId="4" borderId="26" xfId="0" applyNumberFormat="1" applyFont="1" applyFill="1" applyBorder="1" applyAlignment="1">
      <alignment horizontal="center"/>
    </xf>
    <xf numFmtId="0" fontId="8" fillId="4" borderId="26" xfId="0" applyFont="1" applyFill="1" applyBorder="1" applyAlignment="1">
      <alignment horizontal="center"/>
    </xf>
    <xf numFmtId="0" fontId="9" fillId="4" borderId="26" xfId="0" applyFont="1" applyFill="1" applyBorder="1"/>
    <xf numFmtId="166" fontId="9" fillId="0" borderId="26" xfId="1" applyNumberFormat="1" applyFont="1" applyFill="1" applyBorder="1" applyAlignment="1">
      <alignment horizontal="center"/>
    </xf>
    <xf numFmtId="174" fontId="9" fillId="0" borderId="26" xfId="1" applyNumberFormat="1" applyFont="1" applyFill="1" applyBorder="1" applyAlignment="1">
      <alignment horizontal="center"/>
    </xf>
    <xf numFmtId="43" fontId="9" fillId="0" borderId="26" xfId="1" applyFont="1" applyFill="1" applyBorder="1" applyAlignment="1">
      <alignment horizontal="center"/>
    </xf>
    <xf numFmtId="1" fontId="9" fillId="0" borderId="26" xfId="0" applyNumberFormat="1" applyFont="1" applyBorder="1" applyAlignment="1">
      <alignment horizontal="center"/>
    </xf>
    <xf numFmtId="167" fontId="9" fillId="0" borderId="26" xfId="3" applyNumberFormat="1" applyFont="1" applyFill="1" applyBorder="1" applyAlignment="1">
      <alignment horizontal="center"/>
    </xf>
    <xf numFmtId="3" fontId="8" fillId="0" borderId="26" xfId="0" applyNumberFormat="1" applyFont="1" applyBorder="1" applyAlignment="1">
      <alignment horizontal="center"/>
    </xf>
    <xf numFmtId="3" fontId="8" fillId="4" borderId="26" xfId="0" applyNumberFormat="1" applyFont="1" applyFill="1" applyBorder="1"/>
    <xf numFmtId="0" fontId="9" fillId="4" borderId="26" xfId="0" applyFont="1" applyFill="1" applyBorder="1" applyAlignment="1">
      <alignment horizontal="center"/>
    </xf>
    <xf numFmtId="166" fontId="9" fillId="0" borderId="26" xfId="1" applyNumberFormat="1" applyFont="1" applyFill="1" applyBorder="1"/>
    <xf numFmtId="9" fontId="21" fillId="3" borderId="26" xfId="0" applyNumberFormat="1" applyFont="1" applyFill="1" applyBorder="1" applyAlignment="1">
      <alignment horizontal="center"/>
    </xf>
    <xf numFmtId="0" fontId="9" fillId="0" borderId="30" xfId="8" applyFont="1" applyBorder="1" applyAlignment="1">
      <alignment horizontal="center"/>
    </xf>
    <xf numFmtId="3" fontId="9" fillId="0" borderId="26" xfId="0" applyNumberFormat="1" applyFont="1" applyBorder="1" applyAlignment="1">
      <alignment horizontal="center"/>
    </xf>
    <xf numFmtId="3" fontId="8" fillId="0" borderId="26" xfId="0" applyNumberFormat="1" applyFont="1" applyBorder="1"/>
    <xf numFmtId="9" fontId="9" fillId="4" borderId="26" xfId="0" applyNumberFormat="1" applyFont="1" applyFill="1" applyBorder="1" applyAlignment="1">
      <alignment horizontal="center"/>
    </xf>
    <xf numFmtId="3" fontId="9" fillId="4" borderId="26" xfId="0" applyNumberFormat="1" applyFont="1" applyFill="1" applyBorder="1"/>
    <xf numFmtId="0" fontId="8" fillId="2" borderId="26" xfId="0" applyFont="1" applyFill="1" applyBorder="1"/>
    <xf numFmtId="9" fontId="8" fillId="2" borderId="26" xfId="0" applyNumberFormat="1" applyFont="1" applyFill="1" applyBorder="1" applyAlignment="1">
      <alignment horizontal="center"/>
    </xf>
    <xf numFmtId="176" fontId="8" fillId="3" borderId="26" xfId="3" applyNumberFormat="1" applyFont="1" applyFill="1" applyBorder="1"/>
    <xf numFmtId="9" fontId="8" fillId="3" borderId="26" xfId="0" applyNumberFormat="1" applyFont="1" applyFill="1" applyBorder="1" applyAlignment="1">
      <alignment horizontal="center"/>
    </xf>
    <xf numFmtId="167" fontId="9" fillId="0" borderId="26" xfId="0" applyNumberFormat="1" applyFont="1" applyBorder="1"/>
    <xf numFmtId="0" fontId="9" fillId="0" borderId="26" xfId="0" applyFont="1" applyBorder="1" applyAlignment="1">
      <alignment wrapText="1"/>
    </xf>
    <xf numFmtId="44" fontId="9" fillId="0" borderId="26" xfId="0" applyNumberFormat="1" applyFont="1" applyBorder="1"/>
    <xf numFmtId="2" fontId="9" fillId="0" borderId="26" xfId="0" applyNumberFormat="1" applyFont="1" applyBorder="1" applyAlignment="1">
      <alignment horizontal="center"/>
    </xf>
    <xf numFmtId="9" fontId="9" fillId="0" borderId="26" xfId="10" applyFont="1" applyBorder="1"/>
    <xf numFmtId="10" fontId="9" fillId="0" borderId="26" xfId="10" applyNumberFormat="1" applyFont="1" applyBorder="1"/>
    <xf numFmtId="0" fontId="8" fillId="0" borderId="26" xfId="0" applyFont="1" applyBorder="1" applyAlignment="1">
      <alignment wrapText="1"/>
    </xf>
    <xf numFmtId="167" fontId="8" fillId="0" borderId="26" xfId="0" applyNumberFormat="1" applyFont="1" applyBorder="1"/>
    <xf numFmtId="9" fontId="9" fillId="0" borderId="26" xfId="10" applyFont="1" applyBorder="1" applyAlignment="1">
      <alignment horizontal="center"/>
    </xf>
    <xf numFmtId="167" fontId="9" fillId="0" borderId="26" xfId="10" applyNumberFormat="1" applyFont="1" applyBorder="1" applyAlignment="1">
      <alignment horizontal="center"/>
    </xf>
    <xf numFmtId="176" fontId="9" fillId="0" borderId="26" xfId="0" applyNumberFormat="1" applyFont="1" applyBorder="1"/>
    <xf numFmtId="0" fontId="8" fillId="0" borderId="36" xfId="0" applyFont="1" applyBorder="1" applyAlignment="1">
      <alignment horizontal="center" vertical="center" wrapText="1"/>
    </xf>
    <xf numFmtId="0" fontId="8" fillId="0" borderId="36" xfId="0" applyFont="1" applyBorder="1" applyAlignment="1">
      <alignment horizontal="center"/>
    </xf>
    <xf numFmtId="0" fontId="8" fillId="0" borderId="37" xfId="0" applyFont="1" applyBorder="1" applyAlignment="1">
      <alignment horizontal="center" vertical="center" wrapText="1"/>
    </xf>
    <xf numFmtId="0" fontId="9" fillId="0" borderId="37" xfId="0" applyFont="1" applyBorder="1"/>
    <xf numFmtId="0" fontId="8" fillId="3" borderId="37" xfId="0" applyFont="1" applyFill="1" applyBorder="1"/>
    <xf numFmtId="0" fontId="9" fillId="0" borderId="34" xfId="0" applyFont="1" applyBorder="1"/>
    <xf numFmtId="3" fontId="9" fillId="0" borderId="34" xfId="0" applyNumberFormat="1" applyFont="1" applyBorder="1"/>
    <xf numFmtId="1" fontId="9" fillId="0" borderId="34" xfId="10" applyNumberFormat="1" applyFont="1" applyBorder="1"/>
    <xf numFmtId="0" fontId="8" fillId="0" borderId="38" xfId="0" applyFont="1" applyBorder="1" applyAlignment="1">
      <alignment horizontal="center" vertical="center" wrapText="1"/>
    </xf>
    <xf numFmtId="0" fontId="8" fillId="0" borderId="27" xfId="0" applyFont="1" applyBorder="1" applyAlignment="1">
      <alignment horizontal="center" vertical="center" wrapText="1"/>
    </xf>
    <xf numFmtId="0" fontId="20" fillId="3" borderId="38" xfId="0" applyFont="1" applyFill="1" applyBorder="1"/>
    <xf numFmtId="9" fontId="20" fillId="3" borderId="27" xfId="0" applyNumberFormat="1" applyFont="1" applyFill="1" applyBorder="1" applyAlignment="1">
      <alignment horizontal="center"/>
    </xf>
    <xf numFmtId="0" fontId="9" fillId="0" borderId="38" xfId="0" applyFont="1" applyBorder="1"/>
    <xf numFmtId="0" fontId="8" fillId="0" borderId="27" xfId="0" applyFont="1" applyBorder="1" applyAlignment="1">
      <alignment horizontal="center"/>
    </xf>
    <xf numFmtId="0" fontId="9" fillId="0" borderId="38" xfId="0" applyFont="1" applyBorder="1" applyAlignment="1">
      <alignment horizontal="center"/>
    </xf>
    <xf numFmtId="176" fontId="10" fillId="0" borderId="27" xfId="3" applyNumberFormat="1" applyFont="1" applyBorder="1" applyAlignment="1"/>
    <xf numFmtId="0" fontId="8" fillId="0" borderId="38" xfId="0" applyFont="1" applyBorder="1"/>
    <xf numFmtId="176" fontId="11" fillId="0" borderId="27" xfId="3" applyNumberFormat="1" applyFont="1" applyBorder="1" applyAlignment="1"/>
    <xf numFmtId="0" fontId="8" fillId="4" borderId="38" xfId="0" applyFont="1" applyFill="1" applyBorder="1"/>
    <xf numFmtId="0" fontId="8" fillId="4" borderId="27" xfId="0" applyFont="1" applyFill="1" applyBorder="1" applyAlignment="1">
      <alignment horizontal="center"/>
    </xf>
    <xf numFmtId="0" fontId="8" fillId="4" borderId="38" xfId="0" applyFont="1" applyFill="1" applyBorder="1" applyAlignment="1">
      <alignment horizontal="center"/>
    </xf>
    <xf numFmtId="0" fontId="8" fillId="0" borderId="38" xfId="0" applyFont="1" applyBorder="1" applyAlignment="1">
      <alignment horizontal="center"/>
    </xf>
    <xf numFmtId="0" fontId="9" fillId="4" borderId="27" xfId="0" applyFont="1" applyFill="1" applyBorder="1" applyAlignment="1">
      <alignment horizontal="center"/>
    </xf>
    <xf numFmtId="176" fontId="11" fillId="0" borderId="38" xfId="3" applyNumberFormat="1" applyFont="1" applyBorder="1" applyAlignment="1"/>
    <xf numFmtId="0" fontId="9" fillId="4" borderId="38" xfId="0" applyFont="1" applyFill="1" applyBorder="1" applyAlignment="1">
      <alignment horizontal="center"/>
    </xf>
    <xf numFmtId="0" fontId="8" fillId="2" borderId="38" xfId="0" applyFont="1" applyFill="1" applyBorder="1"/>
    <xf numFmtId="176" fontId="8" fillId="3" borderId="27" xfId="3" applyNumberFormat="1" applyFont="1" applyFill="1" applyBorder="1"/>
    <xf numFmtId="0" fontId="8" fillId="3" borderId="38" xfId="0" applyFont="1" applyFill="1" applyBorder="1"/>
    <xf numFmtId="0" fontId="8" fillId="3" borderId="32" xfId="0" applyFont="1" applyFill="1" applyBorder="1"/>
    <xf numFmtId="0" fontId="8" fillId="3" borderId="28" xfId="0" applyFont="1" applyFill="1" applyBorder="1"/>
    <xf numFmtId="176" fontId="8" fillId="3" borderId="28" xfId="3" applyNumberFormat="1" applyFont="1" applyFill="1" applyBorder="1"/>
    <xf numFmtId="176" fontId="8" fillId="3" borderId="29" xfId="3" applyNumberFormat="1" applyFont="1" applyFill="1" applyBorder="1"/>
    <xf numFmtId="1" fontId="9" fillId="0" borderId="37" xfId="0" applyNumberFormat="1" applyFont="1" applyBorder="1"/>
    <xf numFmtId="9" fontId="20" fillId="3" borderId="38" xfId="0" applyNumberFormat="1" applyFont="1" applyFill="1" applyBorder="1" applyAlignment="1">
      <alignment horizontal="center"/>
    </xf>
    <xf numFmtId="0" fontId="20" fillId="3" borderId="27" xfId="0" applyFont="1" applyFill="1" applyBorder="1"/>
    <xf numFmtId="0" fontId="9" fillId="0" borderId="27" xfId="0" applyFont="1" applyBorder="1"/>
    <xf numFmtId="176" fontId="10" fillId="0" borderId="38" xfId="3" applyNumberFormat="1" applyFont="1" applyBorder="1" applyAlignment="1"/>
    <xf numFmtId="0" fontId="9" fillId="4" borderId="27" xfId="0" applyFont="1" applyFill="1" applyBorder="1"/>
    <xf numFmtId="176" fontId="8" fillId="3" borderId="38" xfId="3" applyNumberFormat="1" applyFont="1" applyFill="1" applyBorder="1"/>
    <xf numFmtId="176" fontId="8" fillId="3" borderId="32" xfId="3" applyNumberFormat="1" applyFont="1" applyFill="1" applyBorder="1"/>
    <xf numFmtId="0" fontId="9" fillId="0" borderId="26" xfId="8" applyFont="1" applyBorder="1" applyAlignment="1">
      <alignment horizontal="center"/>
    </xf>
    <xf numFmtId="3" fontId="22" fillId="0" borderId="26" xfId="0" applyNumberFormat="1" applyFont="1" applyBorder="1"/>
    <xf numFmtId="3" fontId="9" fillId="6" borderId="26" xfId="0" applyNumberFormat="1" applyFont="1" applyFill="1" applyBorder="1"/>
    <xf numFmtId="172" fontId="9" fillId="0" borderId="26" xfId="0" applyNumberFormat="1" applyFont="1" applyBorder="1"/>
    <xf numFmtId="0" fontId="8" fillId="7" borderId="36" xfId="0" applyFont="1" applyFill="1" applyBorder="1"/>
    <xf numFmtId="0" fontId="8" fillId="3" borderId="36" xfId="0" applyFont="1" applyFill="1" applyBorder="1" applyAlignment="1">
      <alignment horizontal="center"/>
    </xf>
    <xf numFmtId="0" fontId="9" fillId="0" borderId="36" xfId="0" applyFont="1" applyBorder="1" applyAlignment="1">
      <alignment horizontal="center"/>
    </xf>
    <xf numFmtId="0" fontId="9" fillId="2" borderId="36" xfId="0" applyFont="1" applyFill="1" applyBorder="1" applyAlignment="1">
      <alignment horizontal="center"/>
    </xf>
    <xf numFmtId="0" fontId="9" fillId="3" borderId="36" xfId="0" applyFont="1" applyFill="1" applyBorder="1" applyAlignment="1">
      <alignment horizontal="center"/>
    </xf>
    <xf numFmtId="0" fontId="9" fillId="0" borderId="34" xfId="0" applyFont="1" applyBorder="1" applyAlignment="1">
      <alignment wrapText="1"/>
    </xf>
    <xf numFmtId="9" fontId="9" fillId="0" borderId="34" xfId="0" applyNumberFormat="1" applyFont="1" applyBorder="1" applyAlignment="1">
      <alignment horizontal="center"/>
    </xf>
    <xf numFmtId="0" fontId="8" fillId="7" borderId="45" xfId="0" applyFont="1" applyFill="1" applyBorder="1"/>
    <xf numFmtId="0" fontId="8" fillId="3" borderId="38" xfId="0" applyFont="1" applyFill="1" applyBorder="1" applyAlignment="1">
      <alignment wrapText="1"/>
    </xf>
    <xf numFmtId="0" fontId="8" fillId="0" borderId="38" xfId="0" applyFont="1" applyBorder="1" applyAlignment="1">
      <alignment horizontal="left" vertical="top" wrapText="1"/>
    </xf>
    <xf numFmtId="0" fontId="9" fillId="0" borderId="38" xfId="0" applyFont="1" applyBorder="1" applyAlignment="1">
      <alignment wrapText="1"/>
    </xf>
    <xf numFmtId="0" fontId="8" fillId="0" borderId="38" xfId="0" applyFont="1" applyBorder="1" applyAlignment="1">
      <alignment wrapText="1"/>
    </xf>
    <xf numFmtId="0" fontId="8" fillId="4" borderId="38" xfId="0" applyFont="1" applyFill="1" applyBorder="1" applyAlignment="1">
      <alignment wrapText="1"/>
    </xf>
    <xf numFmtId="0" fontId="9" fillId="0" borderId="38" xfId="0" applyFont="1" applyBorder="1" applyAlignment="1">
      <alignment horizontal="left" wrapText="1"/>
    </xf>
    <xf numFmtId="3" fontId="21" fillId="4" borderId="27" xfId="0" applyNumberFormat="1" applyFont="1" applyFill="1" applyBorder="1"/>
    <xf numFmtId="0" fontId="9" fillId="0" borderId="38" xfId="0" quotePrefix="1" applyFont="1" applyBorder="1" applyAlignment="1">
      <alignment horizontal="left" wrapText="1"/>
    </xf>
    <xf numFmtId="0" fontId="8" fillId="2" borderId="38" xfId="0" applyFont="1" applyFill="1" applyBorder="1" applyAlignment="1">
      <alignment wrapText="1"/>
    </xf>
    <xf numFmtId="0" fontId="8" fillId="3" borderId="32" xfId="0" applyFont="1" applyFill="1" applyBorder="1" applyAlignment="1">
      <alignment wrapText="1"/>
    </xf>
    <xf numFmtId="9" fontId="8" fillId="3" borderId="28" xfId="0" applyNumberFormat="1" applyFont="1" applyFill="1" applyBorder="1" applyAlignment="1">
      <alignment horizontal="center"/>
    </xf>
    <xf numFmtId="168" fontId="9" fillId="0" borderId="26" xfId="0" applyNumberFormat="1" applyFont="1" applyBorder="1"/>
    <xf numFmtId="3" fontId="8" fillId="0" borderId="27" xfId="0" applyNumberFormat="1" applyFont="1" applyBorder="1" applyAlignment="1">
      <alignment horizontal="center"/>
    </xf>
    <xf numFmtId="10" fontId="8" fillId="3" borderId="26" xfId="10" applyNumberFormat="1" applyFont="1" applyFill="1" applyBorder="1"/>
    <xf numFmtId="167" fontId="9" fillId="0" borderId="34" xfId="0" applyNumberFormat="1" applyFont="1" applyBorder="1"/>
    <xf numFmtId="176" fontId="10" fillId="0" borderId="26" xfId="3" applyNumberFormat="1" applyFont="1" applyFill="1" applyBorder="1" applyAlignment="1"/>
    <xf numFmtId="176" fontId="10" fillId="0" borderId="27" xfId="3" applyNumberFormat="1" applyFont="1" applyFill="1" applyBorder="1" applyAlignment="1"/>
    <xf numFmtId="171" fontId="10" fillId="0" borderId="26" xfId="3" applyNumberFormat="1" applyFont="1" applyFill="1" applyBorder="1" applyAlignment="1"/>
    <xf numFmtId="176" fontId="10" fillId="0" borderId="38" xfId="3" applyNumberFormat="1" applyFont="1" applyFill="1" applyBorder="1" applyAlignment="1"/>
    <xf numFmtId="170" fontId="9" fillId="0" borderId="26" xfId="0" applyNumberFormat="1" applyFont="1" applyBorder="1" applyAlignment="1">
      <alignment horizontal="center"/>
    </xf>
    <xf numFmtId="170" fontId="9" fillId="0" borderId="38" xfId="0" applyNumberFormat="1" applyFont="1" applyBorder="1" applyAlignment="1">
      <alignment horizontal="center"/>
    </xf>
    <xf numFmtId="2" fontId="9" fillId="0" borderId="38" xfId="0" applyNumberFormat="1" applyFont="1" applyBorder="1" applyAlignment="1">
      <alignment horizontal="center"/>
    </xf>
    <xf numFmtId="176" fontId="8" fillId="0" borderId="26" xfId="0" applyNumberFormat="1" applyFont="1" applyBorder="1"/>
    <xf numFmtId="177" fontId="8" fillId="0" borderId="26" xfId="0" applyNumberFormat="1" applyFont="1" applyBorder="1"/>
    <xf numFmtId="9" fontId="8" fillId="0" borderId="26" xfId="10" applyFont="1" applyFill="1" applyBorder="1"/>
    <xf numFmtId="10" fontId="8" fillId="0" borderId="26" xfId="10" applyNumberFormat="1" applyFont="1" applyFill="1" applyBorder="1"/>
    <xf numFmtId="176" fontId="10" fillId="0" borderId="26" xfId="3" applyNumberFormat="1" applyFont="1" applyBorder="1" applyAlignment="1">
      <alignment horizontal="center"/>
    </xf>
    <xf numFmtId="176" fontId="11" fillId="0" borderId="26" xfId="3" applyNumberFormat="1" applyFont="1" applyBorder="1" applyAlignment="1">
      <alignment horizontal="center"/>
    </xf>
    <xf numFmtId="164" fontId="14" fillId="0" borderId="10" xfId="2" applyNumberFormat="1" applyFont="1" applyFill="1" applyBorder="1" applyProtection="1"/>
    <xf numFmtId="0" fontId="6" fillId="0" borderId="0" xfId="0" applyFont="1" applyAlignment="1">
      <alignment horizontal="center" vertical="center" wrapText="1"/>
    </xf>
    <xf numFmtId="0" fontId="6" fillId="0" borderId="37" xfId="0" applyFont="1" applyBorder="1" applyAlignment="1">
      <alignment horizontal="center" vertical="center" wrapText="1"/>
    </xf>
    <xf numFmtId="0" fontId="6" fillId="0" borderId="26" xfId="0" applyFont="1" applyBorder="1" applyAlignment="1">
      <alignment horizontal="center" vertical="center" wrapText="1"/>
    </xf>
    <xf numFmtId="0" fontId="24" fillId="0" borderId="0" xfId="0" applyFont="1" applyAlignment="1">
      <alignment vertical="center" wrapText="1"/>
    </xf>
    <xf numFmtId="0" fontId="24" fillId="0" borderId="0" xfId="0" applyFont="1" applyAlignment="1">
      <alignment horizontal="center" vertical="center" wrapText="1"/>
    </xf>
    <xf numFmtId="0" fontId="6" fillId="0" borderId="0" xfId="0" applyFont="1" applyAlignment="1">
      <alignment vertical="center" wrapText="1"/>
    </xf>
    <xf numFmtId="0" fontId="24" fillId="0" borderId="26" xfId="0" applyFont="1" applyBorder="1" applyAlignment="1">
      <alignment vertical="center" wrapText="1"/>
    </xf>
    <xf numFmtId="0" fontId="24" fillId="0" borderId="26" xfId="0" applyFont="1" applyBorder="1" applyAlignment="1">
      <alignment horizontal="center" vertical="center" wrapText="1"/>
    </xf>
    <xf numFmtId="0" fontId="24" fillId="0" borderId="37" xfId="0" applyFont="1" applyBorder="1" applyAlignment="1">
      <alignment vertical="center" wrapText="1"/>
    </xf>
    <xf numFmtId="0" fontId="6" fillId="3" borderId="37" xfId="0" applyFont="1" applyFill="1" applyBorder="1" applyAlignment="1">
      <alignment vertical="center" wrapText="1"/>
    </xf>
    <xf numFmtId="0" fontId="6" fillId="3" borderId="26" xfId="0" applyFont="1" applyFill="1" applyBorder="1" applyAlignment="1">
      <alignment vertical="center" wrapText="1"/>
    </xf>
    <xf numFmtId="176" fontId="24" fillId="0" borderId="0" xfId="0" applyNumberFormat="1" applyFont="1" applyAlignment="1">
      <alignment vertical="center" wrapText="1"/>
    </xf>
    <xf numFmtId="176" fontId="6" fillId="0" borderId="0" xfId="0" applyNumberFormat="1" applyFont="1" applyAlignment="1">
      <alignment vertical="center" wrapText="1"/>
    </xf>
    <xf numFmtId="0" fontId="6" fillId="0" borderId="37" xfId="0" applyFont="1" applyBorder="1" applyAlignment="1">
      <alignment vertical="center" wrapText="1"/>
    </xf>
    <xf numFmtId="0" fontId="6" fillId="0" borderId="26" xfId="0" applyFont="1" applyBorder="1" applyAlignment="1">
      <alignment vertical="center" wrapText="1"/>
    </xf>
    <xf numFmtId="177" fontId="6" fillId="0" borderId="0" xfId="0" applyNumberFormat="1" applyFont="1" applyAlignment="1">
      <alignment vertical="center" wrapText="1"/>
    </xf>
    <xf numFmtId="167" fontId="24" fillId="0" borderId="26" xfId="3" applyNumberFormat="1" applyFont="1" applyFill="1" applyBorder="1" applyAlignment="1">
      <alignment vertical="center" wrapText="1"/>
    </xf>
    <xf numFmtId="167" fontId="24" fillId="3" borderId="26" xfId="3" applyNumberFormat="1" applyFont="1" applyFill="1" applyBorder="1" applyAlignment="1">
      <alignment vertical="center" wrapText="1"/>
    </xf>
    <xf numFmtId="9" fontId="6" fillId="0" borderId="0" xfId="10" applyFont="1" applyFill="1" applyBorder="1" applyAlignment="1">
      <alignment vertical="center" wrapText="1"/>
    </xf>
    <xf numFmtId="3" fontId="24" fillId="0" borderId="0" xfId="0" applyNumberFormat="1" applyFont="1" applyAlignment="1">
      <alignment horizontal="center" vertical="center" wrapText="1"/>
    </xf>
    <xf numFmtId="2" fontId="24" fillId="0" borderId="0" xfId="0" applyNumberFormat="1" applyFont="1" applyAlignment="1">
      <alignment horizontal="center" vertical="center" wrapText="1"/>
    </xf>
    <xf numFmtId="167" fontId="24" fillId="0" borderId="0" xfId="3" applyNumberFormat="1" applyFont="1" applyBorder="1" applyAlignment="1">
      <alignment vertical="center" wrapText="1"/>
    </xf>
    <xf numFmtId="167" fontId="24" fillId="0" borderId="0" xfId="3" applyNumberFormat="1" applyFont="1" applyFill="1" applyBorder="1" applyAlignment="1">
      <alignment vertical="center" wrapText="1"/>
    </xf>
    <xf numFmtId="3" fontId="24" fillId="0" borderId="0" xfId="0" applyNumberFormat="1" applyFont="1" applyAlignment="1">
      <alignment vertical="center" wrapText="1"/>
    </xf>
    <xf numFmtId="9" fontId="24" fillId="0" borderId="0" xfId="0" applyNumberFormat="1" applyFont="1" applyAlignment="1">
      <alignment horizontal="center" vertical="center" wrapText="1"/>
    </xf>
    <xf numFmtId="9" fontId="24" fillId="0" borderId="0" xfId="10" applyFont="1" applyFill="1" applyBorder="1" applyAlignment="1">
      <alignment vertical="center" wrapText="1"/>
    </xf>
    <xf numFmtId="3" fontId="6" fillId="0" borderId="0" xfId="0" applyNumberFormat="1" applyFont="1" applyAlignment="1">
      <alignment horizontal="center" vertical="center" wrapText="1"/>
    </xf>
    <xf numFmtId="9" fontId="6" fillId="0" borderId="0" xfId="0" applyNumberFormat="1" applyFont="1" applyAlignment="1">
      <alignment horizontal="center" vertical="center" wrapText="1"/>
    </xf>
    <xf numFmtId="167" fontId="6" fillId="0" borderId="0" xfId="3" applyNumberFormat="1" applyFont="1" applyBorder="1" applyAlignment="1">
      <alignment vertical="center" wrapText="1"/>
    </xf>
    <xf numFmtId="167" fontId="24" fillId="0" borderId="0" xfId="3" applyNumberFormat="1" applyFont="1" applyBorder="1" applyAlignment="1">
      <alignment horizontal="center" vertical="center" wrapText="1"/>
    </xf>
    <xf numFmtId="3" fontId="24" fillId="0" borderId="26" xfId="0" applyNumberFormat="1" applyFont="1" applyBorder="1" applyAlignment="1">
      <alignment horizontal="center" vertical="center" wrapText="1"/>
    </xf>
    <xf numFmtId="9" fontId="24" fillId="0" borderId="26" xfId="0" applyNumberFormat="1" applyFont="1" applyBorder="1" applyAlignment="1">
      <alignment horizontal="center" vertical="center" wrapText="1"/>
    </xf>
    <xf numFmtId="167" fontId="24" fillId="0" borderId="26" xfId="3" applyNumberFormat="1" applyFont="1" applyBorder="1" applyAlignment="1">
      <alignment vertical="center" wrapText="1"/>
    </xf>
    <xf numFmtId="0" fontId="6" fillId="0" borderId="32"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3" xfId="0" applyFont="1" applyBorder="1" applyAlignment="1">
      <alignment horizontal="center" vertical="center" wrapText="1"/>
    </xf>
    <xf numFmtId="0" fontId="6" fillId="8" borderId="57" xfId="0" applyFont="1" applyFill="1" applyBorder="1" applyAlignment="1">
      <alignment vertical="center" wrapText="1"/>
    </xf>
    <xf numFmtId="0" fontId="6" fillId="8" borderId="52" xfId="0" applyFont="1" applyFill="1" applyBorder="1" applyAlignment="1">
      <alignment horizontal="center" vertical="center" wrapText="1"/>
    </xf>
    <xf numFmtId="3" fontId="26" fillId="8" borderId="34" xfId="0" applyNumberFormat="1" applyFont="1" applyFill="1" applyBorder="1" applyAlignment="1">
      <alignment horizontal="center" vertical="center" wrapText="1"/>
    </xf>
    <xf numFmtId="3" fontId="6" fillId="8" borderId="34" xfId="0" applyNumberFormat="1" applyFont="1" applyFill="1" applyBorder="1" applyAlignment="1">
      <alignment vertical="center" wrapText="1"/>
    </xf>
    <xf numFmtId="3" fontId="6" fillId="8" borderId="34" xfId="0" applyNumberFormat="1" applyFont="1" applyFill="1" applyBorder="1" applyAlignment="1">
      <alignment horizontal="center" vertical="center" wrapText="1"/>
    </xf>
    <xf numFmtId="9" fontId="6" fillId="8" borderId="53" xfId="0" applyNumberFormat="1" applyFont="1" applyFill="1" applyBorder="1" applyAlignment="1">
      <alignment horizontal="center" vertical="center" wrapText="1"/>
    </xf>
    <xf numFmtId="171" fontId="6" fillId="8" borderId="52" xfId="0" applyNumberFormat="1" applyFont="1" applyFill="1" applyBorder="1" applyAlignment="1">
      <alignment vertical="center" wrapText="1"/>
    </xf>
    <xf numFmtId="171" fontId="6" fillId="8" borderId="34" xfId="0" applyNumberFormat="1" applyFont="1" applyFill="1" applyBorder="1" applyAlignment="1">
      <alignment vertical="center" wrapText="1"/>
    </xf>
    <xf numFmtId="171" fontId="6" fillId="8" borderId="53" xfId="0" applyNumberFormat="1" applyFont="1" applyFill="1" applyBorder="1" applyAlignment="1">
      <alignment vertical="center" wrapText="1"/>
    </xf>
    <xf numFmtId="171" fontId="6" fillId="8" borderId="51" xfId="0" applyNumberFormat="1" applyFont="1" applyFill="1" applyBorder="1" applyAlignment="1">
      <alignment vertical="center" wrapText="1"/>
    </xf>
    <xf numFmtId="0" fontId="24" fillId="0" borderId="38" xfId="0" applyFont="1" applyBorder="1" applyAlignment="1">
      <alignment horizontal="center" vertical="center" wrapText="1"/>
    </xf>
    <xf numFmtId="0" fontId="24" fillId="0" borderId="0" xfId="0" applyFont="1" applyAlignment="1">
      <alignment vertical="center"/>
    </xf>
    <xf numFmtId="0" fontId="6" fillId="8" borderId="42" xfId="0" applyFont="1" applyFill="1" applyBorder="1" applyAlignment="1">
      <alignment vertical="center" wrapText="1"/>
    </xf>
    <xf numFmtId="0" fontId="6" fillId="8" borderId="32" xfId="0" applyFont="1" applyFill="1" applyBorder="1" applyAlignment="1">
      <alignment horizontal="center" vertical="center" wrapText="1"/>
    </xf>
    <xf numFmtId="0" fontId="6" fillId="8" borderId="28" xfId="0" applyFont="1" applyFill="1" applyBorder="1" applyAlignment="1">
      <alignment vertical="center" wrapText="1"/>
    </xf>
    <xf numFmtId="0" fontId="6" fillId="8" borderId="28" xfId="0" applyFont="1" applyFill="1" applyBorder="1" applyAlignment="1">
      <alignment horizontal="center" vertical="center" wrapText="1"/>
    </xf>
    <xf numFmtId="9" fontId="6" fillId="8" borderId="29" xfId="0" applyNumberFormat="1" applyFont="1" applyFill="1" applyBorder="1" applyAlignment="1">
      <alignment horizontal="center" vertical="center" wrapText="1"/>
    </xf>
    <xf numFmtId="171" fontId="6" fillId="8" borderId="32" xfId="0" applyNumberFormat="1" applyFont="1" applyFill="1" applyBorder="1" applyAlignment="1">
      <alignment vertical="center" wrapText="1"/>
    </xf>
    <xf numFmtId="171" fontId="6" fillId="8" borderId="28" xfId="0" applyNumberFormat="1" applyFont="1" applyFill="1" applyBorder="1" applyAlignment="1">
      <alignment vertical="center" wrapText="1"/>
    </xf>
    <xf numFmtId="171" fontId="6" fillId="8" borderId="29" xfId="0" applyNumberFormat="1" applyFont="1" applyFill="1" applyBorder="1" applyAlignment="1">
      <alignment vertical="center" wrapText="1"/>
    </xf>
    <xf numFmtId="171" fontId="6" fillId="8" borderId="33" xfId="0" applyNumberFormat="1" applyFont="1" applyFill="1" applyBorder="1" applyAlignment="1">
      <alignment vertical="center" wrapText="1"/>
    </xf>
    <xf numFmtId="171" fontId="24" fillId="0" borderId="0" xfId="0" applyNumberFormat="1" applyFont="1" applyAlignment="1">
      <alignment vertical="center" wrapText="1"/>
    </xf>
    <xf numFmtId="1" fontId="24" fillId="0" borderId="0" xfId="0" applyNumberFormat="1" applyFont="1" applyAlignment="1">
      <alignment vertical="center" wrapText="1"/>
    </xf>
    <xf numFmtId="43" fontId="24" fillId="0" borderId="0" xfId="1" applyFont="1" applyAlignment="1">
      <alignment vertical="center" wrapText="1"/>
    </xf>
    <xf numFmtId="0" fontId="24" fillId="5" borderId="0" xfId="0" applyFont="1" applyFill="1" applyAlignment="1">
      <alignment horizontal="center" vertical="center" wrapText="1"/>
    </xf>
    <xf numFmtId="0" fontId="24" fillId="5" borderId="0" xfId="0" applyFont="1" applyFill="1" applyAlignment="1">
      <alignment vertical="center" wrapText="1"/>
    </xf>
    <xf numFmtId="178" fontId="6" fillId="0" borderId="38" xfId="0" applyNumberFormat="1" applyFont="1" applyBorder="1" applyAlignment="1">
      <alignment horizontal="center" vertical="center" wrapText="1"/>
    </xf>
    <xf numFmtId="178" fontId="6" fillId="0" borderId="26" xfId="0" applyNumberFormat="1" applyFont="1" applyBorder="1" applyAlignment="1">
      <alignment horizontal="center" vertical="center" wrapText="1"/>
    </xf>
    <xf numFmtId="178" fontId="6" fillId="0" borderId="27" xfId="0" applyNumberFormat="1" applyFont="1" applyBorder="1" applyAlignment="1">
      <alignment horizontal="center" vertical="center" wrapText="1"/>
    </xf>
    <xf numFmtId="0" fontId="6" fillId="8" borderId="38" xfId="0" applyFont="1" applyFill="1" applyBorder="1" applyAlignment="1">
      <alignment vertical="center" wrapText="1"/>
    </xf>
    <xf numFmtId="0" fontId="6" fillId="8" borderId="36" xfId="0" applyFont="1" applyFill="1" applyBorder="1" applyAlignment="1">
      <alignment vertical="center" wrapText="1"/>
    </xf>
    <xf numFmtId="0" fontId="6" fillId="8" borderId="38" xfId="0" applyFont="1" applyFill="1" applyBorder="1" applyAlignment="1">
      <alignment horizontal="center" vertical="center" wrapText="1"/>
    </xf>
    <xf numFmtId="178" fontId="26" fillId="8" borderId="26" xfId="0" applyNumberFormat="1" applyFont="1" applyFill="1" applyBorder="1" applyAlignment="1">
      <alignment horizontal="center" vertical="center" wrapText="1"/>
    </xf>
    <xf numFmtId="3" fontId="6" fillId="8" borderId="26" xfId="0" applyNumberFormat="1" applyFont="1" applyFill="1" applyBorder="1" applyAlignment="1">
      <alignment horizontal="center" vertical="center" wrapText="1"/>
    </xf>
    <xf numFmtId="9" fontId="6" fillId="8" borderId="36" xfId="0" applyNumberFormat="1" applyFont="1" applyFill="1" applyBorder="1" applyAlignment="1">
      <alignment horizontal="center" vertical="center" wrapText="1"/>
    </xf>
    <xf numFmtId="178" fontId="6" fillId="8" borderId="38" xfId="0" applyNumberFormat="1" applyFont="1" applyFill="1" applyBorder="1" applyAlignment="1">
      <alignment vertical="center" wrapText="1"/>
    </xf>
    <xf numFmtId="178" fontId="6" fillId="8" borderId="26" xfId="0" applyNumberFormat="1" applyFont="1" applyFill="1" applyBorder="1" applyAlignment="1">
      <alignment vertical="center" wrapText="1"/>
    </xf>
    <xf numFmtId="178" fontId="6" fillId="8" borderId="27" xfId="0" applyNumberFormat="1" applyFont="1" applyFill="1" applyBorder="1" applyAlignment="1">
      <alignment vertical="center" wrapText="1"/>
    </xf>
    <xf numFmtId="0" fontId="24" fillId="0" borderId="36" xfId="0" applyFont="1" applyBorder="1" applyAlignment="1">
      <alignment vertical="center" wrapText="1"/>
    </xf>
    <xf numFmtId="178" fontId="24" fillId="0" borderId="26" xfId="0" applyNumberFormat="1" applyFont="1" applyBorder="1" applyAlignment="1">
      <alignment vertical="center" wrapText="1"/>
    </xf>
    <xf numFmtId="167" fontId="24" fillId="0" borderId="26" xfId="3" applyNumberFormat="1" applyFont="1" applyFill="1" applyBorder="1" applyAlignment="1">
      <alignment horizontal="center" vertical="center"/>
    </xf>
    <xf numFmtId="9" fontId="24" fillId="0" borderId="36" xfId="0" applyNumberFormat="1" applyFont="1" applyBorder="1" applyAlignment="1">
      <alignment horizontal="center" vertical="center" wrapText="1"/>
    </xf>
    <xf numFmtId="178" fontId="24" fillId="0" borderId="38" xfId="0" applyNumberFormat="1" applyFont="1" applyBorder="1" applyAlignment="1">
      <alignment vertical="center" wrapText="1"/>
    </xf>
    <xf numFmtId="178" fontId="24" fillId="0" borderId="27" xfId="0" applyNumberFormat="1" applyFont="1" applyBorder="1" applyAlignment="1">
      <alignment vertical="center" wrapText="1"/>
    </xf>
    <xf numFmtId="0" fontId="6" fillId="3" borderId="38" xfId="0" applyFont="1" applyFill="1" applyBorder="1" applyAlignment="1">
      <alignment vertical="center" wrapText="1"/>
    </xf>
    <xf numFmtId="0" fontId="6" fillId="3" borderId="36" xfId="0" applyFont="1" applyFill="1" applyBorder="1" applyAlignment="1">
      <alignment vertical="center" wrapText="1"/>
    </xf>
    <xf numFmtId="0" fontId="6" fillId="3" borderId="38" xfId="0" applyFont="1" applyFill="1" applyBorder="1" applyAlignment="1">
      <alignment horizontal="center" vertical="center" wrapText="1"/>
    </xf>
    <xf numFmtId="178" fontId="6" fillId="3" borderId="26" xfId="0" applyNumberFormat="1" applyFont="1" applyFill="1" applyBorder="1" applyAlignment="1">
      <alignment vertical="center" wrapText="1"/>
    </xf>
    <xf numFmtId="3" fontId="6" fillId="3" borderId="26" xfId="0" applyNumberFormat="1" applyFont="1" applyFill="1" applyBorder="1" applyAlignment="1">
      <alignment horizontal="center" vertical="center" wrapText="1"/>
    </xf>
    <xf numFmtId="9" fontId="6" fillId="3" borderId="36" xfId="0" applyNumberFormat="1" applyFont="1" applyFill="1" applyBorder="1" applyAlignment="1">
      <alignment horizontal="center" vertical="center" wrapText="1"/>
    </xf>
    <xf numFmtId="178" fontId="6" fillId="3" borderId="38" xfId="0" applyNumberFormat="1" applyFont="1" applyFill="1" applyBorder="1" applyAlignment="1">
      <alignment vertical="center" wrapText="1"/>
    </xf>
    <xf numFmtId="178" fontId="24" fillId="3" borderId="27" xfId="0" applyNumberFormat="1" applyFont="1" applyFill="1" applyBorder="1" applyAlignment="1">
      <alignment vertical="center" wrapText="1"/>
    </xf>
    <xf numFmtId="178" fontId="6" fillId="3" borderId="27" xfId="0" applyNumberFormat="1" applyFont="1" applyFill="1" applyBorder="1" applyAlignment="1">
      <alignment vertical="center" wrapText="1"/>
    </xf>
    <xf numFmtId="0" fontId="6" fillId="8" borderId="26" xfId="0" applyFont="1" applyFill="1" applyBorder="1" applyAlignment="1">
      <alignment horizontal="center" vertical="center" wrapText="1"/>
    </xf>
    <xf numFmtId="0" fontId="6" fillId="3" borderId="26" xfId="0" applyFont="1" applyFill="1" applyBorder="1" applyAlignment="1">
      <alignment horizontal="center" vertical="center" wrapText="1"/>
    </xf>
    <xf numFmtId="178" fontId="24" fillId="3" borderId="26" xfId="0" applyNumberFormat="1" applyFont="1" applyFill="1" applyBorder="1" applyAlignment="1">
      <alignment vertical="center" wrapText="1"/>
    </xf>
    <xf numFmtId="0" fontId="24" fillId="0" borderId="43" xfId="0" applyFont="1" applyBorder="1" applyAlignment="1">
      <alignment vertical="center" wrapText="1"/>
    </xf>
    <xf numFmtId="0" fontId="6" fillId="0" borderId="36" xfId="0" applyFont="1" applyBorder="1" applyAlignment="1">
      <alignment vertical="center" wrapText="1"/>
    </xf>
    <xf numFmtId="0" fontId="24" fillId="3" borderId="38" xfId="0" applyFont="1" applyFill="1" applyBorder="1" applyAlignment="1">
      <alignment horizontal="center" vertical="center" wrapText="1"/>
    </xf>
    <xf numFmtId="0" fontId="24" fillId="0" borderId="36" xfId="0" applyFont="1" applyBorder="1" applyAlignment="1">
      <alignment horizontal="left" vertical="center" wrapText="1"/>
    </xf>
    <xf numFmtId="0" fontId="27" fillId="5" borderId="38" xfId="0" applyFont="1" applyFill="1" applyBorder="1" applyAlignment="1">
      <alignment horizontal="center" vertical="center" wrapText="1"/>
    </xf>
    <xf numFmtId="0" fontId="24" fillId="0" borderId="26" xfId="0" applyFont="1" applyBorder="1" applyAlignment="1">
      <alignment horizontal="center" vertical="center"/>
    </xf>
    <xf numFmtId="9" fontId="24" fillId="0" borderId="36" xfId="0" applyNumberFormat="1" applyFont="1" applyBorder="1" applyAlignment="1">
      <alignment horizontal="center" vertical="center"/>
    </xf>
    <xf numFmtId="178" fontId="24" fillId="0" borderId="26" xfId="0" applyNumberFormat="1" applyFont="1" applyBorder="1" applyAlignment="1">
      <alignment horizontal="right" vertical="center" wrapText="1"/>
    </xf>
    <xf numFmtId="172" fontId="24" fillId="0" borderId="0" xfId="0" applyNumberFormat="1" applyFont="1" applyAlignment="1">
      <alignment vertical="center" wrapText="1"/>
    </xf>
    <xf numFmtId="1" fontId="6" fillId="3" borderId="26" xfId="0" applyNumberFormat="1" applyFont="1" applyFill="1" applyBorder="1" applyAlignment="1">
      <alignment horizontal="center" vertical="center" wrapText="1"/>
    </xf>
    <xf numFmtId="0" fontId="24" fillId="0" borderId="38" xfId="0" applyFont="1" applyBorder="1" applyAlignment="1">
      <alignment vertical="center" wrapText="1"/>
    </xf>
    <xf numFmtId="0" fontId="6" fillId="11" borderId="38" xfId="0" applyFont="1" applyFill="1" applyBorder="1" applyAlignment="1">
      <alignment vertical="center" wrapText="1"/>
    </xf>
    <xf numFmtId="0" fontId="6" fillId="11" borderId="36" xfId="0" applyFont="1" applyFill="1" applyBorder="1" applyAlignment="1">
      <alignment vertical="center" wrapText="1"/>
    </xf>
    <xf numFmtId="0" fontId="6" fillId="11" borderId="38" xfId="0" applyFont="1" applyFill="1" applyBorder="1" applyAlignment="1">
      <alignment horizontal="center" vertical="center" wrapText="1"/>
    </xf>
    <xf numFmtId="178" fontId="6" fillId="11" borderId="26" xfId="0" applyNumberFormat="1" applyFont="1" applyFill="1" applyBorder="1" applyAlignment="1">
      <alignment vertical="center" wrapText="1"/>
    </xf>
    <xf numFmtId="1" fontId="6" fillId="11" borderId="26" xfId="0" applyNumberFormat="1" applyFont="1" applyFill="1" applyBorder="1" applyAlignment="1">
      <alignment horizontal="center" vertical="center" wrapText="1"/>
    </xf>
    <xf numFmtId="9" fontId="6" fillId="11" borderId="36" xfId="0" applyNumberFormat="1" applyFont="1" applyFill="1" applyBorder="1" applyAlignment="1">
      <alignment horizontal="center" vertical="center" wrapText="1"/>
    </xf>
    <xf numFmtId="178" fontId="6" fillId="11" borderId="38" xfId="0" applyNumberFormat="1" applyFont="1" applyFill="1" applyBorder="1" applyAlignment="1">
      <alignment vertical="center" wrapText="1"/>
    </xf>
    <xf numFmtId="178" fontId="6" fillId="11" borderId="37" xfId="0" applyNumberFormat="1" applyFont="1" applyFill="1" applyBorder="1" applyAlignment="1">
      <alignment vertical="center" wrapText="1"/>
    </xf>
    <xf numFmtId="178" fontId="6" fillId="11" borderId="59" xfId="0" applyNumberFormat="1" applyFont="1" applyFill="1" applyBorder="1" applyAlignment="1">
      <alignment vertical="center" wrapText="1"/>
    </xf>
    <xf numFmtId="178" fontId="6" fillId="11" borderId="27" xfId="0" applyNumberFormat="1" applyFont="1" applyFill="1" applyBorder="1" applyAlignment="1">
      <alignment vertical="center" wrapText="1"/>
    </xf>
    <xf numFmtId="0" fontId="24" fillId="8" borderId="26" xfId="0" applyFont="1" applyFill="1" applyBorder="1" applyAlignment="1">
      <alignment horizontal="center" vertical="center" wrapText="1"/>
    </xf>
    <xf numFmtId="0" fontId="24" fillId="4" borderId="36" xfId="0" applyFont="1" applyFill="1" applyBorder="1" applyAlignment="1">
      <alignment horizontal="left" vertical="center" wrapText="1"/>
    </xf>
    <xf numFmtId="0" fontId="27" fillId="4" borderId="38" xfId="0" applyFont="1" applyFill="1" applyBorder="1" applyAlignment="1">
      <alignment horizontal="center" vertical="center" wrapText="1"/>
    </xf>
    <xf numFmtId="178" fontId="24" fillId="4" borderId="26" xfId="0" applyNumberFormat="1" applyFont="1" applyFill="1" applyBorder="1" applyAlignment="1">
      <alignment vertical="center" wrapText="1"/>
    </xf>
    <xf numFmtId="171" fontId="24" fillId="4" borderId="26" xfId="0" applyNumberFormat="1" applyFont="1" applyFill="1" applyBorder="1" applyAlignment="1">
      <alignment horizontal="center" vertical="center" wrapText="1"/>
    </xf>
    <xf numFmtId="171" fontId="24" fillId="4" borderId="26" xfId="0" applyNumberFormat="1" applyFont="1" applyFill="1" applyBorder="1" applyAlignment="1">
      <alignment vertical="center" wrapText="1"/>
    </xf>
    <xf numFmtId="171" fontId="24" fillId="4" borderId="36" xfId="0" applyNumberFormat="1" applyFont="1" applyFill="1" applyBorder="1" applyAlignment="1">
      <alignment vertical="center" wrapText="1"/>
    </xf>
    <xf numFmtId="178" fontId="24" fillId="4" borderId="38" xfId="0" applyNumberFormat="1" applyFont="1" applyFill="1" applyBorder="1" applyAlignment="1">
      <alignment vertical="center" wrapText="1"/>
    </xf>
    <xf numFmtId="178" fontId="24" fillId="4" borderId="27" xfId="0" applyNumberFormat="1" applyFont="1" applyFill="1" applyBorder="1" applyAlignment="1">
      <alignment vertical="center" wrapText="1"/>
    </xf>
    <xf numFmtId="178" fontId="24" fillId="4" borderId="26" xfId="0" applyNumberFormat="1" applyFont="1" applyFill="1" applyBorder="1" applyAlignment="1">
      <alignment horizontal="right" vertical="center" wrapText="1"/>
    </xf>
    <xf numFmtId="175" fontId="24" fillId="0" borderId="26" xfId="0" applyNumberFormat="1" applyFont="1" applyBorder="1" applyAlignment="1">
      <alignment horizontal="center" vertical="center" wrapText="1"/>
    </xf>
    <xf numFmtId="0" fontId="6" fillId="4" borderId="26" xfId="0" applyFont="1" applyFill="1" applyBorder="1" applyAlignment="1">
      <alignment horizontal="center" vertical="center" wrapText="1"/>
    </xf>
    <xf numFmtId="0" fontId="6" fillId="4" borderId="26" xfId="0" applyFont="1" applyFill="1" applyBorder="1" applyAlignment="1">
      <alignment horizontal="center" vertical="center"/>
    </xf>
    <xf numFmtId="9" fontId="6" fillId="4" borderId="36" xfId="0" applyNumberFormat="1" applyFont="1" applyFill="1" applyBorder="1" applyAlignment="1">
      <alignment horizontal="center" vertical="center"/>
    </xf>
    <xf numFmtId="0" fontId="6" fillId="3" borderId="36" xfId="0" applyFont="1" applyFill="1" applyBorder="1" applyAlignment="1">
      <alignment horizontal="center" vertical="center" wrapText="1"/>
    </xf>
    <xf numFmtId="178" fontId="6" fillId="8" borderId="43" xfId="0" applyNumberFormat="1" applyFont="1" applyFill="1" applyBorder="1" applyAlignment="1">
      <alignment vertical="center" wrapText="1"/>
    </xf>
    <xf numFmtId="178" fontId="6" fillId="8" borderId="59" xfId="0" applyNumberFormat="1" applyFont="1" applyFill="1" applyBorder="1" applyAlignment="1">
      <alignment vertical="center" wrapText="1"/>
    </xf>
    <xf numFmtId="0" fontId="6" fillId="8" borderId="54" xfId="0" applyFont="1" applyFill="1" applyBorder="1" applyAlignment="1">
      <alignment vertical="center" wrapText="1"/>
    </xf>
    <xf numFmtId="0" fontId="6" fillId="8" borderId="58" xfId="0" applyFont="1" applyFill="1" applyBorder="1" applyAlignment="1">
      <alignment vertical="center" wrapText="1"/>
    </xf>
    <xf numFmtId="0" fontId="6" fillId="8" borderId="54" xfId="0" applyFont="1" applyFill="1" applyBorder="1" applyAlignment="1">
      <alignment horizontal="center" vertical="center" wrapText="1"/>
    </xf>
    <xf numFmtId="178" fontId="6" fillId="8" borderId="55" xfId="0" applyNumberFormat="1" applyFont="1" applyFill="1" applyBorder="1" applyAlignment="1">
      <alignment vertical="center" wrapText="1"/>
    </xf>
    <xf numFmtId="0" fontId="6" fillId="8" borderId="55" xfId="0" applyFont="1" applyFill="1" applyBorder="1" applyAlignment="1">
      <alignment horizontal="center" vertical="center" wrapText="1"/>
    </xf>
    <xf numFmtId="9" fontId="6" fillId="8" borderId="58" xfId="0" applyNumberFormat="1" applyFont="1" applyFill="1" applyBorder="1" applyAlignment="1">
      <alignment horizontal="center" vertical="center" wrapText="1"/>
    </xf>
    <xf numFmtId="0" fontId="6" fillId="8" borderId="32" xfId="0" applyFont="1" applyFill="1" applyBorder="1" applyAlignment="1">
      <alignment vertical="center" wrapText="1"/>
    </xf>
    <xf numFmtId="0" fontId="6" fillId="8" borderId="39" xfId="0" applyFont="1" applyFill="1" applyBorder="1" applyAlignment="1">
      <alignment vertical="center" wrapText="1"/>
    </xf>
    <xf numFmtId="178" fontId="6" fillId="8" borderId="28" xfId="0" applyNumberFormat="1" applyFont="1" applyFill="1" applyBorder="1" applyAlignment="1">
      <alignment vertical="center" wrapText="1"/>
    </xf>
    <xf numFmtId="9" fontId="6" fillId="8" borderId="39" xfId="0" applyNumberFormat="1" applyFont="1" applyFill="1" applyBorder="1" applyAlignment="1">
      <alignment horizontal="center" vertical="center" wrapText="1"/>
    </xf>
    <xf numFmtId="178" fontId="6" fillId="8" borderId="32" xfId="0" applyNumberFormat="1" applyFont="1" applyFill="1" applyBorder="1" applyAlignment="1">
      <alignment vertical="center" wrapText="1"/>
    </xf>
    <xf numFmtId="178" fontId="6" fillId="8" borderId="29" xfId="0" applyNumberFormat="1" applyFont="1" applyFill="1" applyBorder="1" applyAlignment="1">
      <alignment vertical="center" wrapText="1"/>
    </xf>
    <xf numFmtId="178" fontId="24" fillId="0" borderId="0" xfId="0" applyNumberFormat="1" applyFont="1" applyAlignment="1">
      <alignment vertical="center" wrapText="1"/>
    </xf>
    <xf numFmtId="178" fontId="24" fillId="5" borderId="0" xfId="0" applyNumberFormat="1" applyFont="1" applyFill="1" applyAlignment="1">
      <alignment vertical="center" wrapText="1"/>
    </xf>
    <xf numFmtId="0" fontId="6" fillId="0" borderId="38" xfId="0" applyFont="1" applyBorder="1" applyAlignment="1">
      <alignment horizontal="center" vertical="center" wrapText="1"/>
    </xf>
    <xf numFmtId="9" fontId="6" fillId="0" borderId="26" xfId="0" applyNumberFormat="1" applyFont="1" applyBorder="1" applyAlignment="1">
      <alignment horizontal="center" vertical="center" wrapText="1"/>
    </xf>
    <xf numFmtId="167" fontId="6" fillId="0" borderId="26" xfId="3" applyNumberFormat="1" applyFont="1" applyBorder="1" applyAlignment="1">
      <alignment horizontal="center" vertical="center" wrapText="1"/>
    </xf>
    <xf numFmtId="167" fontId="6" fillId="0" borderId="27" xfId="3" applyNumberFormat="1" applyFont="1" applyBorder="1" applyAlignment="1">
      <alignment horizontal="center" vertical="center" wrapText="1"/>
    </xf>
    <xf numFmtId="167" fontId="6" fillId="0" borderId="38" xfId="3" applyNumberFormat="1" applyFont="1" applyBorder="1" applyAlignment="1">
      <alignment horizontal="center" vertical="center" wrapText="1"/>
    </xf>
    <xf numFmtId="167" fontId="6" fillId="8" borderId="26" xfId="0" applyNumberFormat="1" applyFont="1" applyFill="1" applyBorder="1" applyAlignment="1">
      <alignment horizontal="center" vertical="center" wrapText="1"/>
    </xf>
    <xf numFmtId="165" fontId="28" fillId="8" borderId="26" xfId="0" applyNumberFormat="1" applyFont="1" applyFill="1" applyBorder="1" applyAlignment="1">
      <alignment horizontal="center" vertical="center" wrapText="1"/>
    </xf>
    <xf numFmtId="0" fontId="28" fillId="8" borderId="26" xfId="0" applyFont="1" applyFill="1" applyBorder="1" applyAlignment="1">
      <alignment horizontal="center" vertical="center" wrapText="1"/>
    </xf>
    <xf numFmtId="167" fontId="28" fillId="8" borderId="26" xfId="3" applyNumberFormat="1" applyFont="1" applyFill="1" applyBorder="1" applyAlignment="1">
      <alignment vertical="center" wrapText="1"/>
    </xf>
    <xf numFmtId="167" fontId="28" fillId="8" borderId="26" xfId="3" applyNumberFormat="1" applyFont="1" applyFill="1" applyBorder="1" applyAlignment="1">
      <alignment horizontal="center" vertical="center" wrapText="1"/>
    </xf>
    <xf numFmtId="167" fontId="28" fillId="8" borderId="27" xfId="3" applyNumberFormat="1" applyFont="1" applyFill="1" applyBorder="1" applyAlignment="1">
      <alignment horizontal="center" vertical="center" wrapText="1"/>
    </xf>
    <xf numFmtId="0" fontId="28" fillId="8" borderId="38" xfId="0" applyFont="1" applyFill="1" applyBorder="1" applyAlignment="1">
      <alignment vertical="center" wrapText="1"/>
    </xf>
    <xf numFmtId="0" fontId="28" fillId="8" borderId="26" xfId="0" applyFont="1" applyFill="1" applyBorder="1" applyAlignment="1">
      <alignment vertical="center" wrapText="1"/>
    </xf>
    <xf numFmtId="167" fontId="28" fillId="8" borderId="38" xfId="3" applyNumberFormat="1" applyFont="1" applyFill="1" applyBorder="1" applyAlignment="1">
      <alignment horizontal="center" vertical="center" wrapText="1"/>
    </xf>
    <xf numFmtId="167" fontId="28" fillId="8" borderId="27" xfId="3" applyNumberFormat="1" applyFont="1" applyFill="1" applyBorder="1" applyAlignment="1">
      <alignment vertical="center" wrapText="1"/>
    </xf>
    <xf numFmtId="167" fontId="6" fillId="0" borderId="26" xfId="3" applyNumberFormat="1" applyFont="1" applyFill="1" applyBorder="1" applyAlignment="1">
      <alignment horizontal="center" vertical="center" wrapText="1"/>
    </xf>
    <xf numFmtId="167" fontId="6" fillId="0" borderId="27" xfId="3" applyNumberFormat="1" applyFont="1" applyFill="1" applyBorder="1" applyAlignment="1">
      <alignment horizontal="center" vertical="center" wrapText="1"/>
    </xf>
    <xf numFmtId="167" fontId="6" fillId="0" borderId="38" xfId="3" applyNumberFormat="1" applyFont="1" applyFill="1" applyBorder="1" applyAlignment="1">
      <alignment horizontal="center" vertical="center" wrapText="1"/>
    </xf>
    <xf numFmtId="167" fontId="24" fillId="0" borderId="27" xfId="3" applyNumberFormat="1" applyFont="1" applyFill="1" applyBorder="1" applyAlignment="1">
      <alignment vertical="center" wrapText="1"/>
    </xf>
    <xf numFmtId="167" fontId="24" fillId="0" borderId="26" xfId="3" applyNumberFormat="1" applyFont="1" applyFill="1" applyBorder="1" applyAlignment="1">
      <alignment horizontal="center" vertical="center" wrapText="1"/>
    </xf>
    <xf numFmtId="9" fontId="24" fillId="0" borderId="26" xfId="10" applyFont="1" applyFill="1" applyBorder="1" applyAlignment="1">
      <alignment horizontal="center" vertical="center" wrapText="1"/>
    </xf>
    <xf numFmtId="167" fontId="24" fillId="0" borderId="27" xfId="3" applyNumberFormat="1" applyFont="1" applyBorder="1" applyAlignment="1">
      <alignment vertical="center" wrapText="1"/>
    </xf>
    <xf numFmtId="167" fontId="24" fillId="0" borderId="38" xfId="3" applyNumberFormat="1" applyFont="1" applyBorder="1" applyAlignment="1">
      <alignment vertical="center" wrapText="1"/>
    </xf>
    <xf numFmtId="166" fontId="6" fillId="3" borderId="26" xfId="1" applyNumberFormat="1" applyFont="1" applyFill="1" applyBorder="1" applyAlignment="1">
      <alignment horizontal="center" vertical="center" wrapText="1"/>
    </xf>
    <xf numFmtId="9" fontId="6" fillId="3" borderId="26" xfId="0" applyNumberFormat="1" applyFont="1" applyFill="1" applyBorder="1" applyAlignment="1">
      <alignment horizontal="center" vertical="center" wrapText="1"/>
    </xf>
    <xf numFmtId="167" fontId="6" fillId="3" borderId="26" xfId="3" applyNumberFormat="1" applyFont="1" applyFill="1" applyBorder="1" applyAlignment="1">
      <alignment vertical="center" wrapText="1"/>
    </xf>
    <xf numFmtId="167" fontId="6" fillId="3" borderId="27" xfId="3" applyNumberFormat="1" applyFont="1" applyFill="1" applyBorder="1" applyAlignment="1">
      <alignment vertical="center" wrapText="1"/>
    </xf>
    <xf numFmtId="167" fontId="6" fillId="3" borderId="38" xfId="3" applyNumberFormat="1" applyFont="1" applyFill="1" applyBorder="1" applyAlignment="1">
      <alignment vertical="center" wrapText="1"/>
    </xf>
    <xf numFmtId="166" fontId="6" fillId="8" borderId="26" xfId="1" applyNumberFormat="1" applyFont="1" applyFill="1" applyBorder="1" applyAlignment="1">
      <alignment horizontal="center" vertical="center" wrapText="1"/>
    </xf>
    <xf numFmtId="9" fontId="6" fillId="8" borderId="26" xfId="0" applyNumberFormat="1" applyFont="1" applyFill="1" applyBorder="1" applyAlignment="1">
      <alignment horizontal="center" vertical="center" wrapText="1"/>
    </xf>
    <xf numFmtId="167" fontId="6" fillId="8" borderId="26" xfId="3" applyNumberFormat="1" applyFont="1" applyFill="1" applyBorder="1" applyAlignment="1">
      <alignment vertical="center" wrapText="1"/>
    </xf>
    <xf numFmtId="167" fontId="6" fillId="8" borderId="26" xfId="3" applyNumberFormat="1" applyFont="1" applyFill="1" applyBorder="1" applyAlignment="1">
      <alignment horizontal="center" vertical="center" wrapText="1"/>
    </xf>
    <xf numFmtId="167" fontId="6" fillId="8" borderId="27" xfId="3" applyNumberFormat="1" applyFont="1" applyFill="1" applyBorder="1" applyAlignment="1">
      <alignment horizontal="center" vertical="center" wrapText="1"/>
    </xf>
    <xf numFmtId="0" fontId="6" fillId="8" borderId="26" xfId="0" applyFont="1" applyFill="1" applyBorder="1" applyAlignment="1">
      <alignment vertical="center" wrapText="1"/>
    </xf>
    <xf numFmtId="167" fontId="6" fillId="8" borderId="38" xfId="3" applyNumberFormat="1" applyFont="1" applyFill="1" applyBorder="1" applyAlignment="1">
      <alignment horizontal="center" vertical="center" wrapText="1"/>
    </xf>
    <xf numFmtId="167" fontId="24" fillId="8" borderId="27" xfId="3" applyNumberFormat="1" applyFont="1" applyFill="1" applyBorder="1" applyAlignment="1">
      <alignment vertical="center" wrapText="1"/>
    </xf>
    <xf numFmtId="169" fontId="24" fillId="0" borderId="38" xfId="0" applyNumberFormat="1" applyFont="1" applyBorder="1" applyAlignment="1">
      <alignment horizontal="center" vertical="center" wrapText="1"/>
    </xf>
    <xf numFmtId="172" fontId="24" fillId="0" borderId="26" xfId="0" applyNumberFormat="1" applyFont="1" applyBorder="1" applyAlignment="1">
      <alignment horizontal="center" vertical="center" wrapText="1"/>
    </xf>
    <xf numFmtId="167" fontId="24" fillId="0" borderId="38" xfId="3" applyNumberFormat="1" applyFont="1" applyFill="1" applyBorder="1" applyAlignment="1">
      <alignment vertical="center" wrapText="1"/>
    </xf>
    <xf numFmtId="172" fontId="24" fillId="3" borderId="38" xfId="0" applyNumberFormat="1" applyFont="1" applyFill="1" applyBorder="1" applyAlignment="1">
      <alignment horizontal="center" vertical="center" wrapText="1"/>
    </xf>
    <xf numFmtId="10" fontId="24" fillId="3" borderId="26" xfId="10" applyNumberFormat="1" applyFont="1" applyFill="1" applyBorder="1" applyAlignment="1">
      <alignment horizontal="center" vertical="center" wrapText="1"/>
    </xf>
    <xf numFmtId="166" fontId="24" fillId="3" borderId="26" xfId="1" applyNumberFormat="1" applyFont="1" applyFill="1" applyBorder="1" applyAlignment="1">
      <alignment horizontal="center" vertical="center" wrapText="1"/>
    </xf>
    <xf numFmtId="0" fontId="24" fillId="3" borderId="26" xfId="0" applyFont="1" applyFill="1" applyBorder="1" applyAlignment="1">
      <alignment horizontal="center" vertical="center" wrapText="1"/>
    </xf>
    <xf numFmtId="167" fontId="24" fillId="3" borderId="26" xfId="3" applyNumberFormat="1" applyFont="1" applyFill="1" applyBorder="1" applyAlignment="1">
      <alignment horizontal="center" vertical="center" wrapText="1"/>
    </xf>
    <xf numFmtId="172" fontId="6" fillId="8" borderId="38" xfId="0" applyNumberFormat="1" applyFont="1" applyFill="1" applyBorder="1" applyAlignment="1">
      <alignment horizontal="center" vertical="center" wrapText="1"/>
    </xf>
    <xf numFmtId="172" fontId="6" fillId="0" borderId="38" xfId="0" applyNumberFormat="1" applyFont="1" applyBorder="1" applyAlignment="1">
      <alignment horizontal="center" vertical="center" wrapText="1"/>
    </xf>
    <xf numFmtId="166" fontId="6" fillId="0" borderId="26" xfId="1" applyNumberFormat="1" applyFont="1" applyFill="1" applyBorder="1" applyAlignment="1">
      <alignment horizontal="center" vertical="center" wrapText="1"/>
    </xf>
    <xf numFmtId="167" fontId="6" fillId="0" borderId="26" xfId="3" applyNumberFormat="1" applyFont="1" applyFill="1" applyBorder="1" applyAlignment="1">
      <alignment vertical="center" wrapText="1"/>
    </xf>
    <xf numFmtId="167" fontId="24" fillId="0" borderId="26" xfId="3" applyNumberFormat="1" applyFont="1" applyFill="1" applyBorder="1" applyAlignment="1">
      <alignment horizontal="right" vertical="center" wrapText="1"/>
    </xf>
    <xf numFmtId="3" fontId="6" fillId="3" borderId="38" xfId="0" applyNumberFormat="1" applyFont="1" applyFill="1" applyBorder="1" applyAlignment="1">
      <alignment horizontal="center" vertical="center" wrapText="1"/>
    </xf>
    <xf numFmtId="176" fontId="6" fillId="3" borderId="38" xfId="3" applyNumberFormat="1" applyFont="1" applyFill="1" applyBorder="1" applyAlignment="1">
      <alignment vertical="center" wrapText="1"/>
    </xf>
    <xf numFmtId="176" fontId="6" fillId="3" borderId="26" xfId="3" applyNumberFormat="1" applyFont="1" applyFill="1" applyBorder="1" applyAlignment="1">
      <alignment vertical="center" wrapText="1"/>
    </xf>
    <xf numFmtId="167" fontId="24" fillId="8" borderId="26" xfId="3" applyNumberFormat="1" applyFont="1" applyFill="1" applyBorder="1" applyAlignment="1">
      <alignment horizontal="center" vertical="center" wrapText="1"/>
    </xf>
    <xf numFmtId="167" fontId="24" fillId="8" borderId="27" xfId="3" applyNumberFormat="1" applyFont="1" applyFill="1" applyBorder="1" applyAlignment="1">
      <alignment horizontal="center" vertical="center" wrapText="1"/>
    </xf>
    <xf numFmtId="167" fontId="24" fillId="8" borderId="38" xfId="3" applyNumberFormat="1" applyFont="1" applyFill="1" applyBorder="1" applyAlignment="1">
      <alignment horizontal="center" vertical="center" wrapText="1"/>
    </xf>
    <xf numFmtId="9" fontId="24" fillId="3" borderId="26" xfId="0" applyNumberFormat="1" applyFont="1" applyFill="1" applyBorder="1" applyAlignment="1">
      <alignment horizontal="center" vertical="center" wrapText="1"/>
    </xf>
    <xf numFmtId="167" fontId="26" fillId="8" borderId="27" xfId="3" applyNumberFormat="1" applyFont="1" applyFill="1" applyBorder="1" applyAlignment="1">
      <alignment vertical="center" wrapText="1"/>
    </xf>
    <xf numFmtId="0" fontId="6" fillId="8" borderId="34" xfId="0" applyFont="1" applyFill="1" applyBorder="1" applyAlignment="1">
      <alignment horizontal="center" vertical="center" wrapText="1"/>
    </xf>
    <xf numFmtId="167" fontId="6" fillId="8" borderId="34" xfId="3" applyNumberFormat="1" applyFont="1" applyFill="1" applyBorder="1" applyAlignment="1">
      <alignment vertical="center" wrapText="1"/>
    </xf>
    <xf numFmtId="167" fontId="24" fillId="8" borderId="34" xfId="3" applyNumberFormat="1" applyFont="1" applyFill="1" applyBorder="1" applyAlignment="1">
      <alignment horizontal="center" vertical="center" wrapText="1"/>
    </xf>
    <xf numFmtId="167" fontId="24" fillId="8" borderId="53" xfId="3" applyNumberFormat="1" applyFont="1" applyFill="1" applyBorder="1" applyAlignment="1">
      <alignment horizontal="center" vertical="center" wrapText="1"/>
    </xf>
    <xf numFmtId="167" fontId="24" fillId="8" borderId="52" xfId="3" applyNumberFormat="1" applyFont="1" applyFill="1" applyBorder="1" applyAlignment="1">
      <alignment horizontal="center" vertical="center" wrapText="1"/>
    </xf>
    <xf numFmtId="167" fontId="24" fillId="8" borderId="53" xfId="3" applyNumberFormat="1" applyFont="1" applyFill="1" applyBorder="1" applyAlignment="1">
      <alignment vertical="center" wrapText="1"/>
    </xf>
    <xf numFmtId="167" fontId="6" fillId="3" borderId="41" xfId="3" applyNumberFormat="1" applyFont="1" applyFill="1" applyBorder="1" applyAlignment="1">
      <alignment vertical="center" wrapText="1"/>
    </xf>
    <xf numFmtId="0" fontId="24" fillId="8" borderId="38" xfId="0" applyFont="1" applyFill="1" applyBorder="1" applyAlignment="1">
      <alignment horizontal="center" vertical="center" wrapText="1"/>
    </xf>
    <xf numFmtId="9" fontId="24" fillId="8" borderId="26" xfId="0" applyNumberFormat="1" applyFont="1" applyFill="1" applyBorder="1" applyAlignment="1">
      <alignment horizontal="center" vertical="center" wrapText="1"/>
    </xf>
    <xf numFmtId="167" fontId="24" fillId="8" borderId="26" xfId="3" applyNumberFormat="1" applyFont="1" applyFill="1" applyBorder="1" applyAlignment="1">
      <alignment vertical="center" wrapText="1"/>
    </xf>
    <xf numFmtId="0" fontId="6" fillId="12" borderId="43" xfId="0" applyFont="1" applyFill="1" applyBorder="1" applyAlignment="1">
      <alignment vertical="center" wrapText="1"/>
    </xf>
    <xf numFmtId="0" fontId="24" fillId="12" borderId="38" xfId="0" applyFont="1" applyFill="1" applyBorder="1" applyAlignment="1">
      <alignment horizontal="center" vertical="center" wrapText="1"/>
    </xf>
    <xf numFmtId="0" fontId="24" fillId="12" borderId="26" xfId="0" applyFont="1" applyFill="1" applyBorder="1" applyAlignment="1">
      <alignment horizontal="center" vertical="center" wrapText="1"/>
    </xf>
    <xf numFmtId="9" fontId="24" fillId="12" borderId="26" xfId="0" applyNumberFormat="1" applyFont="1" applyFill="1" applyBorder="1" applyAlignment="1">
      <alignment horizontal="center" vertical="center" wrapText="1"/>
    </xf>
    <xf numFmtId="167" fontId="24" fillId="12" borderId="26" xfId="3" applyNumberFormat="1" applyFont="1" applyFill="1" applyBorder="1" applyAlignment="1">
      <alignment vertical="center" wrapText="1"/>
    </xf>
    <xf numFmtId="167" fontId="24" fillId="12" borderId="26" xfId="3" applyNumberFormat="1" applyFont="1" applyFill="1" applyBorder="1" applyAlignment="1">
      <alignment horizontal="center" vertical="center" wrapText="1"/>
    </xf>
    <xf numFmtId="167" fontId="24" fillId="12" borderId="27" xfId="3" applyNumberFormat="1" applyFont="1" applyFill="1" applyBorder="1" applyAlignment="1">
      <alignment horizontal="center" vertical="center" wrapText="1"/>
    </xf>
    <xf numFmtId="167" fontId="24" fillId="12" borderId="38" xfId="3" applyNumberFormat="1" applyFont="1" applyFill="1" applyBorder="1" applyAlignment="1">
      <alignment horizontal="center" vertical="center" wrapText="1"/>
    </xf>
    <xf numFmtId="167" fontId="24" fillId="12" borderId="27" xfId="3" applyNumberFormat="1" applyFont="1" applyFill="1" applyBorder="1" applyAlignment="1">
      <alignment vertical="center" wrapText="1"/>
    </xf>
    <xf numFmtId="167" fontId="24" fillId="3" borderId="27" xfId="3" applyNumberFormat="1" applyFont="1" applyFill="1" applyBorder="1" applyAlignment="1">
      <alignment horizontal="center" vertical="center" wrapText="1"/>
    </xf>
    <xf numFmtId="167" fontId="24" fillId="3" borderId="38" xfId="3" applyNumberFormat="1" applyFont="1" applyFill="1" applyBorder="1" applyAlignment="1">
      <alignment horizontal="center" vertical="center" wrapText="1"/>
    </xf>
    <xf numFmtId="167" fontId="24" fillId="3" borderId="27" xfId="3" applyNumberFormat="1" applyFont="1" applyFill="1" applyBorder="1" applyAlignment="1">
      <alignment vertical="center" wrapText="1"/>
    </xf>
    <xf numFmtId="167" fontId="24" fillId="0" borderId="27" xfId="3" applyNumberFormat="1" applyFont="1" applyFill="1" applyBorder="1" applyAlignment="1">
      <alignment horizontal="center" vertical="center" wrapText="1"/>
    </xf>
    <xf numFmtId="167" fontId="24" fillId="0" borderId="38" xfId="3" applyNumberFormat="1" applyFont="1" applyFill="1" applyBorder="1" applyAlignment="1">
      <alignment horizontal="center" vertical="center" wrapText="1"/>
    </xf>
    <xf numFmtId="167" fontId="24" fillId="5" borderId="26" xfId="3" applyNumberFormat="1" applyFont="1" applyFill="1" applyBorder="1" applyAlignment="1">
      <alignment vertical="center" wrapText="1"/>
    </xf>
    <xf numFmtId="167" fontId="24" fillId="5" borderId="38" xfId="3" applyNumberFormat="1" applyFont="1" applyFill="1" applyBorder="1" applyAlignment="1">
      <alignment vertical="center" wrapText="1"/>
    </xf>
    <xf numFmtId="167" fontId="24" fillId="5" borderId="27" xfId="3" applyNumberFormat="1" applyFont="1" applyFill="1" applyBorder="1" applyAlignment="1">
      <alignment vertical="center" wrapText="1"/>
    </xf>
    <xf numFmtId="167" fontId="6" fillId="8" borderId="27" xfId="3" applyNumberFormat="1" applyFont="1" applyFill="1" applyBorder="1" applyAlignment="1">
      <alignment vertical="center" wrapText="1"/>
    </xf>
    <xf numFmtId="167" fontId="6" fillId="8" borderId="38" xfId="3" applyNumberFormat="1" applyFont="1" applyFill="1" applyBorder="1" applyAlignment="1">
      <alignment vertical="center" wrapText="1"/>
    </xf>
    <xf numFmtId="10" fontId="6" fillId="8" borderId="55" xfId="10" applyNumberFormat="1" applyFont="1" applyFill="1" applyBorder="1" applyAlignment="1">
      <alignment horizontal="center" vertical="center" wrapText="1"/>
    </xf>
    <xf numFmtId="9" fontId="6" fillId="8" borderId="55" xfId="0" applyNumberFormat="1" applyFont="1" applyFill="1" applyBorder="1" applyAlignment="1">
      <alignment horizontal="center" vertical="center" wrapText="1"/>
    </xf>
    <xf numFmtId="167" fontId="6" fillId="8" borderId="55" xfId="3" applyNumberFormat="1" applyFont="1" applyFill="1" applyBorder="1" applyAlignment="1">
      <alignment vertical="center" wrapText="1"/>
    </xf>
    <xf numFmtId="167" fontId="6" fillId="8" borderId="56" xfId="3" applyNumberFormat="1" applyFont="1" applyFill="1" applyBorder="1" applyAlignment="1">
      <alignment vertical="center" wrapText="1"/>
    </xf>
    <xf numFmtId="0" fontId="6" fillId="8" borderId="55" xfId="0" applyFont="1" applyFill="1" applyBorder="1" applyAlignment="1">
      <alignment vertical="center" wrapText="1"/>
    </xf>
    <xf numFmtId="167" fontId="6" fillId="8" borderId="54" xfId="3" applyNumberFormat="1" applyFont="1" applyFill="1" applyBorder="1" applyAlignment="1">
      <alignment vertical="center" wrapText="1"/>
    </xf>
    <xf numFmtId="167" fontId="6" fillId="8" borderId="60" xfId="3" applyNumberFormat="1" applyFont="1" applyFill="1" applyBorder="1" applyAlignment="1">
      <alignment vertical="center" wrapText="1"/>
    </xf>
    <xf numFmtId="9" fontId="6" fillId="8" borderId="28" xfId="0" applyNumberFormat="1" applyFont="1" applyFill="1" applyBorder="1" applyAlignment="1">
      <alignment horizontal="center" vertical="center" wrapText="1"/>
    </xf>
    <xf numFmtId="167" fontId="6" fillId="8" borderId="28" xfId="3" applyNumberFormat="1" applyFont="1" applyFill="1" applyBorder="1" applyAlignment="1">
      <alignment vertical="center" wrapText="1"/>
    </xf>
    <xf numFmtId="167" fontId="6" fillId="8" borderId="29" xfId="3" applyNumberFormat="1" applyFont="1" applyFill="1" applyBorder="1" applyAlignment="1">
      <alignment vertical="center" wrapText="1"/>
    </xf>
    <xf numFmtId="167" fontId="6" fillId="8" borderId="32" xfId="3" applyNumberFormat="1" applyFont="1" applyFill="1" applyBorder="1" applyAlignment="1">
      <alignment vertical="center" wrapText="1"/>
    </xf>
    <xf numFmtId="3" fontId="24" fillId="0" borderId="0" xfId="0" applyNumberFormat="1" applyFont="1"/>
    <xf numFmtId="3" fontId="24" fillId="2" borderId="40" xfId="0" applyNumberFormat="1" applyFont="1" applyFill="1" applyBorder="1"/>
    <xf numFmtId="3" fontId="6" fillId="0" borderId="0" xfId="0" applyNumberFormat="1" applyFont="1"/>
    <xf numFmtId="3" fontId="6" fillId="2" borderId="41" xfId="0" applyNumberFormat="1" applyFont="1" applyFill="1" applyBorder="1"/>
    <xf numFmtId="0" fontId="24" fillId="2" borderId="38" xfId="0" applyFont="1" applyFill="1" applyBorder="1" applyAlignment="1">
      <alignment horizontal="center" vertical="center" wrapText="1"/>
    </xf>
    <xf numFmtId="0" fontId="24" fillId="2" borderId="26" xfId="0" applyFont="1" applyFill="1" applyBorder="1" applyAlignment="1">
      <alignment horizontal="center" vertical="center" wrapText="1"/>
    </xf>
    <xf numFmtId="0" fontId="24" fillId="2" borderId="27" xfId="0" applyFont="1" applyFill="1" applyBorder="1" applyAlignment="1">
      <alignment horizontal="center" vertical="center" wrapText="1"/>
    </xf>
    <xf numFmtId="3" fontId="24" fillId="8" borderId="41" xfId="0" applyNumberFormat="1" applyFont="1" applyFill="1" applyBorder="1"/>
    <xf numFmtId="176" fontId="24" fillId="0" borderId="38" xfId="3" applyNumberFormat="1" applyFont="1" applyBorder="1" applyAlignment="1"/>
    <xf numFmtId="176" fontId="24" fillId="0" borderId="26" xfId="3" applyNumberFormat="1" applyFont="1" applyBorder="1" applyAlignment="1"/>
    <xf numFmtId="176" fontId="24" fillId="0" borderId="27" xfId="3" applyNumberFormat="1" applyFont="1" applyBorder="1" applyAlignment="1"/>
    <xf numFmtId="176" fontId="24" fillId="0" borderId="38" xfId="3" applyNumberFormat="1" applyFont="1" applyFill="1" applyBorder="1" applyAlignment="1"/>
    <xf numFmtId="9" fontId="24" fillId="0" borderId="0" xfId="10" applyFont="1"/>
    <xf numFmtId="176" fontId="24" fillId="10" borderId="38" xfId="3" applyNumberFormat="1" applyFont="1" applyFill="1" applyBorder="1" applyAlignment="1"/>
    <xf numFmtId="176" fontId="24" fillId="10" borderId="26" xfId="3" applyNumberFormat="1" applyFont="1" applyFill="1" applyBorder="1" applyAlignment="1"/>
    <xf numFmtId="176" fontId="24" fillId="10" borderId="27" xfId="3" applyNumberFormat="1" applyFont="1" applyFill="1" applyBorder="1" applyAlignment="1"/>
    <xf numFmtId="3" fontId="24" fillId="8" borderId="42" xfId="0" applyNumberFormat="1" applyFont="1" applyFill="1" applyBorder="1"/>
    <xf numFmtId="176" fontId="6" fillId="0" borderId="32" xfId="3" applyNumberFormat="1" applyFont="1" applyBorder="1" applyAlignment="1"/>
    <xf numFmtId="176" fontId="6" fillId="0" borderId="28" xfId="3" applyNumberFormat="1" applyFont="1" applyBorder="1" applyAlignment="1"/>
    <xf numFmtId="176" fontId="6" fillId="0" borderId="29" xfId="3" applyNumberFormat="1" applyFont="1" applyBorder="1" applyAlignment="1"/>
    <xf numFmtId="167" fontId="24" fillId="0" borderId="0" xfId="3" applyNumberFormat="1" applyFont="1"/>
    <xf numFmtId="176" fontId="6" fillId="0" borderId="0" xfId="10" applyNumberFormat="1" applyFont="1"/>
    <xf numFmtId="10" fontId="6" fillId="0" borderId="0" xfId="10" applyNumberFormat="1" applyFont="1"/>
    <xf numFmtId="0" fontId="6" fillId="5" borderId="61" xfId="0" applyFont="1" applyFill="1" applyBorder="1" applyAlignment="1">
      <alignment horizontal="center" vertical="center" wrapText="1"/>
    </xf>
    <xf numFmtId="0" fontId="6" fillId="5" borderId="62" xfId="0" applyFont="1" applyFill="1" applyBorder="1" applyAlignment="1">
      <alignment horizontal="center" vertical="center" wrapText="1"/>
    </xf>
    <xf numFmtId="167" fontId="24" fillId="0" borderId="0" xfId="0" applyNumberFormat="1" applyFont="1" applyAlignment="1">
      <alignment vertical="center" wrapText="1"/>
    </xf>
    <xf numFmtId="0" fontId="27" fillId="0" borderId="38" xfId="0" applyFont="1" applyBorder="1" applyAlignment="1">
      <alignment vertical="center" wrapText="1"/>
    </xf>
    <xf numFmtId="171" fontId="24" fillId="3" borderId="26" xfId="0" applyNumberFormat="1" applyFont="1" applyFill="1" applyBorder="1" applyAlignment="1">
      <alignment horizontal="center" vertical="center" wrapText="1"/>
    </xf>
    <xf numFmtId="171" fontId="24" fillId="3" borderId="26" xfId="0" applyNumberFormat="1" applyFont="1" applyFill="1" applyBorder="1" applyAlignment="1">
      <alignment vertical="center" wrapText="1"/>
    </xf>
    <xf numFmtId="178" fontId="24" fillId="3" borderId="26" xfId="0" applyNumberFormat="1" applyFont="1" applyFill="1" applyBorder="1" applyAlignment="1">
      <alignment horizontal="right" vertical="center" wrapText="1"/>
    </xf>
    <xf numFmtId="0" fontId="24" fillId="3" borderId="26" xfId="0" applyFont="1" applyFill="1" applyBorder="1" applyAlignment="1">
      <alignment vertical="center" wrapText="1"/>
    </xf>
    <xf numFmtId="172" fontId="24" fillId="3" borderId="26" xfId="0" applyNumberFormat="1" applyFont="1" applyFill="1" applyBorder="1" applyAlignment="1">
      <alignment vertical="center" wrapText="1"/>
    </xf>
    <xf numFmtId="0" fontId="24" fillId="3" borderId="26" xfId="0" applyFont="1" applyFill="1" applyBorder="1" applyAlignment="1">
      <alignment horizontal="left" vertical="center" wrapText="1"/>
    </xf>
    <xf numFmtId="0" fontId="27" fillId="3" borderId="26" xfId="0" applyFont="1" applyFill="1" applyBorder="1" applyAlignment="1">
      <alignment horizontal="center" vertical="center" wrapText="1"/>
    </xf>
    <xf numFmtId="166" fontId="6" fillId="3" borderId="26" xfId="1" applyNumberFormat="1" applyFont="1" applyFill="1" applyBorder="1" applyAlignment="1">
      <alignment vertical="center" wrapText="1"/>
    </xf>
    <xf numFmtId="166" fontId="6" fillId="8" borderId="26" xfId="1" applyNumberFormat="1" applyFont="1" applyFill="1" applyBorder="1" applyAlignment="1">
      <alignment vertical="center" wrapText="1"/>
    </xf>
    <xf numFmtId="166" fontId="24" fillId="0" borderId="26" xfId="1" applyNumberFormat="1" applyFont="1" applyFill="1" applyBorder="1" applyAlignment="1">
      <alignment horizontal="center" vertical="center"/>
    </xf>
    <xf numFmtId="0" fontId="27" fillId="0" borderId="43" xfId="0" applyFont="1" applyBorder="1" applyAlignment="1">
      <alignment vertical="center" wrapText="1"/>
    </xf>
    <xf numFmtId="166" fontId="24" fillId="0" borderId="26" xfId="1" applyNumberFormat="1" applyFont="1" applyFill="1" applyBorder="1" applyAlignment="1">
      <alignment horizontal="center" vertical="center" wrapText="1"/>
    </xf>
    <xf numFmtId="0" fontId="27" fillId="0" borderId="38" xfId="0" applyFont="1" applyBorder="1" applyAlignment="1">
      <alignment vertical="center"/>
    </xf>
    <xf numFmtId="0" fontId="24" fillId="0" borderId="52" xfId="0" applyFont="1" applyBorder="1" applyAlignment="1">
      <alignment horizontal="center" vertical="center" wrapText="1"/>
    </xf>
    <xf numFmtId="3" fontId="24" fillId="0" borderId="34" xfId="0" applyNumberFormat="1" applyFont="1" applyBorder="1" applyAlignment="1">
      <alignment horizontal="center" vertical="center" wrapText="1"/>
    </xf>
    <xf numFmtId="9" fontId="24" fillId="0" borderId="53" xfId="0" applyNumberFormat="1" applyFont="1" applyBorder="1" applyAlignment="1">
      <alignment horizontal="center" vertical="center" wrapText="1"/>
    </xf>
    <xf numFmtId="171" fontId="24" fillId="0" borderId="52" xfId="0" applyNumberFormat="1" applyFont="1" applyBorder="1" applyAlignment="1">
      <alignment vertical="center" wrapText="1"/>
    </xf>
    <xf numFmtId="171" fontId="24" fillId="0" borderId="34" xfId="0" applyNumberFormat="1" applyFont="1" applyBorder="1" applyAlignment="1">
      <alignment vertical="center" wrapText="1"/>
    </xf>
    <xf numFmtId="171" fontId="24" fillId="0" borderId="53" xfId="0" applyNumberFormat="1" applyFont="1" applyBorder="1" applyAlignment="1">
      <alignment vertical="center" wrapText="1"/>
    </xf>
    <xf numFmtId="171" fontId="24" fillId="0" borderId="51" xfId="0" applyNumberFormat="1" applyFont="1" applyBorder="1" applyAlignment="1">
      <alignment vertical="center" wrapText="1"/>
    </xf>
    <xf numFmtId="178" fontId="24" fillId="0" borderId="34" xfId="0" applyNumberFormat="1" applyFont="1" applyBorder="1" applyAlignment="1">
      <alignment horizontal="center" vertical="center" wrapText="1"/>
    </xf>
    <xf numFmtId="0" fontId="24" fillId="0" borderId="57" xfId="0" applyFont="1" applyBorder="1" applyAlignment="1">
      <alignment vertical="center" wrapText="1"/>
    </xf>
    <xf numFmtId="0" fontId="27" fillId="0" borderId="57" xfId="0" applyFont="1" applyBorder="1" applyAlignment="1">
      <alignment vertical="center" wrapText="1"/>
    </xf>
    <xf numFmtId="167" fontId="24" fillId="0" borderId="34" xfId="3" applyNumberFormat="1" applyFont="1" applyFill="1" applyBorder="1" applyAlignment="1">
      <alignment vertical="center"/>
    </xf>
    <xf numFmtId="0" fontId="29" fillId="3" borderId="0" xfId="0" applyFont="1" applyFill="1" applyAlignment="1">
      <alignment wrapText="1"/>
    </xf>
    <xf numFmtId="167" fontId="24" fillId="0" borderId="0" xfId="3" applyNumberFormat="1" applyFont="1" applyFill="1" applyBorder="1" applyAlignment="1">
      <alignment horizontal="center" vertical="center" wrapText="1"/>
    </xf>
    <xf numFmtId="0" fontId="24" fillId="3" borderId="54" xfId="0" applyFont="1" applyFill="1" applyBorder="1" applyAlignment="1">
      <alignment horizontal="center" vertical="center" wrapText="1"/>
    </xf>
    <xf numFmtId="0" fontId="24" fillId="3" borderId="55" xfId="0" applyFont="1" applyFill="1" applyBorder="1" applyAlignment="1">
      <alignment horizontal="center" vertical="center" wrapText="1"/>
    </xf>
    <xf numFmtId="9" fontId="24" fillId="3" borderId="55" xfId="0" applyNumberFormat="1" applyFont="1" applyFill="1" applyBorder="1" applyAlignment="1">
      <alignment horizontal="center" vertical="center" wrapText="1"/>
    </xf>
    <xf numFmtId="167" fontId="24" fillId="3" borderId="55" xfId="3" applyNumberFormat="1" applyFont="1" applyFill="1" applyBorder="1" applyAlignment="1">
      <alignment vertical="center" wrapText="1"/>
    </xf>
    <xf numFmtId="167" fontId="24" fillId="3" borderId="55" xfId="3" applyNumberFormat="1" applyFont="1" applyFill="1" applyBorder="1" applyAlignment="1">
      <alignment horizontal="center" vertical="center" wrapText="1"/>
    </xf>
    <xf numFmtId="167" fontId="24" fillId="3" borderId="56" xfId="3" applyNumberFormat="1" applyFont="1" applyFill="1" applyBorder="1" applyAlignment="1">
      <alignment horizontal="center" vertical="center" wrapText="1"/>
    </xf>
    <xf numFmtId="167" fontId="24" fillId="3" borderId="58" xfId="3" applyNumberFormat="1" applyFont="1" applyFill="1" applyBorder="1" applyAlignment="1">
      <alignment vertical="center" wrapText="1"/>
    </xf>
    <xf numFmtId="0" fontId="29" fillId="3" borderId="26" xfId="0" applyFont="1" applyFill="1" applyBorder="1" applyAlignment="1">
      <alignment wrapText="1"/>
    </xf>
    <xf numFmtId="3" fontId="24" fillId="0" borderId="34" xfId="0" applyNumberFormat="1" applyFont="1" applyBorder="1" applyAlignment="1">
      <alignment horizontal="left" vertical="center" wrapText="1"/>
    </xf>
    <xf numFmtId="167" fontId="24" fillId="0" borderId="38" xfId="3" applyNumberFormat="1" applyFont="1" applyBorder="1" applyAlignment="1">
      <alignment horizontal="center" vertical="center" wrapText="1"/>
    </xf>
    <xf numFmtId="167" fontId="24" fillId="0" borderId="27" xfId="3" applyNumberFormat="1" applyFont="1" applyBorder="1" applyAlignment="1">
      <alignment horizontal="center" vertical="center" wrapText="1"/>
    </xf>
    <xf numFmtId="167" fontId="24" fillId="0" borderId="26" xfId="3" applyNumberFormat="1" applyFont="1" applyBorder="1" applyAlignment="1">
      <alignment horizontal="center" vertical="center" wrapText="1"/>
    </xf>
    <xf numFmtId="0" fontId="24" fillId="0" borderId="63" xfId="0" applyFont="1" applyBorder="1" applyAlignment="1">
      <alignment horizontal="center" vertical="center" wrapText="1"/>
    </xf>
    <xf numFmtId="0" fontId="24" fillId="0" borderId="55" xfId="0" applyFont="1" applyBorder="1" applyAlignment="1">
      <alignment horizontal="center" vertical="center" wrapText="1"/>
    </xf>
    <xf numFmtId="9" fontId="24" fillId="0" borderId="55" xfId="0" applyNumberFormat="1" applyFont="1" applyBorder="1" applyAlignment="1">
      <alignment horizontal="center" vertical="center" wrapText="1"/>
    </xf>
    <xf numFmtId="167" fontId="24" fillId="0" borderId="55" xfId="3" applyNumberFormat="1" applyFont="1" applyFill="1" applyBorder="1" applyAlignment="1">
      <alignment vertical="center" wrapText="1"/>
    </xf>
    <xf numFmtId="167" fontId="24" fillId="0" borderId="55" xfId="3" applyNumberFormat="1" applyFont="1" applyFill="1" applyBorder="1" applyAlignment="1">
      <alignment horizontal="center" vertical="center" wrapText="1"/>
    </xf>
    <xf numFmtId="167" fontId="24" fillId="0" borderId="58" xfId="3" applyNumberFormat="1" applyFont="1" applyFill="1" applyBorder="1" applyAlignment="1">
      <alignment horizontal="center" vertical="center" wrapText="1"/>
    </xf>
    <xf numFmtId="0" fontId="31" fillId="0" borderId="43" xfId="0" applyFont="1" applyBorder="1" applyAlignment="1">
      <alignment vertical="center" wrapText="1"/>
    </xf>
    <xf numFmtId="0" fontId="32" fillId="0" borderId="0" xfId="0" applyFont="1" applyAlignment="1">
      <alignment wrapText="1"/>
    </xf>
    <xf numFmtId="0" fontId="32" fillId="0" borderId="26" xfId="0" applyFont="1" applyBorder="1" applyAlignment="1">
      <alignment wrapText="1"/>
    </xf>
    <xf numFmtId="167" fontId="24" fillId="0" borderId="26" xfId="3" applyNumberFormat="1" applyFont="1" applyBorder="1" applyAlignment="1">
      <alignment horizontal="center" vertical="center"/>
    </xf>
    <xf numFmtId="10" fontId="6" fillId="0" borderId="0" xfId="10" applyNumberFormat="1" applyFont="1" applyFill="1" applyBorder="1" applyAlignment="1">
      <alignment vertical="center"/>
    </xf>
    <xf numFmtId="175" fontId="24" fillId="0" borderId="38" xfId="0" applyNumberFormat="1" applyFont="1" applyBorder="1" applyAlignment="1">
      <alignment vertical="center" wrapText="1"/>
    </xf>
    <xf numFmtId="3" fontId="6" fillId="11" borderId="26" xfId="0" applyNumberFormat="1" applyFont="1" applyFill="1" applyBorder="1" applyAlignment="1">
      <alignment horizontal="center" vertical="center" wrapText="1"/>
    </xf>
    <xf numFmtId="178" fontId="24" fillId="11" borderId="27" xfId="0" applyNumberFormat="1" applyFont="1" applyFill="1" applyBorder="1" applyAlignment="1">
      <alignment vertical="center" wrapText="1"/>
    </xf>
    <xf numFmtId="0" fontId="24" fillId="3" borderId="36" xfId="0" applyFont="1" applyFill="1" applyBorder="1" applyAlignment="1">
      <alignment vertical="center" wrapText="1"/>
    </xf>
    <xf numFmtId="3" fontId="24" fillId="3" borderId="26" xfId="0" applyNumberFormat="1" applyFont="1" applyFill="1" applyBorder="1" applyAlignment="1">
      <alignment horizontal="center" vertical="center" wrapText="1"/>
    </xf>
    <xf numFmtId="9" fontId="24" fillId="3" borderId="36" xfId="0" applyNumberFormat="1" applyFont="1" applyFill="1" applyBorder="1" applyAlignment="1">
      <alignment horizontal="center" vertical="center" wrapText="1"/>
    </xf>
    <xf numFmtId="176" fontId="24" fillId="0" borderId="35" xfId="3" applyNumberFormat="1" applyFont="1" applyBorder="1" applyAlignment="1"/>
    <xf numFmtId="176" fontId="24" fillId="10" borderId="35" xfId="3" applyNumberFormat="1" applyFont="1" applyFill="1" applyBorder="1" applyAlignment="1"/>
    <xf numFmtId="176" fontId="6" fillId="0" borderId="64" xfId="3" applyNumberFormat="1" applyFont="1" applyBorder="1" applyAlignment="1"/>
    <xf numFmtId="0" fontId="24" fillId="2" borderId="36" xfId="0" applyFont="1" applyFill="1" applyBorder="1" applyAlignment="1">
      <alignment horizontal="center" vertical="center" wrapText="1"/>
    </xf>
    <xf numFmtId="0" fontId="24" fillId="2" borderId="37" xfId="0" applyFont="1" applyFill="1" applyBorder="1" applyAlignment="1">
      <alignment horizontal="center" vertical="center" wrapText="1"/>
    </xf>
    <xf numFmtId="2" fontId="24" fillId="0" borderId="38" xfId="0" applyNumberFormat="1" applyFont="1" applyBorder="1" applyAlignment="1">
      <alignment horizontal="center" vertical="center" wrapText="1"/>
    </xf>
    <xf numFmtId="10" fontId="24" fillId="0" borderId="26" xfId="0" applyNumberFormat="1" applyFont="1" applyBorder="1" applyAlignment="1">
      <alignment horizontal="center" vertical="center" wrapText="1"/>
    </xf>
    <xf numFmtId="0" fontId="24" fillId="0" borderId="26" xfId="8" applyFont="1" applyBorder="1" applyAlignment="1">
      <alignment horizontal="center" vertical="center" wrapText="1"/>
    </xf>
    <xf numFmtId="0" fontId="31" fillId="0" borderId="38" xfId="0" applyFont="1" applyBorder="1" applyAlignment="1">
      <alignment vertical="center" wrapText="1"/>
    </xf>
    <xf numFmtId="0" fontId="6" fillId="0" borderId="38" xfId="0" applyFont="1" applyBorder="1" applyAlignment="1">
      <alignment vertical="center" wrapText="1"/>
    </xf>
    <xf numFmtId="10" fontId="6" fillId="0" borderId="26" xfId="10" applyNumberFormat="1" applyFont="1" applyFill="1" applyBorder="1" applyAlignment="1">
      <alignment horizontal="center" vertical="center" wrapText="1"/>
    </xf>
    <xf numFmtId="167" fontId="6" fillId="0" borderId="27" xfId="3" applyNumberFormat="1" applyFont="1" applyFill="1" applyBorder="1" applyAlignment="1">
      <alignment vertical="center" wrapText="1"/>
    </xf>
    <xf numFmtId="167" fontId="6" fillId="0" borderId="38" xfId="3" applyNumberFormat="1" applyFont="1" applyFill="1" applyBorder="1" applyAlignment="1">
      <alignment vertical="center" wrapText="1"/>
    </xf>
    <xf numFmtId="0" fontId="6" fillId="4" borderId="38" xfId="0" applyFont="1" applyFill="1" applyBorder="1" applyAlignment="1">
      <alignment vertical="center" wrapText="1"/>
    </xf>
    <xf numFmtId="0" fontId="27" fillId="0" borderId="38" xfId="0" applyFont="1" applyBorder="1" applyAlignment="1">
      <alignment horizontal="center" vertical="center" wrapText="1"/>
    </xf>
    <xf numFmtId="0" fontId="33" fillId="0" borderId="26" xfId="0" applyFont="1" applyBorder="1" applyAlignment="1">
      <alignment vertical="center" wrapText="1"/>
    </xf>
    <xf numFmtId="0" fontId="6" fillId="0" borderId="26" xfId="0" applyFont="1" applyBorder="1" applyAlignment="1">
      <alignment horizontal="center" vertical="center"/>
    </xf>
    <xf numFmtId="9" fontId="6" fillId="0" borderId="36" xfId="0" applyNumberFormat="1" applyFont="1" applyBorder="1" applyAlignment="1">
      <alignment horizontal="center" vertical="center"/>
    </xf>
    <xf numFmtId="178" fontId="24" fillId="0" borderId="36" xfId="0" applyNumberFormat="1" applyFont="1" applyBorder="1" applyAlignment="1">
      <alignment vertical="center" wrapText="1"/>
    </xf>
    <xf numFmtId="0" fontId="6" fillId="0" borderId="54" xfId="0" applyFont="1" applyBorder="1" applyAlignment="1">
      <alignment vertical="center" wrapText="1"/>
    </xf>
    <xf numFmtId="0" fontId="6" fillId="0" borderId="58" xfId="0" applyFont="1" applyBorder="1" applyAlignment="1">
      <alignment vertical="center" wrapText="1"/>
    </xf>
    <xf numFmtId="0" fontId="6" fillId="0" borderId="54" xfId="0" applyFont="1" applyBorder="1" applyAlignment="1">
      <alignment horizontal="center" vertical="center" wrapText="1"/>
    </xf>
    <xf numFmtId="9" fontId="6" fillId="0" borderId="55" xfId="0" applyNumberFormat="1" applyFont="1" applyBorder="1" applyAlignment="1">
      <alignment vertical="center" wrapText="1"/>
    </xf>
    <xf numFmtId="0" fontId="6" fillId="0" borderId="55" xfId="0" applyFont="1" applyBorder="1" applyAlignment="1">
      <alignment horizontal="center" vertical="center" wrapText="1"/>
    </xf>
    <xf numFmtId="9" fontId="6" fillId="0" borderId="58" xfId="0" applyNumberFormat="1" applyFont="1" applyBorder="1" applyAlignment="1">
      <alignment horizontal="center" vertical="center" wrapText="1"/>
    </xf>
    <xf numFmtId="178" fontId="6" fillId="0" borderId="54" xfId="0" applyNumberFormat="1" applyFont="1" applyBorder="1" applyAlignment="1">
      <alignment vertical="center" wrapText="1"/>
    </xf>
    <xf numFmtId="178" fontId="6" fillId="0" borderId="55" xfId="0" applyNumberFormat="1" applyFont="1" applyBorder="1" applyAlignment="1">
      <alignment vertical="center" wrapText="1"/>
    </xf>
    <xf numFmtId="178" fontId="6" fillId="0" borderId="56" xfId="0" applyNumberFormat="1" applyFont="1" applyBorder="1" applyAlignment="1">
      <alignment vertical="center" wrapText="1"/>
    </xf>
    <xf numFmtId="0" fontId="33" fillId="0" borderId="43" xfId="0" applyFont="1" applyBorder="1" applyAlignment="1">
      <alignment vertical="center" wrapText="1"/>
    </xf>
    <xf numFmtId="0" fontId="30" fillId="0" borderId="26" xfId="0" applyFont="1" applyBorder="1" applyAlignment="1">
      <alignment wrapText="1"/>
    </xf>
    <xf numFmtId="0" fontId="24" fillId="0" borderId="26" xfId="3" applyNumberFormat="1" applyFont="1" applyFill="1" applyBorder="1" applyAlignment="1">
      <alignment horizontal="center" vertical="center" wrapText="1"/>
    </xf>
    <xf numFmtId="178" fontId="24" fillId="0" borderId="26" xfId="3" applyNumberFormat="1" applyFont="1" applyFill="1" applyBorder="1" applyAlignment="1">
      <alignment horizontal="right" vertical="center" wrapText="1"/>
    </xf>
    <xf numFmtId="0" fontId="30" fillId="0" borderId="37" xfId="0" applyFont="1" applyBorder="1" applyAlignment="1">
      <alignment wrapText="1"/>
    </xf>
    <xf numFmtId="9" fontId="24" fillId="0" borderId="36" xfId="10" applyFont="1" applyFill="1" applyBorder="1" applyAlignment="1">
      <alignment horizontal="center" vertical="center" wrapText="1"/>
    </xf>
    <xf numFmtId="178" fontId="24" fillId="0" borderId="37" xfId="3" applyNumberFormat="1" applyFont="1" applyFill="1" applyBorder="1" applyAlignment="1">
      <alignment horizontal="right" vertical="center" wrapText="1"/>
    </xf>
    <xf numFmtId="178" fontId="24" fillId="0" borderId="37" xfId="0" applyNumberFormat="1" applyFont="1" applyBorder="1" applyAlignment="1">
      <alignment horizontal="right" vertical="center" wrapText="1"/>
    </xf>
    <xf numFmtId="1" fontId="24" fillId="0" borderId="26" xfId="3" applyNumberFormat="1" applyFont="1" applyFill="1" applyBorder="1" applyAlignment="1">
      <alignment horizontal="center" vertical="center" wrapText="1"/>
    </xf>
    <xf numFmtId="9" fontId="24" fillId="0" borderId="26" xfId="10" applyFont="1" applyFill="1" applyBorder="1" applyAlignment="1">
      <alignment vertical="center" wrapText="1"/>
    </xf>
    <xf numFmtId="178" fontId="24" fillId="0" borderId="26" xfId="0" applyNumberFormat="1" applyFont="1" applyBorder="1" applyAlignment="1">
      <alignment horizontal="right" vertical="center" wrapText="1" indent="1"/>
    </xf>
    <xf numFmtId="178" fontId="24" fillId="0" borderId="26" xfId="3" applyNumberFormat="1" applyFont="1" applyFill="1" applyBorder="1" applyAlignment="1">
      <alignment vertical="center" wrapText="1"/>
    </xf>
    <xf numFmtId="0" fontId="24" fillId="0" borderId="36" xfId="0" applyFont="1" applyBorder="1" applyAlignment="1">
      <alignment horizontal="center" vertical="center" wrapText="1"/>
    </xf>
    <xf numFmtId="0" fontId="24" fillId="0" borderId="37" xfId="0" applyFont="1" applyBorder="1" applyAlignment="1">
      <alignment horizontal="center" vertical="center" wrapText="1"/>
    </xf>
    <xf numFmtId="9" fontId="24" fillId="0" borderId="36" xfId="10" applyFont="1" applyFill="1" applyBorder="1" applyAlignment="1">
      <alignment vertical="center" wrapText="1"/>
    </xf>
    <xf numFmtId="167" fontId="24" fillId="0" borderId="37" xfId="3" applyNumberFormat="1" applyFont="1" applyFill="1" applyBorder="1" applyAlignment="1">
      <alignment horizontal="center" vertical="center" wrapText="1"/>
    </xf>
    <xf numFmtId="178" fontId="24" fillId="0" borderId="37" xfId="0" applyNumberFormat="1" applyFont="1" applyBorder="1" applyAlignment="1">
      <alignment horizontal="right" vertical="center" wrapText="1" indent="1"/>
    </xf>
    <xf numFmtId="167" fontId="24" fillId="0" borderId="37" xfId="3" applyNumberFormat="1" applyFont="1" applyFill="1" applyBorder="1" applyAlignment="1">
      <alignment vertical="center" wrapText="1"/>
    </xf>
    <xf numFmtId="178" fontId="24" fillId="0" borderId="37" xfId="3" applyNumberFormat="1" applyFont="1" applyFill="1" applyBorder="1" applyAlignment="1">
      <alignment vertical="center" wrapText="1"/>
    </xf>
    <xf numFmtId="176" fontId="24" fillId="0" borderId="26" xfId="3" applyNumberFormat="1" applyFont="1" applyFill="1" applyBorder="1" applyAlignment="1"/>
    <xf numFmtId="176" fontId="24" fillId="0" borderId="27" xfId="3" applyNumberFormat="1" applyFont="1" applyFill="1" applyBorder="1" applyAlignment="1"/>
    <xf numFmtId="176" fontId="24" fillId="0" borderId="35" xfId="3" applyNumberFormat="1" applyFont="1" applyFill="1" applyBorder="1" applyAlignment="1"/>
    <xf numFmtId="0" fontId="4" fillId="0" borderId="1" xfId="9" applyBorder="1" applyAlignment="1">
      <alignment horizontal="center"/>
    </xf>
    <xf numFmtId="0" fontId="4" fillId="0" borderId="6" xfId="9" applyBorder="1" applyAlignment="1">
      <alignment horizontal="center"/>
    </xf>
    <xf numFmtId="0" fontId="4" fillId="0" borderId="11" xfId="9" applyBorder="1" applyAlignment="1">
      <alignment horizontal="center"/>
    </xf>
    <xf numFmtId="0" fontId="4" fillId="0" borderId="12" xfId="9" applyBorder="1" applyAlignment="1">
      <alignment horizontal="center"/>
    </xf>
    <xf numFmtId="0" fontId="4" fillId="0" borderId="13" xfId="9" applyBorder="1" applyAlignment="1">
      <alignment horizontal="center"/>
    </xf>
    <xf numFmtId="0" fontId="4" fillId="0" borderId="4" xfId="9" applyBorder="1" applyAlignment="1">
      <alignment horizontal="center"/>
    </xf>
    <xf numFmtId="0" fontId="24" fillId="0" borderId="35" xfId="0" applyFont="1" applyBorder="1" applyAlignment="1">
      <alignment vertical="center" wrapText="1"/>
    </xf>
    <xf numFmtId="0" fontId="6" fillId="0" borderId="35" xfId="0" applyFont="1" applyBorder="1" applyAlignment="1">
      <alignment vertical="center" wrapText="1"/>
    </xf>
    <xf numFmtId="0" fontId="6" fillId="8" borderId="65" xfId="0" applyFont="1" applyFill="1" applyBorder="1" applyAlignment="1">
      <alignment vertical="center" wrapText="1"/>
    </xf>
    <xf numFmtId="0" fontId="6" fillId="0" borderId="35" xfId="0" applyFont="1" applyBorder="1" applyAlignment="1">
      <alignment horizontal="left" vertical="center" wrapText="1"/>
    </xf>
    <xf numFmtId="0" fontId="6" fillId="3" borderId="35" xfId="0" applyFont="1" applyFill="1" applyBorder="1" applyAlignment="1">
      <alignment vertical="center" wrapText="1"/>
    </xf>
    <xf numFmtId="0" fontId="6" fillId="8" borderId="35" xfId="0" applyFont="1" applyFill="1" applyBorder="1" applyAlignment="1">
      <alignment vertical="center" wrapText="1"/>
    </xf>
    <xf numFmtId="0" fontId="6" fillId="12" borderId="35" xfId="0" applyFont="1" applyFill="1" applyBorder="1" applyAlignment="1">
      <alignment vertical="center" wrapText="1"/>
    </xf>
    <xf numFmtId="0" fontId="31" fillId="0" borderId="37" xfId="0" applyFont="1" applyBorder="1" applyAlignment="1">
      <alignment vertical="center" wrapText="1"/>
    </xf>
    <xf numFmtId="0" fontId="27" fillId="0" borderId="37" xfId="0" applyFont="1" applyBorder="1" applyAlignment="1">
      <alignment vertical="center" wrapText="1"/>
    </xf>
    <xf numFmtId="0" fontId="31" fillId="0" borderId="35" xfId="0" applyFont="1" applyBorder="1" applyAlignment="1">
      <alignment vertical="center" wrapText="1"/>
    </xf>
    <xf numFmtId="0" fontId="24" fillId="0" borderId="35" xfId="0" applyFont="1" applyBorder="1" applyAlignment="1">
      <alignment horizontal="left" vertical="center" wrapText="1"/>
    </xf>
    <xf numFmtId="0" fontId="33" fillId="3" borderId="35" xfId="0" applyFont="1" applyFill="1" applyBorder="1" applyAlignment="1">
      <alignment vertical="center" wrapText="1"/>
    </xf>
    <xf numFmtId="0" fontId="24" fillId="5" borderId="35" xfId="0" applyFont="1" applyFill="1" applyBorder="1" applyAlignment="1">
      <alignment vertical="center" wrapText="1"/>
    </xf>
    <xf numFmtId="0" fontId="6" fillId="8" borderId="66" xfId="0" applyFont="1" applyFill="1" applyBorder="1" applyAlignment="1">
      <alignment vertical="center" wrapText="1"/>
    </xf>
    <xf numFmtId="0" fontId="6" fillId="8" borderId="64" xfId="0" applyFont="1" applyFill="1" applyBorder="1" applyAlignment="1">
      <alignment vertical="center" wrapText="1"/>
    </xf>
    <xf numFmtId="0" fontId="24" fillId="0" borderId="26" xfId="0" applyFont="1" applyBorder="1" applyAlignment="1">
      <alignment horizontal="left" vertical="center" wrapText="1"/>
    </xf>
    <xf numFmtId="0" fontId="24" fillId="0" borderId="0" xfId="0" applyFont="1" applyAlignment="1">
      <alignment horizontal="left" vertical="center" wrapText="1"/>
    </xf>
    <xf numFmtId="0" fontId="24" fillId="8" borderId="26" xfId="0" applyFont="1" applyFill="1" applyBorder="1" applyAlignment="1">
      <alignment horizontal="left" vertical="center" wrapText="1"/>
    </xf>
    <xf numFmtId="0" fontId="24" fillId="12" borderId="26" xfId="0" applyFont="1" applyFill="1" applyBorder="1" applyAlignment="1">
      <alignment horizontal="left" vertical="center" wrapText="1"/>
    </xf>
    <xf numFmtId="0" fontId="31" fillId="0" borderId="26" xfId="0" applyFont="1" applyBorder="1" applyAlignment="1">
      <alignment horizontal="left" vertical="center" wrapText="1"/>
    </xf>
    <xf numFmtId="0" fontId="27" fillId="0" borderId="26" xfId="0" applyFont="1" applyBorder="1" applyAlignment="1">
      <alignment horizontal="left" vertical="center" wrapText="1"/>
    </xf>
    <xf numFmtId="0" fontId="32" fillId="0" borderId="26" xfId="0" applyFont="1" applyBorder="1" applyAlignment="1">
      <alignment horizontal="left" wrapText="1"/>
    </xf>
    <xf numFmtId="0" fontId="30" fillId="3" borderId="26" xfId="0" applyFont="1" applyFill="1" applyBorder="1" applyAlignment="1">
      <alignment horizontal="left" wrapText="1"/>
    </xf>
    <xf numFmtId="0" fontId="33" fillId="3" borderId="26" xfId="0" applyFont="1" applyFill="1" applyBorder="1" applyAlignment="1">
      <alignment horizontal="left" vertical="center" wrapText="1"/>
    </xf>
    <xf numFmtId="0" fontId="24" fillId="5" borderId="26" xfId="0" applyFont="1" applyFill="1" applyBorder="1" applyAlignment="1">
      <alignment horizontal="left" vertical="center" wrapText="1"/>
    </xf>
    <xf numFmtId="0" fontId="6" fillId="0" borderId="0" xfId="0" applyFont="1" applyAlignment="1">
      <alignment horizontal="left" vertical="center" wrapText="1"/>
    </xf>
    <xf numFmtId="0" fontId="34" fillId="0" borderId="0" xfId="0" applyFont="1" applyAlignment="1">
      <alignment horizontal="left"/>
    </xf>
    <xf numFmtId="3" fontId="24" fillId="10" borderId="0" xfId="0" applyNumberFormat="1" applyFont="1" applyFill="1"/>
    <xf numFmtId="3" fontId="6" fillId="10" borderId="0" xfId="0" applyNumberFormat="1" applyFont="1" applyFill="1"/>
    <xf numFmtId="9" fontId="24" fillId="10" borderId="0" xfId="10" applyFont="1" applyFill="1"/>
    <xf numFmtId="0" fontId="35" fillId="0" borderId="0" xfId="0" applyFont="1" applyAlignment="1">
      <alignment vertical="center" wrapText="1"/>
    </xf>
    <xf numFmtId="49" fontId="16" fillId="0" borderId="36" xfId="7" applyNumberFormat="1" applyFont="1" applyBorder="1" applyAlignment="1" applyProtection="1">
      <alignment horizontal="left" vertical="top" wrapText="1"/>
      <protection locked="0"/>
    </xf>
    <xf numFmtId="49" fontId="16" fillId="0" borderId="37" xfId="7" applyNumberFormat="1" applyFont="1" applyBorder="1" applyAlignment="1" applyProtection="1">
      <alignment horizontal="left" vertical="top" wrapText="1"/>
      <protection locked="0"/>
    </xf>
    <xf numFmtId="0" fontId="16" fillId="0" borderId="36" xfId="7" applyFont="1" applyBorder="1" applyAlignment="1" applyProtection="1">
      <alignment horizontal="left" vertical="top" wrapText="1"/>
      <protection locked="0"/>
    </xf>
    <xf numFmtId="0" fontId="16" fillId="0" borderId="37" xfId="7" applyFont="1" applyBorder="1" applyAlignment="1" applyProtection="1">
      <alignment horizontal="left" vertical="top" wrapText="1"/>
      <protection locked="0"/>
    </xf>
    <xf numFmtId="0" fontId="13" fillId="0" borderId="36" xfId="5" applyFill="1" applyBorder="1" applyAlignment="1" applyProtection="1">
      <alignment horizontal="left" vertical="top" wrapText="1"/>
      <protection locked="0"/>
    </xf>
    <xf numFmtId="0" fontId="16" fillId="0" borderId="35" xfId="7" applyFont="1" applyBorder="1" applyAlignment="1" applyProtection="1">
      <alignment horizontal="left" vertical="top" wrapText="1"/>
      <protection locked="0"/>
    </xf>
    <xf numFmtId="0" fontId="16" fillId="0" borderId="0" xfId="7" applyFont="1" applyAlignment="1">
      <alignment wrapText="1"/>
    </xf>
    <xf numFmtId="167" fontId="16" fillId="0" borderId="36" xfId="4" applyNumberFormat="1" applyFont="1" applyFill="1" applyBorder="1" applyAlignment="1" applyProtection="1">
      <alignment horizontal="left" vertical="top" wrapText="1"/>
      <protection locked="0"/>
    </xf>
    <xf numFmtId="167" fontId="16" fillId="0" borderId="35" xfId="4" applyNumberFormat="1" applyFont="1" applyFill="1" applyBorder="1" applyAlignment="1" applyProtection="1">
      <alignment horizontal="left" vertical="top" wrapText="1"/>
      <protection locked="0"/>
    </xf>
    <xf numFmtId="167" fontId="16" fillId="0" borderId="37" xfId="4" applyNumberFormat="1" applyFont="1" applyFill="1" applyBorder="1" applyAlignment="1" applyProtection="1">
      <alignment horizontal="left" vertical="top" wrapText="1"/>
      <protection locked="0"/>
    </xf>
    <xf numFmtId="44" fontId="16" fillId="0" borderId="36" xfId="4" applyFont="1" applyFill="1" applyBorder="1" applyAlignment="1" applyProtection="1">
      <alignment horizontal="left" vertical="top" wrapText="1"/>
      <protection locked="0"/>
    </xf>
    <xf numFmtId="44" fontId="16" fillId="0" borderId="35" xfId="4" applyFont="1" applyFill="1" applyBorder="1" applyAlignment="1" applyProtection="1">
      <alignment horizontal="left" vertical="top" wrapText="1"/>
      <protection locked="0"/>
    </xf>
    <xf numFmtId="44" fontId="16" fillId="0" borderId="37" xfId="4" applyFont="1" applyFill="1" applyBorder="1" applyAlignment="1" applyProtection="1">
      <alignment horizontal="left" vertical="top" wrapText="1"/>
      <protection locked="0"/>
    </xf>
    <xf numFmtId="0" fontId="19" fillId="0" borderId="19" xfId="7" applyFont="1" applyBorder="1" applyAlignment="1">
      <alignment vertical="top" wrapText="1"/>
    </xf>
    <xf numFmtId="1" fontId="16" fillId="0" borderId="36" xfId="7" applyNumberFormat="1" applyFont="1" applyBorder="1" applyAlignment="1" applyProtection="1">
      <alignment horizontal="left" vertical="top" wrapText="1"/>
      <protection locked="0"/>
    </xf>
    <xf numFmtId="1" fontId="16" fillId="0" borderId="37" xfId="7" applyNumberFormat="1" applyFont="1" applyBorder="1" applyAlignment="1" applyProtection="1">
      <alignment horizontal="left" vertical="top" wrapText="1"/>
      <protection locked="0"/>
    </xf>
    <xf numFmtId="15" fontId="16" fillId="0" borderId="36" xfId="7" applyNumberFormat="1" applyFont="1" applyBorder="1" applyAlignment="1" applyProtection="1">
      <alignment horizontal="left" vertical="top" wrapText="1"/>
      <protection locked="0"/>
    </xf>
    <xf numFmtId="0" fontId="13" fillId="0" borderId="36" xfId="5" applyFill="1" applyBorder="1" applyAlignment="1" applyProtection="1">
      <alignment vertical="top" wrapText="1"/>
      <protection locked="0"/>
    </xf>
    <xf numFmtId="0" fontId="16" fillId="0" borderId="35" xfId="7" applyFont="1" applyBorder="1" applyAlignment="1" applyProtection="1">
      <alignment vertical="top" wrapText="1"/>
      <protection locked="0"/>
    </xf>
    <xf numFmtId="0" fontId="16" fillId="0" borderId="37" xfId="7" applyFont="1" applyBorder="1" applyAlignment="1" applyProtection="1">
      <alignment vertical="top" wrapText="1"/>
      <protection locked="0"/>
    </xf>
    <xf numFmtId="0" fontId="16" fillId="0" borderId="36" xfId="7" applyFont="1" applyBorder="1" applyAlignment="1" applyProtection="1">
      <alignment vertical="top" wrapText="1"/>
      <protection locked="0"/>
    </xf>
    <xf numFmtId="0" fontId="23" fillId="0" borderId="36" xfId="7" applyFont="1" applyBorder="1" applyAlignment="1" applyProtection="1">
      <alignment vertical="top"/>
      <protection locked="0"/>
    </xf>
    <xf numFmtId="0" fontId="23" fillId="0" borderId="35" xfId="7" applyFont="1" applyBorder="1" applyAlignment="1" applyProtection="1">
      <alignment vertical="top"/>
      <protection locked="0"/>
    </xf>
    <xf numFmtId="0" fontId="23" fillId="0" borderId="37" xfId="7" applyFont="1" applyBorder="1" applyAlignment="1" applyProtection="1">
      <alignment vertical="top"/>
      <protection locked="0"/>
    </xf>
    <xf numFmtId="0" fontId="3" fillId="0" borderId="11" xfId="9" applyFont="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4" fillId="0" borderId="2" xfId="9" applyBorder="1" applyAlignment="1">
      <alignment horizontal="center"/>
    </xf>
    <xf numFmtId="0" fontId="4" fillId="0" borderId="3" xfId="9" applyBorder="1" applyAlignment="1">
      <alignment horizontal="center"/>
    </xf>
    <xf numFmtId="0" fontId="4" fillId="0" borderId="1" xfId="9" applyBorder="1" applyAlignment="1">
      <alignment horizontal="center"/>
    </xf>
    <xf numFmtId="0" fontId="4" fillId="0" borderId="5" xfId="9" applyBorder="1" applyAlignment="1">
      <alignment horizontal="center"/>
    </xf>
    <xf numFmtId="0" fontId="4" fillId="0" borderId="7" xfId="9" applyBorder="1" applyAlignment="1">
      <alignment horizontal="center"/>
    </xf>
    <xf numFmtId="0" fontId="4" fillId="0" borderId="6" xfId="9" applyBorder="1" applyAlignment="1">
      <alignment horizontal="center"/>
    </xf>
    <xf numFmtId="0" fontId="3" fillId="0" borderId="0" xfId="9" applyFont="1" applyAlignment="1">
      <alignment horizontal="center"/>
    </xf>
    <xf numFmtId="0" fontId="4" fillId="0" borderId="0" xfId="9" applyAlignment="1">
      <alignment horizontal="left"/>
    </xf>
    <xf numFmtId="0" fontId="5" fillId="0" borderId="7" xfId="9" applyFont="1" applyBorder="1" applyAlignment="1">
      <alignment horizontal="center"/>
    </xf>
    <xf numFmtId="0" fontId="4" fillId="0" borderId="11" xfId="9" applyBorder="1" applyAlignment="1">
      <alignment horizontal="center"/>
    </xf>
    <xf numFmtId="0" fontId="4" fillId="0" borderId="12" xfId="9" applyBorder="1" applyAlignment="1">
      <alignment horizontal="center"/>
    </xf>
    <xf numFmtId="0" fontId="4" fillId="0" borderId="13" xfId="9" applyBorder="1" applyAlignment="1">
      <alignment horizontal="center"/>
    </xf>
    <xf numFmtId="0" fontId="3" fillId="0" borderId="5" xfId="9" applyFont="1" applyBorder="1" applyAlignment="1">
      <alignment horizontal="center" vertical="center"/>
    </xf>
    <xf numFmtId="0" fontId="3" fillId="0" borderId="7" xfId="9" applyFont="1" applyBorder="1" applyAlignment="1">
      <alignment horizontal="center" vertical="center"/>
    </xf>
    <xf numFmtId="0" fontId="3" fillId="0" borderId="6" xfId="9" applyFont="1" applyBorder="1" applyAlignment="1">
      <alignment horizontal="center" vertical="center"/>
    </xf>
    <xf numFmtId="0" fontId="3" fillId="0" borderId="2" xfId="9" applyFont="1" applyBorder="1" applyAlignment="1">
      <alignment horizontal="center" vertical="center"/>
    </xf>
    <xf numFmtId="0" fontId="3" fillId="0" borderId="3" xfId="9" applyFont="1" applyBorder="1" applyAlignment="1">
      <alignment horizontal="center" vertical="center"/>
    </xf>
    <xf numFmtId="0" fontId="4" fillId="0" borderId="14" xfId="9" applyBorder="1" applyAlignment="1">
      <alignment horizontal="center"/>
    </xf>
    <xf numFmtId="0" fontId="4" fillId="0" borderId="4" xfId="9" applyBorder="1" applyAlignment="1">
      <alignment horizontal="center"/>
    </xf>
    <xf numFmtId="0" fontId="25" fillId="9" borderId="15" xfId="0" applyFont="1" applyFill="1" applyBorder="1" applyAlignment="1">
      <alignment horizontal="center" vertical="center" wrapText="1"/>
    </xf>
    <xf numFmtId="0" fontId="25" fillId="9" borderId="16" xfId="0" applyFont="1" applyFill="1" applyBorder="1" applyAlignment="1">
      <alignment horizontal="center" vertical="center" wrapText="1"/>
    </xf>
    <xf numFmtId="0" fontId="24" fillId="2" borderId="45" xfId="0" applyFont="1" applyFill="1" applyBorder="1" applyAlignment="1">
      <alignment horizontal="center" vertical="center" wrapText="1"/>
    </xf>
    <xf numFmtId="0" fontId="24" fillId="2" borderId="44" xfId="0" applyFont="1" applyFill="1" applyBorder="1" applyAlignment="1">
      <alignment horizontal="center" vertical="center" wrapText="1"/>
    </xf>
    <xf numFmtId="0" fontId="24" fillId="2" borderId="46" xfId="0" applyFont="1" applyFill="1" applyBorder="1" applyAlignment="1">
      <alignment horizontal="center" vertical="center" wrapText="1"/>
    </xf>
    <xf numFmtId="3" fontId="24" fillId="0" borderId="15" xfId="0" applyNumberFormat="1" applyFont="1" applyBorder="1" applyAlignment="1">
      <alignment horizontal="center" vertical="center"/>
    </xf>
    <xf numFmtId="3" fontId="24" fillId="0" borderId="16" xfId="0" applyNumberFormat="1" applyFont="1" applyBorder="1" applyAlignment="1">
      <alignment horizontal="center" vertical="center"/>
    </xf>
    <xf numFmtId="3" fontId="24" fillId="0" borderId="17" xfId="0" applyNumberFormat="1" applyFont="1" applyBorder="1" applyAlignment="1">
      <alignment horizontal="center" vertical="center"/>
    </xf>
    <xf numFmtId="0" fontId="6" fillId="8" borderId="50" xfId="0" applyFont="1" applyFill="1" applyBorder="1" applyAlignment="1">
      <alignment horizontal="center" vertical="center" wrapText="1"/>
    </xf>
    <xf numFmtId="0" fontId="25" fillId="9" borderId="18" xfId="0" applyFont="1" applyFill="1" applyBorder="1" applyAlignment="1">
      <alignment horizontal="center" vertical="center" wrapText="1"/>
    </xf>
    <xf numFmtId="0" fontId="6" fillId="5" borderId="61" xfId="0" applyFont="1" applyFill="1" applyBorder="1" applyAlignment="1">
      <alignment horizontal="left" vertical="center" wrapText="1"/>
    </xf>
    <xf numFmtId="0" fontId="6" fillId="5" borderId="67" xfId="0" applyFont="1" applyFill="1" applyBorder="1" applyAlignment="1">
      <alignment horizontal="left" vertical="center" wrapText="1"/>
    </xf>
    <xf numFmtId="0" fontId="6" fillId="8" borderId="31" xfId="0" applyFont="1" applyFill="1" applyBorder="1" applyAlignment="1">
      <alignment horizontal="center" vertical="center" wrapText="1"/>
    </xf>
    <xf numFmtId="0" fontId="6" fillId="0" borderId="45" xfId="0" applyFont="1" applyBorder="1" applyAlignment="1">
      <alignment horizontal="center" vertical="center" wrapText="1"/>
    </xf>
    <xf numFmtId="0" fontId="6" fillId="5" borderId="45" xfId="0" applyFont="1" applyFill="1" applyBorder="1" applyAlignment="1">
      <alignment horizontal="center" vertical="center" wrapText="1"/>
    </xf>
    <xf numFmtId="178" fontId="6" fillId="5" borderId="44" xfId="0" applyNumberFormat="1" applyFont="1" applyFill="1" applyBorder="1" applyAlignment="1">
      <alignment horizontal="center" vertical="center" wrapText="1"/>
    </xf>
    <xf numFmtId="0" fontId="6" fillId="5" borderId="44" xfId="0" applyFont="1" applyFill="1" applyBorder="1" applyAlignment="1">
      <alignment horizontal="center" vertical="center" wrapText="1"/>
    </xf>
    <xf numFmtId="9" fontId="6" fillId="5" borderId="48" xfId="0" applyNumberFormat="1" applyFont="1" applyFill="1" applyBorder="1" applyAlignment="1">
      <alignment horizontal="center" vertical="center" wrapText="1"/>
    </xf>
    <xf numFmtId="0" fontId="6" fillId="0" borderId="50" xfId="0" applyFont="1" applyBorder="1" applyAlignment="1">
      <alignment horizontal="center" vertical="center" wrapText="1"/>
    </xf>
    <xf numFmtId="178" fontId="6" fillId="0" borderId="50" xfId="0" applyNumberFormat="1" applyFont="1" applyBorder="1" applyAlignment="1">
      <alignment horizontal="center" vertical="center" wrapText="1"/>
    </xf>
    <xf numFmtId="0" fontId="6" fillId="0" borderId="47"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49" xfId="0" applyFont="1" applyBorder="1" applyAlignment="1">
      <alignment horizontal="center" vertical="center" wrapText="1"/>
    </xf>
    <xf numFmtId="178" fontId="6" fillId="0" borderId="31" xfId="0" applyNumberFormat="1" applyFont="1" applyBorder="1" applyAlignment="1">
      <alignment horizontal="center" vertical="center" wrapText="1"/>
    </xf>
    <xf numFmtId="178" fontId="6" fillId="0" borderId="49" xfId="0" applyNumberFormat="1" applyFont="1" applyBorder="1" applyAlignment="1">
      <alignment horizontal="center" vertical="center" wrapText="1"/>
    </xf>
    <xf numFmtId="0" fontId="6" fillId="0" borderId="53" xfId="0" applyFont="1" applyBorder="1" applyAlignment="1">
      <alignment horizontal="center" vertical="center" wrapText="1"/>
    </xf>
    <xf numFmtId="0" fontId="6" fillId="5" borderId="38" xfId="0" applyFont="1" applyFill="1" applyBorder="1" applyAlignment="1">
      <alignment horizontal="center" vertical="center" wrapText="1"/>
    </xf>
    <xf numFmtId="178" fontId="6" fillId="5" borderId="26" xfId="0" applyNumberFormat="1" applyFont="1" applyFill="1" applyBorder="1" applyAlignment="1">
      <alignment horizontal="center" vertical="center" wrapText="1"/>
    </xf>
    <xf numFmtId="0" fontId="6" fillId="5" borderId="26" xfId="0" applyFont="1" applyFill="1" applyBorder="1" applyAlignment="1">
      <alignment horizontal="center" vertical="center" wrapText="1"/>
    </xf>
    <xf numFmtId="9" fontId="6" fillId="5" borderId="36" xfId="0" applyNumberFormat="1" applyFont="1" applyFill="1" applyBorder="1" applyAlignment="1">
      <alignment horizontal="center" vertical="center" wrapText="1"/>
    </xf>
    <xf numFmtId="0" fontId="6" fillId="0" borderId="40" xfId="0" applyFont="1" applyBorder="1" applyAlignment="1">
      <alignment horizontal="center" vertical="center" wrapText="1"/>
    </xf>
    <xf numFmtId="0" fontId="6" fillId="0" borderId="42" xfId="0" applyFont="1" applyBorder="1" applyAlignment="1">
      <alignment horizontal="center" vertical="center" wrapText="1"/>
    </xf>
    <xf numFmtId="0" fontId="6" fillId="5" borderId="32" xfId="0" applyFont="1" applyFill="1" applyBorder="1" applyAlignment="1">
      <alignment horizontal="center" vertical="center" wrapText="1"/>
    </xf>
    <xf numFmtId="0" fontId="6" fillId="5" borderId="28" xfId="0" applyFont="1" applyFill="1" applyBorder="1" applyAlignment="1">
      <alignment horizontal="center" vertical="center" wrapText="1"/>
    </xf>
    <xf numFmtId="9" fontId="6" fillId="5" borderId="46" xfId="0" applyNumberFormat="1" applyFont="1" applyFill="1" applyBorder="1" applyAlignment="1">
      <alignment horizontal="center" vertical="center" wrapText="1"/>
    </xf>
    <xf numFmtId="9" fontId="6" fillId="5" borderId="29" xfId="0" applyNumberFormat="1" applyFont="1" applyFill="1" applyBorder="1" applyAlignment="1">
      <alignment horizontal="center" vertical="center" wrapText="1"/>
    </xf>
    <xf numFmtId="0" fontId="8" fillId="7" borderId="48" xfId="0" applyFont="1" applyFill="1" applyBorder="1" applyAlignment="1">
      <alignment horizontal="center"/>
    </xf>
    <xf numFmtId="0" fontId="8" fillId="7" borderId="31" xfId="0" applyFont="1" applyFill="1" applyBorder="1" applyAlignment="1">
      <alignment horizontal="center"/>
    </xf>
    <xf numFmtId="0" fontId="8" fillId="7" borderId="49" xfId="0" applyFont="1" applyFill="1" applyBorder="1" applyAlignment="1">
      <alignment horizontal="center"/>
    </xf>
    <xf numFmtId="0" fontId="8" fillId="7" borderId="45" xfId="0" applyFont="1" applyFill="1" applyBorder="1" applyAlignment="1">
      <alignment horizontal="center"/>
    </xf>
    <xf numFmtId="0" fontId="8" fillId="7" borderId="44" xfId="0" applyFont="1" applyFill="1" applyBorder="1" applyAlignment="1">
      <alignment horizontal="center"/>
    </xf>
    <xf numFmtId="0" fontId="8" fillId="7" borderId="46" xfId="0" applyFont="1" applyFill="1" applyBorder="1" applyAlignment="1">
      <alignment horizontal="center"/>
    </xf>
    <xf numFmtId="0" fontId="24" fillId="2" borderId="50" xfId="0" applyFont="1" applyFill="1" applyBorder="1" applyAlignment="1">
      <alignment horizontal="center" vertical="center" wrapText="1"/>
    </xf>
    <xf numFmtId="0" fontId="24" fillId="2" borderId="31" xfId="0" applyFont="1" applyFill="1" applyBorder="1" applyAlignment="1">
      <alignment horizontal="center" vertical="center" wrapText="1"/>
    </xf>
    <xf numFmtId="0" fontId="24" fillId="2" borderId="49" xfId="0" applyFont="1" applyFill="1" applyBorder="1" applyAlignment="1">
      <alignment horizontal="center" vertical="center" wrapText="1"/>
    </xf>
    <xf numFmtId="0" fontId="27" fillId="6" borderId="37" xfId="0" applyFont="1" applyFill="1" applyBorder="1" applyAlignment="1">
      <alignment vertical="center" wrapText="1"/>
    </xf>
    <xf numFmtId="0" fontId="16" fillId="0" borderId="19" xfId="7" applyFont="1" applyBorder="1" applyAlignment="1"/>
    <xf numFmtId="0" fontId="16" fillId="0" borderId="0" xfId="7" applyFont="1" applyAlignment="1"/>
  </cellXfs>
  <cellStyles count="11">
    <cellStyle name="Comma 2" xfId="2" xr:uid="{00000000-0005-0000-0000-000001000000}"/>
    <cellStyle name="Currency 2" xfId="4" xr:uid="{00000000-0005-0000-0000-000003000000}"/>
    <cellStyle name="Hipervínculo" xfId="5" builtinId="8"/>
    <cellStyle name="Millares" xfId="1" builtinId="3"/>
    <cellStyle name="Moneda" xfId="3" builtinId="4"/>
    <cellStyle name="Normal" xfId="0" builtinId="0"/>
    <cellStyle name="Normal 2" xfId="6" xr:uid="{00000000-0005-0000-0000-000006000000}"/>
    <cellStyle name="Normal 2 2" xfId="7" xr:uid="{00000000-0005-0000-0000-000007000000}"/>
    <cellStyle name="Normal_IOCC BPRM Budget - June 2008 draft 1 (051208)" xfId="8" xr:uid="{00000000-0005-0000-0000-000008000000}"/>
    <cellStyle name="Normal_SF 424" xfId="9" xr:uid="{00000000-0005-0000-0000-000009000000}"/>
    <cellStyle name="Porcentaje" xfId="10"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171</xdr:row>
      <xdr:rowOff>28575</xdr:rowOff>
    </xdr:from>
    <xdr:to>
      <xdr:col>5</xdr:col>
      <xdr:colOff>133350</xdr:colOff>
      <xdr:row>173</xdr:row>
      <xdr:rowOff>85725</xdr:rowOff>
    </xdr:to>
    <xdr:pic>
      <xdr:nvPicPr>
        <xdr:cNvPr id="1187" name="Picture 1">
          <a:extLst>
            <a:ext uri="{FF2B5EF4-FFF2-40B4-BE49-F238E27FC236}">
              <a16:creationId xmlns:a16="http://schemas.microsoft.com/office/drawing/2014/main" id="{00000000-0008-0000-0000-0000A3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9800" y="24736425"/>
          <a:ext cx="1066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ony.castleman@crs.org" TargetMode="External"/><Relationship Id="rId1" Type="http://schemas.openxmlformats.org/officeDocument/2006/relationships/hyperlink" Target="mailto:chelsea.treadwell@crs.or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4"/>
  <sheetViews>
    <sheetView workbookViewId="0">
      <selection activeCell="B106" sqref="B106"/>
    </sheetView>
  </sheetViews>
  <sheetFormatPr defaultColWidth="9.140625" defaultRowHeight="10.5"/>
  <cols>
    <col min="1" max="1" width="1.42578125" style="50" customWidth="1"/>
    <col min="2" max="2" width="20.85546875" style="50" customWidth="1"/>
    <col min="3" max="3" width="10.85546875" style="50" customWidth="1"/>
    <col min="4" max="4" width="12.42578125" style="50" customWidth="1"/>
    <col min="5" max="5" width="1.42578125" style="50" customWidth="1"/>
    <col min="6" max="6" width="11.42578125" style="50" customWidth="1"/>
    <col min="7" max="7" width="12.85546875" style="50" customWidth="1"/>
    <col min="8" max="8" width="13.42578125" style="50" customWidth="1"/>
    <col min="9" max="9" width="15" style="50" customWidth="1"/>
    <col min="10" max="10" width="1.42578125" style="50" customWidth="1"/>
    <col min="11" max="16384" width="9.140625" style="50"/>
  </cols>
  <sheetData>
    <row r="1" spans="1:10" s="46" customFormat="1" ht="22.5" customHeight="1" thickBot="1">
      <c r="A1" s="42"/>
      <c r="B1" s="43" t="s">
        <v>0</v>
      </c>
      <c r="C1" s="43"/>
      <c r="D1" s="43"/>
      <c r="E1" s="43"/>
      <c r="F1" s="43"/>
      <c r="G1" s="43"/>
      <c r="H1" s="43"/>
      <c r="I1" s="44"/>
      <c r="J1" s="45"/>
    </row>
    <row r="2" spans="1:10" ht="12" customHeight="1">
      <c r="A2" s="47"/>
      <c r="B2" s="49" t="s">
        <v>1</v>
      </c>
      <c r="C2" s="49"/>
      <c r="D2" s="48"/>
      <c r="E2" s="47"/>
      <c r="F2" s="49" t="s">
        <v>2</v>
      </c>
      <c r="G2" s="49"/>
      <c r="H2" s="716" t="s">
        <v>3</v>
      </c>
      <c r="I2" s="716"/>
      <c r="J2" s="48"/>
    </row>
    <row r="3" spans="1:10" ht="18.75" customHeight="1">
      <c r="A3" s="51"/>
      <c r="B3" s="52" t="s">
        <v>4</v>
      </c>
      <c r="D3" s="53"/>
      <c r="E3" s="51"/>
      <c r="F3" s="52" t="s">
        <v>5</v>
      </c>
      <c r="H3" s="643" t="s">
        <v>6</v>
      </c>
      <c r="I3" s="642"/>
      <c r="J3" s="53"/>
    </row>
    <row r="4" spans="1:10" ht="18.75" customHeight="1">
      <c r="A4" s="51"/>
      <c r="B4" s="52" t="s">
        <v>7</v>
      </c>
      <c r="D4" s="53"/>
      <c r="E4" s="51"/>
      <c r="F4" s="52" t="s">
        <v>8</v>
      </c>
      <c r="H4" s="717" t="s">
        <v>9</v>
      </c>
      <c r="I4" s="717"/>
      <c r="J4" s="53"/>
    </row>
    <row r="5" spans="1:10" ht="18.75" customHeight="1">
      <c r="A5" s="51"/>
      <c r="B5" s="52" t="s">
        <v>10</v>
      </c>
      <c r="D5" s="53"/>
      <c r="E5" s="51"/>
      <c r="F5" s="52" t="s">
        <v>11</v>
      </c>
      <c r="H5" s="643"/>
      <c r="I5" s="642"/>
      <c r="J5" s="53"/>
    </row>
    <row r="6" spans="1:10" ht="7.5" customHeight="1" thickBot="1">
      <c r="A6" s="54"/>
      <c r="B6" s="55"/>
      <c r="C6" s="55"/>
      <c r="D6" s="56"/>
      <c r="E6" s="54"/>
      <c r="F6" s="55"/>
      <c r="G6" s="55"/>
      <c r="H6" s="55"/>
      <c r="I6" s="55"/>
      <c r="J6" s="56"/>
    </row>
    <row r="7" spans="1:10">
      <c r="A7" s="47"/>
      <c r="B7" s="49" t="s">
        <v>12</v>
      </c>
      <c r="C7" s="49"/>
      <c r="D7" s="49"/>
      <c r="E7" s="49"/>
      <c r="F7" s="49" t="s">
        <v>13</v>
      </c>
      <c r="G7" s="49"/>
      <c r="H7" s="49"/>
      <c r="I7" s="49"/>
      <c r="J7" s="48"/>
    </row>
    <row r="8" spans="1:10" ht="12" customHeight="1">
      <c r="A8" s="51"/>
      <c r="B8" s="644" t="s">
        <v>14</v>
      </c>
      <c r="C8" s="645"/>
      <c r="D8" s="646"/>
      <c r="F8" s="643"/>
      <c r="G8" s="641"/>
      <c r="H8" s="641"/>
      <c r="I8" s="642"/>
      <c r="J8" s="53"/>
    </row>
    <row r="9" spans="1:10" ht="7.5" customHeight="1" thickBot="1">
      <c r="A9" s="54"/>
      <c r="B9" s="55"/>
      <c r="C9" s="55"/>
      <c r="D9" s="55"/>
      <c r="E9" s="55"/>
      <c r="F9" s="55"/>
      <c r="G9" s="55"/>
      <c r="H9" s="55"/>
      <c r="I9" s="55"/>
      <c r="J9" s="56"/>
    </row>
    <row r="10" spans="1:10">
      <c r="A10" s="47"/>
      <c r="B10" s="49" t="s">
        <v>15</v>
      </c>
      <c r="C10" s="49"/>
      <c r="D10" s="49"/>
      <c r="E10" s="49"/>
      <c r="F10" s="49" t="s">
        <v>16</v>
      </c>
      <c r="G10" s="49"/>
      <c r="H10" s="49"/>
      <c r="I10" s="49"/>
      <c r="J10" s="48"/>
    </row>
    <row r="11" spans="1:10" ht="12" customHeight="1">
      <c r="A11" s="51"/>
      <c r="B11" s="643"/>
      <c r="C11" s="641"/>
      <c r="D11" s="642"/>
      <c r="F11" s="643"/>
      <c r="G11" s="641"/>
      <c r="H11" s="641"/>
      <c r="I11" s="642"/>
      <c r="J11" s="53"/>
    </row>
    <row r="12" spans="1:10" ht="7.5" customHeight="1" thickBot="1">
      <c r="A12" s="54"/>
      <c r="B12" s="55"/>
      <c r="C12" s="55"/>
      <c r="D12" s="55"/>
      <c r="E12" s="55"/>
      <c r="F12" s="55"/>
      <c r="G12" s="55"/>
      <c r="H12" s="55"/>
      <c r="I12" s="55"/>
      <c r="J12" s="56"/>
    </row>
    <row r="13" spans="1:10" s="61" customFormat="1" ht="12.6" thickBot="1">
      <c r="A13" s="57"/>
      <c r="B13" s="58" t="s">
        <v>17</v>
      </c>
      <c r="C13" s="58"/>
      <c r="D13" s="59"/>
      <c r="E13" s="58"/>
      <c r="F13" s="58"/>
      <c r="G13" s="58"/>
      <c r="H13" s="58"/>
      <c r="I13" s="58"/>
      <c r="J13" s="60"/>
    </row>
    <row r="14" spans="1:10" ht="7.5" customHeight="1">
      <c r="A14" s="47"/>
      <c r="B14" s="49"/>
      <c r="C14" s="49"/>
      <c r="D14" s="48"/>
      <c r="E14" s="47"/>
      <c r="F14" s="49"/>
      <c r="G14" s="49"/>
      <c r="H14" s="49"/>
      <c r="I14" s="49"/>
      <c r="J14" s="48"/>
    </row>
    <row r="15" spans="1:10" ht="12" customHeight="1">
      <c r="A15" s="51"/>
      <c r="B15" s="50" t="s">
        <v>18</v>
      </c>
      <c r="C15" s="62"/>
      <c r="E15" s="51"/>
      <c r="F15" s="50" t="s">
        <v>19</v>
      </c>
      <c r="H15" s="643"/>
      <c r="I15" s="642"/>
      <c r="J15" s="53"/>
    </row>
    <row r="16" spans="1:10" ht="7.5" customHeight="1" thickBot="1">
      <c r="A16" s="54"/>
      <c r="B16" s="55"/>
      <c r="C16" s="55"/>
      <c r="D16" s="56"/>
      <c r="E16" s="54"/>
      <c r="F16" s="55"/>
      <c r="G16" s="55"/>
      <c r="H16" s="55"/>
      <c r="I16" s="55"/>
      <c r="J16" s="56"/>
    </row>
    <row r="17" spans="1:10" s="65" customFormat="1" ht="12.6" thickBot="1">
      <c r="A17" s="63"/>
      <c r="B17" s="58" t="s">
        <v>20</v>
      </c>
      <c r="C17" s="58"/>
      <c r="D17" s="58"/>
      <c r="E17" s="58"/>
      <c r="F17" s="58"/>
      <c r="G17" s="58"/>
      <c r="H17" s="58"/>
      <c r="I17" s="58"/>
      <c r="J17" s="64"/>
    </row>
    <row r="18" spans="1:10" ht="7.5" customHeight="1">
      <c r="A18" s="47"/>
      <c r="B18" s="49"/>
      <c r="C18" s="49"/>
      <c r="D18" s="49"/>
      <c r="E18" s="49"/>
      <c r="F18" s="49"/>
      <c r="G18" s="49"/>
      <c r="H18" s="49"/>
      <c r="I18" s="49"/>
      <c r="J18" s="48"/>
    </row>
    <row r="19" spans="1:10" ht="12" customHeight="1">
      <c r="A19" s="51"/>
      <c r="B19" s="50" t="s">
        <v>21</v>
      </c>
      <c r="C19" s="643" t="s">
        <v>22</v>
      </c>
      <c r="D19" s="641"/>
      <c r="E19" s="641"/>
      <c r="F19" s="641"/>
      <c r="G19" s="641"/>
      <c r="H19" s="641"/>
      <c r="I19" s="642"/>
      <c r="J19" s="53"/>
    </row>
    <row r="20" spans="1:10" ht="7.5" customHeight="1" thickBot="1">
      <c r="A20" s="54"/>
      <c r="B20" s="55"/>
      <c r="C20" s="55"/>
      <c r="D20" s="55"/>
      <c r="E20" s="55"/>
      <c r="F20" s="55"/>
      <c r="G20" s="55"/>
      <c r="H20" s="55"/>
      <c r="I20" s="55"/>
      <c r="J20" s="56"/>
    </row>
    <row r="21" spans="1:10">
      <c r="A21" s="47"/>
      <c r="B21" s="49" t="s">
        <v>23</v>
      </c>
      <c r="C21" s="49"/>
      <c r="D21" s="48"/>
      <c r="E21" s="47"/>
      <c r="F21" s="49" t="s">
        <v>24</v>
      </c>
      <c r="G21" s="49"/>
      <c r="H21" s="49"/>
      <c r="I21" s="49"/>
      <c r="J21" s="48"/>
    </row>
    <row r="22" spans="1:10" ht="12" customHeight="1">
      <c r="A22" s="51"/>
      <c r="B22" s="643" t="s">
        <v>25</v>
      </c>
      <c r="C22" s="642"/>
      <c r="D22" s="53"/>
      <c r="E22" s="51"/>
      <c r="F22" s="62">
        <v>68205541</v>
      </c>
      <c r="J22" s="53"/>
    </row>
    <row r="23" spans="1:10" ht="7.5" customHeight="1" thickBot="1">
      <c r="A23" s="54"/>
      <c r="B23" s="55"/>
      <c r="C23" s="55"/>
      <c r="D23" s="56"/>
      <c r="E23" s="54"/>
      <c r="F23" s="55"/>
      <c r="G23" s="55"/>
      <c r="H23" s="55"/>
      <c r="I23" s="55"/>
      <c r="J23" s="56"/>
    </row>
    <row r="24" spans="1:10" s="65" customFormat="1" ht="12.6" thickBot="1">
      <c r="A24" s="63"/>
      <c r="B24" s="58" t="s">
        <v>26</v>
      </c>
      <c r="C24" s="58"/>
      <c r="D24" s="58"/>
      <c r="E24" s="58"/>
      <c r="F24" s="58"/>
      <c r="G24" s="58"/>
      <c r="H24" s="58"/>
      <c r="I24" s="58"/>
      <c r="J24" s="64"/>
    </row>
    <row r="25" spans="1:10" ht="7.5" customHeight="1">
      <c r="A25" s="47"/>
      <c r="B25" s="49"/>
      <c r="C25" s="49"/>
      <c r="D25" s="49"/>
      <c r="E25" s="49"/>
      <c r="F25" s="49"/>
      <c r="G25" s="49"/>
      <c r="H25" s="49"/>
      <c r="I25" s="49"/>
      <c r="J25" s="48"/>
    </row>
    <row r="26" spans="1:10" ht="12" customHeight="1">
      <c r="A26" s="51"/>
      <c r="B26" s="50" t="s">
        <v>27</v>
      </c>
      <c r="C26" s="625" t="s">
        <v>28</v>
      </c>
      <c r="D26" s="628"/>
      <c r="E26" s="628"/>
      <c r="F26" s="628"/>
      <c r="G26" s="628"/>
      <c r="H26" s="628"/>
      <c r="I26" s="626"/>
      <c r="J26" s="53"/>
    </row>
    <row r="27" spans="1:10" ht="3.75" customHeight="1">
      <c r="A27" s="51"/>
      <c r="J27" s="53"/>
    </row>
    <row r="28" spans="1:10" ht="12" customHeight="1">
      <c r="A28" s="51"/>
      <c r="B28" s="50" t="s">
        <v>29</v>
      </c>
      <c r="C28" s="625"/>
      <c r="D28" s="628"/>
      <c r="E28" s="628"/>
      <c r="F28" s="628"/>
      <c r="G28" s="628"/>
      <c r="H28" s="628"/>
      <c r="I28" s="626"/>
      <c r="J28" s="53"/>
    </row>
    <row r="29" spans="1:10" ht="3.75" customHeight="1">
      <c r="A29" s="51"/>
      <c r="J29" s="53"/>
    </row>
    <row r="30" spans="1:10" ht="12" customHeight="1">
      <c r="A30" s="51"/>
      <c r="B30" s="50" t="s">
        <v>30</v>
      </c>
      <c r="C30" s="625" t="s">
        <v>31</v>
      </c>
      <c r="D30" s="628"/>
      <c r="E30" s="628"/>
      <c r="F30" s="628"/>
      <c r="G30" s="628"/>
      <c r="H30" s="628"/>
      <c r="I30" s="626"/>
      <c r="J30" s="53"/>
    </row>
    <row r="31" spans="1:10" ht="3.75" customHeight="1">
      <c r="A31" s="51"/>
      <c r="J31" s="53"/>
    </row>
    <row r="32" spans="1:10" ht="12" customHeight="1">
      <c r="A32" s="51"/>
      <c r="B32" s="50" t="s">
        <v>32</v>
      </c>
      <c r="C32" s="625"/>
      <c r="D32" s="628"/>
      <c r="E32" s="628"/>
      <c r="F32" s="628"/>
      <c r="G32" s="628"/>
      <c r="H32" s="628"/>
      <c r="I32" s="626"/>
      <c r="J32" s="53"/>
    </row>
    <row r="33" spans="1:10" ht="3.75" customHeight="1">
      <c r="A33" s="51"/>
      <c r="J33" s="53"/>
    </row>
    <row r="34" spans="1:10" ht="12" customHeight="1">
      <c r="A34" s="51"/>
      <c r="B34" s="50" t="s">
        <v>33</v>
      </c>
      <c r="C34" s="625" t="s">
        <v>34</v>
      </c>
      <c r="D34" s="628"/>
      <c r="E34" s="628"/>
      <c r="F34" s="628"/>
      <c r="G34" s="628"/>
      <c r="H34" s="628"/>
      <c r="I34" s="626"/>
      <c r="J34" s="53"/>
    </row>
    <row r="35" spans="1:10" ht="3.75" customHeight="1">
      <c r="A35" s="51"/>
      <c r="J35" s="53"/>
    </row>
    <row r="36" spans="1:10" ht="12" customHeight="1">
      <c r="A36" s="51"/>
      <c r="B36" s="50" t="s">
        <v>35</v>
      </c>
      <c r="C36" s="625"/>
      <c r="D36" s="628"/>
      <c r="E36" s="628"/>
      <c r="F36" s="628"/>
      <c r="G36" s="628"/>
      <c r="H36" s="628"/>
      <c r="I36" s="626"/>
      <c r="J36" s="53"/>
    </row>
    <row r="37" spans="1:10" ht="3.75" customHeight="1">
      <c r="A37" s="51"/>
      <c r="J37" s="53"/>
    </row>
    <row r="38" spans="1:10" ht="12" customHeight="1">
      <c r="A38" s="51"/>
      <c r="B38" s="50" t="s">
        <v>36</v>
      </c>
      <c r="C38" s="625" t="s">
        <v>37</v>
      </c>
      <c r="D38" s="628"/>
      <c r="E38" s="628"/>
      <c r="F38" s="628"/>
      <c r="G38" s="628"/>
      <c r="H38" s="628"/>
      <c r="I38" s="626"/>
      <c r="J38" s="53"/>
    </row>
    <row r="39" spans="1:10" ht="3.75" customHeight="1">
      <c r="A39" s="51"/>
      <c r="J39" s="53"/>
    </row>
    <row r="40" spans="1:10" ht="12" customHeight="1">
      <c r="A40" s="51"/>
      <c r="B40" s="50" t="s">
        <v>38</v>
      </c>
      <c r="C40" s="625">
        <v>21201</v>
      </c>
      <c r="D40" s="628"/>
      <c r="E40" s="628"/>
      <c r="F40" s="628"/>
      <c r="G40" s="628"/>
      <c r="H40" s="628"/>
      <c r="I40" s="626"/>
      <c r="J40" s="53"/>
    </row>
    <row r="41" spans="1:10" ht="7.5" customHeight="1" thickBot="1">
      <c r="A41" s="54"/>
      <c r="B41" s="55"/>
      <c r="C41" s="55"/>
      <c r="D41" s="55"/>
      <c r="E41" s="55"/>
      <c r="F41" s="55"/>
      <c r="G41" s="55"/>
      <c r="H41" s="55"/>
      <c r="I41" s="55"/>
      <c r="J41" s="56"/>
    </row>
    <row r="42" spans="1:10" s="65" customFormat="1" ht="12.6" thickBot="1">
      <c r="A42" s="63"/>
      <c r="B42" s="58" t="s">
        <v>39</v>
      </c>
      <c r="C42" s="58"/>
      <c r="D42" s="58"/>
      <c r="E42" s="58"/>
      <c r="F42" s="58"/>
      <c r="G42" s="58"/>
      <c r="H42" s="58"/>
      <c r="I42" s="58"/>
      <c r="J42" s="64"/>
    </row>
    <row r="43" spans="1:10" ht="7.5" customHeight="1">
      <c r="A43" s="47"/>
      <c r="B43" s="49"/>
      <c r="C43" s="49"/>
      <c r="D43" s="49"/>
      <c r="E43" s="49"/>
      <c r="F43" s="49"/>
      <c r="G43" s="49"/>
      <c r="H43" s="49"/>
      <c r="I43" s="49"/>
      <c r="J43" s="48"/>
    </row>
    <row r="44" spans="1:10">
      <c r="A44" s="51"/>
      <c r="B44" s="50" t="s">
        <v>40</v>
      </c>
      <c r="F44" s="50" t="s">
        <v>41</v>
      </c>
      <c r="J44" s="53"/>
    </row>
    <row r="45" spans="1:10" ht="12" customHeight="1">
      <c r="A45" s="51"/>
      <c r="B45" s="643"/>
      <c r="C45" s="641"/>
      <c r="D45" s="642"/>
      <c r="F45" s="643"/>
      <c r="G45" s="641"/>
      <c r="H45" s="641"/>
      <c r="I45" s="642"/>
      <c r="J45" s="53"/>
    </row>
    <row r="46" spans="1:10" ht="7.5" customHeight="1" thickBot="1">
      <c r="A46" s="54"/>
      <c r="B46" s="55"/>
      <c r="C46" s="55"/>
      <c r="D46" s="55"/>
      <c r="E46" s="55"/>
      <c r="F46" s="55"/>
      <c r="G46" s="55"/>
      <c r="H46" s="55"/>
      <c r="I46" s="55"/>
      <c r="J46" s="56"/>
    </row>
    <row r="47" spans="1:10" s="65" customFormat="1" ht="12.6" thickBot="1">
      <c r="A47" s="63"/>
      <c r="B47" s="58" t="s">
        <v>42</v>
      </c>
      <c r="C47" s="58"/>
      <c r="D47" s="58"/>
      <c r="E47" s="58"/>
      <c r="F47" s="58"/>
      <c r="G47" s="58"/>
      <c r="H47" s="58"/>
      <c r="I47" s="58"/>
      <c r="J47" s="64"/>
    </row>
    <row r="48" spans="1:10" ht="7.5" customHeight="1">
      <c r="A48" s="47"/>
      <c r="B48" s="49"/>
      <c r="C48" s="49"/>
      <c r="D48" s="49"/>
      <c r="E48" s="49"/>
      <c r="F48" s="49"/>
      <c r="G48" s="49"/>
      <c r="H48" s="49"/>
      <c r="I48" s="49"/>
      <c r="J48" s="48"/>
    </row>
    <row r="49" spans="1:10" ht="12" customHeight="1">
      <c r="A49" s="51"/>
      <c r="B49" s="50" t="s">
        <v>43</v>
      </c>
      <c r="C49" s="643" t="s">
        <v>44</v>
      </c>
      <c r="D49" s="642"/>
      <c r="F49" s="50" t="s">
        <v>45</v>
      </c>
      <c r="G49" s="643" t="s">
        <v>46</v>
      </c>
      <c r="H49" s="641"/>
      <c r="I49" s="642"/>
      <c r="J49" s="53"/>
    </row>
    <row r="50" spans="1:10" ht="3.75" customHeight="1">
      <c r="A50" s="51"/>
      <c r="J50" s="53"/>
    </row>
    <row r="51" spans="1:10" ht="12" customHeight="1">
      <c r="A51" s="51"/>
      <c r="B51" s="50" t="s">
        <v>47</v>
      </c>
      <c r="C51" s="643"/>
      <c r="D51" s="642"/>
      <c r="J51" s="53"/>
    </row>
    <row r="52" spans="1:10" ht="3.75" customHeight="1">
      <c r="A52" s="51"/>
      <c r="J52" s="53"/>
    </row>
    <row r="53" spans="1:10" ht="12" customHeight="1">
      <c r="A53" s="51"/>
      <c r="B53" s="50" t="s">
        <v>48</v>
      </c>
      <c r="C53" s="643" t="s">
        <v>49</v>
      </c>
      <c r="D53" s="641"/>
      <c r="E53" s="641"/>
      <c r="F53" s="641"/>
      <c r="G53" s="641"/>
      <c r="H53" s="641"/>
      <c r="I53" s="642"/>
      <c r="J53" s="53"/>
    </row>
    <row r="54" spans="1:10" ht="3.75" customHeight="1">
      <c r="A54" s="51"/>
      <c r="J54" s="53"/>
    </row>
    <row r="55" spans="1:10" ht="12" customHeight="1">
      <c r="A55" s="51"/>
      <c r="B55" s="50" t="s">
        <v>50</v>
      </c>
      <c r="C55" s="643"/>
      <c r="D55" s="642"/>
      <c r="J55" s="53"/>
    </row>
    <row r="56" spans="1:10" ht="7.5" customHeight="1" thickBot="1">
      <c r="A56" s="54"/>
      <c r="B56" s="55"/>
      <c r="C56" s="55"/>
      <c r="D56" s="55"/>
      <c r="E56" s="55"/>
      <c r="F56" s="55"/>
      <c r="G56" s="55"/>
      <c r="H56" s="55"/>
      <c r="I56" s="55"/>
      <c r="J56" s="56"/>
    </row>
    <row r="57" spans="1:10" ht="7.5" customHeight="1">
      <c r="A57" s="47"/>
      <c r="B57" s="49"/>
      <c r="C57" s="49"/>
      <c r="D57" s="49"/>
      <c r="E57" s="49"/>
      <c r="F57" s="49"/>
      <c r="G57" s="49"/>
      <c r="H57" s="49"/>
      <c r="I57" s="49"/>
      <c r="J57" s="48"/>
    </row>
    <row r="58" spans="1:10" ht="12" customHeight="1">
      <c r="A58" s="51"/>
      <c r="B58" s="50" t="s">
        <v>51</v>
      </c>
      <c r="C58" s="643" t="s">
        <v>52</v>
      </c>
      <c r="D58" s="641"/>
      <c r="E58" s="641"/>
      <c r="F58" s="641"/>
      <c r="G58" s="641"/>
      <c r="H58" s="641"/>
      <c r="I58" s="642"/>
      <c r="J58" s="53"/>
    </row>
    <row r="59" spans="1:10" ht="7.5" customHeight="1" thickBot="1">
      <c r="A59" s="54"/>
      <c r="B59" s="55"/>
      <c r="C59" s="55"/>
      <c r="D59" s="55"/>
      <c r="E59" s="55"/>
      <c r="F59" s="55"/>
      <c r="G59" s="55"/>
      <c r="H59" s="55"/>
      <c r="I59" s="55"/>
      <c r="J59" s="56"/>
    </row>
    <row r="60" spans="1:10">
      <c r="A60" s="47"/>
      <c r="B60" s="49" t="s">
        <v>53</v>
      </c>
      <c r="C60" s="49"/>
      <c r="D60" s="49"/>
      <c r="E60" s="49"/>
      <c r="F60" s="49"/>
      <c r="G60" s="49"/>
      <c r="H60" s="49"/>
      <c r="I60" s="49"/>
      <c r="J60" s="48"/>
    </row>
    <row r="61" spans="1:10" ht="12" customHeight="1">
      <c r="A61" s="51"/>
      <c r="B61" s="643" t="s">
        <v>54</v>
      </c>
      <c r="C61" s="641"/>
      <c r="D61" s="641"/>
      <c r="E61" s="641"/>
      <c r="F61" s="641"/>
      <c r="G61" s="641"/>
      <c r="H61" s="641"/>
      <c r="I61" s="642"/>
      <c r="J61" s="53"/>
    </row>
    <row r="62" spans="1:10" ht="7.5" customHeight="1" thickBot="1">
      <c r="A62" s="54"/>
      <c r="B62" s="55"/>
      <c r="C62" s="55"/>
      <c r="D62" s="55"/>
      <c r="E62" s="55"/>
      <c r="F62" s="55"/>
      <c r="G62" s="55"/>
      <c r="H62" s="55"/>
      <c r="I62" s="55"/>
      <c r="J62" s="56"/>
    </row>
    <row r="63" spans="1:10" ht="7.5" customHeight="1">
      <c r="A63" s="47"/>
      <c r="B63" s="49"/>
      <c r="C63" s="49"/>
      <c r="D63" s="49"/>
      <c r="E63" s="49"/>
      <c r="F63" s="49"/>
      <c r="G63" s="49"/>
      <c r="H63" s="49"/>
      <c r="I63" s="49"/>
      <c r="J63" s="48"/>
    </row>
    <row r="64" spans="1:10" ht="12" customHeight="1">
      <c r="A64" s="51"/>
      <c r="B64" s="50" t="s">
        <v>55</v>
      </c>
      <c r="C64" s="643" t="s">
        <v>56</v>
      </c>
      <c r="D64" s="642"/>
      <c r="G64" s="50" t="s">
        <v>57</v>
      </c>
      <c r="H64" s="643"/>
      <c r="I64" s="642"/>
      <c r="J64" s="53"/>
    </row>
    <row r="65" spans="1:10" ht="7.5" customHeight="1" thickBot="1">
      <c r="A65" s="54"/>
      <c r="B65" s="55"/>
      <c r="C65" s="55"/>
      <c r="D65" s="55"/>
      <c r="E65" s="55"/>
      <c r="F65" s="55"/>
      <c r="G65" s="55"/>
      <c r="H65" s="55"/>
      <c r="I65" s="55"/>
      <c r="J65" s="56"/>
    </row>
    <row r="66" spans="1:10" ht="7.5" customHeight="1">
      <c r="A66" s="47"/>
      <c r="B66" s="49"/>
      <c r="C66" s="49"/>
      <c r="D66" s="49"/>
      <c r="E66" s="49"/>
      <c r="F66" s="49"/>
      <c r="G66" s="49"/>
      <c r="H66" s="49"/>
      <c r="I66" s="49"/>
      <c r="J66" s="48"/>
    </row>
    <row r="67" spans="1:10" ht="12" customHeight="1">
      <c r="A67" s="51"/>
      <c r="B67" s="50" t="s">
        <v>58</v>
      </c>
      <c r="C67" s="640" t="s">
        <v>59</v>
      </c>
      <c r="D67" s="641"/>
      <c r="E67" s="641"/>
      <c r="F67" s="641"/>
      <c r="G67" s="641"/>
      <c r="H67" s="641"/>
      <c r="I67" s="642"/>
      <c r="J67" s="53"/>
    </row>
    <row r="68" spans="1:10" ht="7.5" customHeight="1" thickBot="1">
      <c r="A68" s="54"/>
      <c r="B68" s="55"/>
      <c r="C68" s="55"/>
      <c r="D68" s="55"/>
      <c r="E68" s="55"/>
      <c r="F68" s="55"/>
      <c r="G68" s="55"/>
      <c r="H68" s="55"/>
      <c r="I68" s="55"/>
      <c r="J68" s="56"/>
    </row>
    <row r="69" spans="1:10" ht="11.1" thickBot="1"/>
    <row r="70" spans="1:10" s="46" customFormat="1" ht="22.5" customHeight="1" thickBot="1">
      <c r="A70" s="42"/>
      <c r="B70" s="43" t="s">
        <v>0</v>
      </c>
      <c r="C70" s="43"/>
      <c r="D70" s="43"/>
      <c r="E70" s="43"/>
      <c r="F70" s="43"/>
      <c r="G70" s="43"/>
      <c r="H70" s="43"/>
      <c r="I70" s="44"/>
      <c r="J70" s="45"/>
    </row>
    <row r="71" spans="1:10" ht="15" customHeight="1">
      <c r="A71" s="47"/>
      <c r="B71" s="66" t="s">
        <v>60</v>
      </c>
      <c r="C71" s="49"/>
      <c r="D71" s="49"/>
      <c r="E71" s="49"/>
      <c r="F71" s="49"/>
      <c r="G71" s="49"/>
      <c r="H71" s="49"/>
      <c r="I71" s="49"/>
      <c r="J71" s="48"/>
    </row>
    <row r="72" spans="1:10" ht="15" customHeight="1">
      <c r="A72" s="51"/>
      <c r="B72" s="625" t="s">
        <v>61</v>
      </c>
      <c r="C72" s="628"/>
      <c r="D72" s="628"/>
      <c r="E72" s="628"/>
      <c r="F72" s="628"/>
      <c r="G72" s="628"/>
      <c r="H72" s="626"/>
      <c r="J72" s="53"/>
    </row>
    <row r="73" spans="1:10" ht="7.5" customHeight="1">
      <c r="A73" s="51"/>
      <c r="J73" s="53"/>
    </row>
    <row r="74" spans="1:10">
      <c r="A74" s="51"/>
      <c r="B74" s="50" t="s">
        <v>62</v>
      </c>
      <c r="J74" s="53"/>
    </row>
    <row r="75" spans="1:10" ht="15" customHeight="1">
      <c r="A75" s="51"/>
      <c r="B75" s="625"/>
      <c r="C75" s="628"/>
      <c r="D75" s="628"/>
      <c r="E75" s="628"/>
      <c r="F75" s="628"/>
      <c r="G75" s="628"/>
      <c r="H75" s="626"/>
      <c r="J75" s="53"/>
    </row>
    <row r="76" spans="1:10" ht="7.5" customHeight="1">
      <c r="A76" s="51"/>
      <c r="J76" s="53"/>
    </row>
    <row r="77" spans="1:10">
      <c r="A77" s="51"/>
      <c r="B77" s="50" t="s">
        <v>63</v>
      </c>
      <c r="J77" s="53"/>
    </row>
    <row r="78" spans="1:10" ht="15" customHeight="1">
      <c r="A78" s="51"/>
      <c r="B78" s="625"/>
      <c r="C78" s="628"/>
      <c r="D78" s="628"/>
      <c r="E78" s="628"/>
      <c r="F78" s="628"/>
      <c r="G78" s="628"/>
      <c r="H78" s="626"/>
      <c r="J78" s="53"/>
    </row>
    <row r="79" spans="1:10" ht="7.5" customHeight="1">
      <c r="A79" s="51"/>
      <c r="J79" s="53"/>
    </row>
    <row r="80" spans="1:10">
      <c r="A80" s="51"/>
      <c r="B80" s="50" t="s">
        <v>64</v>
      </c>
      <c r="J80" s="53"/>
    </row>
    <row r="81" spans="1:10" ht="15" customHeight="1">
      <c r="A81" s="51"/>
      <c r="B81" s="625"/>
      <c r="C81" s="628"/>
      <c r="D81" s="628"/>
      <c r="E81" s="628"/>
      <c r="F81" s="628"/>
      <c r="G81" s="628"/>
      <c r="H81" s="626"/>
      <c r="J81" s="53"/>
    </row>
    <row r="82" spans="1:10" ht="7.5" customHeight="1" thickBot="1">
      <c r="A82" s="54"/>
      <c r="B82" s="55"/>
      <c r="C82" s="55"/>
      <c r="D82" s="55"/>
      <c r="E82" s="55"/>
      <c r="F82" s="55"/>
      <c r="G82" s="55"/>
      <c r="H82" s="55"/>
      <c r="I82" s="55"/>
      <c r="J82" s="56"/>
    </row>
    <row r="83" spans="1:10" ht="15" customHeight="1">
      <c r="A83" s="47"/>
      <c r="B83" s="66" t="s">
        <v>65</v>
      </c>
      <c r="C83" s="49"/>
      <c r="D83" s="49"/>
      <c r="E83" s="49"/>
      <c r="F83" s="49"/>
      <c r="G83" s="49"/>
      <c r="H83" s="49"/>
      <c r="I83" s="49"/>
      <c r="J83" s="48"/>
    </row>
    <row r="84" spans="1:10" ht="15" customHeight="1">
      <c r="A84" s="51"/>
      <c r="B84" s="625" t="s">
        <v>66</v>
      </c>
      <c r="C84" s="628"/>
      <c r="D84" s="628"/>
      <c r="E84" s="628"/>
      <c r="F84" s="628"/>
      <c r="G84" s="628"/>
      <c r="H84" s="626"/>
      <c r="J84" s="53"/>
    </row>
    <row r="85" spans="1:10" ht="7.5" customHeight="1" thickBot="1">
      <c r="A85" s="54"/>
      <c r="B85" s="55"/>
      <c r="C85" s="55"/>
      <c r="D85" s="55"/>
      <c r="E85" s="55"/>
      <c r="F85" s="55"/>
      <c r="G85" s="55"/>
      <c r="H85" s="55"/>
      <c r="I85" s="55"/>
      <c r="J85" s="56"/>
    </row>
    <row r="86" spans="1:10" ht="15" customHeight="1">
      <c r="A86" s="47"/>
      <c r="B86" s="66" t="s">
        <v>67</v>
      </c>
      <c r="C86" s="49"/>
      <c r="D86" s="49"/>
      <c r="E86" s="49"/>
      <c r="F86" s="49"/>
      <c r="G86" s="49"/>
      <c r="H86" s="49"/>
      <c r="I86" s="49"/>
      <c r="J86" s="48"/>
    </row>
    <row r="87" spans="1:10" ht="15" customHeight="1">
      <c r="A87" s="51"/>
      <c r="B87" s="625">
        <v>19.518999999999998</v>
      </c>
      <c r="C87" s="628"/>
      <c r="D87" s="626"/>
      <c r="J87" s="53"/>
    </row>
    <row r="88" spans="1:10">
      <c r="A88" s="51"/>
      <c r="B88" s="50" t="s">
        <v>68</v>
      </c>
      <c r="J88" s="53"/>
    </row>
    <row r="89" spans="1:10" ht="30" customHeight="1">
      <c r="A89" s="51"/>
      <c r="B89" s="625" t="s">
        <v>69</v>
      </c>
      <c r="C89" s="628"/>
      <c r="D89" s="628"/>
      <c r="E89" s="628"/>
      <c r="F89" s="628"/>
      <c r="G89" s="628"/>
      <c r="H89" s="626"/>
      <c r="J89" s="53"/>
    </row>
    <row r="90" spans="1:10" ht="7.5" customHeight="1" thickBot="1">
      <c r="A90" s="54"/>
      <c r="B90" s="55"/>
      <c r="C90" s="55"/>
      <c r="D90" s="55"/>
      <c r="E90" s="55"/>
      <c r="F90" s="55"/>
      <c r="G90" s="55"/>
      <c r="H90" s="55"/>
      <c r="I90" s="55"/>
      <c r="J90" s="56"/>
    </row>
    <row r="91" spans="1:10" ht="15" customHeight="1">
      <c r="A91" s="51"/>
      <c r="B91" s="67" t="s">
        <v>70</v>
      </c>
      <c r="J91" s="53"/>
    </row>
    <row r="92" spans="1:10" ht="15" customHeight="1">
      <c r="A92" s="51"/>
      <c r="B92" s="625" t="s">
        <v>71</v>
      </c>
      <c r="C92" s="628"/>
      <c r="D92" s="626"/>
      <c r="J92" s="53"/>
    </row>
    <row r="93" spans="1:10" ht="11.25" customHeight="1">
      <c r="A93" s="51"/>
      <c r="B93" s="50" t="s">
        <v>72</v>
      </c>
      <c r="J93" s="53"/>
    </row>
    <row r="94" spans="1:10" ht="37.5" customHeight="1">
      <c r="A94" s="51"/>
      <c r="B94" s="625"/>
      <c r="C94" s="628"/>
      <c r="D94" s="628"/>
      <c r="E94" s="628"/>
      <c r="F94" s="628"/>
      <c r="G94" s="628"/>
      <c r="H94" s="626"/>
      <c r="J94" s="53"/>
    </row>
    <row r="95" spans="1:10" ht="7.5" customHeight="1" thickBot="1">
      <c r="A95" s="54"/>
      <c r="B95" s="55"/>
      <c r="C95" s="55"/>
      <c r="D95" s="55"/>
      <c r="E95" s="55"/>
      <c r="F95" s="55"/>
      <c r="G95" s="55"/>
      <c r="H95" s="55"/>
      <c r="I95" s="55"/>
      <c r="J95" s="56"/>
    </row>
    <row r="96" spans="1:10" ht="15" customHeight="1">
      <c r="A96" s="47"/>
      <c r="B96" s="66" t="s">
        <v>73</v>
      </c>
      <c r="C96" s="49"/>
      <c r="D96" s="49"/>
      <c r="E96" s="49"/>
      <c r="F96" s="49"/>
      <c r="G96" s="49"/>
      <c r="H96" s="49"/>
      <c r="I96" s="49"/>
      <c r="J96" s="48"/>
    </row>
    <row r="97" spans="1:10" ht="15" customHeight="1">
      <c r="A97" s="51"/>
      <c r="B97" s="625"/>
      <c r="C97" s="628"/>
      <c r="D97" s="626"/>
      <c r="J97" s="53"/>
    </row>
    <row r="98" spans="1:10">
      <c r="A98" s="51"/>
      <c r="B98" s="50" t="s">
        <v>51</v>
      </c>
      <c r="J98" s="53"/>
    </row>
    <row r="99" spans="1:10" ht="37.5" customHeight="1">
      <c r="A99" s="51"/>
      <c r="B99" s="625" t="s">
        <v>74</v>
      </c>
      <c r="C99" s="628"/>
      <c r="D99" s="628"/>
      <c r="E99" s="628"/>
      <c r="F99" s="628"/>
      <c r="G99" s="628"/>
      <c r="H99" s="626"/>
      <c r="J99" s="53"/>
    </row>
    <row r="100" spans="1:10" ht="7.5" customHeight="1" thickBot="1">
      <c r="A100" s="54"/>
      <c r="B100" s="55"/>
      <c r="C100" s="55"/>
      <c r="D100" s="55"/>
      <c r="E100" s="55"/>
      <c r="F100" s="55"/>
      <c r="G100" s="55"/>
      <c r="H100" s="55"/>
      <c r="I100" s="55"/>
      <c r="J100" s="56"/>
    </row>
    <row r="101" spans="1:10" ht="15" customHeight="1">
      <c r="A101" s="47"/>
      <c r="B101" s="66" t="s">
        <v>75</v>
      </c>
      <c r="C101" s="49"/>
      <c r="D101" s="49"/>
      <c r="E101" s="49"/>
      <c r="F101" s="49"/>
      <c r="G101" s="49"/>
      <c r="H101" s="49"/>
      <c r="I101" s="49"/>
      <c r="J101" s="48"/>
    </row>
    <row r="102" spans="1:10" ht="37.5" customHeight="1">
      <c r="A102" s="51"/>
      <c r="B102" s="625"/>
      <c r="C102" s="628"/>
      <c r="D102" s="628"/>
      <c r="E102" s="628"/>
      <c r="F102" s="628"/>
      <c r="G102" s="628"/>
      <c r="H102" s="626"/>
      <c r="J102" s="53"/>
    </row>
    <row r="103" spans="1:10" ht="7.5" customHeight="1" thickBot="1">
      <c r="A103" s="54"/>
      <c r="B103" s="55"/>
      <c r="C103" s="55"/>
      <c r="D103" s="55"/>
      <c r="E103" s="55"/>
      <c r="F103" s="55"/>
      <c r="G103" s="55"/>
      <c r="H103" s="55"/>
      <c r="I103" s="55"/>
      <c r="J103" s="56"/>
    </row>
    <row r="104" spans="1:10" ht="15" customHeight="1">
      <c r="A104" s="47"/>
      <c r="B104" s="66" t="s">
        <v>76</v>
      </c>
      <c r="C104" s="49"/>
      <c r="D104" s="49"/>
      <c r="E104" s="49"/>
      <c r="F104" s="49"/>
      <c r="G104" s="49"/>
      <c r="H104" s="49"/>
      <c r="I104" s="49"/>
      <c r="J104" s="48"/>
    </row>
    <row r="105" spans="1:10" ht="37.5" customHeight="1">
      <c r="A105" s="51"/>
      <c r="B105" s="625" t="s">
        <v>77</v>
      </c>
      <c r="C105" s="628"/>
      <c r="D105" s="628"/>
      <c r="E105" s="628"/>
      <c r="F105" s="628"/>
      <c r="G105" s="628"/>
      <c r="H105" s="626"/>
      <c r="J105" s="53"/>
    </row>
    <row r="106" spans="1:10" ht="7.5" customHeight="1" thickBot="1">
      <c r="A106" s="54"/>
      <c r="B106" s="55"/>
      <c r="C106" s="55"/>
      <c r="D106" s="55"/>
      <c r="E106" s="55"/>
      <c r="F106" s="55"/>
      <c r="G106" s="55"/>
      <c r="H106" s="55"/>
      <c r="I106" s="55"/>
      <c r="J106" s="56"/>
    </row>
    <row r="107" spans="1:10" ht="15" customHeight="1">
      <c r="A107" s="47"/>
      <c r="B107" s="49" t="s">
        <v>78</v>
      </c>
      <c r="C107" s="49"/>
      <c r="D107" s="49"/>
      <c r="E107" s="49"/>
      <c r="F107" s="49"/>
      <c r="G107" s="49"/>
      <c r="H107" s="49"/>
      <c r="I107" s="49"/>
      <c r="J107" s="48"/>
    </row>
    <row r="108" spans="1:10" ht="7.5" customHeight="1" thickBot="1">
      <c r="A108" s="54"/>
      <c r="B108" s="55"/>
      <c r="C108" s="55"/>
      <c r="D108" s="55"/>
      <c r="E108" s="55"/>
      <c r="F108" s="55"/>
      <c r="G108" s="55"/>
      <c r="H108" s="55"/>
      <c r="I108" s="55"/>
      <c r="J108" s="56"/>
    </row>
    <row r="111" spans="1:10" ht="11.1" thickBot="1"/>
    <row r="112" spans="1:10" s="46" customFormat="1" ht="22.5" customHeight="1" thickBot="1">
      <c r="A112" s="42"/>
      <c r="B112" s="43" t="s">
        <v>0</v>
      </c>
      <c r="C112" s="43"/>
      <c r="D112" s="43"/>
      <c r="E112" s="43"/>
      <c r="F112" s="43"/>
      <c r="G112" s="43"/>
      <c r="H112" s="43"/>
      <c r="I112" s="44"/>
      <c r="J112" s="45"/>
    </row>
    <row r="113" spans="1:10" s="67" customFormat="1" ht="11.25" customHeight="1">
      <c r="A113" s="68"/>
      <c r="B113" s="66" t="s">
        <v>79</v>
      </c>
      <c r="C113" s="66"/>
      <c r="D113" s="66"/>
      <c r="E113" s="66"/>
      <c r="F113" s="66"/>
      <c r="G113" s="66"/>
      <c r="H113" s="66"/>
      <c r="I113" s="66"/>
      <c r="J113" s="69"/>
    </row>
    <row r="114" spans="1:10">
      <c r="A114" s="51"/>
      <c r="B114" s="50" t="s">
        <v>80</v>
      </c>
      <c r="C114" s="625" t="s">
        <v>81</v>
      </c>
      <c r="D114" s="626"/>
      <c r="F114" s="50" t="s">
        <v>82</v>
      </c>
      <c r="H114" s="637">
        <v>0</v>
      </c>
      <c r="I114" s="638"/>
      <c r="J114" s="53"/>
    </row>
    <row r="115" spans="1:10" ht="7.5" customHeight="1" thickBot="1">
      <c r="A115" s="54"/>
      <c r="B115" s="55"/>
      <c r="C115" s="55"/>
      <c r="D115" s="55"/>
      <c r="E115" s="55"/>
      <c r="F115" s="55"/>
      <c r="G115" s="55"/>
      <c r="H115" s="55"/>
      <c r="I115" s="55"/>
      <c r="J115" s="56"/>
    </row>
    <row r="116" spans="1:10" ht="11.25" customHeight="1">
      <c r="A116" s="47"/>
      <c r="B116" s="66" t="s">
        <v>83</v>
      </c>
      <c r="C116" s="49"/>
      <c r="D116" s="49"/>
      <c r="E116" s="49"/>
      <c r="F116" s="49"/>
      <c r="G116" s="49"/>
      <c r="H116" s="49"/>
      <c r="I116" s="49"/>
      <c r="J116" s="48"/>
    </row>
    <row r="117" spans="1:10" ht="7.5" customHeight="1" thickBot="1">
      <c r="A117" s="54"/>
      <c r="B117" s="55"/>
      <c r="C117" s="55"/>
      <c r="D117" s="55"/>
      <c r="E117" s="55"/>
      <c r="F117" s="55"/>
      <c r="G117" s="55"/>
      <c r="H117" s="55"/>
      <c r="I117" s="55"/>
      <c r="J117" s="56"/>
    </row>
    <row r="118" spans="1:10" ht="11.25" customHeight="1">
      <c r="A118" s="47"/>
      <c r="B118" s="66" t="s">
        <v>84</v>
      </c>
      <c r="C118" s="49"/>
      <c r="D118" s="49"/>
      <c r="E118" s="49"/>
      <c r="F118" s="49"/>
      <c r="G118" s="49"/>
      <c r="H118" s="49"/>
      <c r="I118" s="49"/>
      <c r="J118" s="48"/>
    </row>
    <row r="119" spans="1:10" ht="12" customHeight="1">
      <c r="A119" s="51"/>
      <c r="B119" s="50" t="s">
        <v>85</v>
      </c>
      <c r="C119" s="639">
        <v>42277</v>
      </c>
      <c r="D119" s="626"/>
      <c r="F119" s="50" t="s">
        <v>86</v>
      </c>
      <c r="G119" s="639">
        <v>43372</v>
      </c>
      <c r="H119" s="626"/>
      <c r="J119" s="53"/>
    </row>
    <row r="120" spans="1:10" ht="7.5" customHeight="1" thickBot="1">
      <c r="A120" s="54"/>
      <c r="B120" s="55"/>
      <c r="C120" s="55"/>
      <c r="D120" s="55"/>
      <c r="E120" s="55"/>
      <c r="F120" s="55"/>
      <c r="G120" s="55"/>
      <c r="H120" s="55"/>
      <c r="I120" s="55"/>
      <c r="J120" s="56"/>
    </row>
    <row r="121" spans="1:10" ht="11.25" customHeight="1">
      <c r="A121" s="47"/>
      <c r="B121" s="66" t="s">
        <v>87</v>
      </c>
      <c r="C121" s="49"/>
      <c r="D121" s="49"/>
      <c r="E121" s="49"/>
      <c r="F121" s="49"/>
      <c r="G121" s="49"/>
      <c r="H121" s="49"/>
      <c r="I121" s="49"/>
      <c r="J121" s="48"/>
    </row>
    <row r="122" spans="1:10" ht="7.5" customHeight="1" thickBot="1">
      <c r="A122" s="54"/>
      <c r="B122" s="55"/>
      <c r="C122" s="55"/>
      <c r="D122" s="55"/>
      <c r="E122" s="55"/>
      <c r="F122" s="55"/>
      <c r="G122" s="55"/>
      <c r="H122" s="55"/>
      <c r="I122" s="55"/>
      <c r="J122" s="56"/>
    </row>
    <row r="123" spans="1:10" ht="3.75" customHeight="1">
      <c r="A123" s="47"/>
      <c r="B123" s="49"/>
      <c r="C123" s="49"/>
      <c r="D123" s="49"/>
      <c r="E123" s="49"/>
      <c r="F123" s="49"/>
      <c r="G123" s="49"/>
      <c r="H123" s="49"/>
      <c r="I123" s="49"/>
      <c r="J123" s="48"/>
    </row>
    <row r="124" spans="1:10" ht="11.25" customHeight="1">
      <c r="A124" s="51"/>
      <c r="B124" s="50" t="s">
        <v>88</v>
      </c>
      <c r="C124" s="630">
        <f>SF424A!F16</f>
        <v>617282.95049344003</v>
      </c>
      <c r="D124" s="631"/>
      <c r="E124" s="631"/>
      <c r="F124" s="632"/>
      <c r="J124" s="53"/>
    </row>
    <row r="125" spans="1:10" ht="3.75" customHeight="1">
      <c r="A125" s="51"/>
      <c r="J125" s="53"/>
    </row>
    <row r="126" spans="1:10" ht="12" customHeight="1">
      <c r="A126" s="51"/>
      <c r="B126" s="50" t="s">
        <v>89</v>
      </c>
      <c r="C126" s="630">
        <f>SF424A!G16</f>
        <v>0</v>
      </c>
      <c r="D126" s="631"/>
      <c r="E126" s="631"/>
      <c r="F126" s="632"/>
      <c r="J126" s="53"/>
    </row>
    <row r="127" spans="1:10" ht="3.75" customHeight="1">
      <c r="A127" s="51"/>
      <c r="J127" s="53"/>
    </row>
    <row r="128" spans="1:10" ht="12" customHeight="1">
      <c r="A128" s="51"/>
      <c r="B128" s="50" t="s">
        <v>90</v>
      </c>
      <c r="C128" s="633">
        <v>0</v>
      </c>
      <c r="D128" s="634"/>
      <c r="E128" s="634"/>
      <c r="F128" s="635"/>
      <c r="J128" s="53"/>
    </row>
    <row r="129" spans="1:10" ht="3.75" customHeight="1">
      <c r="A129" s="51"/>
      <c r="C129" s="633"/>
      <c r="D129" s="634"/>
      <c r="E129" s="634"/>
      <c r="F129" s="635"/>
      <c r="J129" s="53"/>
    </row>
    <row r="130" spans="1:10" ht="12" customHeight="1">
      <c r="A130" s="51"/>
      <c r="B130" s="50" t="s">
        <v>91</v>
      </c>
      <c r="C130" s="633">
        <v>0</v>
      </c>
      <c r="D130" s="634"/>
      <c r="E130" s="634"/>
      <c r="F130" s="635"/>
      <c r="J130" s="53"/>
    </row>
    <row r="131" spans="1:10" ht="3.75" customHeight="1">
      <c r="A131" s="51"/>
      <c r="C131" s="633"/>
      <c r="D131" s="634"/>
      <c r="E131" s="634"/>
      <c r="F131" s="635"/>
      <c r="J131" s="53"/>
    </row>
    <row r="132" spans="1:10" ht="12" customHeight="1">
      <c r="A132" s="51"/>
      <c r="B132" s="50" t="s">
        <v>92</v>
      </c>
      <c r="C132" s="633">
        <v>0</v>
      </c>
      <c r="D132" s="634"/>
      <c r="E132" s="634"/>
      <c r="F132" s="635"/>
      <c r="J132" s="53"/>
    </row>
    <row r="133" spans="1:10" ht="3.75" customHeight="1">
      <c r="A133" s="51"/>
      <c r="C133" s="633"/>
      <c r="D133" s="634"/>
      <c r="E133" s="634"/>
      <c r="F133" s="635"/>
      <c r="J133" s="53"/>
    </row>
    <row r="134" spans="1:10" ht="12" customHeight="1">
      <c r="A134" s="51"/>
      <c r="B134" s="50" t="s">
        <v>93</v>
      </c>
      <c r="C134" s="633">
        <v>0</v>
      </c>
      <c r="D134" s="634"/>
      <c r="E134" s="634"/>
      <c r="F134" s="635"/>
      <c r="J134" s="53"/>
    </row>
    <row r="135" spans="1:10" ht="3.75" customHeight="1">
      <c r="A135" s="51"/>
      <c r="J135" s="53"/>
    </row>
    <row r="136" spans="1:10" ht="12" customHeight="1">
      <c r="A136" s="51"/>
      <c r="B136" s="50" t="s">
        <v>94</v>
      </c>
      <c r="C136" s="630">
        <f>C124+C126+C128+C132</f>
        <v>617282.95049344003</v>
      </c>
      <c r="D136" s="631"/>
      <c r="E136" s="631"/>
      <c r="F136" s="632"/>
      <c r="J136" s="53"/>
    </row>
    <row r="137" spans="1:10" ht="7.5" customHeight="1" thickBot="1">
      <c r="A137" s="54"/>
      <c r="B137" s="55"/>
      <c r="C137" s="55"/>
      <c r="D137" s="55"/>
      <c r="E137" s="55"/>
      <c r="F137" s="55"/>
      <c r="G137" s="55"/>
      <c r="H137" s="55"/>
      <c r="I137" s="55"/>
      <c r="J137" s="56"/>
    </row>
    <row r="138" spans="1:10" ht="15" customHeight="1">
      <c r="A138" s="47"/>
      <c r="B138" s="66" t="s">
        <v>95</v>
      </c>
      <c r="C138" s="49"/>
      <c r="D138" s="49"/>
      <c r="E138" s="49"/>
      <c r="F138" s="49"/>
      <c r="G138" s="49"/>
      <c r="H138" s="49"/>
      <c r="I138" s="49"/>
      <c r="J138" s="48"/>
    </row>
    <row r="139" spans="1:10" s="52" customFormat="1" ht="18" customHeight="1">
      <c r="A139" s="70"/>
      <c r="B139" s="52" t="s">
        <v>96</v>
      </c>
      <c r="J139" s="71"/>
    </row>
    <row r="140" spans="1:10" s="52" customFormat="1" ht="18" customHeight="1">
      <c r="A140" s="70"/>
      <c r="B140" s="52" t="s">
        <v>97</v>
      </c>
      <c r="J140" s="71"/>
    </row>
    <row r="141" spans="1:10" s="52" customFormat="1" ht="18" customHeight="1">
      <c r="A141" s="70"/>
      <c r="B141" s="52" t="s">
        <v>98</v>
      </c>
      <c r="J141" s="71"/>
    </row>
    <row r="142" spans="1:10" ht="7.5" customHeight="1" thickBot="1">
      <c r="A142" s="54"/>
      <c r="B142" s="55"/>
      <c r="C142" s="55"/>
      <c r="D142" s="55"/>
      <c r="E142" s="55"/>
      <c r="F142" s="55"/>
      <c r="G142" s="55"/>
      <c r="H142" s="55"/>
      <c r="I142" s="55"/>
      <c r="J142" s="56"/>
    </row>
    <row r="143" spans="1:10" ht="15" customHeight="1">
      <c r="A143" s="47"/>
      <c r="B143" s="66" t="s">
        <v>99</v>
      </c>
      <c r="C143" s="49"/>
      <c r="D143" s="49"/>
      <c r="E143" s="49"/>
      <c r="F143" s="49"/>
      <c r="G143" s="49"/>
      <c r="H143" s="49"/>
      <c r="I143" s="49"/>
      <c r="J143" s="48"/>
    </row>
    <row r="144" spans="1:10" s="52" customFormat="1" ht="18" customHeight="1">
      <c r="A144" s="70"/>
      <c r="B144" s="52" t="s">
        <v>100</v>
      </c>
      <c r="C144" s="52" t="s">
        <v>101</v>
      </c>
      <c r="J144" s="71"/>
    </row>
    <row r="145" spans="1:10" ht="7.5" customHeight="1" thickBot="1">
      <c r="A145" s="54"/>
      <c r="B145" s="55"/>
      <c r="C145" s="55"/>
      <c r="D145" s="55"/>
      <c r="E145" s="55"/>
      <c r="F145" s="55"/>
      <c r="G145" s="55"/>
      <c r="H145" s="55"/>
      <c r="I145" s="55"/>
      <c r="J145" s="56"/>
    </row>
    <row r="146" spans="1:10" ht="48.75" customHeight="1">
      <c r="A146" s="47"/>
      <c r="B146" s="636" t="s">
        <v>102</v>
      </c>
      <c r="C146" s="636"/>
      <c r="D146" s="636"/>
      <c r="E146" s="636"/>
      <c r="F146" s="636"/>
      <c r="G146" s="636"/>
      <c r="H146" s="636"/>
      <c r="I146" s="636"/>
      <c r="J146" s="48"/>
    </row>
    <row r="147" spans="1:10" ht="3.75" customHeight="1">
      <c r="A147" s="51"/>
      <c r="J147" s="53"/>
    </row>
    <row r="148" spans="1:10" s="52" customFormat="1" ht="18" customHeight="1">
      <c r="A148" s="70"/>
      <c r="B148" s="72" t="s">
        <v>103</v>
      </c>
      <c r="J148" s="71"/>
    </row>
    <row r="149" spans="1:10" ht="3.75" customHeight="1">
      <c r="A149" s="51"/>
      <c r="J149" s="53"/>
    </row>
    <row r="150" spans="1:10" ht="22.5" customHeight="1">
      <c r="A150" s="51"/>
      <c r="B150" s="629" t="s">
        <v>104</v>
      </c>
      <c r="C150" s="629"/>
      <c r="D150" s="629"/>
      <c r="E150" s="629"/>
      <c r="F150" s="629"/>
      <c r="G150" s="629"/>
      <c r="H150" s="629"/>
      <c r="I150" s="629"/>
      <c r="J150" s="53"/>
    </row>
    <row r="151" spans="1:10" ht="7.5" customHeight="1" thickBot="1">
      <c r="A151" s="54"/>
      <c r="B151" s="55"/>
      <c r="C151" s="55"/>
      <c r="D151" s="55"/>
      <c r="E151" s="55"/>
      <c r="F151" s="55"/>
      <c r="G151" s="55"/>
      <c r="H151" s="55"/>
      <c r="I151" s="55"/>
      <c r="J151" s="56"/>
    </row>
    <row r="152" spans="1:10" ht="15" customHeight="1">
      <c r="A152" s="47"/>
      <c r="B152" s="66" t="s">
        <v>105</v>
      </c>
      <c r="C152" s="49"/>
      <c r="D152" s="49"/>
      <c r="E152" s="49"/>
      <c r="F152" s="49"/>
      <c r="G152" s="49"/>
      <c r="H152" s="49"/>
      <c r="I152" s="49"/>
      <c r="J152" s="48"/>
    </row>
    <row r="153" spans="1:10" ht="7.5" customHeight="1" thickBot="1">
      <c r="A153" s="54"/>
      <c r="B153" s="55"/>
      <c r="C153" s="55"/>
      <c r="D153" s="55"/>
      <c r="E153" s="55"/>
      <c r="F153" s="55"/>
      <c r="G153" s="55"/>
      <c r="H153" s="55"/>
      <c r="I153" s="55"/>
      <c r="J153" s="56"/>
    </row>
    <row r="154" spans="1:10" ht="7.5" customHeight="1">
      <c r="A154" s="47"/>
      <c r="B154" s="49"/>
      <c r="C154" s="49"/>
      <c r="D154" s="49"/>
      <c r="E154" s="49"/>
      <c r="F154" s="49"/>
      <c r="G154" s="49"/>
      <c r="H154" s="49"/>
      <c r="I154" s="49"/>
      <c r="J154" s="48"/>
    </row>
    <row r="155" spans="1:10" ht="12" customHeight="1">
      <c r="A155" s="51"/>
      <c r="B155" s="50" t="s">
        <v>43</v>
      </c>
      <c r="C155" s="625" t="s">
        <v>106</v>
      </c>
      <c r="D155" s="626"/>
      <c r="F155" s="50" t="s">
        <v>107</v>
      </c>
      <c r="G155" s="625" t="s">
        <v>108</v>
      </c>
      <c r="H155" s="628"/>
      <c r="I155" s="626"/>
      <c r="J155" s="53"/>
    </row>
    <row r="156" spans="1:10" ht="3.75" customHeight="1">
      <c r="A156" s="51"/>
      <c r="J156" s="53"/>
    </row>
    <row r="157" spans="1:10" ht="12" customHeight="1">
      <c r="A157" s="51"/>
      <c r="B157" s="50" t="s">
        <v>47</v>
      </c>
      <c r="C157" s="625"/>
      <c r="D157" s="626"/>
      <c r="J157" s="53"/>
    </row>
    <row r="158" spans="1:10" ht="3.75" customHeight="1">
      <c r="A158" s="51"/>
      <c r="J158" s="53"/>
    </row>
    <row r="159" spans="1:10" ht="12" customHeight="1">
      <c r="A159" s="51"/>
      <c r="B159" s="50" t="s">
        <v>109</v>
      </c>
      <c r="C159" s="625" t="s">
        <v>110</v>
      </c>
      <c r="D159" s="628"/>
      <c r="E159" s="628"/>
      <c r="F159" s="628"/>
      <c r="G159" s="628"/>
      <c r="H159" s="628"/>
      <c r="I159" s="626"/>
      <c r="J159" s="53"/>
    </row>
    <row r="160" spans="1:10" ht="3.75" customHeight="1">
      <c r="A160" s="51"/>
      <c r="J160" s="53"/>
    </row>
    <row r="161" spans="1:10" ht="12" customHeight="1">
      <c r="A161" s="51"/>
      <c r="B161" s="50" t="s">
        <v>50</v>
      </c>
      <c r="C161" s="625"/>
      <c r="D161" s="626"/>
      <c r="J161" s="53"/>
    </row>
    <row r="162" spans="1:10" ht="7.5" customHeight="1" thickBot="1">
      <c r="A162" s="54"/>
      <c r="B162" s="55"/>
      <c r="C162" s="55"/>
      <c r="D162" s="55"/>
      <c r="E162" s="55"/>
      <c r="F162" s="55"/>
      <c r="G162" s="55"/>
      <c r="H162" s="55"/>
      <c r="I162" s="55"/>
      <c r="J162" s="56"/>
    </row>
    <row r="163" spans="1:10" ht="7.5" customHeight="1">
      <c r="A163" s="47"/>
      <c r="B163" s="49"/>
      <c r="C163" s="49"/>
      <c r="D163" s="49"/>
      <c r="E163" s="49"/>
      <c r="F163" s="49"/>
      <c r="G163" s="49"/>
      <c r="H163" s="49"/>
      <c r="I163" s="49"/>
      <c r="J163" s="48"/>
    </row>
    <row r="164" spans="1:10" ht="12" customHeight="1">
      <c r="A164" s="51"/>
      <c r="B164" s="50" t="s">
        <v>72</v>
      </c>
      <c r="C164" s="625" t="s">
        <v>111</v>
      </c>
      <c r="D164" s="628"/>
      <c r="E164" s="628"/>
      <c r="F164" s="628"/>
      <c r="G164" s="628"/>
      <c r="H164" s="628"/>
      <c r="I164" s="626"/>
      <c r="J164" s="53"/>
    </row>
    <row r="165" spans="1:10" ht="7.5" customHeight="1" thickBot="1">
      <c r="A165" s="54"/>
      <c r="B165" s="55"/>
      <c r="C165" s="55"/>
      <c r="D165" s="55"/>
      <c r="E165" s="55"/>
      <c r="F165" s="55"/>
      <c r="G165" s="55"/>
      <c r="H165" s="55"/>
      <c r="I165" s="55"/>
      <c r="J165" s="56"/>
    </row>
    <row r="166" spans="1:10" ht="7.5" customHeight="1">
      <c r="A166" s="47"/>
      <c r="B166" s="49"/>
      <c r="C166" s="49"/>
      <c r="D166" s="49"/>
      <c r="E166" s="49"/>
      <c r="F166" s="49"/>
      <c r="G166" s="49"/>
      <c r="H166" s="49"/>
      <c r="I166" s="49"/>
      <c r="J166" s="48"/>
    </row>
    <row r="167" spans="1:10" ht="12" customHeight="1">
      <c r="A167" s="51"/>
      <c r="B167" s="50" t="s">
        <v>55</v>
      </c>
      <c r="C167" s="623" t="s">
        <v>112</v>
      </c>
      <c r="D167" s="624"/>
      <c r="G167" s="50" t="s">
        <v>57</v>
      </c>
      <c r="H167" s="625"/>
      <c r="I167" s="626"/>
      <c r="J167" s="53"/>
    </row>
    <row r="168" spans="1:10" ht="7.5" customHeight="1" thickBot="1">
      <c r="A168" s="54"/>
      <c r="B168" s="55"/>
      <c r="C168" s="55"/>
      <c r="D168" s="55"/>
      <c r="E168" s="55"/>
      <c r="F168" s="55"/>
      <c r="G168" s="55"/>
      <c r="H168" s="55"/>
      <c r="I168" s="55"/>
      <c r="J168" s="56"/>
    </row>
    <row r="169" spans="1:10" ht="7.5" customHeight="1">
      <c r="A169" s="47"/>
      <c r="B169" s="49"/>
      <c r="C169" s="49"/>
      <c r="D169" s="49"/>
      <c r="E169" s="49"/>
      <c r="F169" s="49"/>
      <c r="G169" s="49"/>
      <c r="H169" s="49"/>
      <c r="I169" s="49"/>
      <c r="J169" s="48"/>
    </row>
    <row r="170" spans="1:10" ht="12" customHeight="1">
      <c r="A170" s="51"/>
      <c r="B170" s="50" t="s">
        <v>58</v>
      </c>
      <c r="C170" s="627" t="s">
        <v>113</v>
      </c>
      <c r="D170" s="628"/>
      <c r="E170" s="628"/>
      <c r="F170" s="628"/>
      <c r="G170" s="628"/>
      <c r="H170" s="628"/>
      <c r="I170" s="626"/>
      <c r="J170" s="53"/>
    </row>
    <row r="171" spans="1:10" ht="7.5" customHeight="1" thickBot="1">
      <c r="A171" s="54"/>
      <c r="B171" s="55"/>
      <c r="C171" s="55"/>
      <c r="D171" s="55"/>
      <c r="E171" s="55"/>
      <c r="F171" s="55"/>
      <c r="G171" s="55"/>
      <c r="H171" s="55"/>
      <c r="I171" s="55"/>
      <c r="J171" s="56"/>
    </row>
    <row r="172" spans="1:10" ht="7.5" customHeight="1">
      <c r="A172" s="47"/>
      <c r="B172" s="49"/>
      <c r="C172" s="49"/>
      <c r="D172" s="49"/>
      <c r="E172" s="49"/>
      <c r="F172" s="49"/>
      <c r="G172" s="49"/>
      <c r="H172" s="49"/>
      <c r="I172" s="49"/>
      <c r="J172" s="48"/>
    </row>
    <row r="173" spans="1:10" ht="13.5" customHeight="1">
      <c r="A173" s="51"/>
      <c r="B173" s="50" t="s">
        <v>114</v>
      </c>
      <c r="D173" s="625"/>
      <c r="E173" s="628"/>
      <c r="F173" s="628"/>
      <c r="G173" s="626"/>
      <c r="H173" s="50" t="s">
        <v>115</v>
      </c>
      <c r="I173" s="73">
        <v>42128</v>
      </c>
      <c r="J173" s="53"/>
    </row>
    <row r="174" spans="1:10" ht="7.5" customHeight="1" thickBot="1">
      <c r="A174" s="54"/>
      <c r="B174" s="55"/>
      <c r="C174" s="55"/>
      <c r="D174" s="55"/>
      <c r="E174" s="55"/>
      <c r="F174" s="55"/>
      <c r="G174" s="55"/>
      <c r="H174" s="55"/>
      <c r="I174" s="55"/>
      <c r="J174" s="56"/>
    </row>
  </sheetData>
  <mergeCells count="70">
    <mergeCell ref="C26:I26"/>
    <mergeCell ref="H2:I2"/>
    <mergeCell ref="H3:I3"/>
    <mergeCell ref="H4:I4"/>
    <mergeCell ref="H5:I5"/>
    <mergeCell ref="B8:D8"/>
    <mergeCell ref="F8:I8"/>
    <mergeCell ref="B11:D11"/>
    <mergeCell ref="F11:I11"/>
    <mergeCell ref="H15:I15"/>
    <mergeCell ref="C19:I19"/>
    <mergeCell ref="B22:C22"/>
    <mergeCell ref="C51:D51"/>
    <mergeCell ref="C28:I28"/>
    <mergeCell ref="C30:I30"/>
    <mergeCell ref="C32:I32"/>
    <mergeCell ref="C34:I34"/>
    <mergeCell ref="C36:I36"/>
    <mergeCell ref="C38:I38"/>
    <mergeCell ref="C40:I40"/>
    <mergeCell ref="B45:D45"/>
    <mergeCell ref="F45:I45"/>
    <mergeCell ref="C49:D49"/>
    <mergeCell ref="G49:I49"/>
    <mergeCell ref="C53:I53"/>
    <mergeCell ref="C55:D55"/>
    <mergeCell ref="C58:I58"/>
    <mergeCell ref="B61:I61"/>
    <mergeCell ref="C64:D64"/>
    <mergeCell ref="H64:I64"/>
    <mergeCell ref="B99:H99"/>
    <mergeCell ref="C67:I67"/>
    <mergeCell ref="B72:H72"/>
    <mergeCell ref="B75:H75"/>
    <mergeCell ref="B78:H78"/>
    <mergeCell ref="B81:H81"/>
    <mergeCell ref="B84:H84"/>
    <mergeCell ref="B87:D87"/>
    <mergeCell ref="B89:H89"/>
    <mergeCell ref="B92:D92"/>
    <mergeCell ref="B94:H94"/>
    <mergeCell ref="B97:D97"/>
    <mergeCell ref="B102:H102"/>
    <mergeCell ref="B105:H105"/>
    <mergeCell ref="C114:D114"/>
    <mergeCell ref="H114:I114"/>
    <mergeCell ref="C119:D119"/>
    <mergeCell ref="G119:H119"/>
    <mergeCell ref="B150:I150"/>
    <mergeCell ref="C124:F124"/>
    <mergeCell ref="C126:F126"/>
    <mergeCell ref="C128:F128"/>
    <mergeCell ref="C129:F129"/>
    <mergeCell ref="C130:F130"/>
    <mergeCell ref="C131:F131"/>
    <mergeCell ref="C132:F132"/>
    <mergeCell ref="C133:F133"/>
    <mergeCell ref="C134:F134"/>
    <mergeCell ref="C136:F136"/>
    <mergeCell ref="B146:I146"/>
    <mergeCell ref="C167:D167"/>
    <mergeCell ref="H167:I167"/>
    <mergeCell ref="C170:I170"/>
    <mergeCell ref="D173:G173"/>
    <mergeCell ref="C155:D155"/>
    <mergeCell ref="G155:I155"/>
    <mergeCell ref="C157:D157"/>
    <mergeCell ref="C159:I159"/>
    <mergeCell ref="C161:D161"/>
    <mergeCell ref="C164:I164"/>
  </mergeCells>
  <hyperlinks>
    <hyperlink ref="C67" r:id="rId1" xr:uid="{00000000-0004-0000-0000-000000000000}"/>
    <hyperlink ref="C170" r:id="rId2" xr:uid="{00000000-0004-0000-0000-000001000000}"/>
  </hyperlinks>
  <pageMargins left="0.7" right="0.7" top="0.75" bottom="0.75" header="0.3" footer="0.3"/>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4"/>
  <sheetViews>
    <sheetView topLeftCell="A32" workbookViewId="0">
      <selection activeCell="G41" sqref="G41"/>
    </sheetView>
  </sheetViews>
  <sheetFormatPr defaultColWidth="7" defaultRowHeight="12.95"/>
  <cols>
    <col min="1" max="1" width="3" style="1" customWidth="1"/>
    <col min="2" max="2" width="32.85546875" style="1" customWidth="1"/>
    <col min="3" max="3" width="19" style="1" customWidth="1"/>
    <col min="4" max="4" width="16.42578125" style="1" customWidth="1"/>
    <col min="5" max="5" width="14.85546875" style="1" customWidth="1"/>
    <col min="6" max="6" width="14.5703125" style="1" customWidth="1"/>
    <col min="7" max="7" width="16.85546875" style="1" customWidth="1"/>
    <col min="8" max="8" width="17.42578125" style="1" customWidth="1"/>
    <col min="9" max="9" width="13.85546875" style="1" customWidth="1"/>
    <col min="10" max="10" width="7" style="1" customWidth="1"/>
    <col min="11" max="16384" width="7" style="1"/>
  </cols>
  <sheetData>
    <row r="1" spans="1:8" ht="17.45">
      <c r="B1" s="2" t="s">
        <v>116</v>
      </c>
      <c r="C1" s="3"/>
      <c r="D1" s="3"/>
      <c r="E1" s="3"/>
      <c r="F1" s="3"/>
      <c r="G1" s="3"/>
      <c r="H1" s="3"/>
    </row>
    <row r="2" spans="1:8">
      <c r="B2" s="3" t="s">
        <v>117</v>
      </c>
      <c r="C2" s="3"/>
      <c r="D2" s="3"/>
      <c r="E2" s="3"/>
      <c r="F2" s="3"/>
      <c r="G2" s="3"/>
      <c r="H2" s="3"/>
    </row>
    <row r="4" spans="1:8" ht="15">
      <c r="B4" s="4" t="s">
        <v>118</v>
      </c>
      <c r="C4" s="3"/>
      <c r="D4" s="3"/>
      <c r="E4" s="3"/>
      <c r="F4" s="3"/>
      <c r="G4" s="3"/>
      <c r="H4" s="3"/>
    </row>
    <row r="6" spans="1:8" ht="20.100000000000001" customHeight="1">
      <c r="A6" s="665" t="s">
        <v>119</v>
      </c>
      <c r="B6" s="666"/>
      <c r="C6" s="648"/>
      <c r="D6" s="648"/>
      <c r="E6" s="648"/>
      <c r="F6" s="648"/>
      <c r="G6" s="648"/>
      <c r="H6" s="649"/>
    </row>
    <row r="7" spans="1:8">
      <c r="A7" s="650" t="s">
        <v>120</v>
      </c>
      <c r="B7" s="652"/>
      <c r="C7" s="586" t="s">
        <v>121</v>
      </c>
      <c r="D7" s="5" t="s">
        <v>122</v>
      </c>
      <c r="E7" s="6"/>
      <c r="F7" s="5" t="s">
        <v>123</v>
      </c>
      <c r="G7" s="7"/>
      <c r="H7" s="6"/>
    </row>
    <row r="8" spans="1:8">
      <c r="A8" s="667" t="s">
        <v>124</v>
      </c>
      <c r="B8" s="668"/>
      <c r="C8" s="591" t="s">
        <v>125</v>
      </c>
      <c r="D8" s="8"/>
      <c r="E8" s="9"/>
      <c r="F8" s="8"/>
      <c r="G8" s="10"/>
      <c r="H8" s="9"/>
    </row>
    <row r="9" spans="1:8">
      <c r="A9" s="667" t="s">
        <v>126</v>
      </c>
      <c r="B9" s="668"/>
      <c r="C9" s="591" t="s">
        <v>127</v>
      </c>
      <c r="D9" s="11" t="s">
        <v>128</v>
      </c>
      <c r="E9" s="11" t="s">
        <v>129</v>
      </c>
      <c r="F9" s="11" t="s">
        <v>128</v>
      </c>
      <c r="G9" s="11" t="s">
        <v>129</v>
      </c>
      <c r="H9" s="11" t="s">
        <v>130</v>
      </c>
    </row>
    <row r="10" spans="1:8">
      <c r="A10" s="653" t="s">
        <v>131</v>
      </c>
      <c r="B10" s="655"/>
      <c r="C10" s="587" t="s">
        <v>132</v>
      </c>
      <c r="D10" s="12" t="s">
        <v>133</v>
      </c>
      <c r="E10" s="12" t="s">
        <v>134</v>
      </c>
      <c r="F10" s="12" t="s">
        <v>135</v>
      </c>
      <c r="G10" s="12" t="s">
        <v>136</v>
      </c>
      <c r="H10" s="12" t="s">
        <v>137</v>
      </c>
    </row>
    <row r="11" spans="1:8" ht="15" customHeight="1">
      <c r="A11" s="8">
        <v>1</v>
      </c>
      <c r="B11" s="8" t="s">
        <v>138</v>
      </c>
      <c r="C11" s="41">
        <v>19.018999999999998</v>
      </c>
      <c r="D11" s="30"/>
      <c r="E11" s="30"/>
      <c r="F11" s="30">
        <f>'Budget Summary'!L19</f>
        <v>617282.95049344003</v>
      </c>
      <c r="G11" s="30">
        <f>'Budget Summary'!M19</f>
        <v>0</v>
      </c>
      <c r="H11" s="30">
        <f>F11+G11</f>
        <v>617282.95049344003</v>
      </c>
    </row>
    <row r="12" spans="1:8" ht="15" customHeight="1">
      <c r="A12" s="8">
        <v>2</v>
      </c>
      <c r="B12" s="8"/>
      <c r="C12" s="30"/>
      <c r="D12" s="30"/>
      <c r="E12" s="30"/>
      <c r="F12" s="30"/>
      <c r="G12" s="30"/>
      <c r="H12" s="30">
        <f>F12+G12</f>
        <v>0</v>
      </c>
    </row>
    <row r="13" spans="1:8" ht="15" customHeight="1">
      <c r="A13" s="8">
        <v>4</v>
      </c>
      <c r="B13" s="8"/>
      <c r="C13" s="30"/>
      <c r="D13" s="30"/>
      <c r="E13" s="30"/>
      <c r="F13" s="30"/>
      <c r="G13" s="30"/>
      <c r="H13" s="30">
        <f>F13+G13</f>
        <v>0</v>
      </c>
    </row>
    <row r="14" spans="1:8" ht="15" customHeight="1">
      <c r="A14" s="8">
        <v>3</v>
      </c>
      <c r="B14" s="8"/>
      <c r="C14" s="30"/>
      <c r="D14" s="30"/>
      <c r="E14" s="30"/>
      <c r="F14" s="30"/>
      <c r="G14" s="30"/>
      <c r="H14" s="30">
        <f>F14+G14</f>
        <v>0</v>
      </c>
    </row>
    <row r="15" spans="1:8" ht="15" customHeight="1">
      <c r="A15" s="8">
        <v>4</v>
      </c>
      <c r="B15" s="8"/>
      <c r="C15" s="30"/>
      <c r="D15" s="30"/>
      <c r="E15" s="30"/>
      <c r="F15" s="30"/>
      <c r="G15" s="30"/>
      <c r="H15" s="30">
        <f>F15+G15</f>
        <v>0</v>
      </c>
    </row>
    <row r="16" spans="1:8" ht="15" customHeight="1">
      <c r="A16" s="8">
        <v>5</v>
      </c>
      <c r="B16" s="8" t="s">
        <v>139</v>
      </c>
      <c r="C16" s="30"/>
      <c r="D16" s="30">
        <f>SUM(D11:D14)</f>
        <v>0</v>
      </c>
      <c r="E16" s="30">
        <f>SUM(E11:E14)</f>
        <v>0</v>
      </c>
      <c r="F16" s="30">
        <f>SUM(F11:F15)</f>
        <v>617282.95049344003</v>
      </c>
      <c r="G16" s="30">
        <f>SUM(G11:G15)</f>
        <v>0</v>
      </c>
      <c r="H16" s="30">
        <f>SUM(H11:H15)</f>
        <v>617282.95049344003</v>
      </c>
    </row>
    <row r="17" spans="1:11" ht="20.100000000000001" customHeight="1">
      <c r="A17" s="662" t="s">
        <v>140</v>
      </c>
      <c r="B17" s="663"/>
      <c r="C17" s="663"/>
      <c r="D17" s="663"/>
      <c r="E17" s="663"/>
      <c r="F17" s="663"/>
      <c r="G17" s="663"/>
      <c r="H17" s="664"/>
      <c r="I17" s="14"/>
    </row>
    <row r="18" spans="1:11">
      <c r="A18" s="15"/>
      <c r="B18" s="15"/>
      <c r="C18" s="16" t="s">
        <v>141</v>
      </c>
      <c r="D18" s="17"/>
      <c r="E18" s="17"/>
      <c r="F18" s="18"/>
      <c r="G18" s="18"/>
      <c r="H18" s="19" t="s">
        <v>130</v>
      </c>
    </row>
    <row r="19" spans="1:11">
      <c r="A19" s="20" t="s">
        <v>142</v>
      </c>
      <c r="B19" s="21" t="s">
        <v>143</v>
      </c>
      <c r="C19" s="19" t="s">
        <v>144</v>
      </c>
      <c r="D19" s="22" t="s">
        <v>145</v>
      </c>
      <c r="E19" s="22" t="s">
        <v>146</v>
      </c>
      <c r="F19" s="22" t="s">
        <v>147</v>
      </c>
      <c r="G19" s="22" t="s">
        <v>148</v>
      </c>
      <c r="H19" s="22" t="s">
        <v>149</v>
      </c>
    </row>
    <row r="20" spans="1:11">
      <c r="A20" s="23" t="s">
        <v>150</v>
      </c>
      <c r="B20" s="23" t="s">
        <v>150</v>
      </c>
      <c r="C20" s="30">
        <f>'Budget Summary'!N6</f>
        <v>141278.49249999999</v>
      </c>
      <c r="D20" s="13"/>
      <c r="E20" s="13"/>
      <c r="F20" s="13"/>
      <c r="G20" s="13"/>
      <c r="H20" s="30">
        <f t="shared" ref="H20:H30" si="0">SUM(C20:G20)</f>
        <v>141278.49249999999</v>
      </c>
      <c r="K20" s="14"/>
    </row>
    <row r="21" spans="1:11">
      <c r="A21" s="8" t="s">
        <v>151</v>
      </c>
      <c r="B21" s="8" t="s">
        <v>151</v>
      </c>
      <c r="C21" s="30">
        <f>'Budget Summary'!N7</f>
        <v>64661.997022999982</v>
      </c>
      <c r="D21" s="13"/>
      <c r="E21" s="13"/>
      <c r="F21" s="13"/>
      <c r="G21" s="13"/>
      <c r="H21" s="30">
        <f t="shared" si="0"/>
        <v>64661.997022999982</v>
      </c>
      <c r="K21" s="14"/>
    </row>
    <row r="22" spans="1:11">
      <c r="A22" s="8" t="s">
        <v>152</v>
      </c>
      <c r="B22" s="8" t="s">
        <v>152</v>
      </c>
      <c r="C22" s="30">
        <f>'Budget Summary'!N8</f>
        <v>23907.682199999999</v>
      </c>
      <c r="D22" s="13"/>
      <c r="E22" s="13"/>
      <c r="F22" s="13"/>
      <c r="G22" s="13"/>
      <c r="H22" s="30">
        <f t="shared" si="0"/>
        <v>23907.682199999999</v>
      </c>
      <c r="K22" s="14"/>
    </row>
    <row r="23" spans="1:11">
      <c r="A23" s="8" t="s">
        <v>153</v>
      </c>
      <c r="B23" s="8" t="s">
        <v>153</v>
      </c>
      <c r="C23" s="30">
        <v>0</v>
      </c>
      <c r="D23" s="13"/>
      <c r="E23" s="13"/>
      <c r="F23" s="13"/>
      <c r="G23" s="13"/>
      <c r="H23" s="30">
        <f t="shared" si="0"/>
        <v>0</v>
      </c>
      <c r="K23" s="14"/>
    </row>
    <row r="24" spans="1:11">
      <c r="A24" s="8" t="s">
        <v>154</v>
      </c>
      <c r="B24" s="8" t="s">
        <v>154</v>
      </c>
      <c r="C24" s="30">
        <f>'Budget Summary'!N10</f>
        <v>18370</v>
      </c>
      <c r="D24" s="13"/>
      <c r="E24" s="13"/>
      <c r="F24" s="13"/>
      <c r="G24" s="13"/>
      <c r="H24" s="30">
        <f t="shared" si="0"/>
        <v>18370</v>
      </c>
      <c r="K24" s="14"/>
    </row>
    <row r="25" spans="1:11">
      <c r="A25" s="8" t="s">
        <v>155</v>
      </c>
      <c r="B25" s="8" t="s">
        <v>155</v>
      </c>
      <c r="C25" s="30">
        <f>'Budget Summary'!N11</f>
        <v>199312.63334999999</v>
      </c>
      <c r="D25" s="13"/>
      <c r="E25" s="13"/>
      <c r="F25" s="13"/>
      <c r="G25" s="13"/>
      <c r="H25" s="30">
        <f t="shared" si="0"/>
        <v>199312.63334999999</v>
      </c>
      <c r="K25" s="14"/>
    </row>
    <row r="26" spans="1:11">
      <c r="A26" s="8" t="s">
        <v>156</v>
      </c>
      <c r="B26" s="8" t="s">
        <v>156</v>
      </c>
      <c r="C26" s="30">
        <v>0</v>
      </c>
      <c r="D26" s="13"/>
      <c r="E26" s="13"/>
      <c r="F26" s="13"/>
      <c r="G26" s="13"/>
      <c r="H26" s="30">
        <f t="shared" si="0"/>
        <v>0</v>
      </c>
      <c r="K26" s="14"/>
    </row>
    <row r="27" spans="1:11">
      <c r="A27" s="8" t="s">
        <v>157</v>
      </c>
      <c r="B27" s="8" t="s">
        <v>157</v>
      </c>
      <c r="C27" s="30">
        <f>'Budget Summary'!N13</f>
        <v>34721.5</v>
      </c>
      <c r="D27" s="13"/>
      <c r="E27" s="13"/>
      <c r="F27" s="13"/>
      <c r="G27" s="13"/>
      <c r="H27" s="30">
        <f t="shared" si="0"/>
        <v>34721.5</v>
      </c>
      <c r="K27" s="14"/>
    </row>
    <row r="28" spans="1:11">
      <c r="A28" s="8" t="s">
        <v>158</v>
      </c>
      <c r="B28" s="8" t="s">
        <v>158</v>
      </c>
      <c r="C28" s="30">
        <f>SUM(C20:C27)</f>
        <v>482252.30507299997</v>
      </c>
      <c r="D28" s="13"/>
      <c r="E28" s="13"/>
      <c r="F28" s="13"/>
      <c r="G28" s="13"/>
      <c r="H28" s="30">
        <f t="shared" si="0"/>
        <v>482252.30507299997</v>
      </c>
      <c r="K28" s="14"/>
    </row>
    <row r="29" spans="1:11">
      <c r="A29" s="8" t="s">
        <v>159</v>
      </c>
      <c r="B29" s="8" t="s">
        <v>159</v>
      </c>
      <c r="C29" s="30">
        <f>'Budget Summary'!N17</f>
        <v>135030.64542044001</v>
      </c>
      <c r="D29" s="13"/>
      <c r="E29" s="13"/>
      <c r="F29" s="13"/>
      <c r="G29" s="13"/>
      <c r="H29" s="30">
        <f t="shared" si="0"/>
        <v>135030.64542044001</v>
      </c>
      <c r="K29" s="14"/>
    </row>
    <row r="30" spans="1:11">
      <c r="A30" s="8" t="s">
        <v>160</v>
      </c>
      <c r="B30" s="8" t="s">
        <v>160</v>
      </c>
      <c r="C30" s="30">
        <f>C28+C29</f>
        <v>617282.95049344003</v>
      </c>
      <c r="D30" s="30">
        <f>D28+D29</f>
        <v>0</v>
      </c>
      <c r="E30" s="30">
        <f>E28+E29</f>
        <v>0</v>
      </c>
      <c r="F30" s="30">
        <f>F28+F29</f>
        <v>0</v>
      </c>
      <c r="G30" s="30">
        <f>G28+G29</f>
        <v>0</v>
      </c>
      <c r="H30" s="30">
        <f t="shared" si="0"/>
        <v>617282.95049344003</v>
      </c>
      <c r="K30" s="14"/>
    </row>
    <row r="31" spans="1:11">
      <c r="A31" s="23"/>
      <c r="B31" s="23"/>
      <c r="D31" s="24"/>
      <c r="E31" s="24"/>
      <c r="F31" s="24"/>
      <c r="G31" s="24"/>
      <c r="H31" s="24"/>
    </row>
    <row r="32" spans="1:11">
      <c r="A32" s="25" t="s">
        <v>161</v>
      </c>
      <c r="B32" s="23" t="s">
        <v>162</v>
      </c>
      <c r="C32" s="30">
        <v>0</v>
      </c>
      <c r="D32" s="30">
        <v>0</v>
      </c>
      <c r="E32" s="30">
        <v>0</v>
      </c>
      <c r="F32" s="30">
        <v>0</v>
      </c>
      <c r="G32" s="30"/>
      <c r="H32" s="30">
        <v>0</v>
      </c>
    </row>
    <row r="34" spans="1:9">
      <c r="A34" s="656" t="s">
        <v>163</v>
      </c>
      <c r="B34" s="656"/>
      <c r="C34" s="26"/>
      <c r="D34" s="26" t="s">
        <v>164</v>
      </c>
      <c r="E34" s="26"/>
      <c r="F34" s="27"/>
      <c r="G34" s="27" t="s">
        <v>165</v>
      </c>
      <c r="H34" s="27"/>
    </row>
    <row r="35" spans="1:9">
      <c r="A35" s="657"/>
      <c r="B35" s="657"/>
      <c r="F35" s="3"/>
      <c r="G35" s="3"/>
      <c r="H35" s="3"/>
    </row>
    <row r="37" spans="1:9" ht="17.45">
      <c r="A37" s="658" t="s">
        <v>166</v>
      </c>
      <c r="B37" s="658"/>
      <c r="C37" s="658"/>
      <c r="D37" s="658"/>
      <c r="E37" s="658"/>
      <c r="F37" s="658"/>
      <c r="G37" s="658"/>
      <c r="H37" s="658"/>
    </row>
    <row r="38" spans="1:9" ht="20.100000000000001" customHeight="1">
      <c r="A38" s="647" t="s">
        <v>167</v>
      </c>
      <c r="B38" s="648"/>
      <c r="C38" s="648"/>
      <c r="D38" s="648"/>
      <c r="E38" s="648"/>
      <c r="F38" s="648"/>
      <c r="G38" s="648"/>
      <c r="H38" s="649"/>
    </row>
    <row r="39" spans="1:9" ht="15.95" customHeight="1">
      <c r="A39" s="659" t="s">
        <v>168</v>
      </c>
      <c r="B39" s="660"/>
      <c r="C39" s="660"/>
      <c r="D39" s="661"/>
      <c r="E39" s="588" t="s">
        <v>169</v>
      </c>
      <c r="F39" s="589" t="s">
        <v>170</v>
      </c>
      <c r="G39" s="589" t="s">
        <v>171</v>
      </c>
      <c r="H39" s="590" t="s">
        <v>172</v>
      </c>
    </row>
    <row r="40" spans="1:9" ht="15.95" customHeight="1">
      <c r="A40" s="23" t="s">
        <v>173</v>
      </c>
      <c r="B40" s="8" t="s">
        <v>138</v>
      </c>
      <c r="C40" s="28"/>
      <c r="D40" s="29"/>
      <c r="E40" s="30">
        <f>'Budget Summary'!M19</f>
        <v>0</v>
      </c>
      <c r="F40" s="30"/>
      <c r="G40" s="30"/>
      <c r="H40" s="30">
        <f>SUM(E40:G40)</f>
        <v>0</v>
      </c>
    </row>
    <row r="41" spans="1:9" ht="15.95" customHeight="1">
      <c r="A41" s="8" t="s">
        <v>174</v>
      </c>
      <c r="B41" s="23"/>
      <c r="C41" s="10"/>
      <c r="D41" s="9"/>
      <c r="E41" s="30"/>
      <c r="F41" s="30"/>
      <c r="G41" s="30"/>
      <c r="H41" s="30">
        <f>SUM(E41:G41)</f>
        <v>0</v>
      </c>
    </row>
    <row r="42" spans="1:9" ht="15.95" customHeight="1">
      <c r="A42" s="8" t="s">
        <v>175</v>
      </c>
      <c r="B42" s="23"/>
      <c r="C42" s="10"/>
      <c r="D42" s="9"/>
      <c r="E42" s="30"/>
      <c r="F42" s="30"/>
      <c r="G42" s="30"/>
      <c r="H42" s="30">
        <f>SUM(E42:G42)</f>
        <v>0</v>
      </c>
    </row>
    <row r="43" spans="1:9" ht="15.95" customHeight="1">
      <c r="A43" s="8" t="s">
        <v>176</v>
      </c>
      <c r="B43" s="23"/>
      <c r="C43" s="10"/>
      <c r="D43" s="9"/>
      <c r="E43" s="30"/>
      <c r="F43" s="30"/>
      <c r="G43" s="30"/>
      <c r="H43" s="30">
        <f>SUM(E43:G43)</f>
        <v>0</v>
      </c>
    </row>
    <row r="44" spans="1:9" ht="15.95" customHeight="1">
      <c r="A44" s="31" t="s">
        <v>177</v>
      </c>
      <c r="B44" s="8" t="s">
        <v>178</v>
      </c>
      <c r="C44" s="10"/>
      <c r="D44" s="9"/>
      <c r="E44" s="30">
        <f>SUM(E40:E43)</f>
        <v>0</v>
      </c>
      <c r="F44" s="30">
        <f>SUM(F40:F43)</f>
        <v>0</v>
      </c>
      <c r="G44" s="30">
        <f>SUM(G40:G43)</f>
        <v>0</v>
      </c>
      <c r="H44" s="30">
        <f>SUM(H40:H43)</f>
        <v>0</v>
      </c>
    </row>
    <row r="45" spans="1:9" ht="15.95" customHeight="1">
      <c r="A45" s="647" t="s">
        <v>179</v>
      </c>
      <c r="B45" s="648"/>
      <c r="C45" s="648"/>
      <c r="D45" s="648"/>
      <c r="E45" s="648"/>
      <c r="F45" s="648"/>
      <c r="G45" s="648"/>
      <c r="H45" s="649"/>
    </row>
    <row r="46" spans="1:9" ht="15.95" customHeight="1">
      <c r="A46" s="15"/>
      <c r="B46" s="15"/>
      <c r="C46" s="32"/>
      <c r="D46" s="33" t="s">
        <v>180</v>
      </c>
      <c r="E46" s="33" t="s">
        <v>181</v>
      </c>
      <c r="F46" s="33" t="s">
        <v>182</v>
      </c>
      <c r="G46" s="33" t="s">
        <v>183</v>
      </c>
      <c r="H46" s="33" t="s">
        <v>184</v>
      </c>
    </row>
    <row r="47" spans="1:9" ht="15.95" customHeight="1">
      <c r="A47" s="31" t="s">
        <v>185</v>
      </c>
      <c r="B47" s="8" t="s">
        <v>128</v>
      </c>
      <c r="C47" s="10"/>
      <c r="D47" s="30">
        <f>'Budget Summary'!C19</f>
        <v>236149.2224</v>
      </c>
      <c r="E47" s="211">
        <f>(SUM('Budget Summary'!C6:C10,'Budget Summary'!C13)*20%+'Budget Summary'!C11*30%)*1.1788</f>
        <v>52029.511329599998</v>
      </c>
      <c r="F47" s="34">
        <f>(SUM('Budget Summary'!$C$6:$C$10,'Budget Summary'!$C$13)*25%+'Budget Summary'!$C$11*30%)*1.1788</f>
        <v>58636.556840400001</v>
      </c>
      <c r="G47" s="34">
        <f>(SUM('Budget Summary'!$C$6:$C$10,'Budget Summary'!$C$13)*25%+'Budget Summary'!$C$11*30%)*1.1788</f>
        <v>58636.556840400001</v>
      </c>
      <c r="H47" s="34">
        <f>(SUM('Budget Summary'!$C$6:$C$10,'Budget Summary'!$C$13)*30%+'Budget Summary'!$C$11*10%)*1.1788</f>
        <v>48176.049493599996</v>
      </c>
      <c r="I47" s="35"/>
    </row>
    <row r="48" spans="1:9" ht="15.95" customHeight="1">
      <c r="A48" s="31" t="s">
        <v>186</v>
      </c>
      <c r="B48" s="8" t="s">
        <v>187</v>
      </c>
      <c r="C48" s="10"/>
      <c r="D48" s="30">
        <f>'Budget Summary'!D19</f>
        <v>0</v>
      </c>
      <c r="E48" s="211">
        <f>(SUM('Budget Summary'!D6:D10,'Budget Summary'!D13)*20%+'Budget Summary'!D11*30%)*1.1788</f>
        <v>0</v>
      </c>
      <c r="F48" s="34">
        <f>(SUM('Budget Summary'!$D$6:$D$10,'Budget Summary'!$D$13)*25%+'Budget Summary'!$D$11*30%)*1.1788</f>
        <v>0</v>
      </c>
      <c r="G48" s="34">
        <f>(SUM('Budget Summary'!$D$6:$D$10,'Budget Summary'!$D$13)*25%+'Budget Summary'!$D$11*30%)*1.1788</f>
        <v>0</v>
      </c>
      <c r="H48" s="34">
        <f>(SUM('Budget Summary'!$D$6:$D$10,'Budget Summary'!$D$13)*30%+'Budget Summary'!$D$11*10%)*1.1788</f>
        <v>0</v>
      </c>
    </row>
    <row r="49" spans="1:9" ht="15.95" customHeight="1">
      <c r="A49" s="31" t="s">
        <v>188</v>
      </c>
      <c r="B49" s="8" t="s">
        <v>189</v>
      </c>
      <c r="C49" s="10"/>
      <c r="D49" s="30">
        <f>SUM(D47:D48)</f>
        <v>236149.2224</v>
      </c>
      <c r="E49" s="30">
        <f>SUM(E47:E48)</f>
        <v>52029.511329599998</v>
      </c>
      <c r="F49" s="30">
        <f>SUM(F47:F48)</f>
        <v>58636.556840400001</v>
      </c>
      <c r="G49" s="30">
        <f>SUM(G47:G48)</f>
        <v>58636.556840400001</v>
      </c>
      <c r="H49" s="30">
        <f>SUM(H47:H48)</f>
        <v>48176.049493599996</v>
      </c>
    </row>
    <row r="50" spans="1:9">
      <c r="A50" s="647" t="s">
        <v>190</v>
      </c>
      <c r="B50" s="648"/>
      <c r="C50" s="648"/>
      <c r="D50" s="648"/>
      <c r="E50" s="648"/>
      <c r="F50" s="648"/>
      <c r="G50" s="648"/>
      <c r="H50" s="649"/>
    </row>
    <row r="51" spans="1:9">
      <c r="A51" s="650" t="s">
        <v>168</v>
      </c>
      <c r="B51" s="651"/>
      <c r="C51" s="651"/>
      <c r="D51" s="652"/>
      <c r="E51" s="16" t="s">
        <v>191</v>
      </c>
      <c r="F51" s="17"/>
      <c r="G51" s="17"/>
      <c r="H51" s="18"/>
    </row>
    <row r="52" spans="1:9">
      <c r="A52" s="653"/>
      <c r="B52" s="654"/>
      <c r="C52" s="654"/>
      <c r="D52" s="655"/>
      <c r="E52" s="22" t="s">
        <v>192</v>
      </c>
      <c r="F52" s="22" t="s">
        <v>193</v>
      </c>
      <c r="G52" s="22" t="s">
        <v>194</v>
      </c>
      <c r="H52" s="22" t="s">
        <v>195</v>
      </c>
    </row>
    <row r="53" spans="1:9">
      <c r="A53" s="23" t="s">
        <v>196</v>
      </c>
      <c r="B53" s="23" t="str">
        <f>B40</f>
        <v>Anti-Trafficking Program</v>
      </c>
      <c r="C53" s="28"/>
      <c r="D53" s="29"/>
      <c r="E53" s="30">
        <f>'Budget Summary'!C19</f>
        <v>236149.2224</v>
      </c>
      <c r="F53" s="30">
        <f>'Budget Summary'!F19</f>
        <v>289983.39558399998</v>
      </c>
      <c r="G53" s="30">
        <f>'Budget Summary'!I19</f>
        <v>91150.332509439992</v>
      </c>
      <c r="H53" s="30">
        <v>0</v>
      </c>
    </row>
    <row r="54" spans="1:9">
      <c r="A54" s="8" t="s">
        <v>197</v>
      </c>
      <c r="B54" s="23"/>
      <c r="C54" s="10"/>
      <c r="D54" s="9"/>
      <c r="E54" s="30"/>
      <c r="F54" s="30"/>
      <c r="G54" s="30"/>
      <c r="H54" s="30"/>
    </row>
    <row r="55" spans="1:9">
      <c r="A55" s="8" t="s">
        <v>198</v>
      </c>
      <c r="B55" s="23"/>
      <c r="C55" s="10"/>
      <c r="D55" s="9"/>
      <c r="E55" s="30"/>
      <c r="F55" s="30"/>
      <c r="G55" s="30"/>
      <c r="H55" s="30"/>
    </row>
    <row r="56" spans="1:9">
      <c r="A56" s="8" t="s">
        <v>199</v>
      </c>
      <c r="B56" s="23"/>
      <c r="C56" s="10"/>
      <c r="D56" s="9"/>
      <c r="E56" s="30"/>
      <c r="F56" s="30"/>
      <c r="G56" s="30"/>
      <c r="H56" s="30"/>
    </row>
    <row r="57" spans="1:9">
      <c r="A57" s="31" t="s">
        <v>200</v>
      </c>
      <c r="B57" s="8" t="s">
        <v>201</v>
      </c>
      <c r="C57" s="10"/>
      <c r="D57" s="9"/>
      <c r="E57" s="30">
        <f>SUM(E53:E56)</f>
        <v>236149.2224</v>
      </c>
      <c r="F57" s="30">
        <f>SUM(F53:F56)</f>
        <v>289983.39558399998</v>
      </c>
      <c r="G57" s="30">
        <f>SUM(G53:G56)</f>
        <v>91150.332509439992</v>
      </c>
      <c r="H57" s="30">
        <f>SUM(H53:H56)</f>
        <v>0</v>
      </c>
    </row>
    <row r="58" spans="1:9">
      <c r="A58" s="647" t="s">
        <v>202</v>
      </c>
      <c r="B58" s="648"/>
      <c r="C58" s="648"/>
      <c r="D58" s="648"/>
      <c r="E58" s="648"/>
      <c r="F58" s="648"/>
      <c r="G58" s="648"/>
      <c r="H58" s="649"/>
    </row>
    <row r="59" spans="1:9">
      <c r="A59" s="15">
        <v>21</v>
      </c>
      <c r="B59" s="15" t="s">
        <v>203</v>
      </c>
      <c r="C59" s="30"/>
      <c r="D59" s="36"/>
      <c r="E59" s="15" t="s">
        <v>204</v>
      </c>
      <c r="F59" s="32"/>
      <c r="G59" s="30" t="s">
        <v>205</v>
      </c>
      <c r="H59" s="36"/>
    </row>
    <row r="60" spans="1:9">
      <c r="A60" s="23">
        <v>23</v>
      </c>
      <c r="B60" s="23" t="s">
        <v>206</v>
      </c>
      <c r="C60" s="28"/>
      <c r="D60" s="37"/>
      <c r="E60" s="38"/>
      <c r="F60" s="39"/>
      <c r="G60" s="28"/>
      <c r="H60" s="40"/>
    </row>
    <row r="62" spans="1:9">
      <c r="A62" s="26"/>
      <c r="B62" s="26"/>
      <c r="C62" s="26"/>
      <c r="D62" s="26" t="s">
        <v>164</v>
      </c>
      <c r="E62" s="26"/>
      <c r="F62" s="26"/>
      <c r="G62" s="27" t="s">
        <v>207</v>
      </c>
      <c r="H62" s="27"/>
    </row>
    <row r="63" spans="1:9">
      <c r="I63" s="14"/>
    </row>
    <row r="64" spans="1:9">
      <c r="H64" s="14"/>
    </row>
  </sheetData>
  <mergeCells count="16">
    <mergeCell ref="A17:H17"/>
    <mergeCell ref="A6:H6"/>
    <mergeCell ref="A7:B7"/>
    <mergeCell ref="A8:B8"/>
    <mergeCell ref="A9:B9"/>
    <mergeCell ref="A10:B10"/>
    <mergeCell ref="A50:H50"/>
    <mergeCell ref="A51:D51"/>
    <mergeCell ref="A52:D52"/>
    <mergeCell ref="A58:H58"/>
    <mergeCell ref="A34:B34"/>
    <mergeCell ref="A35:B35"/>
    <mergeCell ref="A37:H37"/>
    <mergeCell ref="A38:H38"/>
    <mergeCell ref="A39:D39"/>
    <mergeCell ref="A45:H45"/>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24"/>
  <sheetViews>
    <sheetView zoomScale="70" zoomScaleNormal="70" zoomScaleSheetLayoutView="100" workbookViewId="0">
      <selection activeCell="E30" sqref="E30"/>
    </sheetView>
  </sheetViews>
  <sheetFormatPr defaultColWidth="9.140625" defaultRowHeight="15.6"/>
  <cols>
    <col min="1" max="1" width="9.140625" style="454"/>
    <col min="2" max="2" width="98.5703125" style="454" customWidth="1"/>
    <col min="3" max="3" width="10.85546875" style="454" bestFit="1" customWidth="1"/>
    <col min="4" max="4" width="12.42578125" style="454" bestFit="1" customWidth="1"/>
    <col min="5" max="6" width="10.85546875" style="454" bestFit="1" customWidth="1"/>
    <col min="7" max="7" width="12.42578125" style="454" bestFit="1" customWidth="1"/>
    <col min="8" max="9" width="10.85546875" style="454" bestFit="1" customWidth="1"/>
    <col min="10" max="10" width="12.42578125" style="454" bestFit="1" customWidth="1"/>
    <col min="11" max="11" width="10.85546875" style="454" bestFit="1" customWidth="1"/>
    <col min="12" max="12" width="12.5703125" style="454" bestFit="1" customWidth="1"/>
    <col min="13" max="13" width="12.42578125" style="454" bestFit="1" customWidth="1"/>
    <col min="14" max="14" width="12.5703125" style="454" bestFit="1" customWidth="1"/>
    <col min="15" max="16384" width="9.140625" style="454"/>
  </cols>
  <sheetData>
    <row r="1" spans="1:15" ht="15.95" thickBot="1">
      <c r="A1" s="619"/>
      <c r="B1" s="619"/>
      <c r="C1" s="619"/>
      <c r="D1" s="619"/>
      <c r="E1" s="619"/>
      <c r="F1" s="619"/>
      <c r="G1" s="619"/>
      <c r="H1" s="619"/>
      <c r="I1" s="619"/>
      <c r="J1" s="619"/>
      <c r="K1" s="619"/>
      <c r="L1" s="619"/>
      <c r="M1" s="619"/>
      <c r="N1" s="619"/>
      <c r="O1" s="619"/>
    </row>
    <row r="2" spans="1:15" ht="30.75" customHeight="1" thickBot="1">
      <c r="A2" s="619"/>
      <c r="B2" s="669" t="s">
        <v>208</v>
      </c>
      <c r="C2" s="670"/>
      <c r="D2" s="670"/>
      <c r="E2" s="670"/>
      <c r="F2" s="670"/>
      <c r="G2" s="670"/>
      <c r="H2" s="670"/>
      <c r="I2" s="670"/>
      <c r="J2" s="670"/>
      <c r="K2" s="670"/>
      <c r="L2" s="670"/>
      <c r="M2" s="670"/>
      <c r="N2" s="670"/>
      <c r="O2" s="619"/>
    </row>
    <row r="3" spans="1:15" ht="18.75" customHeight="1" thickBot="1">
      <c r="A3" s="619"/>
      <c r="B3" s="674" t="s">
        <v>209</v>
      </c>
      <c r="C3" s="675"/>
      <c r="D3" s="675"/>
      <c r="E3" s="675"/>
      <c r="F3" s="675"/>
      <c r="G3" s="675"/>
      <c r="H3" s="675"/>
      <c r="I3" s="675"/>
      <c r="J3" s="675"/>
      <c r="K3" s="675"/>
      <c r="L3" s="675"/>
      <c r="M3" s="675"/>
      <c r="N3" s="676"/>
      <c r="O3" s="619"/>
    </row>
    <row r="4" spans="1:15" s="456" customFormat="1">
      <c r="A4" s="620"/>
      <c r="B4" s="455"/>
      <c r="C4" s="671" t="s">
        <v>210</v>
      </c>
      <c r="D4" s="672"/>
      <c r="E4" s="673"/>
      <c r="F4" s="671" t="s">
        <v>211</v>
      </c>
      <c r="G4" s="672"/>
      <c r="H4" s="673"/>
      <c r="I4" s="671" t="s">
        <v>212</v>
      </c>
      <c r="J4" s="672"/>
      <c r="K4" s="673"/>
      <c r="L4" s="671" t="s">
        <v>130</v>
      </c>
      <c r="M4" s="672"/>
      <c r="N4" s="673"/>
      <c r="O4" s="620"/>
    </row>
    <row r="5" spans="1:15" s="456" customFormat="1" ht="18" customHeight="1">
      <c r="A5" s="620"/>
      <c r="B5" s="457" t="s">
        <v>213</v>
      </c>
      <c r="C5" s="458" t="s">
        <v>214</v>
      </c>
      <c r="D5" s="459" t="s">
        <v>215</v>
      </c>
      <c r="E5" s="460" t="s">
        <v>130</v>
      </c>
      <c r="F5" s="458" t="s">
        <v>214</v>
      </c>
      <c r="G5" s="459" t="s">
        <v>215</v>
      </c>
      <c r="H5" s="460" t="s">
        <v>130</v>
      </c>
      <c r="I5" s="458" t="s">
        <v>214</v>
      </c>
      <c r="J5" s="459" t="s">
        <v>215</v>
      </c>
      <c r="K5" s="460" t="s">
        <v>130</v>
      </c>
      <c r="L5" s="458" t="s">
        <v>214</v>
      </c>
      <c r="M5" s="459" t="s">
        <v>215</v>
      </c>
      <c r="N5" s="460" t="s">
        <v>130</v>
      </c>
      <c r="O5" s="620"/>
    </row>
    <row r="6" spans="1:15">
      <c r="A6" s="619"/>
      <c r="B6" s="461" t="s">
        <v>216</v>
      </c>
      <c r="C6" s="462">
        <f>'Line Item Budget'!L15</f>
        <v>54250</v>
      </c>
      <c r="D6" s="463">
        <f>'Line Item Budget'!M15</f>
        <v>0</v>
      </c>
      <c r="E6" s="464">
        <f t="shared" ref="E6:E11" si="0">C6+D6</f>
        <v>54250</v>
      </c>
      <c r="F6" s="462">
        <f>'Line Item Budget'!R15</f>
        <v>59926.5</v>
      </c>
      <c r="G6" s="463">
        <f>'Line Item Budget'!S15</f>
        <v>0</v>
      </c>
      <c r="H6" s="464">
        <f t="shared" ref="H6:H13" si="1">F6+G6</f>
        <v>59926.5</v>
      </c>
      <c r="I6" s="462">
        <f>'Line Item Budget'!X15</f>
        <v>27101.992499999997</v>
      </c>
      <c r="J6" s="463">
        <f>'Line Item Budget'!Y15</f>
        <v>0</v>
      </c>
      <c r="K6" s="464">
        <f t="shared" ref="K6:K13" si="2">I6+J6</f>
        <v>27101.992499999997</v>
      </c>
      <c r="L6" s="465">
        <f>'Line Item Budget'!Z15</f>
        <v>141278.49249999999</v>
      </c>
      <c r="M6" s="463">
        <f>'Line Item Budget'!AA15</f>
        <v>0</v>
      </c>
      <c r="N6" s="464">
        <f t="shared" ref="N6:N11" si="3">L6+M6</f>
        <v>141278.49249999999</v>
      </c>
      <c r="O6" s="621"/>
    </row>
    <row r="7" spans="1:15">
      <c r="A7" s="619"/>
      <c r="B7" s="461" t="s">
        <v>217</v>
      </c>
      <c r="C7" s="462">
        <f>'Line Item Budget'!L24</f>
        <v>24793.819999999996</v>
      </c>
      <c r="D7" s="463">
        <f>'Line Item Budget'!M24</f>
        <v>0</v>
      </c>
      <c r="E7" s="464">
        <f t="shared" si="0"/>
        <v>24793.819999999996</v>
      </c>
      <c r="F7" s="462">
        <f>'Line Item Budget'!R24</f>
        <v>27582.211799999994</v>
      </c>
      <c r="G7" s="463">
        <f>'Line Item Budget'!S24</f>
        <v>0</v>
      </c>
      <c r="H7" s="464">
        <f t="shared" si="1"/>
        <v>27582.211799999994</v>
      </c>
      <c r="I7" s="462">
        <f>'Line Item Budget'!X24</f>
        <v>12285.965222999996</v>
      </c>
      <c r="J7" s="463">
        <f>'Line Item Budget'!Y24</f>
        <v>0</v>
      </c>
      <c r="K7" s="464">
        <f t="shared" si="2"/>
        <v>12285.965222999996</v>
      </c>
      <c r="L7" s="462">
        <f>'Line Item Budget'!Z24</f>
        <v>64661.997022999982</v>
      </c>
      <c r="M7" s="463">
        <f>'Line Item Budget'!AA24</f>
        <v>0</v>
      </c>
      <c r="N7" s="464">
        <f t="shared" si="3"/>
        <v>64661.997022999982</v>
      </c>
      <c r="O7" s="621"/>
    </row>
    <row r="8" spans="1:15">
      <c r="A8" s="619"/>
      <c r="B8" s="461" t="s">
        <v>218</v>
      </c>
      <c r="C8" s="462">
        <f>'Line Item Budget'!L38</f>
        <v>12429</v>
      </c>
      <c r="D8" s="463">
        <f>'Line Item Budget'!M38</f>
        <v>0</v>
      </c>
      <c r="E8" s="464">
        <f t="shared" si="0"/>
        <v>12429</v>
      </c>
      <c r="F8" s="462">
        <f>'Line Item Budget'!R38</f>
        <v>7883.58</v>
      </c>
      <c r="G8" s="463">
        <f>'Line Item Budget'!S38</f>
        <v>0</v>
      </c>
      <c r="H8" s="464">
        <f t="shared" si="1"/>
        <v>7883.58</v>
      </c>
      <c r="I8" s="462">
        <f>'Line Item Budget'!X38</f>
        <v>3595.1022000000003</v>
      </c>
      <c r="J8" s="463">
        <f>'Line Item Budget'!Y38</f>
        <v>0</v>
      </c>
      <c r="K8" s="464">
        <f t="shared" si="2"/>
        <v>3595.1022000000003</v>
      </c>
      <c r="L8" s="462">
        <f>'Line Item Budget'!Z38</f>
        <v>23907.682199999999</v>
      </c>
      <c r="M8" s="463">
        <f>'Line Item Budget'!AA38</f>
        <v>0</v>
      </c>
      <c r="N8" s="464">
        <f t="shared" si="3"/>
        <v>23907.682199999999</v>
      </c>
      <c r="O8" s="621"/>
    </row>
    <row r="9" spans="1:15">
      <c r="A9" s="619"/>
      <c r="B9" s="461" t="s">
        <v>219</v>
      </c>
      <c r="C9" s="467"/>
      <c r="D9" s="468"/>
      <c r="E9" s="469"/>
      <c r="F9" s="467"/>
      <c r="G9" s="468"/>
      <c r="H9" s="469"/>
      <c r="I9" s="467"/>
      <c r="J9" s="468"/>
      <c r="K9" s="469"/>
      <c r="L9" s="467"/>
      <c r="M9" s="468"/>
      <c r="N9" s="469"/>
      <c r="O9" s="621"/>
    </row>
    <row r="10" spans="1:15">
      <c r="A10" s="619"/>
      <c r="B10" s="461" t="s">
        <v>220</v>
      </c>
      <c r="C10" s="462">
        <f>'Line Item Budget'!L48</f>
        <v>8550</v>
      </c>
      <c r="D10" s="463">
        <f>'Line Item Budget'!M48</f>
        <v>0</v>
      </c>
      <c r="E10" s="464">
        <f>C10+D10</f>
        <v>8550</v>
      </c>
      <c r="F10" s="462">
        <f>'Line Item Budget'!R48</f>
        <v>7440</v>
      </c>
      <c r="G10" s="463">
        <f>'Line Item Budget'!S48</f>
        <v>0</v>
      </c>
      <c r="H10" s="464">
        <f t="shared" si="1"/>
        <v>7440</v>
      </c>
      <c r="I10" s="462">
        <f>'Line Item Budget'!X48</f>
        <v>2380</v>
      </c>
      <c r="J10" s="463">
        <f>'Line Item Budget'!Y48</f>
        <v>0</v>
      </c>
      <c r="K10" s="464">
        <f t="shared" si="2"/>
        <v>2380</v>
      </c>
      <c r="L10" s="462">
        <f>'Line Item Budget'!Z48</f>
        <v>18370</v>
      </c>
      <c r="M10" s="463">
        <f>'Line Item Budget'!AA48</f>
        <v>0</v>
      </c>
      <c r="N10" s="464">
        <f t="shared" si="3"/>
        <v>18370</v>
      </c>
      <c r="O10" s="621"/>
    </row>
    <row r="11" spans="1:15">
      <c r="A11" s="619"/>
      <c r="B11" s="461" t="s">
        <v>221</v>
      </c>
      <c r="C11" s="462">
        <f>'Line Item Budget'!L57</f>
        <v>72393.759999999995</v>
      </c>
      <c r="D11" s="463">
        <f>'Line Item Budget'!M57</f>
        <v>0</v>
      </c>
      <c r="E11" s="464">
        <f t="shared" si="0"/>
        <v>72393.759999999995</v>
      </c>
      <c r="F11" s="462">
        <f>'Line Item Budget'!R57</f>
        <v>103345.736</v>
      </c>
      <c r="G11" s="463">
        <f>'Line Item Budget'!S57</f>
        <v>0</v>
      </c>
      <c r="H11" s="464">
        <f t="shared" si="1"/>
        <v>103345.736</v>
      </c>
      <c r="I11" s="462">
        <f>'Line Item Budget'!X57</f>
        <v>23573.137350000001</v>
      </c>
      <c r="J11" s="463">
        <f>'Line Item Budget'!Y57</f>
        <v>0</v>
      </c>
      <c r="K11" s="464">
        <f t="shared" si="2"/>
        <v>23573.137350000001</v>
      </c>
      <c r="L11" s="462">
        <f>'Line Item Budget'!Z57</f>
        <v>199312.63334999999</v>
      </c>
      <c r="M11" s="463">
        <f>'Line Item Budget'!AA57</f>
        <v>0</v>
      </c>
      <c r="N11" s="464">
        <f t="shared" si="3"/>
        <v>199312.63334999999</v>
      </c>
      <c r="O11" s="621"/>
    </row>
    <row r="12" spans="1:15">
      <c r="A12" s="619"/>
      <c r="B12" s="461" t="s">
        <v>222</v>
      </c>
      <c r="C12" s="467"/>
      <c r="D12" s="468"/>
      <c r="E12" s="469"/>
      <c r="F12" s="467"/>
      <c r="G12" s="468"/>
      <c r="H12" s="469"/>
      <c r="I12" s="467"/>
      <c r="J12" s="468"/>
      <c r="K12" s="469"/>
      <c r="L12" s="467"/>
      <c r="M12" s="468"/>
      <c r="N12" s="469"/>
      <c r="O12" s="621"/>
    </row>
    <row r="13" spans="1:15">
      <c r="A13" s="619"/>
      <c r="B13" s="461" t="s">
        <v>223</v>
      </c>
      <c r="C13" s="462">
        <f>'Line Item Budget'!L89</f>
        <v>12075</v>
      </c>
      <c r="D13" s="463">
        <f>'Line Item Budget'!M89</f>
        <v>0</v>
      </c>
      <c r="E13" s="464">
        <f>C13+D13</f>
        <v>12075</v>
      </c>
      <c r="F13" s="462">
        <f>'Line Item Budget'!R89</f>
        <v>20371.5</v>
      </c>
      <c r="G13" s="463">
        <f>'Line Item Budget'!S89</f>
        <v>0</v>
      </c>
      <c r="H13" s="464">
        <f t="shared" si="1"/>
        <v>20371.5</v>
      </c>
      <c r="I13" s="462">
        <f>'Line Item Budget'!X89</f>
        <v>2275</v>
      </c>
      <c r="J13" s="463">
        <f>'Line Item Budget'!Y89</f>
        <v>0</v>
      </c>
      <c r="K13" s="464">
        <f t="shared" si="2"/>
        <v>2275</v>
      </c>
      <c r="L13" s="462">
        <f>'Line Item Budget'!Z89</f>
        <v>34721.5</v>
      </c>
      <c r="M13" s="463">
        <f>'Line Item Budget'!AA89</f>
        <v>0</v>
      </c>
      <c r="N13" s="464">
        <f>L13+M13</f>
        <v>34721.5</v>
      </c>
      <c r="O13" s="621"/>
    </row>
    <row r="14" spans="1:15">
      <c r="A14" s="619"/>
      <c r="B14" s="461"/>
      <c r="C14" s="462"/>
      <c r="D14" s="463"/>
      <c r="E14" s="464"/>
      <c r="F14" s="462"/>
      <c r="G14" s="463"/>
      <c r="H14" s="464"/>
      <c r="I14" s="462"/>
      <c r="J14" s="463"/>
      <c r="K14" s="464"/>
      <c r="L14" s="462"/>
      <c r="M14" s="463"/>
      <c r="N14" s="464"/>
      <c r="O14" s="621"/>
    </row>
    <row r="15" spans="1:15">
      <c r="A15" s="619"/>
      <c r="B15" s="461" t="s">
        <v>224</v>
      </c>
      <c r="C15" s="462">
        <f>'Line Item Budget'!L90</f>
        <v>184491.58</v>
      </c>
      <c r="D15" s="463">
        <f>'Line Item Budget'!M90</f>
        <v>0</v>
      </c>
      <c r="E15" s="464">
        <f>C15+D15</f>
        <v>184491.58</v>
      </c>
      <c r="F15" s="462">
        <f>'Line Item Budget'!R90</f>
        <v>226549.52779999998</v>
      </c>
      <c r="G15" s="463">
        <f>'Line Item Budget'!S90</f>
        <v>0</v>
      </c>
      <c r="H15" s="464">
        <f>F15+G15</f>
        <v>226549.52779999998</v>
      </c>
      <c r="I15" s="462">
        <f>'Line Item Budget'!W90</f>
        <v>71211.197272999998</v>
      </c>
      <c r="J15" s="463">
        <f>'Line Item Budget'!Y90</f>
        <v>0</v>
      </c>
      <c r="K15" s="464">
        <f>I15+J15</f>
        <v>71211.197272999998</v>
      </c>
      <c r="L15" s="462">
        <f>'Line Item Budget'!Z90</f>
        <v>482252.30507299997</v>
      </c>
      <c r="M15" s="463">
        <f>SUM(M6:M13)</f>
        <v>0</v>
      </c>
      <c r="N15" s="464">
        <f>L15+M15</f>
        <v>482252.30507299997</v>
      </c>
      <c r="O15" s="621"/>
    </row>
    <row r="16" spans="1:15">
      <c r="A16" s="619"/>
      <c r="B16" s="461"/>
      <c r="C16" s="462"/>
      <c r="D16" s="463"/>
      <c r="E16" s="464"/>
      <c r="F16" s="462"/>
      <c r="G16" s="463"/>
      <c r="H16" s="464"/>
      <c r="I16" s="462"/>
      <c r="J16" s="463"/>
      <c r="K16" s="464"/>
      <c r="L16" s="462"/>
      <c r="M16" s="463"/>
      <c r="N16" s="464"/>
      <c r="O16" s="621"/>
    </row>
    <row r="17" spans="1:15">
      <c r="A17" s="619"/>
      <c r="B17" s="461" t="s">
        <v>225</v>
      </c>
      <c r="C17" s="462">
        <f>'Line Item Budget'!L92</f>
        <v>51657.642400000004</v>
      </c>
      <c r="D17" s="463">
        <f>'Line Item Budget'!M92</f>
        <v>0</v>
      </c>
      <c r="E17" s="464">
        <f>C17+D17</f>
        <v>51657.642400000004</v>
      </c>
      <c r="F17" s="462">
        <f>'Line Item Budget'!R92</f>
        <v>63433.867784000002</v>
      </c>
      <c r="G17" s="463">
        <f>'Line Item Budget'!S92</f>
        <v>0</v>
      </c>
      <c r="H17" s="464">
        <f>F17+G17</f>
        <v>63433.867784000002</v>
      </c>
      <c r="I17" s="462">
        <f>'Line Item Budget'!X92</f>
        <v>19939.135236440001</v>
      </c>
      <c r="J17" s="463">
        <f>'Line Item Budget'!Y92</f>
        <v>0</v>
      </c>
      <c r="K17" s="464">
        <f>I17+J17</f>
        <v>19939.135236440001</v>
      </c>
      <c r="L17" s="462">
        <f>'Line Item Budget'!Z92</f>
        <v>135030.64542044001</v>
      </c>
      <c r="M17" s="463">
        <f>'Line Item Budget'!AA92</f>
        <v>0</v>
      </c>
      <c r="N17" s="464">
        <f>L17+M17</f>
        <v>135030.64542044001</v>
      </c>
      <c r="O17" s="621"/>
    </row>
    <row r="18" spans="1:15">
      <c r="A18" s="619"/>
      <c r="B18" s="461"/>
      <c r="C18" s="462"/>
      <c r="D18" s="463"/>
      <c r="E18" s="464"/>
      <c r="F18" s="462"/>
      <c r="G18" s="463"/>
      <c r="H18" s="464"/>
      <c r="I18" s="462"/>
      <c r="J18" s="463"/>
      <c r="K18" s="464"/>
      <c r="L18" s="462"/>
      <c r="M18" s="463"/>
      <c r="N18" s="464"/>
      <c r="O18" s="621"/>
    </row>
    <row r="19" spans="1:15" s="456" customFormat="1" ht="15.95" thickBot="1">
      <c r="A19" s="620"/>
      <c r="B19" s="470" t="s">
        <v>226</v>
      </c>
      <c r="C19" s="471">
        <f t="shared" ref="C19:I19" si="4">C15+C17</f>
        <v>236149.2224</v>
      </c>
      <c r="D19" s="472">
        <f t="shared" si="4"/>
        <v>0</v>
      </c>
      <c r="E19" s="473">
        <f t="shared" si="4"/>
        <v>236149.2224</v>
      </c>
      <c r="F19" s="471">
        <f t="shared" si="4"/>
        <v>289983.39558399998</v>
      </c>
      <c r="G19" s="472">
        <f t="shared" si="4"/>
        <v>0</v>
      </c>
      <c r="H19" s="473">
        <f t="shared" si="4"/>
        <v>289983.39558399998</v>
      </c>
      <c r="I19" s="471">
        <f t="shared" si="4"/>
        <v>91150.332509439992</v>
      </c>
      <c r="J19" s="472">
        <f>J15+J17</f>
        <v>0</v>
      </c>
      <c r="K19" s="473">
        <f>K15+K17</f>
        <v>91150.332509439992</v>
      </c>
      <c r="L19" s="471">
        <f>L15+L17</f>
        <v>617282.95049344003</v>
      </c>
      <c r="M19" s="472">
        <f>M15+M17</f>
        <v>0</v>
      </c>
      <c r="N19" s="473">
        <f>N15+N17</f>
        <v>617282.95049344003</v>
      </c>
      <c r="O19" s="621"/>
    </row>
    <row r="20" spans="1:15">
      <c r="A20" s="619"/>
      <c r="B20" s="619"/>
      <c r="C20" s="619"/>
      <c r="D20" s="619"/>
      <c r="E20" s="619"/>
      <c r="F20" s="619"/>
      <c r="G20" s="619"/>
      <c r="H20" s="619"/>
      <c r="I20" s="619"/>
      <c r="J20" s="619"/>
      <c r="K20" s="619"/>
      <c r="L20" s="619"/>
      <c r="M20" s="619"/>
      <c r="N20" s="619"/>
      <c r="O20" s="619"/>
    </row>
    <row r="21" spans="1:15">
      <c r="C21" s="474"/>
      <c r="D21" s="474"/>
      <c r="E21" s="474"/>
      <c r="M21" s="466"/>
    </row>
    <row r="22" spans="1:15">
      <c r="C22" s="475"/>
      <c r="D22" s="476"/>
      <c r="E22" s="476"/>
      <c r="F22" s="476"/>
      <c r="G22" s="476"/>
      <c r="H22" s="476"/>
      <c r="I22" s="476"/>
      <c r="J22" s="476"/>
      <c r="K22" s="476"/>
      <c r="L22" s="476"/>
      <c r="M22" s="476"/>
      <c r="N22" s="476"/>
    </row>
    <row r="24" spans="1:15" ht="21">
      <c r="B24" s="622" t="s">
        <v>227</v>
      </c>
    </row>
  </sheetData>
  <mergeCells count="6">
    <mergeCell ref="B2:N2"/>
    <mergeCell ref="L4:N4"/>
    <mergeCell ref="B3:N3"/>
    <mergeCell ref="C4:E4"/>
    <mergeCell ref="F4:H4"/>
    <mergeCell ref="I4:K4"/>
  </mergeCells>
  <phoneticPr fontId="2" type="noConversion"/>
  <printOptions horizontalCentered="1"/>
  <pageMargins left="1" right="1" top="1" bottom="1" header="0.5" footer="0.5"/>
  <pageSetup scale="49" fitToHeight="0" orientation="landscape" r:id="rId1"/>
  <headerFooter alignWithMargins="0">
    <oddHeader>&amp;CPartners of the Americas
Ñande Ko’ê</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L887"/>
  <sheetViews>
    <sheetView tabSelected="1" topLeftCell="B1" zoomScale="78" zoomScaleNormal="60" zoomScaleSheetLayoutView="50" workbookViewId="0">
      <pane ySplit="6" topLeftCell="A61" activePane="bottomLeft" state="frozen"/>
      <selection pane="bottomLeft" activeCell="E64" sqref="E64"/>
      <selection activeCell="B1" sqref="B1"/>
    </sheetView>
  </sheetViews>
  <sheetFormatPr defaultColWidth="9.140625" defaultRowHeight="15.6"/>
  <cols>
    <col min="1" max="1" width="20.85546875" style="607" bestFit="1" customWidth="1"/>
    <col min="2" max="2" width="19.42578125" style="607" customWidth="1"/>
    <col min="3" max="3" width="9.85546875" style="607" customWidth="1"/>
    <col min="4" max="4" width="8.5703125" style="607" customWidth="1"/>
    <col min="5" max="5" width="98.5703125" style="218" customWidth="1"/>
    <col min="6" max="6" width="6.85546875" style="218" customWidth="1"/>
    <col min="7" max="7" width="16" style="219" bestFit="1" customWidth="1"/>
    <col min="8" max="8" width="18.42578125" style="242" bestFit="1" customWidth="1"/>
    <col min="9" max="9" width="8.42578125" style="243" bestFit="1" customWidth="1"/>
    <col min="10" max="10" width="12.42578125" style="244" bestFit="1" customWidth="1"/>
    <col min="11" max="12" width="16.42578125" style="244" bestFit="1" customWidth="1"/>
    <col min="13" max="13" width="18" style="244" bestFit="1" customWidth="1"/>
    <col min="14" max="14" width="6.85546875" style="218" bestFit="1" customWidth="1"/>
    <col min="15" max="15" width="9" style="218" bestFit="1" customWidth="1"/>
    <col min="16" max="16" width="15.42578125" style="244" bestFit="1" customWidth="1"/>
    <col min="17" max="18" width="16" style="244" bestFit="1" customWidth="1"/>
    <col min="19" max="19" width="18" style="244" bestFit="1" customWidth="1"/>
    <col min="20" max="20" width="6.85546875" style="218" bestFit="1" customWidth="1"/>
    <col min="21" max="21" width="9" style="218" bestFit="1" customWidth="1"/>
    <col min="22" max="22" width="16" style="244" bestFit="1" customWidth="1"/>
    <col min="23" max="24" width="16.42578125" style="244" bestFit="1" customWidth="1"/>
    <col min="25" max="25" width="18" style="244" bestFit="1" customWidth="1"/>
    <col min="26" max="26" width="18.42578125" style="244" bestFit="1" customWidth="1"/>
    <col min="27" max="27" width="18" style="244" bestFit="1" customWidth="1"/>
    <col min="28" max="28" width="19.140625" style="244" bestFit="1" customWidth="1"/>
    <col min="29" max="29" width="9.140625" style="215"/>
    <col min="30" max="30" width="25.5703125" style="215" customWidth="1"/>
    <col min="31" max="141" width="9.140625" style="215"/>
    <col min="142" max="142" width="9.140625" style="220"/>
    <col min="143" max="16384" width="9.140625" style="218"/>
  </cols>
  <sheetData>
    <row r="1" spans="1:142" ht="21">
      <c r="A1" s="618" t="s">
        <v>228</v>
      </c>
      <c r="B1" s="618" t="s">
        <v>229</v>
      </c>
      <c r="C1" s="608"/>
      <c r="D1" s="608"/>
      <c r="E1" s="215"/>
      <c r="F1" s="215"/>
      <c r="G1" s="216"/>
      <c r="H1" s="231"/>
      <c r="I1" s="236"/>
      <c r="J1" s="233"/>
      <c r="K1" s="233"/>
      <c r="L1" s="233"/>
      <c r="M1" s="233"/>
      <c r="N1" s="215"/>
      <c r="O1" s="215"/>
      <c r="P1" s="233"/>
      <c r="Q1" s="233"/>
      <c r="R1" s="233"/>
      <c r="S1" s="233"/>
      <c r="T1" s="215"/>
      <c r="U1" s="215"/>
      <c r="V1" s="233"/>
      <c r="W1" s="233"/>
      <c r="X1" s="233"/>
      <c r="Y1" s="233"/>
      <c r="Z1" s="233"/>
      <c r="AA1" s="233"/>
      <c r="AB1" s="233"/>
    </row>
    <row r="2" spans="1:142" ht="21">
      <c r="A2" s="618" t="s">
        <v>230</v>
      </c>
      <c r="B2" s="618">
        <v>20200</v>
      </c>
      <c r="C2" s="608"/>
      <c r="D2" s="608"/>
      <c r="E2" s="622" t="s">
        <v>227</v>
      </c>
      <c r="F2" s="215"/>
      <c r="G2" s="216"/>
      <c r="H2" s="231"/>
      <c r="I2" s="236"/>
      <c r="J2" s="233"/>
      <c r="K2" s="233"/>
      <c r="L2" s="233"/>
      <c r="M2" s="233"/>
      <c r="N2" s="215"/>
      <c r="O2" s="215"/>
      <c r="P2" s="233"/>
      <c r="Q2" s="233"/>
      <c r="R2" s="233"/>
      <c r="S2" s="233"/>
      <c r="T2" s="215"/>
      <c r="U2" s="215"/>
      <c r="V2" s="233"/>
      <c r="W2" s="233"/>
      <c r="X2" s="233"/>
      <c r="Y2" s="233"/>
      <c r="Z2" s="233"/>
      <c r="AA2" s="233"/>
      <c r="AB2" s="233"/>
    </row>
    <row r="3" spans="1:142" ht="21.6" thickBot="1">
      <c r="A3" s="618" t="s">
        <v>231</v>
      </c>
      <c r="B3" s="618" t="s">
        <v>232</v>
      </c>
      <c r="C3" s="608"/>
      <c r="D3" s="608"/>
      <c r="E3" s="215" t="s">
        <v>233</v>
      </c>
      <c r="F3" s="215"/>
      <c r="G3" s="216"/>
      <c r="H3" s="231"/>
      <c r="I3" s="236"/>
      <c r="J3" s="233"/>
      <c r="K3" s="233"/>
      <c r="L3" s="233"/>
      <c r="M3" s="233"/>
      <c r="N3" s="215"/>
      <c r="O3" s="215"/>
      <c r="P3" s="233"/>
      <c r="Q3" s="233"/>
      <c r="R3" s="233"/>
      <c r="S3" s="233"/>
      <c r="T3" s="215"/>
      <c r="U3" s="215"/>
      <c r="V3" s="233"/>
      <c r="W3" s="233"/>
      <c r="X3" s="233"/>
      <c r="Y3" s="233"/>
      <c r="Z3" s="233"/>
      <c r="AA3" s="233"/>
      <c r="AB3" s="233"/>
    </row>
    <row r="4" spans="1:142" ht="30.75" customHeight="1" thickBot="1">
      <c r="A4" s="608"/>
      <c r="B4" s="608"/>
      <c r="C4" s="608"/>
      <c r="D4" s="608"/>
      <c r="E4" s="678" t="s">
        <v>234</v>
      </c>
      <c r="F4" s="678"/>
      <c r="G4" s="678"/>
      <c r="H4" s="678"/>
      <c r="I4" s="678"/>
      <c r="J4" s="678"/>
      <c r="K4" s="678"/>
      <c r="L4" s="678"/>
      <c r="M4" s="678"/>
      <c r="N4" s="678"/>
      <c r="O4" s="678"/>
      <c r="P4" s="678"/>
      <c r="Q4" s="678"/>
      <c r="R4" s="678"/>
      <c r="S4" s="678"/>
      <c r="T4" s="678"/>
      <c r="U4" s="678"/>
      <c r="V4" s="678"/>
      <c r="W4" s="678"/>
      <c r="X4" s="678"/>
      <c r="Y4" s="678"/>
      <c r="Z4" s="678"/>
      <c r="AA4" s="678"/>
      <c r="AB4" s="678"/>
    </row>
    <row r="5" spans="1:142" ht="18.75" customHeight="1">
      <c r="A5" s="679" t="s">
        <v>235</v>
      </c>
      <c r="B5" s="679" t="s">
        <v>236</v>
      </c>
      <c r="C5" s="679" t="s">
        <v>237</v>
      </c>
      <c r="D5" s="679" t="s">
        <v>238</v>
      </c>
      <c r="E5" s="477" t="s">
        <v>239</v>
      </c>
      <c r="F5" s="681" t="s">
        <v>210</v>
      </c>
      <c r="G5" s="681"/>
      <c r="H5" s="681"/>
      <c r="I5" s="681"/>
      <c r="J5" s="681"/>
      <c r="K5" s="681"/>
      <c r="L5" s="681"/>
      <c r="M5" s="681"/>
      <c r="N5" s="677" t="s">
        <v>211</v>
      </c>
      <c r="O5" s="677"/>
      <c r="P5" s="677"/>
      <c r="Q5" s="677"/>
      <c r="R5" s="677"/>
      <c r="S5" s="677"/>
      <c r="T5" s="677" t="s">
        <v>212</v>
      </c>
      <c r="U5" s="677"/>
      <c r="V5" s="677"/>
      <c r="W5" s="677"/>
      <c r="X5" s="677"/>
      <c r="Y5" s="677"/>
      <c r="Z5" s="677" t="s">
        <v>240</v>
      </c>
      <c r="AA5" s="677"/>
      <c r="AB5" s="677"/>
    </row>
    <row r="6" spans="1:142" s="214" customFormat="1" ht="19.5" customHeight="1" thickBot="1">
      <c r="A6" s="680"/>
      <c r="B6" s="680"/>
      <c r="C6" s="680"/>
      <c r="D6" s="680"/>
      <c r="E6" s="478" t="s">
        <v>241</v>
      </c>
      <c r="F6" s="213" t="s">
        <v>242</v>
      </c>
      <c r="G6" s="214" t="s">
        <v>243</v>
      </c>
      <c r="H6" s="214" t="s">
        <v>244</v>
      </c>
      <c r="I6" s="358" t="s">
        <v>245</v>
      </c>
      <c r="J6" s="359" t="s">
        <v>246</v>
      </c>
      <c r="K6" s="359" t="s">
        <v>130</v>
      </c>
      <c r="L6" s="359" t="s">
        <v>247</v>
      </c>
      <c r="M6" s="360" t="s">
        <v>215</v>
      </c>
      <c r="N6" s="357" t="s">
        <v>242</v>
      </c>
      <c r="O6" s="214" t="s">
        <v>244</v>
      </c>
      <c r="P6" s="359" t="s">
        <v>246</v>
      </c>
      <c r="Q6" s="359" t="s">
        <v>130</v>
      </c>
      <c r="R6" s="359" t="s">
        <v>247</v>
      </c>
      <c r="S6" s="360" t="s">
        <v>215</v>
      </c>
      <c r="T6" s="357" t="s">
        <v>242</v>
      </c>
      <c r="U6" s="214" t="s">
        <v>244</v>
      </c>
      <c r="V6" s="359" t="s">
        <v>246</v>
      </c>
      <c r="W6" s="359" t="s">
        <v>130</v>
      </c>
      <c r="X6" s="359" t="s">
        <v>247</v>
      </c>
      <c r="Y6" s="360" t="s">
        <v>215</v>
      </c>
      <c r="Z6" s="361" t="s">
        <v>247</v>
      </c>
      <c r="AA6" s="359" t="s">
        <v>215</v>
      </c>
      <c r="AB6" s="360" t="s">
        <v>248</v>
      </c>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c r="DU6" s="212"/>
      <c r="DV6" s="212"/>
      <c r="DW6" s="212"/>
      <c r="DX6" s="212"/>
      <c r="DY6" s="212"/>
      <c r="DZ6" s="212"/>
      <c r="EA6" s="212"/>
      <c r="EB6" s="212"/>
      <c r="EC6" s="212"/>
      <c r="ED6" s="212"/>
      <c r="EE6" s="212"/>
      <c r="EF6" s="212"/>
      <c r="EG6" s="212"/>
      <c r="EH6" s="212"/>
      <c r="EI6" s="212"/>
      <c r="EJ6" s="212"/>
      <c r="EK6" s="212"/>
      <c r="EL6" s="213"/>
    </row>
    <row r="7" spans="1:142" s="222" customFormat="1">
      <c r="A7" s="609"/>
      <c r="B7" s="609"/>
      <c r="C7" s="609"/>
      <c r="D7" s="609"/>
      <c r="E7" s="594" t="s">
        <v>216</v>
      </c>
      <c r="F7" s="278"/>
      <c r="G7" s="362"/>
      <c r="H7" s="363"/>
      <c r="I7" s="364"/>
      <c r="J7" s="365"/>
      <c r="K7" s="365"/>
      <c r="L7" s="366"/>
      <c r="M7" s="367"/>
      <c r="N7" s="368"/>
      <c r="O7" s="369"/>
      <c r="P7" s="365"/>
      <c r="Q7" s="365"/>
      <c r="R7" s="365"/>
      <c r="S7" s="367"/>
      <c r="T7" s="368"/>
      <c r="U7" s="369"/>
      <c r="V7" s="365"/>
      <c r="W7" s="365"/>
      <c r="X7" s="365"/>
      <c r="Y7" s="367"/>
      <c r="Z7" s="370"/>
      <c r="AA7" s="366"/>
      <c r="AB7" s="371"/>
      <c r="AC7" s="217"/>
      <c r="AD7" s="217"/>
      <c r="AE7" s="217"/>
      <c r="AF7" s="217"/>
      <c r="AG7" s="217"/>
      <c r="AH7" s="217"/>
      <c r="AI7" s="217"/>
      <c r="AJ7" s="217"/>
      <c r="AK7" s="217"/>
      <c r="AL7" s="217"/>
      <c r="AM7" s="217"/>
      <c r="AN7" s="217"/>
      <c r="AO7" s="217"/>
      <c r="AP7" s="217"/>
      <c r="AQ7" s="217"/>
      <c r="AR7" s="217"/>
      <c r="AS7" s="217"/>
      <c r="AT7" s="217"/>
      <c r="AU7" s="217"/>
      <c r="AV7" s="217"/>
      <c r="AW7" s="217"/>
      <c r="AX7" s="217"/>
      <c r="AY7" s="217"/>
      <c r="AZ7" s="217"/>
      <c r="BA7" s="217"/>
      <c r="BB7" s="217"/>
      <c r="BC7" s="217"/>
      <c r="BD7" s="217"/>
      <c r="BE7" s="217"/>
      <c r="BF7" s="217"/>
      <c r="BG7" s="217"/>
      <c r="BH7" s="217"/>
      <c r="BI7" s="217"/>
      <c r="BJ7" s="217"/>
      <c r="BK7" s="217"/>
      <c r="BL7" s="217"/>
      <c r="BM7" s="217"/>
      <c r="BN7" s="217"/>
      <c r="BO7" s="217"/>
      <c r="BP7" s="217"/>
      <c r="BQ7" s="217"/>
      <c r="BR7" s="217"/>
      <c r="BS7" s="217"/>
      <c r="BT7" s="217"/>
      <c r="BU7" s="217"/>
      <c r="BV7" s="217"/>
      <c r="BW7" s="217"/>
      <c r="BX7" s="217"/>
      <c r="BY7" s="217"/>
      <c r="BZ7" s="217"/>
      <c r="CA7" s="217"/>
      <c r="CB7" s="217"/>
      <c r="CC7" s="217"/>
      <c r="CD7" s="217"/>
      <c r="CE7" s="217"/>
      <c r="CF7" s="217"/>
      <c r="CG7" s="217"/>
      <c r="CH7" s="217"/>
      <c r="CI7" s="217"/>
      <c r="CJ7" s="217"/>
      <c r="CK7" s="217"/>
      <c r="CL7" s="217"/>
      <c r="CM7" s="217"/>
      <c r="CN7" s="217"/>
      <c r="CO7" s="217"/>
      <c r="CP7" s="217"/>
      <c r="CQ7" s="217"/>
      <c r="CR7" s="217"/>
      <c r="CS7" s="217"/>
      <c r="CT7" s="217"/>
      <c r="CU7" s="217"/>
      <c r="CV7" s="217"/>
      <c r="CW7" s="217"/>
      <c r="CX7" s="217"/>
      <c r="CY7" s="217"/>
      <c r="CZ7" s="217"/>
      <c r="DA7" s="217"/>
      <c r="DB7" s="217"/>
      <c r="DC7" s="217"/>
      <c r="DD7" s="217"/>
      <c r="DE7" s="217"/>
      <c r="DF7" s="217"/>
      <c r="DG7" s="217"/>
      <c r="DH7" s="217"/>
      <c r="DI7" s="217"/>
      <c r="DJ7" s="217"/>
      <c r="DK7" s="217"/>
      <c r="DL7" s="217"/>
      <c r="DM7" s="217"/>
      <c r="DN7" s="217"/>
      <c r="DO7" s="217"/>
      <c r="DP7" s="217"/>
      <c r="DQ7" s="217"/>
      <c r="DR7" s="217"/>
      <c r="DS7" s="217"/>
      <c r="DT7" s="217"/>
      <c r="DU7" s="217"/>
      <c r="DV7" s="217"/>
      <c r="DW7" s="217"/>
      <c r="DX7" s="217"/>
      <c r="DY7" s="217"/>
      <c r="DZ7" s="217"/>
      <c r="EA7" s="217"/>
      <c r="EB7" s="217"/>
      <c r="EC7" s="217"/>
      <c r="ED7" s="217"/>
      <c r="EE7" s="217"/>
      <c r="EF7" s="217"/>
      <c r="EG7" s="217"/>
      <c r="EH7" s="217"/>
      <c r="EI7" s="217"/>
      <c r="EJ7" s="217"/>
      <c r="EK7" s="217"/>
      <c r="EL7" s="221"/>
    </row>
    <row r="8" spans="1:142">
      <c r="E8" s="595" t="s">
        <v>249</v>
      </c>
      <c r="F8" s="315"/>
      <c r="J8" s="228"/>
      <c r="K8" s="228"/>
      <c r="L8" s="372"/>
      <c r="M8" s="373"/>
      <c r="N8" s="315"/>
      <c r="P8" s="228"/>
      <c r="Q8" s="228"/>
      <c r="R8" s="372"/>
      <c r="S8" s="373"/>
      <c r="T8" s="315"/>
      <c r="V8" s="228"/>
      <c r="W8" s="228"/>
      <c r="X8" s="372"/>
      <c r="Y8" s="373"/>
      <c r="Z8" s="374"/>
      <c r="AA8" s="372"/>
      <c r="AB8" s="375"/>
    </row>
    <row r="9" spans="1:142" ht="30.95">
      <c r="A9" s="607" t="s">
        <v>250</v>
      </c>
      <c r="B9" s="607" t="s">
        <v>251</v>
      </c>
      <c r="C9" s="607" t="s">
        <v>252</v>
      </c>
      <c r="D9" s="607" t="s">
        <v>252</v>
      </c>
      <c r="E9" s="592" t="s">
        <v>253</v>
      </c>
      <c r="F9" s="259">
        <v>1</v>
      </c>
      <c r="G9" s="376" t="s">
        <v>254</v>
      </c>
      <c r="H9" s="219">
        <v>12</v>
      </c>
      <c r="I9" s="377">
        <v>1</v>
      </c>
      <c r="J9" s="228"/>
      <c r="K9" s="228"/>
      <c r="L9" s="228"/>
      <c r="M9" s="375">
        <f>K9-L9</f>
        <v>0</v>
      </c>
      <c r="N9" s="259">
        <f>F9</f>
        <v>1</v>
      </c>
      <c r="O9" s="219">
        <f>H9</f>
        <v>12</v>
      </c>
      <c r="P9" s="228">
        <f>J9*1.035</f>
        <v>0</v>
      </c>
      <c r="Q9" s="228">
        <f>N9*P9*O9*I9</f>
        <v>0</v>
      </c>
      <c r="R9" s="228">
        <f>Q9</f>
        <v>0</v>
      </c>
      <c r="S9" s="375">
        <f>Q9-R9</f>
        <v>0</v>
      </c>
      <c r="T9" s="259">
        <f>N9</f>
        <v>1</v>
      </c>
      <c r="U9" s="219">
        <v>6</v>
      </c>
      <c r="V9" s="228">
        <f>P9*1.035</f>
        <v>0</v>
      </c>
      <c r="W9" s="228">
        <f>T9*V9*U9*I9</f>
        <v>0</v>
      </c>
      <c r="X9" s="228">
        <f>W9</f>
        <v>0</v>
      </c>
      <c r="Y9" s="375">
        <f>W9-X9</f>
        <v>0</v>
      </c>
      <c r="Z9" s="395">
        <f t="shared" ref="Z9:AA14" si="0">L9+R9+X9</f>
        <v>0</v>
      </c>
      <c r="AA9" s="228">
        <f t="shared" si="0"/>
        <v>0</v>
      </c>
      <c r="AB9" s="375">
        <f>Z9+AA9</f>
        <v>0</v>
      </c>
      <c r="AC9" s="223"/>
      <c r="AD9" s="223"/>
      <c r="AE9" s="223"/>
    </row>
    <row r="10" spans="1:142" ht="30.95">
      <c r="A10" s="607" t="s">
        <v>255</v>
      </c>
      <c r="B10" s="607" t="s">
        <v>251</v>
      </c>
      <c r="C10" s="607" t="s">
        <v>252</v>
      </c>
      <c r="D10" s="607" t="s">
        <v>252</v>
      </c>
      <c r="E10" s="592" t="s">
        <v>256</v>
      </c>
      <c r="F10" s="259">
        <v>1</v>
      </c>
      <c r="G10" s="376" t="s">
        <v>254</v>
      </c>
      <c r="H10" s="219">
        <v>10</v>
      </c>
      <c r="I10" s="377">
        <v>0.5</v>
      </c>
      <c r="J10" s="228"/>
      <c r="K10" s="228"/>
      <c r="L10" s="228"/>
      <c r="M10" s="375">
        <v>0</v>
      </c>
      <c r="N10" s="259">
        <f>F10</f>
        <v>1</v>
      </c>
      <c r="O10" s="219">
        <v>12</v>
      </c>
      <c r="P10" s="228">
        <f>J10*1.035</f>
        <v>0</v>
      </c>
      <c r="Q10" s="228">
        <f>N10*P10*O10*I10</f>
        <v>0</v>
      </c>
      <c r="R10" s="228">
        <f>Q10</f>
        <v>0</v>
      </c>
      <c r="S10" s="375">
        <v>0</v>
      </c>
      <c r="T10" s="259">
        <f>N10</f>
        <v>1</v>
      </c>
      <c r="U10" s="219">
        <v>4</v>
      </c>
      <c r="V10" s="228">
        <f>P10*1.035</f>
        <v>0</v>
      </c>
      <c r="W10" s="228">
        <f>T10*V10*U10*I10</f>
        <v>0</v>
      </c>
      <c r="X10" s="228">
        <f>W10</f>
        <v>0</v>
      </c>
      <c r="Y10" s="375">
        <v>0</v>
      </c>
      <c r="Z10" s="395">
        <f t="shared" si="0"/>
        <v>0</v>
      </c>
      <c r="AA10" s="228">
        <f t="shared" si="0"/>
        <v>0</v>
      </c>
      <c r="AB10" s="375">
        <f>Z10+AA10</f>
        <v>0</v>
      </c>
      <c r="AC10" s="223"/>
      <c r="AD10" s="223"/>
      <c r="AE10" s="223"/>
    </row>
    <row r="11" spans="1:142" ht="30.95">
      <c r="A11" s="607" t="s">
        <v>257</v>
      </c>
      <c r="B11" s="607" t="s">
        <v>251</v>
      </c>
      <c r="C11" s="607" t="s">
        <v>252</v>
      </c>
      <c r="D11" s="607" t="s">
        <v>252</v>
      </c>
      <c r="E11" s="592" t="s">
        <v>258</v>
      </c>
      <c r="F11" s="259">
        <v>1</v>
      </c>
      <c r="G11" s="376" t="s">
        <v>254</v>
      </c>
      <c r="H11" s="219">
        <v>10</v>
      </c>
      <c r="I11" s="377">
        <v>0.5</v>
      </c>
      <c r="J11" s="228"/>
      <c r="K11" s="228"/>
      <c r="L11" s="228"/>
      <c r="M11" s="375">
        <v>0</v>
      </c>
      <c r="N11" s="259">
        <f>F11</f>
        <v>1</v>
      </c>
      <c r="O11" s="219">
        <v>12</v>
      </c>
      <c r="P11" s="228">
        <f>J11*1.035</f>
        <v>0</v>
      </c>
      <c r="Q11" s="228">
        <f>N11*P11*O11*I11</f>
        <v>0</v>
      </c>
      <c r="R11" s="228">
        <f>Q11</f>
        <v>0</v>
      </c>
      <c r="S11" s="375">
        <v>0</v>
      </c>
      <c r="T11" s="259">
        <f>N11</f>
        <v>1</v>
      </c>
      <c r="U11" s="219">
        <v>4</v>
      </c>
      <c r="V11" s="228">
        <f>P11*1.035</f>
        <v>0</v>
      </c>
      <c r="W11" s="228">
        <f>T11*V11*U11*I11</f>
        <v>0</v>
      </c>
      <c r="X11" s="228">
        <f>W11</f>
        <v>0</v>
      </c>
      <c r="Y11" s="375">
        <v>0</v>
      </c>
      <c r="Z11" s="395">
        <f t="shared" ref="Z11" si="1">L11+R11+X11</f>
        <v>0</v>
      </c>
      <c r="AA11" s="228">
        <f t="shared" ref="AA11" si="2">M11+S11+Y11</f>
        <v>0</v>
      </c>
      <c r="AB11" s="375">
        <f>Z11+AA11</f>
        <v>0</v>
      </c>
      <c r="AC11" s="223"/>
      <c r="AD11" s="223"/>
      <c r="AE11" s="223"/>
    </row>
    <row r="12" spans="1:142" ht="30.95">
      <c r="A12" s="607" t="s">
        <v>259</v>
      </c>
      <c r="B12" s="607" t="s">
        <v>251</v>
      </c>
      <c r="C12" s="607" t="s">
        <v>252</v>
      </c>
      <c r="D12" s="607" t="s">
        <v>252</v>
      </c>
      <c r="E12" s="592" t="s">
        <v>260</v>
      </c>
      <c r="F12" s="259">
        <v>1</v>
      </c>
      <c r="G12" s="376" t="s">
        <v>254</v>
      </c>
      <c r="H12" s="219">
        <v>10</v>
      </c>
      <c r="I12" s="377">
        <v>0.5</v>
      </c>
      <c r="J12" s="228"/>
      <c r="K12" s="228"/>
      <c r="L12" s="228"/>
      <c r="M12" s="375">
        <f>K12-L12</f>
        <v>0</v>
      </c>
      <c r="N12" s="259">
        <f>F12</f>
        <v>1</v>
      </c>
      <c r="O12" s="219">
        <v>12</v>
      </c>
      <c r="P12" s="228">
        <f>J12*1.035</f>
        <v>0</v>
      </c>
      <c r="Q12" s="228">
        <f>N12*P12*O12*I12</f>
        <v>0</v>
      </c>
      <c r="R12" s="228">
        <f>Q12</f>
        <v>0</v>
      </c>
      <c r="S12" s="375">
        <f>Q12-R12</f>
        <v>0</v>
      </c>
      <c r="T12" s="259">
        <f>N12</f>
        <v>1</v>
      </c>
      <c r="U12" s="219">
        <v>4</v>
      </c>
      <c r="V12" s="228">
        <f>P12*1.035</f>
        <v>0</v>
      </c>
      <c r="W12" s="228">
        <f>T12*V12*U12*I12</f>
        <v>0</v>
      </c>
      <c r="X12" s="228">
        <f>W12</f>
        <v>0</v>
      </c>
      <c r="Y12" s="375">
        <f>W12-X12</f>
        <v>0</v>
      </c>
      <c r="Z12" s="395">
        <f t="shared" si="0"/>
        <v>0</v>
      </c>
      <c r="AA12" s="228">
        <f t="shared" si="0"/>
        <v>0</v>
      </c>
      <c r="AB12" s="375">
        <f>Z12+AA12</f>
        <v>0</v>
      </c>
      <c r="AC12" s="223"/>
      <c r="AD12" s="223"/>
      <c r="AE12" s="223"/>
    </row>
    <row r="13" spans="1:142">
      <c r="E13" s="595" t="s">
        <v>261</v>
      </c>
      <c r="F13" s="315"/>
      <c r="J13" s="228"/>
      <c r="K13" s="228"/>
      <c r="L13" s="372"/>
      <c r="M13" s="373"/>
      <c r="N13" s="315"/>
      <c r="P13" s="228"/>
      <c r="Q13" s="228"/>
      <c r="R13" s="372"/>
      <c r="S13" s="373"/>
      <c r="T13" s="315"/>
      <c r="V13" s="228"/>
      <c r="W13" s="228"/>
      <c r="X13" s="372"/>
      <c r="Y13" s="373"/>
      <c r="Z13" s="374"/>
      <c r="AA13" s="372"/>
      <c r="AB13" s="375"/>
    </row>
    <row r="14" spans="1:142">
      <c r="A14" s="607" t="s">
        <v>262</v>
      </c>
      <c r="B14" s="607" t="s">
        <v>263</v>
      </c>
      <c r="C14" s="607">
        <v>0</v>
      </c>
      <c r="D14" s="607">
        <v>0</v>
      </c>
      <c r="E14" s="592" t="s">
        <v>264</v>
      </c>
      <c r="F14" s="259">
        <v>1</v>
      </c>
      <c r="G14" s="376" t="s">
        <v>254</v>
      </c>
      <c r="H14" s="219">
        <v>12</v>
      </c>
      <c r="I14" s="377">
        <v>0.2</v>
      </c>
      <c r="J14" s="228"/>
      <c r="K14" s="228"/>
      <c r="L14" s="228"/>
      <c r="M14" s="375">
        <f>K14-L14</f>
        <v>0</v>
      </c>
      <c r="N14" s="259">
        <v>1</v>
      </c>
      <c r="O14" s="219">
        <f>H14</f>
        <v>12</v>
      </c>
      <c r="P14" s="228">
        <f>J14*1.035</f>
        <v>0</v>
      </c>
      <c r="Q14" s="228">
        <f>N14*P14*O14*I14</f>
        <v>0</v>
      </c>
      <c r="R14" s="228">
        <f>Q14</f>
        <v>0</v>
      </c>
      <c r="S14" s="375">
        <f>Q14-R14</f>
        <v>0</v>
      </c>
      <c r="T14" s="259">
        <v>1</v>
      </c>
      <c r="U14" s="219">
        <v>6</v>
      </c>
      <c r="V14" s="228">
        <f>P14*1.035</f>
        <v>0</v>
      </c>
      <c r="W14" s="228">
        <f>T14*V14*U14*I14</f>
        <v>0</v>
      </c>
      <c r="X14" s="228">
        <f>W14</f>
        <v>0</v>
      </c>
      <c r="Y14" s="375">
        <f>W14-X14</f>
        <v>0</v>
      </c>
      <c r="Z14" s="395">
        <f t="shared" si="0"/>
        <v>0</v>
      </c>
      <c r="AA14" s="228">
        <f t="shared" si="0"/>
        <v>0</v>
      </c>
      <c r="AB14" s="375">
        <f>Z14+AA14</f>
        <v>0</v>
      </c>
      <c r="AC14" s="223"/>
      <c r="AD14" s="223"/>
      <c r="AE14" s="223"/>
    </row>
    <row r="15" spans="1:142" s="226" customFormat="1">
      <c r="A15" s="486"/>
      <c r="B15" s="486"/>
      <c r="C15" s="486"/>
      <c r="D15" s="486"/>
      <c r="E15" s="596" t="s">
        <v>265</v>
      </c>
      <c r="F15" s="293"/>
      <c r="G15" s="303"/>
      <c r="H15" s="380"/>
      <c r="I15" s="381"/>
      <c r="J15" s="382"/>
      <c r="K15" s="382">
        <v>54250</v>
      </c>
      <c r="L15" s="382">
        <v>54250</v>
      </c>
      <c r="M15" s="383">
        <v>0</v>
      </c>
      <c r="N15" s="293"/>
      <c r="O15" s="222"/>
      <c r="P15" s="382"/>
      <c r="Q15" s="382">
        <v>59926.5</v>
      </c>
      <c r="R15" s="382">
        <v>59926.5</v>
      </c>
      <c r="S15" s="383">
        <v>0</v>
      </c>
      <c r="T15" s="293"/>
      <c r="U15" s="222"/>
      <c r="V15" s="382"/>
      <c r="W15" s="382">
        <v>27101.992499999997</v>
      </c>
      <c r="X15" s="382">
        <v>27101.992499999997</v>
      </c>
      <c r="Y15" s="383">
        <v>0</v>
      </c>
      <c r="Z15" s="384">
        <v>141278.49249999999</v>
      </c>
      <c r="AA15" s="382">
        <v>0</v>
      </c>
      <c r="AB15" s="383">
        <v>141278.49249999999</v>
      </c>
      <c r="AC15" s="224"/>
      <c r="AD15" s="224"/>
      <c r="AE15" s="223"/>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7"/>
      <c r="CD15" s="217"/>
      <c r="CE15" s="217"/>
      <c r="CF15" s="217"/>
      <c r="CG15" s="217"/>
      <c r="CH15" s="217"/>
      <c r="CI15" s="217"/>
      <c r="CJ15" s="217"/>
      <c r="CK15" s="217"/>
      <c r="CL15" s="217"/>
      <c r="CM15" s="217"/>
      <c r="CN15" s="217"/>
      <c r="CO15" s="217"/>
      <c r="CP15" s="217"/>
      <c r="CQ15" s="217"/>
      <c r="CR15" s="217"/>
      <c r="CS15" s="217"/>
      <c r="CT15" s="217"/>
      <c r="CU15" s="217"/>
      <c r="CV15" s="217"/>
      <c r="CW15" s="217"/>
      <c r="CX15" s="217"/>
      <c r="CY15" s="217"/>
      <c r="CZ15" s="217"/>
      <c r="DA15" s="217"/>
      <c r="DB15" s="217"/>
      <c r="DC15" s="217"/>
      <c r="DD15" s="217"/>
      <c r="DE15" s="217"/>
      <c r="DF15" s="217"/>
      <c r="DG15" s="217"/>
      <c r="DH15" s="217"/>
      <c r="DI15" s="217"/>
      <c r="DJ15" s="217"/>
      <c r="DK15" s="217"/>
      <c r="DL15" s="217"/>
      <c r="DM15" s="217"/>
      <c r="DN15" s="217"/>
      <c r="DO15" s="217"/>
      <c r="DP15" s="217"/>
      <c r="DQ15" s="217"/>
      <c r="DR15" s="217"/>
      <c r="DS15" s="217"/>
      <c r="DT15" s="217"/>
      <c r="DU15" s="217"/>
      <c r="DV15" s="217"/>
      <c r="DW15" s="217"/>
      <c r="DX15" s="217"/>
      <c r="DY15" s="217"/>
      <c r="DZ15" s="217"/>
      <c r="EA15" s="217"/>
      <c r="EB15" s="217"/>
      <c r="EC15" s="217"/>
      <c r="ED15" s="217"/>
      <c r="EE15" s="217"/>
      <c r="EF15" s="217"/>
      <c r="EG15" s="217"/>
      <c r="EH15" s="217"/>
      <c r="EI15" s="217"/>
      <c r="EJ15" s="217"/>
      <c r="EK15" s="217"/>
      <c r="EL15" s="225"/>
    </row>
    <row r="16" spans="1:142">
      <c r="A16" s="609"/>
      <c r="B16" s="609"/>
      <c r="C16" s="609"/>
      <c r="D16" s="609"/>
      <c r="E16" s="597" t="s">
        <v>217</v>
      </c>
      <c r="F16" s="278"/>
      <c r="G16" s="302"/>
      <c r="H16" s="385"/>
      <c r="I16" s="386"/>
      <c r="J16" s="387"/>
      <c r="K16" s="387"/>
      <c r="L16" s="388"/>
      <c r="M16" s="389"/>
      <c r="N16" s="278"/>
      <c r="O16" s="390"/>
      <c r="P16" s="387"/>
      <c r="Q16" s="387"/>
      <c r="R16" s="388"/>
      <c r="S16" s="389"/>
      <c r="T16" s="278"/>
      <c r="U16" s="390"/>
      <c r="V16" s="387"/>
      <c r="W16" s="387"/>
      <c r="X16" s="388"/>
      <c r="Y16" s="389"/>
      <c r="Z16" s="391"/>
      <c r="AA16" s="388"/>
      <c r="AB16" s="392"/>
    </row>
    <row r="17" spans="1:31">
      <c r="E17" s="593" t="s">
        <v>266</v>
      </c>
      <c r="F17" s="393"/>
      <c r="G17" s="394"/>
      <c r="H17" s="219"/>
      <c r="M17" s="378"/>
      <c r="N17" s="259"/>
      <c r="O17" s="219"/>
      <c r="S17" s="378"/>
      <c r="T17" s="259"/>
      <c r="U17" s="219"/>
      <c r="Y17" s="378"/>
      <c r="Z17" s="379"/>
      <c r="AB17" s="378"/>
      <c r="AC17" s="223"/>
      <c r="AD17" s="223"/>
      <c r="AE17" s="223"/>
    </row>
    <row r="18" spans="1:31">
      <c r="A18" s="607" t="s">
        <v>267</v>
      </c>
      <c r="B18" s="607" t="s">
        <v>263</v>
      </c>
      <c r="C18" s="607">
        <v>0</v>
      </c>
      <c r="D18" s="607">
        <v>0</v>
      </c>
      <c r="E18" s="592" t="s">
        <v>268</v>
      </c>
      <c r="F18" s="541"/>
      <c r="G18" s="219" t="s">
        <v>269</v>
      </c>
      <c r="H18" s="219">
        <v>12</v>
      </c>
      <c r="I18" s="542">
        <v>0.21809999999999999</v>
      </c>
      <c r="J18" s="228">
        <f>J14</f>
        <v>0</v>
      </c>
      <c r="K18" s="228">
        <f>K14*I18</f>
        <v>0</v>
      </c>
      <c r="L18" s="228">
        <f>K18</f>
        <v>0</v>
      </c>
      <c r="M18" s="375">
        <v>0</v>
      </c>
      <c r="N18" s="541"/>
      <c r="O18" s="219">
        <f>H18</f>
        <v>12</v>
      </c>
      <c r="P18" s="228">
        <f>P14</f>
        <v>0</v>
      </c>
      <c r="Q18" s="228">
        <f>Q14*I18</f>
        <v>0</v>
      </c>
      <c r="R18" s="228">
        <f>Q18</f>
        <v>0</v>
      </c>
      <c r="S18" s="375">
        <f>Q18-R18</f>
        <v>0</v>
      </c>
      <c r="T18" s="541"/>
      <c r="U18" s="219">
        <v>6</v>
      </c>
      <c r="V18" s="228">
        <f>V14</f>
        <v>0</v>
      </c>
      <c r="W18" s="228">
        <f>W14*I18</f>
        <v>0</v>
      </c>
      <c r="X18" s="228">
        <f>W18</f>
        <v>0</v>
      </c>
      <c r="Y18" s="375">
        <f>W18-X18</f>
        <v>0</v>
      </c>
      <c r="Z18" s="395">
        <f>L18+R18+X18</f>
        <v>0</v>
      </c>
      <c r="AA18" s="228">
        <f t="shared" ref="Z18:AA23" si="3">M18+S18+Y18</f>
        <v>0</v>
      </c>
      <c r="AB18" s="375">
        <f>Z18+AA18</f>
        <v>0</v>
      </c>
      <c r="AC18" s="223"/>
      <c r="AD18" s="223"/>
      <c r="AE18" s="223"/>
    </row>
    <row r="19" spans="1:31">
      <c r="E19" s="593" t="s">
        <v>270</v>
      </c>
      <c r="F19" s="393"/>
      <c r="H19" s="219"/>
      <c r="J19" s="228"/>
      <c r="K19" s="228"/>
      <c r="L19" s="228"/>
      <c r="M19" s="375"/>
      <c r="N19" s="259"/>
      <c r="O19" s="219"/>
      <c r="P19" s="228"/>
      <c r="Q19" s="228"/>
      <c r="R19" s="228"/>
      <c r="S19" s="375"/>
      <c r="T19" s="259"/>
      <c r="U19" s="219"/>
      <c r="V19" s="228"/>
      <c r="W19" s="228"/>
      <c r="X19" s="228"/>
      <c r="Y19" s="375"/>
      <c r="Z19" s="395"/>
      <c r="AA19" s="228"/>
      <c r="AB19" s="375"/>
      <c r="AC19" s="223"/>
      <c r="AD19" s="223"/>
      <c r="AE19" s="223"/>
    </row>
    <row r="20" spans="1:31">
      <c r="A20" s="607" t="s">
        <v>271</v>
      </c>
      <c r="B20" s="607">
        <v>70015</v>
      </c>
      <c r="C20" s="607" t="s">
        <v>252</v>
      </c>
      <c r="D20" s="607" t="s">
        <v>252</v>
      </c>
      <c r="E20" s="592" t="s">
        <v>272</v>
      </c>
      <c r="F20" s="541"/>
      <c r="G20" s="219" t="s">
        <v>269</v>
      </c>
      <c r="H20" s="219">
        <f>H9</f>
        <v>12</v>
      </c>
      <c r="I20" s="542">
        <v>0.50839999999999996</v>
      </c>
      <c r="J20" s="228">
        <f>J9</f>
        <v>0</v>
      </c>
      <c r="K20" s="228">
        <f>K9*I20</f>
        <v>0</v>
      </c>
      <c r="L20" s="228">
        <f>K20</f>
        <v>0</v>
      </c>
      <c r="M20" s="375">
        <v>0</v>
      </c>
      <c r="N20" s="541"/>
      <c r="O20" s="219">
        <v>12</v>
      </c>
      <c r="P20" s="228">
        <f>P9</f>
        <v>0</v>
      </c>
      <c r="Q20" s="228">
        <f>Q9*I20</f>
        <v>0</v>
      </c>
      <c r="R20" s="228">
        <f>Q20</f>
        <v>0</v>
      </c>
      <c r="S20" s="375">
        <f>Q20-R20</f>
        <v>0</v>
      </c>
      <c r="T20" s="541"/>
      <c r="U20" s="219">
        <v>4</v>
      </c>
      <c r="V20" s="228">
        <f>V9</f>
        <v>0</v>
      </c>
      <c r="W20" s="228">
        <f>W9*I20</f>
        <v>0</v>
      </c>
      <c r="X20" s="228">
        <f>W20</f>
        <v>0</v>
      </c>
      <c r="Y20" s="375">
        <f>W20-X20</f>
        <v>0</v>
      </c>
      <c r="Z20" s="395">
        <f t="shared" si="3"/>
        <v>0</v>
      </c>
      <c r="AA20" s="228">
        <f t="shared" si="3"/>
        <v>0</v>
      </c>
      <c r="AB20" s="375">
        <f>Z20+AA20</f>
        <v>0</v>
      </c>
      <c r="AC20" s="223"/>
      <c r="AD20" s="223"/>
      <c r="AE20" s="223"/>
    </row>
    <row r="21" spans="1:31">
      <c r="A21" s="607" t="s">
        <v>271</v>
      </c>
      <c r="B21" s="607">
        <v>70015</v>
      </c>
      <c r="C21" s="607" t="s">
        <v>252</v>
      </c>
      <c r="D21" s="607" t="s">
        <v>252</v>
      </c>
      <c r="E21" s="592" t="s">
        <v>273</v>
      </c>
      <c r="F21" s="541"/>
      <c r="G21" s="219" t="s">
        <v>269</v>
      </c>
      <c r="H21" s="219">
        <f>H10</f>
        <v>10</v>
      </c>
      <c r="I21" s="542">
        <v>0.50839999999999996</v>
      </c>
      <c r="J21" s="228">
        <f>J10</f>
        <v>0</v>
      </c>
      <c r="K21" s="228">
        <f>K10*I21</f>
        <v>0</v>
      </c>
      <c r="L21" s="228">
        <f>K21</f>
        <v>0</v>
      </c>
      <c r="M21" s="375">
        <v>0</v>
      </c>
      <c r="N21" s="541"/>
      <c r="O21" s="219">
        <v>12</v>
      </c>
      <c r="P21" s="228">
        <f>P10</f>
        <v>0</v>
      </c>
      <c r="Q21" s="228">
        <f>Q10*I21</f>
        <v>0</v>
      </c>
      <c r="R21" s="228">
        <f>Q21</f>
        <v>0</v>
      </c>
      <c r="S21" s="375">
        <f>Q21-R21</f>
        <v>0</v>
      </c>
      <c r="T21" s="541"/>
      <c r="U21" s="219">
        <v>4</v>
      </c>
      <c r="V21" s="228">
        <f>V10</f>
        <v>0</v>
      </c>
      <c r="W21" s="228">
        <f>W10*I21</f>
        <v>0</v>
      </c>
      <c r="X21" s="228">
        <f>W21</f>
        <v>0</v>
      </c>
      <c r="Y21" s="375">
        <f>W21-X21</f>
        <v>0</v>
      </c>
      <c r="Z21" s="395">
        <f t="shared" si="3"/>
        <v>0</v>
      </c>
      <c r="AA21" s="228">
        <f t="shared" si="3"/>
        <v>0</v>
      </c>
      <c r="AB21" s="375">
        <f>Z21+AA21</f>
        <v>0</v>
      </c>
      <c r="AC21" s="223"/>
      <c r="AD21" s="223"/>
      <c r="AE21" s="223"/>
    </row>
    <row r="22" spans="1:31">
      <c r="A22" s="607" t="s">
        <v>271</v>
      </c>
      <c r="B22" s="607">
        <v>70015</v>
      </c>
      <c r="C22" s="607" t="s">
        <v>252</v>
      </c>
      <c r="D22" s="607" t="s">
        <v>252</v>
      </c>
      <c r="E22" s="592" t="s">
        <v>274</v>
      </c>
      <c r="F22" s="541"/>
      <c r="G22" s="219" t="s">
        <v>269</v>
      </c>
      <c r="H22" s="219">
        <f>H11</f>
        <v>10</v>
      </c>
      <c r="I22" s="542">
        <v>0.50839999999999996</v>
      </c>
      <c r="J22" s="228">
        <f>J11</f>
        <v>0</v>
      </c>
      <c r="K22" s="228">
        <f>K11*I22</f>
        <v>0</v>
      </c>
      <c r="L22" s="228">
        <f>K22</f>
        <v>0</v>
      </c>
      <c r="M22" s="375">
        <v>0</v>
      </c>
      <c r="N22" s="541"/>
      <c r="O22" s="219">
        <v>12</v>
      </c>
      <c r="P22" s="228">
        <f>P11</f>
        <v>0</v>
      </c>
      <c r="Q22" s="228">
        <f>Q11*I22</f>
        <v>0</v>
      </c>
      <c r="R22" s="228">
        <f>Q22</f>
        <v>0</v>
      </c>
      <c r="S22" s="375">
        <f>Q22-R22</f>
        <v>0</v>
      </c>
      <c r="T22" s="541"/>
      <c r="U22" s="219">
        <v>4</v>
      </c>
      <c r="V22" s="228">
        <f>V11</f>
        <v>0</v>
      </c>
      <c r="W22" s="228">
        <f>W11*I22</f>
        <v>0</v>
      </c>
      <c r="X22" s="228">
        <f>W22</f>
        <v>0</v>
      </c>
      <c r="Y22" s="375">
        <f>W22-X22</f>
        <v>0</v>
      </c>
      <c r="Z22" s="395">
        <f t="shared" ref="Z22" si="4">L22+R22+X22</f>
        <v>0</v>
      </c>
      <c r="AA22" s="228">
        <f t="shared" ref="AA22" si="5">M22+S22+Y22</f>
        <v>0</v>
      </c>
      <c r="AB22" s="375">
        <f>Z22+AA22</f>
        <v>0</v>
      </c>
      <c r="AC22" s="223"/>
      <c r="AD22" s="223"/>
      <c r="AE22" s="223"/>
    </row>
    <row r="23" spans="1:31">
      <c r="A23" s="607" t="s">
        <v>271</v>
      </c>
      <c r="B23" s="607">
        <v>70015</v>
      </c>
      <c r="C23" s="607" t="s">
        <v>252</v>
      </c>
      <c r="D23" s="607" t="s">
        <v>252</v>
      </c>
      <c r="E23" s="592" t="s">
        <v>275</v>
      </c>
      <c r="F23" s="541"/>
      <c r="G23" s="219" t="s">
        <v>269</v>
      </c>
      <c r="H23" s="219">
        <f>H12</f>
        <v>10</v>
      </c>
      <c r="I23" s="542">
        <v>0.50839999999999996</v>
      </c>
      <c r="J23" s="228">
        <f>J12</f>
        <v>0</v>
      </c>
      <c r="K23" s="228">
        <f>K12*I23</f>
        <v>0</v>
      </c>
      <c r="L23" s="228">
        <f>K23</f>
        <v>0</v>
      </c>
      <c r="M23" s="375">
        <v>0</v>
      </c>
      <c r="N23" s="541"/>
      <c r="O23" s="219">
        <v>12</v>
      </c>
      <c r="P23" s="228">
        <f>P12</f>
        <v>0</v>
      </c>
      <c r="Q23" s="228">
        <f>Q12*I23</f>
        <v>0</v>
      </c>
      <c r="R23" s="228">
        <f>Q23</f>
        <v>0</v>
      </c>
      <c r="S23" s="375">
        <f>Q23-R23</f>
        <v>0</v>
      </c>
      <c r="T23" s="541"/>
      <c r="U23" s="219">
        <v>6</v>
      </c>
      <c r="V23" s="228">
        <f>V12</f>
        <v>0</v>
      </c>
      <c r="W23" s="228">
        <f>W12*I23</f>
        <v>0</v>
      </c>
      <c r="X23" s="228">
        <f>W23</f>
        <v>0</v>
      </c>
      <c r="Y23" s="375">
        <f>W23-X23</f>
        <v>0</v>
      </c>
      <c r="Z23" s="395">
        <f t="shared" si="3"/>
        <v>0</v>
      </c>
      <c r="AA23" s="228">
        <f t="shared" si="3"/>
        <v>0</v>
      </c>
      <c r="AB23" s="375">
        <f>Z23+AA23</f>
        <v>0</v>
      </c>
      <c r="AC23" s="223"/>
      <c r="AD23" s="223"/>
      <c r="AE23" s="223"/>
    </row>
    <row r="24" spans="1:31">
      <c r="A24" s="486"/>
      <c r="B24" s="486"/>
      <c r="C24" s="486"/>
      <c r="D24" s="486"/>
      <c r="E24" s="596" t="s">
        <v>276</v>
      </c>
      <c r="F24" s="396"/>
      <c r="G24" s="397"/>
      <c r="H24" s="398"/>
      <c r="I24" s="399"/>
      <c r="J24" s="400"/>
      <c r="K24" s="382">
        <v>24793.819999999996</v>
      </c>
      <c r="L24" s="382">
        <v>24793.819999999996</v>
      </c>
      <c r="M24" s="383">
        <v>0</v>
      </c>
      <c r="N24" s="307"/>
      <c r="O24" s="399"/>
      <c r="P24" s="400"/>
      <c r="Q24" s="382">
        <v>27582.211799999994</v>
      </c>
      <c r="R24" s="382">
        <v>27582.211799999994</v>
      </c>
      <c r="S24" s="383">
        <v>0</v>
      </c>
      <c r="T24" s="307"/>
      <c r="U24" s="399"/>
      <c r="V24" s="400"/>
      <c r="W24" s="382">
        <v>12285.965222999996</v>
      </c>
      <c r="X24" s="382">
        <v>12285.965222999996</v>
      </c>
      <c r="Y24" s="383">
        <v>0</v>
      </c>
      <c r="Z24" s="384">
        <v>64661.997022999982</v>
      </c>
      <c r="AA24" s="382">
        <v>0</v>
      </c>
      <c r="AB24" s="383">
        <v>64661.997022999982</v>
      </c>
      <c r="AC24" s="227"/>
      <c r="AD24" s="224"/>
      <c r="AE24" s="223"/>
    </row>
    <row r="25" spans="1:31">
      <c r="A25" s="609"/>
      <c r="B25" s="609"/>
      <c r="C25" s="609"/>
      <c r="D25" s="609"/>
      <c r="E25" s="597" t="s">
        <v>218</v>
      </c>
      <c r="F25" s="401"/>
      <c r="G25" s="302"/>
      <c r="H25" s="385"/>
      <c r="I25" s="386"/>
      <c r="J25" s="387"/>
      <c r="K25" s="387"/>
      <c r="L25" s="388"/>
      <c r="M25" s="389"/>
      <c r="N25" s="280"/>
      <c r="O25" s="302"/>
      <c r="P25" s="387"/>
      <c r="Q25" s="387"/>
      <c r="R25" s="388"/>
      <c r="S25" s="389"/>
      <c r="T25" s="280"/>
      <c r="U25" s="302"/>
      <c r="V25" s="387"/>
      <c r="W25" s="387"/>
      <c r="X25" s="388"/>
      <c r="Y25" s="389"/>
      <c r="Z25" s="391"/>
      <c r="AA25" s="388"/>
      <c r="AB25" s="392"/>
    </row>
    <row r="26" spans="1:31">
      <c r="E26" s="593" t="s">
        <v>277</v>
      </c>
      <c r="F26" s="402"/>
      <c r="H26" s="403"/>
      <c r="J26" s="404"/>
      <c r="K26" s="404"/>
      <c r="L26" s="372"/>
      <c r="M26" s="373"/>
      <c r="N26" s="357"/>
      <c r="O26" s="214"/>
      <c r="P26" s="404"/>
      <c r="Q26" s="404"/>
      <c r="R26" s="372"/>
      <c r="S26" s="373"/>
      <c r="T26" s="357"/>
      <c r="U26" s="214"/>
      <c r="V26" s="404"/>
      <c r="W26" s="404"/>
      <c r="X26" s="372"/>
      <c r="Y26" s="373"/>
      <c r="Z26" s="374"/>
      <c r="AA26" s="372"/>
      <c r="AB26" s="375"/>
    </row>
    <row r="27" spans="1:31">
      <c r="A27" s="607" t="s">
        <v>278</v>
      </c>
      <c r="B27" s="607">
        <v>86040</v>
      </c>
      <c r="C27" s="607">
        <v>0</v>
      </c>
      <c r="D27" s="607">
        <v>0</v>
      </c>
      <c r="E27" s="592" t="s">
        <v>279</v>
      </c>
      <c r="F27" s="259">
        <v>1</v>
      </c>
      <c r="G27" s="219" t="s">
        <v>280</v>
      </c>
      <c r="H27" s="490">
        <v>1</v>
      </c>
      <c r="I27" s="243">
        <v>1</v>
      </c>
      <c r="J27" s="228">
        <v>450</v>
      </c>
      <c r="K27" s="228">
        <f>F27*J27*H27</f>
        <v>450</v>
      </c>
      <c r="L27" s="228">
        <f>K27</f>
        <v>450</v>
      </c>
      <c r="M27" s="375">
        <f>K27-L27</f>
        <v>0</v>
      </c>
      <c r="N27" s="259">
        <v>1</v>
      </c>
      <c r="O27" s="219">
        <v>1</v>
      </c>
      <c r="P27" s="228">
        <f>J27*1.02</f>
        <v>459</v>
      </c>
      <c r="Q27" s="228">
        <f>N27*P27*O27*I27</f>
        <v>459</v>
      </c>
      <c r="R27" s="405">
        <f>Q27</f>
        <v>459</v>
      </c>
      <c r="S27" s="375">
        <f>Q27-R27</f>
        <v>0</v>
      </c>
      <c r="T27" s="259">
        <v>1</v>
      </c>
      <c r="U27" s="219">
        <v>1</v>
      </c>
      <c r="V27" s="228">
        <f>P27*1.02</f>
        <v>468.18</v>
      </c>
      <c r="W27" s="228">
        <f>T27*V27*U27*I27</f>
        <v>468.18</v>
      </c>
      <c r="X27" s="228">
        <f>W27</f>
        <v>468.18</v>
      </c>
      <c r="Y27" s="375">
        <f>W27-X27</f>
        <v>0</v>
      </c>
      <c r="Z27" s="395">
        <f t="shared" ref="Z27:AA30" si="6">L27+R27+X27</f>
        <v>1377.18</v>
      </c>
      <c r="AA27" s="228">
        <f t="shared" si="6"/>
        <v>0</v>
      </c>
      <c r="AB27" s="375">
        <f>Z27+AA27</f>
        <v>1377.18</v>
      </c>
    </row>
    <row r="28" spans="1:31">
      <c r="A28" s="607" t="s">
        <v>281</v>
      </c>
      <c r="B28" s="607">
        <v>86000</v>
      </c>
      <c r="C28" s="607">
        <v>0</v>
      </c>
      <c r="D28" s="607">
        <v>0</v>
      </c>
      <c r="E28" s="592" t="s">
        <v>282</v>
      </c>
      <c r="F28" s="259">
        <v>1</v>
      </c>
      <c r="G28" s="219" t="s">
        <v>283</v>
      </c>
      <c r="H28" s="490">
        <v>1</v>
      </c>
      <c r="I28" s="243">
        <v>1</v>
      </c>
      <c r="J28" s="228">
        <v>100</v>
      </c>
      <c r="K28" s="228">
        <f>F28*J28*H28</f>
        <v>100</v>
      </c>
      <c r="L28" s="228">
        <f>K28</f>
        <v>100</v>
      </c>
      <c r="M28" s="375">
        <f>K28-L28</f>
        <v>0</v>
      </c>
      <c r="N28" s="259">
        <v>1</v>
      </c>
      <c r="O28" s="219">
        <v>1</v>
      </c>
      <c r="P28" s="228">
        <f>J28*1.02</f>
        <v>102</v>
      </c>
      <c r="Q28" s="228">
        <f t="shared" ref="Q28:Q35" si="7">N28*P28*O28*I28</f>
        <v>102</v>
      </c>
      <c r="R28" s="405">
        <f>Q28</f>
        <v>102</v>
      </c>
      <c r="S28" s="375">
        <f>Q28-R28</f>
        <v>0</v>
      </c>
      <c r="T28" s="259">
        <v>1</v>
      </c>
      <c r="U28" s="219">
        <v>1</v>
      </c>
      <c r="V28" s="228">
        <f>P28*1.02</f>
        <v>104.04</v>
      </c>
      <c r="W28" s="244">
        <f>T28*V28*U28*I28</f>
        <v>104.04</v>
      </c>
      <c r="X28" s="244">
        <f>W28</f>
        <v>104.04</v>
      </c>
      <c r="Y28" s="378">
        <f>W28-X28</f>
        <v>0</v>
      </c>
      <c r="Z28" s="379">
        <f t="shared" si="6"/>
        <v>306.04000000000002</v>
      </c>
      <c r="AA28" s="244">
        <f t="shared" si="6"/>
        <v>0</v>
      </c>
      <c r="AB28" s="378">
        <f>Z28+AA28</f>
        <v>306.04000000000002</v>
      </c>
    </row>
    <row r="29" spans="1:31">
      <c r="A29" s="607" t="s">
        <v>284</v>
      </c>
      <c r="B29" s="607">
        <v>86030</v>
      </c>
      <c r="C29" s="607">
        <v>0</v>
      </c>
      <c r="D29" s="607">
        <v>0</v>
      </c>
      <c r="E29" s="592" t="s">
        <v>285</v>
      </c>
      <c r="F29" s="259">
        <v>1</v>
      </c>
      <c r="G29" s="219" t="s">
        <v>286</v>
      </c>
      <c r="H29" s="490">
        <v>5</v>
      </c>
      <c r="I29" s="243">
        <v>1</v>
      </c>
      <c r="J29" s="228">
        <v>150</v>
      </c>
      <c r="K29" s="228">
        <f>F29*J29*H29</f>
        <v>750</v>
      </c>
      <c r="L29" s="228">
        <f>K29</f>
        <v>750</v>
      </c>
      <c r="M29" s="375">
        <f>K29-L29</f>
        <v>0</v>
      </c>
      <c r="N29" s="259">
        <v>1</v>
      </c>
      <c r="O29" s="219">
        <v>5</v>
      </c>
      <c r="P29" s="228">
        <f>J29*1.02</f>
        <v>153</v>
      </c>
      <c r="Q29" s="228">
        <f t="shared" si="7"/>
        <v>765</v>
      </c>
      <c r="R29" s="405">
        <f>Q29</f>
        <v>765</v>
      </c>
      <c r="S29" s="375">
        <f>Q29-R29</f>
        <v>0</v>
      </c>
      <c r="T29" s="259">
        <v>1</v>
      </c>
      <c r="U29" s="219">
        <v>5</v>
      </c>
      <c r="V29" s="228">
        <f>P29*1.02</f>
        <v>156.06</v>
      </c>
      <c r="W29" s="244">
        <f>T29*V29*U29*I29</f>
        <v>780.3</v>
      </c>
      <c r="X29" s="244">
        <f>W29</f>
        <v>780.3</v>
      </c>
      <c r="Y29" s="378">
        <f>W29-X29</f>
        <v>0</v>
      </c>
      <c r="Z29" s="379">
        <f t="shared" si="6"/>
        <v>2295.3000000000002</v>
      </c>
      <c r="AA29" s="244">
        <f t="shared" si="6"/>
        <v>0</v>
      </c>
      <c r="AB29" s="378">
        <f>Z29+AA29</f>
        <v>2295.3000000000002</v>
      </c>
    </row>
    <row r="30" spans="1:31">
      <c r="A30" s="607" t="s">
        <v>287</v>
      </c>
      <c r="B30" s="607">
        <v>86050</v>
      </c>
      <c r="C30" s="607">
        <v>0</v>
      </c>
      <c r="D30" s="607">
        <v>0</v>
      </c>
      <c r="E30" s="592" t="s">
        <v>288</v>
      </c>
      <c r="F30" s="259">
        <v>1</v>
      </c>
      <c r="G30" s="219" t="s">
        <v>289</v>
      </c>
      <c r="H30" s="490">
        <v>5</v>
      </c>
      <c r="I30" s="243">
        <v>1</v>
      </c>
      <c r="J30" s="228">
        <v>106.2</v>
      </c>
      <c r="K30" s="228">
        <f>F30*J30*H30</f>
        <v>531</v>
      </c>
      <c r="L30" s="228">
        <f>K30</f>
        <v>531</v>
      </c>
      <c r="M30" s="375">
        <f>K30-L30</f>
        <v>0</v>
      </c>
      <c r="N30" s="259">
        <v>1</v>
      </c>
      <c r="O30" s="219">
        <v>5</v>
      </c>
      <c r="P30" s="228">
        <f>J30*1.02</f>
        <v>108.324</v>
      </c>
      <c r="Q30" s="228">
        <f t="shared" si="7"/>
        <v>541.62</v>
      </c>
      <c r="R30" s="405">
        <f>Q30</f>
        <v>541.62</v>
      </c>
      <c r="S30" s="375">
        <f>Q30-R30</f>
        <v>0</v>
      </c>
      <c r="T30" s="259">
        <v>1</v>
      </c>
      <c r="U30" s="219">
        <v>5</v>
      </c>
      <c r="V30" s="228">
        <f>P30*1.02</f>
        <v>110.49048000000001</v>
      </c>
      <c r="W30" s="244">
        <f>T30*V30*U30*I30</f>
        <v>552.45240000000001</v>
      </c>
      <c r="X30" s="244">
        <f>W30</f>
        <v>552.45240000000001</v>
      </c>
      <c r="Y30" s="378">
        <f>W30-X30</f>
        <v>0</v>
      </c>
      <c r="Z30" s="379">
        <f t="shared" si="6"/>
        <v>1625.0724</v>
      </c>
      <c r="AA30" s="244">
        <f t="shared" si="6"/>
        <v>0</v>
      </c>
      <c r="AB30" s="378">
        <f>Z30+AA30</f>
        <v>1625.0724</v>
      </c>
    </row>
    <row r="31" spans="1:31">
      <c r="E31" s="593" t="s">
        <v>290</v>
      </c>
      <c r="F31" s="259"/>
      <c r="H31" s="490"/>
      <c r="J31" s="228"/>
      <c r="K31" s="228"/>
      <c r="L31" s="228"/>
      <c r="M31" s="375"/>
      <c r="N31" s="259"/>
      <c r="O31" s="219"/>
      <c r="P31" s="228"/>
      <c r="Q31" s="228"/>
      <c r="R31" s="405"/>
      <c r="S31" s="375"/>
      <c r="T31" s="259"/>
      <c r="U31" s="219"/>
      <c r="V31" s="228"/>
      <c r="Y31" s="378"/>
      <c r="Z31" s="379"/>
      <c r="AB31" s="378"/>
    </row>
    <row r="32" spans="1:31">
      <c r="A32" s="607" t="s">
        <v>291</v>
      </c>
      <c r="B32" s="607">
        <v>86030</v>
      </c>
      <c r="C32" s="607" t="s">
        <v>252</v>
      </c>
      <c r="D32" s="607" t="s">
        <v>252</v>
      </c>
      <c r="E32" s="592" t="s">
        <v>292</v>
      </c>
      <c r="F32" s="259">
        <v>3</v>
      </c>
      <c r="G32" s="219" t="s">
        <v>286</v>
      </c>
      <c r="H32" s="490">
        <v>8</v>
      </c>
      <c r="I32" s="243">
        <v>1</v>
      </c>
      <c r="J32" s="228">
        <v>100</v>
      </c>
      <c r="K32" s="228">
        <f>F32*J32*H32</f>
        <v>2400</v>
      </c>
      <c r="L32" s="228">
        <f>K32</f>
        <v>2400</v>
      </c>
      <c r="M32" s="375">
        <f>K32-L32</f>
        <v>0</v>
      </c>
      <c r="N32" s="259">
        <v>3</v>
      </c>
      <c r="O32" s="219">
        <v>8</v>
      </c>
      <c r="P32" s="228">
        <f>J32*1.02</f>
        <v>102</v>
      </c>
      <c r="Q32" s="228">
        <f t="shared" si="7"/>
        <v>2448</v>
      </c>
      <c r="R32" s="405">
        <f>Q32</f>
        <v>2448</v>
      </c>
      <c r="S32" s="375">
        <f>Q32-R32</f>
        <v>0</v>
      </c>
      <c r="T32" s="259">
        <v>3</v>
      </c>
      <c r="U32" s="219">
        <v>2</v>
      </c>
      <c r="V32" s="228">
        <f>P32*1.02</f>
        <v>104.04</v>
      </c>
      <c r="W32" s="244">
        <f>T32*V32*U32*I32</f>
        <v>624.24</v>
      </c>
      <c r="X32" s="244">
        <f>W32</f>
        <v>624.24</v>
      </c>
      <c r="Y32" s="378">
        <f>W32-X32</f>
        <v>0</v>
      </c>
      <c r="Z32" s="379">
        <f t="shared" ref="Z32:AA35" si="8">L32+R32+X32</f>
        <v>5472.24</v>
      </c>
      <c r="AA32" s="244">
        <f t="shared" si="8"/>
        <v>0</v>
      </c>
      <c r="AB32" s="378">
        <f>Z32+AA32</f>
        <v>5472.24</v>
      </c>
    </row>
    <row r="33" spans="1:142">
      <c r="A33" s="607" t="s">
        <v>293</v>
      </c>
      <c r="B33" s="607">
        <v>86050</v>
      </c>
      <c r="C33" s="607" t="s">
        <v>252</v>
      </c>
      <c r="D33" s="607" t="s">
        <v>252</v>
      </c>
      <c r="E33" s="592" t="s">
        <v>294</v>
      </c>
      <c r="F33" s="259">
        <v>3</v>
      </c>
      <c r="G33" s="219" t="s">
        <v>289</v>
      </c>
      <c r="H33" s="490">
        <v>8</v>
      </c>
      <c r="I33" s="243">
        <v>1</v>
      </c>
      <c r="J33" s="228">
        <v>45.75</v>
      </c>
      <c r="K33" s="228">
        <f>F33*J33*H33</f>
        <v>1098</v>
      </c>
      <c r="L33" s="228">
        <f>K33</f>
        <v>1098</v>
      </c>
      <c r="M33" s="375">
        <f>K33-L33</f>
        <v>0</v>
      </c>
      <c r="N33" s="259">
        <v>3</v>
      </c>
      <c r="O33" s="219">
        <v>8</v>
      </c>
      <c r="P33" s="228">
        <f>J33*1.02</f>
        <v>46.664999999999999</v>
      </c>
      <c r="Q33" s="228">
        <f t="shared" si="7"/>
        <v>1119.96</v>
      </c>
      <c r="R33" s="405">
        <f>Q33</f>
        <v>1119.96</v>
      </c>
      <c r="S33" s="375">
        <f>Q33-R33</f>
        <v>0</v>
      </c>
      <c r="T33" s="259">
        <v>3</v>
      </c>
      <c r="U33" s="219">
        <v>2</v>
      </c>
      <c r="V33" s="228">
        <f>P33*1.02</f>
        <v>47.598300000000002</v>
      </c>
      <c r="W33" s="244">
        <f>T33*V33*U33*I33</f>
        <v>285.58980000000003</v>
      </c>
      <c r="X33" s="244">
        <f>W33</f>
        <v>285.58980000000003</v>
      </c>
      <c r="Y33" s="378">
        <f>W33-X33</f>
        <v>0</v>
      </c>
      <c r="Z33" s="379">
        <f t="shared" si="8"/>
        <v>2503.5498000000002</v>
      </c>
      <c r="AA33" s="244">
        <f t="shared" si="8"/>
        <v>0</v>
      </c>
      <c r="AB33" s="378">
        <f>Z33+AA33</f>
        <v>2503.5498000000002</v>
      </c>
    </row>
    <row r="34" spans="1:142">
      <c r="A34" s="607" t="s">
        <v>295</v>
      </c>
      <c r="B34" s="607">
        <v>86000</v>
      </c>
      <c r="C34" s="607" t="s">
        <v>252</v>
      </c>
      <c r="D34" s="607" t="s">
        <v>252</v>
      </c>
      <c r="E34" s="592" t="s">
        <v>296</v>
      </c>
      <c r="F34" s="259">
        <v>1</v>
      </c>
      <c r="G34" s="219" t="s">
        <v>254</v>
      </c>
      <c r="H34" s="490">
        <v>10</v>
      </c>
      <c r="I34" s="243">
        <v>1</v>
      </c>
      <c r="J34" s="228">
        <v>150</v>
      </c>
      <c r="K34" s="228">
        <f>F34*J34*H34</f>
        <v>1500</v>
      </c>
      <c r="L34" s="228">
        <f>K34</f>
        <v>1500</v>
      </c>
      <c r="M34" s="375">
        <f>K34-L34</f>
        <v>0</v>
      </c>
      <c r="N34" s="259">
        <v>1</v>
      </c>
      <c r="O34" s="219">
        <v>12</v>
      </c>
      <c r="P34" s="228">
        <f>J34*1.02</f>
        <v>153</v>
      </c>
      <c r="Q34" s="228">
        <f t="shared" si="7"/>
        <v>1836</v>
      </c>
      <c r="R34" s="405">
        <f>Q34</f>
        <v>1836</v>
      </c>
      <c r="S34" s="375">
        <f>Q34-R34</f>
        <v>0</v>
      </c>
      <c r="T34" s="259">
        <v>1</v>
      </c>
      <c r="U34" s="219">
        <v>3</v>
      </c>
      <c r="V34" s="228">
        <f>P34*1.02</f>
        <v>156.06</v>
      </c>
      <c r="W34" s="228">
        <f>T34*V34*U34*I34</f>
        <v>468.18</v>
      </c>
      <c r="X34" s="228">
        <f>W34</f>
        <v>468.18</v>
      </c>
      <c r="Y34" s="375">
        <f>W34-X34</f>
        <v>0</v>
      </c>
      <c r="Z34" s="395">
        <f t="shared" si="8"/>
        <v>3804.18</v>
      </c>
      <c r="AA34" s="228">
        <f t="shared" si="8"/>
        <v>0</v>
      </c>
      <c r="AB34" s="375">
        <f>Z34+AA34</f>
        <v>3804.18</v>
      </c>
    </row>
    <row r="35" spans="1:142">
      <c r="A35" s="607" t="s">
        <v>297</v>
      </c>
      <c r="B35" s="607">
        <v>86040</v>
      </c>
      <c r="C35" s="607" t="s">
        <v>252</v>
      </c>
      <c r="D35" s="607" t="s">
        <v>252</v>
      </c>
      <c r="E35" s="592" t="s">
        <v>298</v>
      </c>
      <c r="F35" s="259">
        <v>1</v>
      </c>
      <c r="G35" s="219" t="s">
        <v>299</v>
      </c>
      <c r="H35" s="490">
        <v>4</v>
      </c>
      <c r="I35" s="243">
        <v>1</v>
      </c>
      <c r="J35" s="228">
        <v>150</v>
      </c>
      <c r="K35" s="228">
        <f>F35*J35*H35</f>
        <v>600</v>
      </c>
      <c r="L35" s="228">
        <f>K35</f>
        <v>600</v>
      </c>
      <c r="M35" s="375">
        <f>K35-L35</f>
        <v>0</v>
      </c>
      <c r="N35" s="259">
        <v>1</v>
      </c>
      <c r="O35" s="219">
        <v>4</v>
      </c>
      <c r="P35" s="228">
        <f>J35*1.02</f>
        <v>153</v>
      </c>
      <c r="Q35" s="228">
        <f t="shared" si="7"/>
        <v>612</v>
      </c>
      <c r="R35" s="405">
        <f>Q35</f>
        <v>612</v>
      </c>
      <c r="S35" s="375">
        <f>Q35-R35</f>
        <v>0</v>
      </c>
      <c r="T35" s="259">
        <v>1</v>
      </c>
      <c r="U35" s="219">
        <v>2</v>
      </c>
      <c r="V35" s="228">
        <f>P35*1.02</f>
        <v>156.06</v>
      </c>
      <c r="W35" s="228">
        <f>T35*V35*U35*I35</f>
        <v>312.12</v>
      </c>
      <c r="X35" s="228">
        <f>W35</f>
        <v>312.12</v>
      </c>
      <c r="Y35" s="375">
        <f>W35-X35</f>
        <v>0</v>
      </c>
      <c r="Z35" s="395">
        <f t="shared" si="8"/>
        <v>1524.12</v>
      </c>
      <c r="AA35" s="228">
        <f t="shared" si="8"/>
        <v>0</v>
      </c>
      <c r="AB35" s="375">
        <f>Z35+AA35</f>
        <v>1524.12</v>
      </c>
    </row>
    <row r="36" spans="1:142">
      <c r="E36" s="593" t="s">
        <v>300</v>
      </c>
      <c r="F36" s="259"/>
      <c r="H36" s="490"/>
      <c r="J36" s="228"/>
      <c r="K36" s="228"/>
      <c r="L36" s="228"/>
      <c r="M36" s="375"/>
      <c r="N36" s="259"/>
      <c r="O36" s="219"/>
      <c r="P36" s="228"/>
      <c r="Q36" s="228"/>
      <c r="R36" s="405"/>
      <c r="S36" s="375"/>
      <c r="T36" s="259"/>
      <c r="U36" s="219"/>
      <c r="V36" s="228"/>
      <c r="W36" s="228"/>
      <c r="X36" s="228"/>
      <c r="Y36" s="375"/>
      <c r="Z36" s="395"/>
      <c r="AA36" s="228"/>
      <c r="AB36" s="375"/>
    </row>
    <row r="37" spans="1:142">
      <c r="A37" s="607" t="s">
        <v>301</v>
      </c>
      <c r="B37" s="607">
        <v>86000</v>
      </c>
      <c r="C37" s="607" t="s">
        <v>252</v>
      </c>
      <c r="D37" s="607" t="s">
        <v>252</v>
      </c>
      <c r="E37" s="592" t="s">
        <v>302</v>
      </c>
      <c r="F37" s="259">
        <v>1</v>
      </c>
      <c r="G37" s="219" t="s">
        <v>283</v>
      </c>
      <c r="H37" s="490">
        <v>1</v>
      </c>
      <c r="I37" s="243">
        <v>1</v>
      </c>
      <c r="J37" s="228">
        <v>5000</v>
      </c>
      <c r="K37" s="228">
        <f>F37*J37*H37</f>
        <v>5000</v>
      </c>
      <c r="L37" s="228">
        <f>K37</f>
        <v>5000</v>
      </c>
      <c r="M37" s="375">
        <f>K37-L37</f>
        <v>0</v>
      </c>
      <c r="N37" s="259">
        <v>1</v>
      </c>
      <c r="O37" s="219">
        <v>0</v>
      </c>
      <c r="P37" s="228">
        <f>J37*1.02</f>
        <v>5100</v>
      </c>
      <c r="Q37" s="228">
        <f t="shared" ref="Q37" si="9">N37*P37*O37*I37</f>
        <v>0</v>
      </c>
      <c r="R37" s="405">
        <f>Q37</f>
        <v>0</v>
      </c>
      <c r="S37" s="375">
        <f>Q37-R37</f>
        <v>0</v>
      </c>
      <c r="T37" s="259">
        <v>1</v>
      </c>
      <c r="U37" s="219">
        <v>0</v>
      </c>
      <c r="V37" s="228">
        <f>P37*1.02</f>
        <v>5202</v>
      </c>
      <c r="W37" s="228">
        <f>T37*V37*U37*I37</f>
        <v>0</v>
      </c>
      <c r="X37" s="228">
        <f>W37</f>
        <v>0</v>
      </c>
      <c r="Y37" s="375">
        <f>W37-X37</f>
        <v>0</v>
      </c>
      <c r="Z37" s="395">
        <f t="shared" ref="Z37" si="10">L37+R37+X37</f>
        <v>5000</v>
      </c>
      <c r="AA37" s="228">
        <f t="shared" ref="AA37" si="11">M37+S37+Y37</f>
        <v>0</v>
      </c>
      <c r="AB37" s="375">
        <f>Z37+AA37</f>
        <v>5000</v>
      </c>
    </row>
    <row r="38" spans="1:142">
      <c r="A38" s="486"/>
      <c r="B38" s="486"/>
      <c r="C38" s="486"/>
      <c r="D38" s="486"/>
      <c r="E38" s="596" t="s">
        <v>303</v>
      </c>
      <c r="F38" s="406"/>
      <c r="G38" s="303"/>
      <c r="H38" s="488"/>
      <c r="I38" s="381"/>
      <c r="J38" s="382"/>
      <c r="K38" s="382">
        <f>SUM(K27:K37)</f>
        <v>12429</v>
      </c>
      <c r="L38" s="382">
        <f>SUM(L27:L37)</f>
        <v>12429</v>
      </c>
      <c r="M38" s="383">
        <f>SUM(M27:M37)</f>
        <v>0</v>
      </c>
      <c r="N38" s="407"/>
      <c r="O38" s="408"/>
      <c r="P38" s="382"/>
      <c r="Q38" s="382">
        <f>SUM(Q27:Q37)</f>
        <v>7883.58</v>
      </c>
      <c r="R38" s="382">
        <f>SUM(R27:R37)</f>
        <v>7883.58</v>
      </c>
      <c r="S38" s="383">
        <f>SUM(S27:S37)</f>
        <v>0</v>
      </c>
      <c r="T38" s="407"/>
      <c r="U38" s="408"/>
      <c r="V38" s="382"/>
      <c r="W38" s="382">
        <f t="shared" ref="W38:AB38" si="12">SUM(W27:W37)</f>
        <v>3595.1022000000003</v>
      </c>
      <c r="X38" s="382">
        <f t="shared" si="12"/>
        <v>3595.1022000000003</v>
      </c>
      <c r="Y38" s="383">
        <f t="shared" si="12"/>
        <v>0</v>
      </c>
      <c r="Z38" s="384">
        <f t="shared" si="12"/>
        <v>23907.682199999999</v>
      </c>
      <c r="AA38" s="382">
        <f t="shared" si="12"/>
        <v>0</v>
      </c>
      <c r="AB38" s="383">
        <f t="shared" si="12"/>
        <v>23907.682199999999</v>
      </c>
    </row>
    <row r="39" spans="1:142">
      <c r="A39" s="609"/>
      <c r="B39" s="609"/>
      <c r="C39" s="609"/>
      <c r="D39" s="609"/>
      <c r="E39" s="597" t="s">
        <v>219</v>
      </c>
      <c r="F39" s="280"/>
      <c r="G39" s="302"/>
      <c r="H39" s="489"/>
      <c r="I39" s="386"/>
      <c r="J39" s="387"/>
      <c r="K39" s="387"/>
      <c r="L39" s="409"/>
      <c r="M39" s="410"/>
      <c r="N39" s="280"/>
      <c r="O39" s="302"/>
      <c r="P39" s="387"/>
      <c r="Q39" s="387"/>
      <c r="R39" s="409"/>
      <c r="S39" s="410"/>
      <c r="T39" s="280"/>
      <c r="U39" s="302"/>
      <c r="V39" s="387"/>
      <c r="W39" s="387"/>
      <c r="X39" s="409"/>
      <c r="Y39" s="410"/>
      <c r="Z39" s="411"/>
      <c r="AA39" s="409"/>
      <c r="AB39" s="392"/>
    </row>
    <row r="40" spans="1:142">
      <c r="A40" s="609"/>
      <c r="B40" s="609"/>
      <c r="C40" s="609"/>
      <c r="D40" s="609"/>
      <c r="E40" s="597" t="s">
        <v>220</v>
      </c>
      <c r="F40" s="280"/>
      <c r="G40" s="302"/>
      <c r="H40" s="489"/>
      <c r="I40" s="386"/>
      <c r="J40" s="387"/>
      <c r="K40" s="387"/>
      <c r="L40" s="409"/>
      <c r="M40" s="410"/>
      <c r="N40" s="280"/>
      <c r="O40" s="302"/>
      <c r="P40" s="387"/>
      <c r="Q40" s="387"/>
      <c r="R40" s="409"/>
      <c r="S40" s="410"/>
      <c r="T40" s="280"/>
      <c r="U40" s="302"/>
      <c r="V40" s="387"/>
      <c r="W40" s="387"/>
      <c r="X40" s="409"/>
      <c r="Y40" s="410"/>
      <c r="Z40" s="411"/>
      <c r="AA40" s="409"/>
      <c r="AB40" s="392"/>
    </row>
    <row r="41" spans="1:142">
      <c r="A41" s="607" t="s">
        <v>304</v>
      </c>
      <c r="B41" s="607">
        <v>82350</v>
      </c>
      <c r="C41" s="607" t="s">
        <v>252</v>
      </c>
      <c r="D41" s="607" t="s">
        <v>252</v>
      </c>
      <c r="E41" s="592" t="s">
        <v>305</v>
      </c>
      <c r="F41" s="259">
        <v>1</v>
      </c>
      <c r="G41" s="219" t="s">
        <v>254</v>
      </c>
      <c r="H41" s="492">
        <v>10</v>
      </c>
      <c r="I41" s="243">
        <v>1</v>
      </c>
      <c r="J41" s="228">
        <v>5</v>
      </c>
      <c r="K41" s="228">
        <f>F41*J41*H41*I41</f>
        <v>50</v>
      </c>
      <c r="L41" s="228">
        <f>K41</f>
        <v>50</v>
      </c>
      <c r="M41" s="375">
        <f t="shared" ref="M41:M47" si="13">K41-L41</f>
        <v>0</v>
      </c>
      <c r="N41" s="259">
        <v>1</v>
      </c>
      <c r="O41" s="219">
        <v>12</v>
      </c>
      <c r="P41" s="228">
        <f>J41</f>
        <v>5</v>
      </c>
      <c r="Q41" s="228">
        <f>N41*P41*O41*I41</f>
        <v>60</v>
      </c>
      <c r="R41" s="228">
        <f t="shared" ref="R41:R47" si="14">Q41</f>
        <v>60</v>
      </c>
      <c r="S41" s="375">
        <f>Q41-R41</f>
        <v>0</v>
      </c>
      <c r="T41" s="259">
        <v>1</v>
      </c>
      <c r="U41" s="219">
        <v>3</v>
      </c>
      <c r="V41" s="228">
        <f>P41</f>
        <v>5</v>
      </c>
      <c r="W41" s="228">
        <f t="shared" ref="W41:W47" si="15">T41*V41*U41*I41</f>
        <v>15</v>
      </c>
      <c r="X41" s="228">
        <f>W41</f>
        <v>15</v>
      </c>
      <c r="Y41" s="375">
        <f t="shared" ref="Y41:Y47" si="16">W41-X41</f>
        <v>0</v>
      </c>
      <c r="Z41" s="395">
        <f t="shared" ref="Z41:Z47" si="17">L41+R41+X41</f>
        <v>125</v>
      </c>
      <c r="AA41" s="228">
        <f t="shared" ref="AA41:AA47" si="18">M41+S41+Y41</f>
        <v>0</v>
      </c>
      <c r="AB41" s="375">
        <f t="shared" ref="AB41:AB47" si="19">Z41+AA41</f>
        <v>125</v>
      </c>
    </row>
    <row r="42" spans="1:142">
      <c r="A42" s="607" t="s">
        <v>306</v>
      </c>
      <c r="B42" s="607">
        <v>82401</v>
      </c>
      <c r="C42" s="607" t="s">
        <v>252</v>
      </c>
      <c r="D42" s="607" t="s">
        <v>252</v>
      </c>
      <c r="E42" s="592" t="s">
        <v>307</v>
      </c>
      <c r="F42" s="259">
        <v>1</v>
      </c>
      <c r="G42" s="219" t="s">
        <v>254</v>
      </c>
      <c r="H42" s="492">
        <v>10</v>
      </c>
      <c r="I42" s="243">
        <v>1</v>
      </c>
      <c r="J42" s="228">
        <v>30</v>
      </c>
      <c r="K42" s="228">
        <f t="shared" ref="K42:K47" si="20">F42*J42*H42*I42</f>
        <v>300</v>
      </c>
      <c r="L42" s="228">
        <f t="shared" ref="L42:L47" si="21">K42</f>
        <v>300</v>
      </c>
      <c r="M42" s="375">
        <f t="shared" si="13"/>
        <v>0</v>
      </c>
      <c r="N42" s="259">
        <v>1</v>
      </c>
      <c r="O42" s="219">
        <v>12</v>
      </c>
      <c r="P42" s="228">
        <f t="shared" ref="P42:P47" si="22">J42</f>
        <v>30</v>
      </c>
      <c r="Q42" s="228">
        <f t="shared" ref="Q42:Q47" si="23">N42*P42*O42*I42</f>
        <v>360</v>
      </c>
      <c r="R42" s="228">
        <f t="shared" si="14"/>
        <v>360</v>
      </c>
      <c r="S42" s="375">
        <f t="shared" ref="S42:S47" si="24">Q42-R42</f>
        <v>0</v>
      </c>
      <c r="T42" s="259">
        <v>1</v>
      </c>
      <c r="U42" s="219">
        <v>3</v>
      </c>
      <c r="V42" s="228">
        <f t="shared" ref="V42:V47" si="25">P42</f>
        <v>30</v>
      </c>
      <c r="W42" s="228">
        <f t="shared" si="15"/>
        <v>90</v>
      </c>
      <c r="X42" s="228">
        <f t="shared" ref="X42:X47" si="26">W42</f>
        <v>90</v>
      </c>
      <c r="Y42" s="375">
        <f t="shared" si="16"/>
        <v>0</v>
      </c>
      <c r="Z42" s="395">
        <f t="shared" si="17"/>
        <v>750</v>
      </c>
      <c r="AA42" s="228">
        <f t="shared" si="18"/>
        <v>0</v>
      </c>
      <c r="AB42" s="375">
        <f t="shared" si="19"/>
        <v>750</v>
      </c>
    </row>
    <row r="43" spans="1:142">
      <c r="A43" s="607" t="s">
        <v>308</v>
      </c>
      <c r="B43" s="607">
        <v>85180</v>
      </c>
      <c r="C43" s="607" t="s">
        <v>252</v>
      </c>
      <c r="D43" s="607" t="s">
        <v>252</v>
      </c>
      <c r="E43" s="592" t="s">
        <v>309</v>
      </c>
      <c r="F43" s="259">
        <v>1</v>
      </c>
      <c r="G43" s="219" t="s">
        <v>254</v>
      </c>
      <c r="H43" s="492">
        <v>10</v>
      </c>
      <c r="I43" s="243">
        <v>1</v>
      </c>
      <c r="J43" s="228">
        <v>500</v>
      </c>
      <c r="K43" s="228">
        <f t="shared" si="20"/>
        <v>5000</v>
      </c>
      <c r="L43" s="228">
        <f t="shared" si="21"/>
        <v>5000</v>
      </c>
      <c r="M43" s="375">
        <f t="shared" si="13"/>
        <v>0</v>
      </c>
      <c r="N43" s="259">
        <v>1</v>
      </c>
      <c r="O43" s="219">
        <v>12</v>
      </c>
      <c r="P43" s="228">
        <f t="shared" si="22"/>
        <v>500</v>
      </c>
      <c r="Q43" s="228">
        <f>N43*P43*O43*I43</f>
        <v>6000</v>
      </c>
      <c r="R43" s="228">
        <f t="shared" si="14"/>
        <v>6000</v>
      </c>
      <c r="S43" s="375">
        <f t="shared" si="24"/>
        <v>0</v>
      </c>
      <c r="T43" s="259">
        <v>1</v>
      </c>
      <c r="U43" s="219">
        <v>3</v>
      </c>
      <c r="V43" s="228">
        <f t="shared" si="25"/>
        <v>500</v>
      </c>
      <c r="W43" s="228">
        <f>T43*V43*U43*I43</f>
        <v>1500</v>
      </c>
      <c r="X43" s="228">
        <f>W43</f>
        <v>1500</v>
      </c>
      <c r="Y43" s="375">
        <f t="shared" si="16"/>
        <v>0</v>
      </c>
      <c r="Z43" s="395">
        <f t="shared" si="17"/>
        <v>12500</v>
      </c>
      <c r="AA43" s="228">
        <f t="shared" si="18"/>
        <v>0</v>
      </c>
      <c r="AB43" s="375">
        <f t="shared" si="19"/>
        <v>12500</v>
      </c>
    </row>
    <row r="44" spans="1:142">
      <c r="A44" s="607" t="s">
        <v>310</v>
      </c>
      <c r="B44" s="607">
        <v>90900</v>
      </c>
      <c r="C44" s="607" t="s">
        <v>252</v>
      </c>
      <c r="D44" s="607" t="s">
        <v>252</v>
      </c>
      <c r="E44" s="592" t="s">
        <v>311</v>
      </c>
      <c r="F44" s="259">
        <v>1</v>
      </c>
      <c r="G44" s="219" t="s">
        <v>254</v>
      </c>
      <c r="H44" s="492">
        <v>10</v>
      </c>
      <c r="I44" s="243">
        <v>1</v>
      </c>
      <c r="J44" s="228">
        <v>35</v>
      </c>
      <c r="K44" s="228">
        <f t="shared" si="20"/>
        <v>350</v>
      </c>
      <c r="L44" s="228">
        <f t="shared" si="21"/>
        <v>350</v>
      </c>
      <c r="M44" s="375">
        <f t="shared" si="13"/>
        <v>0</v>
      </c>
      <c r="N44" s="259">
        <v>1</v>
      </c>
      <c r="O44" s="219">
        <v>12</v>
      </c>
      <c r="P44" s="228">
        <f t="shared" si="22"/>
        <v>35</v>
      </c>
      <c r="Q44" s="228">
        <f t="shared" si="23"/>
        <v>420</v>
      </c>
      <c r="R44" s="228">
        <f t="shared" si="14"/>
        <v>420</v>
      </c>
      <c r="S44" s="375">
        <f t="shared" si="24"/>
        <v>0</v>
      </c>
      <c r="T44" s="259">
        <v>1</v>
      </c>
      <c r="U44" s="219">
        <v>5</v>
      </c>
      <c r="V44" s="228">
        <f t="shared" si="25"/>
        <v>35</v>
      </c>
      <c r="W44" s="228">
        <f t="shared" si="15"/>
        <v>175</v>
      </c>
      <c r="X44" s="228">
        <f t="shared" si="26"/>
        <v>175</v>
      </c>
      <c r="Y44" s="375">
        <f t="shared" si="16"/>
        <v>0</v>
      </c>
      <c r="Z44" s="395">
        <f t="shared" si="17"/>
        <v>945</v>
      </c>
      <c r="AA44" s="228">
        <f t="shared" si="18"/>
        <v>0</v>
      </c>
      <c r="AB44" s="375">
        <f t="shared" si="19"/>
        <v>945</v>
      </c>
    </row>
    <row r="45" spans="1:142">
      <c r="A45" s="607" t="s">
        <v>312</v>
      </c>
      <c r="B45" s="607">
        <v>85105</v>
      </c>
      <c r="C45" s="607" t="s">
        <v>252</v>
      </c>
      <c r="D45" s="607" t="s">
        <v>252</v>
      </c>
      <c r="E45" s="592" t="s">
        <v>313</v>
      </c>
      <c r="F45" s="259">
        <v>1</v>
      </c>
      <c r="G45" s="219" t="s">
        <v>299</v>
      </c>
      <c r="H45" s="492">
        <v>1</v>
      </c>
      <c r="I45" s="243">
        <v>1</v>
      </c>
      <c r="J45" s="228">
        <v>100</v>
      </c>
      <c r="K45" s="228">
        <f t="shared" si="20"/>
        <v>100</v>
      </c>
      <c r="L45" s="228">
        <f t="shared" si="21"/>
        <v>100</v>
      </c>
      <c r="M45" s="375">
        <f t="shared" si="13"/>
        <v>0</v>
      </c>
      <c r="N45" s="259">
        <v>1</v>
      </c>
      <c r="O45" s="219">
        <v>1</v>
      </c>
      <c r="P45" s="228">
        <f t="shared" si="22"/>
        <v>100</v>
      </c>
      <c r="Q45" s="228">
        <f t="shared" si="23"/>
        <v>100</v>
      </c>
      <c r="R45" s="228">
        <f t="shared" si="14"/>
        <v>100</v>
      </c>
      <c r="S45" s="375">
        <f t="shared" si="24"/>
        <v>0</v>
      </c>
      <c r="T45" s="259">
        <v>1</v>
      </c>
      <c r="U45" s="219">
        <v>1</v>
      </c>
      <c r="V45" s="228">
        <f t="shared" si="25"/>
        <v>100</v>
      </c>
      <c r="W45" s="228">
        <f t="shared" si="15"/>
        <v>100</v>
      </c>
      <c r="X45" s="228">
        <f t="shared" si="26"/>
        <v>100</v>
      </c>
      <c r="Y45" s="375">
        <f t="shared" si="16"/>
        <v>0</v>
      </c>
      <c r="Z45" s="395">
        <f t="shared" si="17"/>
        <v>300</v>
      </c>
      <c r="AA45" s="228">
        <f t="shared" si="18"/>
        <v>0</v>
      </c>
      <c r="AB45" s="375">
        <f t="shared" si="19"/>
        <v>300</v>
      </c>
    </row>
    <row r="46" spans="1:142">
      <c r="A46" s="607" t="s">
        <v>314</v>
      </c>
      <c r="B46" s="607">
        <v>81010</v>
      </c>
      <c r="C46" s="607" t="s">
        <v>252</v>
      </c>
      <c r="D46" s="607" t="s">
        <v>252</v>
      </c>
      <c r="E46" s="592" t="s">
        <v>315</v>
      </c>
      <c r="F46" s="259">
        <v>1</v>
      </c>
      <c r="G46" s="219" t="s">
        <v>299</v>
      </c>
      <c r="H46" s="492">
        <v>1</v>
      </c>
      <c r="I46" s="243">
        <v>1</v>
      </c>
      <c r="J46" s="228">
        <v>500</v>
      </c>
      <c r="K46" s="228">
        <f t="shared" si="20"/>
        <v>500</v>
      </c>
      <c r="L46" s="228">
        <f t="shared" si="21"/>
        <v>500</v>
      </c>
      <c r="M46" s="375">
        <f t="shared" si="13"/>
        <v>0</v>
      </c>
      <c r="N46" s="259">
        <v>1</v>
      </c>
      <c r="O46" s="219">
        <v>1</v>
      </c>
      <c r="P46" s="228">
        <f t="shared" si="22"/>
        <v>500</v>
      </c>
      <c r="Q46" s="228">
        <f t="shared" si="23"/>
        <v>500</v>
      </c>
      <c r="R46" s="228">
        <f t="shared" si="14"/>
        <v>500</v>
      </c>
      <c r="S46" s="375">
        <f t="shared" si="24"/>
        <v>0</v>
      </c>
      <c r="T46" s="259">
        <v>1</v>
      </c>
      <c r="U46" s="219">
        <v>1</v>
      </c>
      <c r="V46" s="228">
        <f t="shared" si="25"/>
        <v>500</v>
      </c>
      <c r="W46" s="228">
        <f t="shared" si="15"/>
        <v>500</v>
      </c>
      <c r="X46" s="228">
        <f t="shared" si="26"/>
        <v>500</v>
      </c>
      <c r="Y46" s="375">
        <f t="shared" si="16"/>
        <v>0</v>
      </c>
      <c r="Z46" s="395">
        <f t="shared" si="17"/>
        <v>1500</v>
      </c>
      <c r="AA46" s="228">
        <f t="shared" si="18"/>
        <v>0</v>
      </c>
      <c r="AB46" s="375">
        <f t="shared" si="19"/>
        <v>1500</v>
      </c>
    </row>
    <row r="47" spans="1:142">
      <c r="A47" s="607" t="s">
        <v>316</v>
      </c>
      <c r="B47" s="607">
        <v>82401</v>
      </c>
      <c r="C47" s="607" t="s">
        <v>252</v>
      </c>
      <c r="D47" s="607" t="s">
        <v>252</v>
      </c>
      <c r="E47" s="592" t="s">
        <v>317</v>
      </c>
      <c r="F47" s="259">
        <v>1</v>
      </c>
      <c r="G47" s="219" t="s">
        <v>318</v>
      </c>
      <c r="H47" s="492">
        <v>3</v>
      </c>
      <c r="I47" s="243">
        <v>1</v>
      </c>
      <c r="J47" s="228">
        <v>750</v>
      </c>
      <c r="K47" s="228">
        <f t="shared" si="20"/>
        <v>2250</v>
      </c>
      <c r="L47" s="228">
        <f t="shared" si="21"/>
        <v>2250</v>
      </c>
      <c r="M47" s="375">
        <f t="shared" si="13"/>
        <v>0</v>
      </c>
      <c r="N47" s="259">
        <v>1</v>
      </c>
      <c r="O47" s="219">
        <v>0</v>
      </c>
      <c r="P47" s="228">
        <f t="shared" si="22"/>
        <v>750</v>
      </c>
      <c r="Q47" s="228">
        <f t="shared" si="23"/>
        <v>0</v>
      </c>
      <c r="R47" s="228">
        <f t="shared" si="14"/>
        <v>0</v>
      </c>
      <c r="S47" s="375">
        <f t="shared" si="24"/>
        <v>0</v>
      </c>
      <c r="T47" s="259">
        <v>1</v>
      </c>
      <c r="U47" s="219">
        <v>0</v>
      </c>
      <c r="V47" s="228">
        <f t="shared" si="25"/>
        <v>750</v>
      </c>
      <c r="W47" s="228">
        <f t="shared" si="15"/>
        <v>0</v>
      </c>
      <c r="X47" s="228">
        <f t="shared" si="26"/>
        <v>0</v>
      </c>
      <c r="Y47" s="375">
        <f t="shared" si="16"/>
        <v>0</v>
      </c>
      <c r="Z47" s="395">
        <f t="shared" si="17"/>
        <v>2250</v>
      </c>
      <c r="AA47" s="228">
        <f t="shared" si="18"/>
        <v>0</v>
      </c>
      <c r="AB47" s="375">
        <f t="shared" si="19"/>
        <v>2250</v>
      </c>
    </row>
    <row r="48" spans="1:142" s="226" customFormat="1">
      <c r="A48" s="486"/>
      <c r="B48" s="486"/>
      <c r="C48" s="486"/>
      <c r="D48" s="486"/>
      <c r="E48" s="596" t="s">
        <v>319</v>
      </c>
      <c r="F48" s="307"/>
      <c r="G48" s="399"/>
      <c r="H48" s="398"/>
      <c r="I48" s="412"/>
      <c r="J48" s="229"/>
      <c r="K48" s="382">
        <f>SUM(K41:K47)</f>
        <v>8550</v>
      </c>
      <c r="L48" s="382">
        <f>SUM(L41:L47)</f>
        <v>8550</v>
      </c>
      <c r="M48" s="383">
        <f>SUM(M41:M47)</f>
        <v>0</v>
      </c>
      <c r="N48" s="407"/>
      <c r="O48" s="408"/>
      <c r="P48" s="382"/>
      <c r="Q48" s="382">
        <f>SUM(Q41:Q47)</f>
        <v>7440</v>
      </c>
      <c r="R48" s="382">
        <f>SUM(R41:R47)</f>
        <v>7440</v>
      </c>
      <c r="S48" s="383">
        <f>SUM(S41:S47)</f>
        <v>0</v>
      </c>
      <c r="T48" s="407"/>
      <c r="U48" s="408"/>
      <c r="V48" s="382"/>
      <c r="W48" s="382">
        <f t="shared" ref="W48:AB48" si="27">SUM(W41:W47)</f>
        <v>2380</v>
      </c>
      <c r="X48" s="382">
        <f t="shared" si="27"/>
        <v>2380</v>
      </c>
      <c r="Y48" s="383">
        <f t="shared" si="27"/>
        <v>0</v>
      </c>
      <c r="Z48" s="384">
        <f t="shared" si="27"/>
        <v>18370</v>
      </c>
      <c r="AA48" s="382">
        <f t="shared" si="27"/>
        <v>0</v>
      </c>
      <c r="AB48" s="383">
        <f t="shared" si="27"/>
        <v>18370</v>
      </c>
      <c r="AC48" s="224"/>
      <c r="AD48" s="224"/>
      <c r="AE48" s="223"/>
      <c r="AF48" s="217"/>
      <c r="AG48" s="217"/>
      <c r="AH48" s="217"/>
      <c r="AI48" s="217"/>
      <c r="AJ48" s="217"/>
      <c r="AK48" s="217"/>
      <c r="AL48" s="217"/>
      <c r="AM48" s="217"/>
      <c r="AN48" s="217"/>
      <c r="AO48" s="217"/>
      <c r="AP48" s="217"/>
      <c r="AQ48" s="217"/>
      <c r="AR48" s="217"/>
      <c r="AS48" s="217"/>
      <c r="AT48" s="217"/>
      <c r="AU48" s="217"/>
      <c r="AV48" s="217"/>
      <c r="AW48" s="217"/>
      <c r="AX48" s="217"/>
      <c r="AY48" s="217"/>
      <c r="AZ48" s="217"/>
      <c r="BA48" s="217"/>
      <c r="BB48" s="217"/>
      <c r="BC48" s="217"/>
      <c r="BD48" s="217"/>
      <c r="BE48" s="217"/>
      <c r="BF48" s="217"/>
      <c r="BG48" s="217"/>
      <c r="BH48" s="217"/>
      <c r="BI48" s="217"/>
      <c r="BJ48" s="217"/>
      <c r="BK48" s="217"/>
      <c r="BL48" s="217"/>
      <c r="BM48" s="217"/>
      <c r="BN48" s="217"/>
      <c r="BO48" s="217"/>
      <c r="BP48" s="217"/>
      <c r="BQ48" s="217"/>
      <c r="BR48" s="217"/>
      <c r="BS48" s="217"/>
      <c r="BT48" s="217"/>
      <c r="BU48" s="217"/>
      <c r="BV48" s="217"/>
      <c r="BW48" s="217"/>
      <c r="BX48" s="217"/>
      <c r="BY48" s="217"/>
      <c r="BZ48" s="217"/>
      <c r="CA48" s="217"/>
      <c r="CB48" s="217"/>
      <c r="CC48" s="217"/>
      <c r="CD48" s="217"/>
      <c r="CE48" s="217"/>
      <c r="CF48" s="217"/>
      <c r="CG48" s="217"/>
      <c r="CH48" s="217"/>
      <c r="CI48" s="217"/>
      <c r="CJ48" s="217"/>
      <c r="CK48" s="217"/>
      <c r="CL48" s="217"/>
      <c r="CM48" s="217"/>
      <c r="CN48" s="217"/>
      <c r="CO48" s="217"/>
      <c r="CP48" s="217"/>
      <c r="CQ48" s="217"/>
      <c r="CR48" s="217"/>
      <c r="CS48" s="217"/>
      <c r="CT48" s="217"/>
      <c r="CU48" s="217"/>
      <c r="CV48" s="217"/>
      <c r="CW48" s="217"/>
      <c r="CX48" s="217"/>
      <c r="CY48" s="217"/>
      <c r="CZ48" s="217"/>
      <c r="DA48" s="217"/>
      <c r="DB48" s="217"/>
      <c r="DC48" s="217"/>
      <c r="DD48" s="217"/>
      <c r="DE48" s="217"/>
      <c r="DF48" s="217"/>
      <c r="DG48" s="217"/>
      <c r="DH48" s="217"/>
      <c r="DI48" s="217"/>
      <c r="DJ48" s="217"/>
      <c r="DK48" s="217"/>
      <c r="DL48" s="217"/>
      <c r="DM48" s="217"/>
      <c r="DN48" s="217"/>
      <c r="DO48" s="217"/>
      <c r="DP48" s="217"/>
      <c r="DQ48" s="217"/>
      <c r="DR48" s="217"/>
      <c r="DS48" s="217"/>
      <c r="DT48" s="217"/>
      <c r="DU48" s="217"/>
      <c r="DV48" s="217"/>
      <c r="DW48" s="217"/>
      <c r="DX48" s="217"/>
      <c r="DY48" s="217"/>
      <c r="DZ48" s="217"/>
      <c r="EA48" s="217"/>
      <c r="EB48" s="217"/>
      <c r="EC48" s="217"/>
      <c r="ED48" s="217"/>
      <c r="EE48" s="217"/>
      <c r="EF48" s="217"/>
      <c r="EG48" s="217"/>
      <c r="EH48" s="217"/>
      <c r="EI48" s="217"/>
      <c r="EJ48" s="217"/>
      <c r="EK48" s="217"/>
      <c r="EL48" s="225"/>
    </row>
    <row r="49" spans="1:31">
      <c r="A49" s="609"/>
      <c r="B49" s="609"/>
      <c r="C49" s="609"/>
      <c r="D49" s="609"/>
      <c r="E49" s="597" t="s">
        <v>320</v>
      </c>
      <c r="F49" s="280"/>
      <c r="G49" s="302"/>
      <c r="H49" s="302"/>
      <c r="I49" s="386"/>
      <c r="J49" s="387"/>
      <c r="K49" s="387"/>
      <c r="L49" s="387"/>
      <c r="M49" s="413"/>
      <c r="N49" s="250"/>
      <c r="O49" s="414"/>
      <c r="P49" s="415"/>
      <c r="Q49" s="415"/>
      <c r="R49" s="416"/>
      <c r="S49" s="417"/>
      <c r="T49" s="250"/>
      <c r="U49" s="414"/>
      <c r="V49" s="415"/>
      <c r="W49" s="415"/>
      <c r="X49" s="416"/>
      <c r="Y49" s="417"/>
      <c r="Z49" s="418"/>
      <c r="AA49" s="416"/>
      <c r="AB49" s="419"/>
      <c r="AC49" s="223"/>
      <c r="AD49" s="223"/>
      <c r="AE49" s="223"/>
    </row>
    <row r="50" spans="1:31">
      <c r="E50" s="595" t="s">
        <v>321</v>
      </c>
      <c r="F50" s="315"/>
      <c r="J50" s="228"/>
      <c r="K50" s="228"/>
      <c r="L50" s="372"/>
      <c r="M50" s="373"/>
      <c r="N50" s="315"/>
      <c r="P50" s="228"/>
      <c r="Q50" s="228"/>
      <c r="R50" s="372"/>
      <c r="S50" s="373"/>
      <c r="T50" s="315"/>
      <c r="V50" s="228"/>
      <c r="W50" s="228"/>
      <c r="X50" s="372"/>
      <c r="Y50" s="373"/>
      <c r="Z50" s="374"/>
      <c r="AA50" s="372"/>
      <c r="AB50" s="375"/>
    </row>
    <row r="51" spans="1:31">
      <c r="A51" s="607" t="s">
        <v>322</v>
      </c>
      <c r="B51" s="607">
        <v>89050</v>
      </c>
      <c r="C51" s="607" t="s">
        <v>252</v>
      </c>
      <c r="D51" s="607" t="s">
        <v>252</v>
      </c>
      <c r="E51" s="592" t="s">
        <v>323</v>
      </c>
      <c r="F51" s="259">
        <v>1</v>
      </c>
      <c r="G51" s="543" t="s">
        <v>324</v>
      </c>
      <c r="H51" s="219">
        <v>1</v>
      </c>
      <c r="I51" s="243">
        <v>1</v>
      </c>
      <c r="J51" s="228">
        <f>Cereal!J42</f>
        <v>17932.32</v>
      </c>
      <c r="K51" s="228">
        <f>F51*H51*I51*J51</f>
        <v>17932.32</v>
      </c>
      <c r="L51" s="228">
        <f>K51</f>
        <v>17932.32</v>
      </c>
      <c r="M51" s="375">
        <f>Cereal!L42</f>
        <v>0</v>
      </c>
      <c r="N51" s="259">
        <v>1</v>
      </c>
      <c r="O51" s="219">
        <v>1</v>
      </c>
      <c r="P51" s="228">
        <f>Cereal!M42</f>
        <v>25716.312000000002</v>
      </c>
      <c r="Q51" s="228">
        <f>N51*O51*P51*I51</f>
        <v>25716.312000000002</v>
      </c>
      <c r="R51" s="228">
        <f>Cereal!N42</f>
        <v>25716.312000000002</v>
      </c>
      <c r="S51" s="375">
        <f>Cereal!O42</f>
        <v>0</v>
      </c>
      <c r="T51" s="259">
        <v>1</v>
      </c>
      <c r="U51" s="219">
        <f>O51</f>
        <v>1</v>
      </c>
      <c r="V51" s="228">
        <f>Cereal!P42</f>
        <v>6425.71245</v>
      </c>
      <c r="W51" s="228">
        <f>T51*V51*U51*I51</f>
        <v>6425.71245</v>
      </c>
      <c r="X51" s="228">
        <f>Cereal!Q42</f>
        <v>6425.71245</v>
      </c>
      <c r="Y51" s="375">
        <f>Cereal!R42</f>
        <v>0</v>
      </c>
      <c r="Z51" s="395">
        <f t="shared" ref="Z51:AA56" si="28">L51+R51+X51</f>
        <v>50074.344449999997</v>
      </c>
      <c r="AA51" s="228">
        <f t="shared" si="28"/>
        <v>0</v>
      </c>
      <c r="AB51" s="375">
        <f>Z51+AA51</f>
        <v>50074.344449999997</v>
      </c>
      <c r="AC51" s="223"/>
      <c r="AD51" s="223"/>
      <c r="AE51" s="223"/>
    </row>
    <row r="52" spans="1:31">
      <c r="A52" s="607" t="s">
        <v>325</v>
      </c>
      <c r="B52" s="607">
        <v>89050</v>
      </c>
      <c r="C52" s="607" t="s">
        <v>252</v>
      </c>
      <c r="D52" s="607" t="s">
        <v>252</v>
      </c>
      <c r="E52" s="592" t="s">
        <v>326</v>
      </c>
      <c r="F52" s="259">
        <v>1</v>
      </c>
      <c r="G52" s="543" t="s">
        <v>324</v>
      </c>
      <c r="H52" s="219">
        <v>1</v>
      </c>
      <c r="I52" s="243">
        <v>1</v>
      </c>
      <c r="J52" s="228">
        <f>CDM!J45</f>
        <v>19444.32</v>
      </c>
      <c r="K52" s="228">
        <f>F52*H52*I52*J52</f>
        <v>19444.32</v>
      </c>
      <c r="L52" s="228">
        <f>K52</f>
        <v>19444.32</v>
      </c>
      <c r="M52" s="375">
        <f>CDM!L45</f>
        <v>0</v>
      </c>
      <c r="N52" s="259">
        <v>1</v>
      </c>
      <c r="O52" s="219">
        <v>1</v>
      </c>
      <c r="P52" s="228">
        <f>CDM!M45</f>
        <v>28038.312000000002</v>
      </c>
      <c r="Q52" s="228">
        <f>N52*O52*P52*I52</f>
        <v>28038.312000000002</v>
      </c>
      <c r="R52" s="228">
        <f>CDM!N45</f>
        <v>28038.312000000002</v>
      </c>
      <c r="S52" s="375">
        <f>CDM!O45</f>
        <v>0</v>
      </c>
      <c r="T52" s="259">
        <v>1</v>
      </c>
      <c r="U52" s="219">
        <v>1</v>
      </c>
      <c r="V52" s="228">
        <f>CDM!P45</f>
        <v>7127.71245</v>
      </c>
      <c r="W52" s="228">
        <f>T52*V52*U52*I52</f>
        <v>7127.71245</v>
      </c>
      <c r="X52" s="228">
        <f>CDM!Q45</f>
        <v>7127.71245</v>
      </c>
      <c r="Y52" s="375">
        <f>CDM!R45</f>
        <v>0</v>
      </c>
      <c r="Z52" s="395">
        <f t="shared" si="28"/>
        <v>54610.344449999997</v>
      </c>
      <c r="AA52" s="228">
        <f t="shared" si="28"/>
        <v>0</v>
      </c>
      <c r="AB52" s="375">
        <f>Z52+AA52</f>
        <v>54610.344449999997</v>
      </c>
      <c r="AC52" s="223"/>
      <c r="AD52" s="223"/>
      <c r="AE52" s="223"/>
    </row>
    <row r="53" spans="1:31">
      <c r="A53" s="607" t="s">
        <v>327</v>
      </c>
      <c r="B53" s="607">
        <v>89050</v>
      </c>
      <c r="C53" s="607" t="s">
        <v>252</v>
      </c>
      <c r="D53" s="607" t="s">
        <v>252</v>
      </c>
      <c r="E53" s="592" t="s">
        <v>328</v>
      </c>
      <c r="F53" s="259">
        <v>1</v>
      </c>
      <c r="G53" s="543" t="s">
        <v>324</v>
      </c>
      <c r="H53" s="219">
        <v>1</v>
      </c>
      <c r="I53" s="243">
        <v>1</v>
      </c>
      <c r="J53" s="228">
        <f>RMS!J43</f>
        <v>19617.12</v>
      </c>
      <c r="K53" s="228">
        <f>F53*H53*I53*J53</f>
        <v>19617.12</v>
      </c>
      <c r="L53" s="228">
        <f>K53</f>
        <v>19617.12</v>
      </c>
      <c r="M53" s="375">
        <f>RMS!L43</f>
        <v>0</v>
      </c>
      <c r="N53" s="259">
        <v>1</v>
      </c>
      <c r="O53" s="219">
        <v>1</v>
      </c>
      <c r="P53" s="228">
        <f>RMS!M43</f>
        <v>26591.112000000001</v>
      </c>
      <c r="Q53" s="228">
        <f>N53*O53*P53*I53</f>
        <v>26591.112000000001</v>
      </c>
      <c r="R53" s="228">
        <f>RMS!N43</f>
        <v>26591.112000000001</v>
      </c>
      <c r="S53" s="375">
        <f>RMS!O43</f>
        <v>0</v>
      </c>
      <c r="T53" s="259">
        <v>1</v>
      </c>
      <c r="U53" s="219">
        <v>1</v>
      </c>
      <c r="V53" s="228">
        <f>RMS!P43</f>
        <v>7019.71245</v>
      </c>
      <c r="W53" s="228">
        <f>T53*V53*U53*I53</f>
        <v>7019.71245</v>
      </c>
      <c r="X53" s="228">
        <f>RMS!Q43</f>
        <v>7019.71245</v>
      </c>
      <c r="Y53" s="375">
        <f>RMS!R43</f>
        <v>0</v>
      </c>
      <c r="Z53" s="395">
        <f t="shared" si="28"/>
        <v>53227.944450000003</v>
      </c>
      <c r="AA53" s="228">
        <f t="shared" si="28"/>
        <v>0</v>
      </c>
      <c r="AB53" s="375">
        <f>Z53+AA53</f>
        <v>53227.944450000003</v>
      </c>
      <c r="AC53" s="223"/>
      <c r="AD53" s="223"/>
      <c r="AE53" s="223"/>
    </row>
    <row r="54" spans="1:31">
      <c r="A54" s="607" t="s">
        <v>329</v>
      </c>
      <c r="B54" s="607">
        <v>89050</v>
      </c>
      <c r="C54" s="607" t="s">
        <v>252</v>
      </c>
      <c r="D54" s="607" t="s">
        <v>252</v>
      </c>
      <c r="E54" s="592" t="s">
        <v>330</v>
      </c>
      <c r="F54" s="259">
        <v>1</v>
      </c>
      <c r="G54" s="543" t="s">
        <v>324</v>
      </c>
      <c r="H54" s="219">
        <v>1</v>
      </c>
      <c r="I54" s="243">
        <v>1</v>
      </c>
      <c r="J54" s="228">
        <v>10000</v>
      </c>
      <c r="K54" s="228">
        <f>F54*H54*I54*J54</f>
        <v>10000</v>
      </c>
      <c r="L54" s="228">
        <f>K54</f>
        <v>10000</v>
      </c>
      <c r="M54" s="375">
        <f>RMS!L44</f>
        <v>0</v>
      </c>
      <c r="N54" s="259">
        <v>2</v>
      </c>
      <c r="O54" s="219">
        <v>1</v>
      </c>
      <c r="P54" s="228">
        <f>J54*H54*I54</f>
        <v>10000</v>
      </c>
      <c r="Q54" s="228">
        <f>N54*O54*P54*I54</f>
        <v>20000</v>
      </c>
      <c r="R54" s="228">
        <f>Q54</f>
        <v>20000</v>
      </c>
      <c r="S54" s="375">
        <f>RMS!O44</f>
        <v>0</v>
      </c>
      <c r="T54" s="259">
        <v>1</v>
      </c>
      <c r="U54" s="219">
        <v>0</v>
      </c>
      <c r="V54" s="228">
        <f>J54*I54*H54</f>
        <v>10000</v>
      </c>
      <c r="W54" s="228">
        <f>T54*V54*U54*I54</f>
        <v>0</v>
      </c>
      <c r="X54" s="228">
        <f>W54</f>
        <v>0</v>
      </c>
      <c r="Y54" s="375">
        <f>RMS!R44</f>
        <v>0</v>
      </c>
      <c r="Z54" s="395">
        <f>L54+R54+X54</f>
        <v>30000</v>
      </c>
      <c r="AA54" s="228">
        <f>M54+S54+Y54</f>
        <v>0</v>
      </c>
      <c r="AB54" s="375">
        <f>Z54+AA54</f>
        <v>30000</v>
      </c>
      <c r="AC54" s="223"/>
      <c r="AD54" s="223"/>
      <c r="AE54" s="223"/>
    </row>
    <row r="55" spans="1:31">
      <c r="E55" s="595" t="s">
        <v>331</v>
      </c>
      <c r="F55" s="315"/>
      <c r="J55" s="228"/>
      <c r="K55" s="228"/>
      <c r="L55" s="372"/>
      <c r="M55" s="373"/>
      <c r="N55" s="315"/>
      <c r="P55" s="228"/>
      <c r="Q55" s="228"/>
      <c r="R55" s="372"/>
      <c r="S55" s="373"/>
      <c r="T55" s="315"/>
      <c r="V55" s="228"/>
      <c r="W55" s="228"/>
      <c r="X55" s="372"/>
      <c r="Y55" s="373"/>
      <c r="Z55" s="374"/>
      <c r="AA55" s="372"/>
      <c r="AB55" s="375"/>
    </row>
    <row r="56" spans="1:31">
      <c r="A56" s="607" t="s">
        <v>332</v>
      </c>
      <c r="B56" s="607">
        <v>81000</v>
      </c>
      <c r="C56" s="607" t="s">
        <v>333</v>
      </c>
      <c r="D56" s="607" t="s">
        <v>333</v>
      </c>
      <c r="E56" s="592" t="s">
        <v>334</v>
      </c>
      <c r="F56" s="259">
        <v>1</v>
      </c>
      <c r="G56" s="543" t="s">
        <v>324</v>
      </c>
      <c r="H56" s="219">
        <v>1</v>
      </c>
      <c r="I56" s="243">
        <v>1</v>
      </c>
      <c r="J56" s="228">
        <f>Consultants!H8</f>
        <v>5400</v>
      </c>
      <c r="K56" s="228">
        <f>F56*H56*I56*J56</f>
        <v>5400</v>
      </c>
      <c r="L56" s="228">
        <f>K56</f>
        <v>5400</v>
      </c>
      <c r="M56" s="375">
        <f>K56-L56</f>
        <v>0</v>
      </c>
      <c r="N56" s="259">
        <f>F56</f>
        <v>1</v>
      </c>
      <c r="O56" s="219">
        <f>H56</f>
        <v>1</v>
      </c>
      <c r="P56" s="228">
        <f>Consultants!J8</f>
        <v>3000</v>
      </c>
      <c r="Q56" s="228">
        <f>N56*O56*P56*I56</f>
        <v>3000</v>
      </c>
      <c r="R56" s="228">
        <f>Q56</f>
        <v>3000</v>
      </c>
      <c r="S56" s="375">
        <f>Q56-R56</f>
        <v>0</v>
      </c>
      <c r="T56" s="259">
        <f>N56</f>
        <v>1</v>
      </c>
      <c r="U56" s="219">
        <f>O56</f>
        <v>1</v>
      </c>
      <c r="V56" s="228">
        <f>Consultants!M8</f>
        <v>3000</v>
      </c>
      <c r="W56" s="228">
        <f>T56*V56*U56*I56</f>
        <v>3000</v>
      </c>
      <c r="X56" s="228">
        <f>W56</f>
        <v>3000</v>
      </c>
      <c r="Y56" s="375">
        <f>W56-X56</f>
        <v>0</v>
      </c>
      <c r="Z56" s="395">
        <f t="shared" si="28"/>
        <v>11400</v>
      </c>
      <c r="AA56" s="228">
        <f t="shared" si="28"/>
        <v>0</v>
      </c>
      <c r="AB56" s="375">
        <f>Z56+AA56</f>
        <v>11400</v>
      </c>
      <c r="AC56" s="223"/>
      <c r="AD56" s="223"/>
      <c r="AE56" s="223"/>
    </row>
    <row r="57" spans="1:31">
      <c r="A57" s="486"/>
      <c r="B57" s="486"/>
      <c r="C57" s="486"/>
      <c r="D57" s="486"/>
      <c r="E57" s="596" t="s">
        <v>335</v>
      </c>
      <c r="F57" s="295"/>
      <c r="G57" s="303"/>
      <c r="H57" s="297"/>
      <c r="I57" s="381"/>
      <c r="J57" s="382"/>
      <c r="K57" s="382">
        <f>SUM(K51:K56)</f>
        <v>72393.759999999995</v>
      </c>
      <c r="L57" s="382">
        <f>SUM(L51:L56)</f>
        <v>72393.759999999995</v>
      </c>
      <c r="M57" s="383">
        <f>SUM(M51:M56)</f>
        <v>0</v>
      </c>
      <c r="N57" s="407"/>
      <c r="O57" s="408"/>
      <c r="P57" s="382"/>
      <c r="Q57" s="382">
        <f>SUM(Q51:Q56)</f>
        <v>103345.736</v>
      </c>
      <c r="R57" s="382">
        <f>SUM(R51:R56)</f>
        <v>103345.736</v>
      </c>
      <c r="S57" s="383">
        <f>SUM(S51:S56)</f>
        <v>0</v>
      </c>
      <c r="T57" s="407"/>
      <c r="U57" s="408"/>
      <c r="V57" s="382"/>
      <c r="W57" s="382">
        <f t="shared" ref="W57:AB57" si="29">SUM(W51:W56)</f>
        <v>23573.137350000001</v>
      </c>
      <c r="X57" s="382">
        <f t="shared" si="29"/>
        <v>23573.137350000001</v>
      </c>
      <c r="Y57" s="383">
        <f t="shared" si="29"/>
        <v>0</v>
      </c>
      <c r="Z57" s="384">
        <f t="shared" si="29"/>
        <v>199312.63334999999</v>
      </c>
      <c r="AA57" s="384">
        <f t="shared" si="29"/>
        <v>0</v>
      </c>
      <c r="AB57" s="420">
        <f t="shared" si="29"/>
        <v>199312.63334999999</v>
      </c>
      <c r="AC57" s="223"/>
      <c r="AD57" s="223"/>
      <c r="AE57" s="223"/>
    </row>
    <row r="58" spans="1:31">
      <c r="A58" s="609"/>
      <c r="B58" s="609"/>
      <c r="C58" s="609"/>
      <c r="D58" s="609"/>
      <c r="E58" s="597" t="s">
        <v>222</v>
      </c>
      <c r="F58" s="280"/>
      <c r="G58" s="302"/>
      <c r="H58" s="489"/>
      <c r="I58" s="386"/>
      <c r="J58" s="387"/>
      <c r="K58" s="387"/>
      <c r="L58" s="409"/>
      <c r="M58" s="410"/>
      <c r="N58" s="280"/>
      <c r="O58" s="302"/>
      <c r="P58" s="387"/>
      <c r="Q58" s="387"/>
      <c r="R58" s="409"/>
      <c r="S58" s="410"/>
      <c r="T58" s="280"/>
      <c r="U58" s="302"/>
      <c r="V58" s="387"/>
      <c r="W58" s="387"/>
      <c r="X58" s="409"/>
      <c r="Y58" s="410"/>
      <c r="Z58" s="411"/>
      <c r="AA58" s="409"/>
      <c r="AB58" s="392"/>
    </row>
    <row r="59" spans="1:31">
      <c r="A59" s="609"/>
      <c r="B59" s="609"/>
      <c r="C59" s="609"/>
      <c r="D59" s="609"/>
      <c r="E59" s="597" t="s">
        <v>223</v>
      </c>
      <c r="F59" s="421"/>
      <c r="G59" s="326"/>
      <c r="H59" s="326"/>
      <c r="I59" s="422"/>
      <c r="J59" s="423"/>
      <c r="K59" s="423"/>
      <c r="L59" s="409"/>
      <c r="M59" s="410"/>
      <c r="N59" s="421"/>
      <c r="O59" s="326"/>
      <c r="P59" s="423"/>
      <c r="Q59" s="423"/>
      <c r="R59" s="409"/>
      <c r="S59" s="410"/>
      <c r="T59" s="421"/>
      <c r="U59" s="326"/>
      <c r="V59" s="423"/>
      <c r="W59" s="423"/>
      <c r="X59" s="409"/>
      <c r="Y59" s="410"/>
      <c r="Z59" s="411"/>
      <c r="AA59" s="409"/>
      <c r="AB59" s="392"/>
      <c r="AC59" s="223"/>
      <c r="AD59" s="223"/>
      <c r="AE59" s="223"/>
    </row>
    <row r="60" spans="1:31">
      <c r="A60" s="610"/>
      <c r="B60" s="610"/>
      <c r="C60" s="610"/>
      <c r="D60" s="610"/>
      <c r="E60" s="598" t="s">
        <v>336</v>
      </c>
      <c r="F60" s="425"/>
      <c r="G60" s="426"/>
      <c r="H60" s="426"/>
      <c r="I60" s="427"/>
      <c r="J60" s="428"/>
      <c r="K60" s="428"/>
      <c r="L60" s="429"/>
      <c r="M60" s="430"/>
      <c r="N60" s="425"/>
      <c r="O60" s="426"/>
      <c r="P60" s="428"/>
      <c r="Q60" s="428"/>
      <c r="R60" s="429"/>
      <c r="S60" s="430"/>
      <c r="T60" s="425"/>
      <c r="U60" s="426"/>
      <c r="V60" s="428"/>
      <c r="W60" s="428"/>
      <c r="X60" s="429"/>
      <c r="Y60" s="430"/>
      <c r="Z60" s="431"/>
      <c r="AA60" s="429"/>
      <c r="AB60" s="432"/>
      <c r="AC60" s="223"/>
      <c r="AD60" s="223"/>
      <c r="AE60" s="223"/>
    </row>
    <row r="61" spans="1:31" s="215" customFormat="1" ht="36" customHeight="1">
      <c r="A61" s="486"/>
      <c r="B61" s="486"/>
      <c r="C61" s="486"/>
      <c r="D61" s="486"/>
      <c r="E61" s="221" t="s">
        <v>337</v>
      </c>
      <c r="F61" s="486"/>
      <c r="G61" s="487"/>
      <c r="H61" s="304"/>
      <c r="I61" s="481"/>
      <c r="J61" s="482"/>
      <c r="K61" s="482"/>
      <c r="L61" s="304"/>
      <c r="M61" s="304"/>
      <c r="N61" s="304"/>
      <c r="O61" s="304"/>
      <c r="P61" s="304"/>
      <c r="Q61" s="304"/>
      <c r="R61" s="304"/>
      <c r="S61" s="483"/>
      <c r="T61" s="304"/>
      <c r="U61" s="304"/>
      <c r="V61" s="304"/>
      <c r="W61" s="304"/>
      <c r="X61" s="485"/>
      <c r="Y61" s="484"/>
      <c r="Z61" s="484"/>
      <c r="AA61" s="484"/>
      <c r="AB61" s="484"/>
    </row>
    <row r="62" spans="1:31" ht="62.1">
      <c r="B62" s="611"/>
      <c r="C62" s="611"/>
      <c r="D62" s="611"/>
      <c r="E62" s="599" t="s">
        <v>338</v>
      </c>
      <c r="F62" s="259"/>
      <c r="H62" s="219"/>
      <c r="J62" s="228"/>
      <c r="K62" s="228"/>
      <c r="L62" s="376"/>
      <c r="M62" s="436"/>
      <c r="N62" s="259"/>
      <c r="O62" s="219"/>
      <c r="P62" s="228"/>
      <c r="Q62" s="228"/>
      <c r="R62" s="376"/>
      <c r="S62" s="436"/>
      <c r="T62" s="259"/>
      <c r="U62" s="219"/>
      <c r="V62" s="228"/>
      <c r="W62" s="228"/>
      <c r="X62" s="376"/>
      <c r="Y62" s="436"/>
      <c r="Z62" s="437"/>
      <c r="AA62" s="376"/>
      <c r="AB62" s="375"/>
      <c r="AC62" s="223"/>
      <c r="AD62" s="223"/>
      <c r="AE62" s="223"/>
    </row>
    <row r="63" spans="1:31">
      <c r="A63" s="607" t="s">
        <v>339</v>
      </c>
      <c r="B63" s="612">
        <v>87010</v>
      </c>
      <c r="C63" s="607" t="s">
        <v>252</v>
      </c>
      <c r="D63" s="607" t="s">
        <v>252</v>
      </c>
      <c r="E63" s="600" t="s">
        <v>340</v>
      </c>
      <c r="F63" s="259">
        <v>1</v>
      </c>
      <c r="G63" s="219" t="s">
        <v>341</v>
      </c>
      <c r="H63" s="219">
        <v>8</v>
      </c>
      <c r="I63" s="243">
        <v>1</v>
      </c>
      <c r="J63" s="228">
        <v>125</v>
      </c>
      <c r="K63" s="228">
        <f>F63*H63*I63*J63</f>
        <v>1000</v>
      </c>
      <c r="L63" s="376">
        <f>K63</f>
        <v>1000</v>
      </c>
      <c r="M63" s="436">
        <f>K63-L63</f>
        <v>0</v>
      </c>
      <c r="N63" s="259">
        <v>1</v>
      </c>
      <c r="O63" s="219">
        <v>8</v>
      </c>
      <c r="P63" s="228">
        <f>J63</f>
        <v>125</v>
      </c>
      <c r="Q63" s="228">
        <f>I63*N63*O63*P63</f>
        <v>1000</v>
      </c>
      <c r="R63" s="376">
        <f>Q63</f>
        <v>1000</v>
      </c>
      <c r="S63" s="436">
        <f>Q63-R63</f>
        <v>0</v>
      </c>
      <c r="T63" s="259">
        <v>1</v>
      </c>
      <c r="U63" s="219">
        <v>1</v>
      </c>
      <c r="V63" s="228">
        <f>P63</f>
        <v>125</v>
      </c>
      <c r="W63" s="228">
        <f>I63*T63*U63*V63</f>
        <v>125</v>
      </c>
      <c r="X63" s="376">
        <f>W63</f>
        <v>125</v>
      </c>
      <c r="Y63" s="436">
        <f>W63-X63</f>
        <v>0</v>
      </c>
      <c r="Z63" s="437">
        <f t="shared" ref="Z63:AA65" si="30">L63+R63+X63</f>
        <v>2125</v>
      </c>
      <c r="AA63" s="376">
        <f t="shared" si="30"/>
        <v>0</v>
      </c>
      <c r="AB63" s="375">
        <f>Z63</f>
        <v>2125</v>
      </c>
      <c r="AC63" s="223"/>
      <c r="AD63" s="223"/>
      <c r="AE63" s="223"/>
    </row>
    <row r="64" spans="1:31">
      <c r="A64" s="607" t="s">
        <v>342</v>
      </c>
      <c r="B64" s="612">
        <v>82420</v>
      </c>
      <c r="C64" s="607" t="s">
        <v>252</v>
      </c>
      <c r="D64" s="607" t="s">
        <v>252</v>
      </c>
      <c r="E64" s="715" t="s">
        <v>343</v>
      </c>
      <c r="F64" s="259">
        <v>1</v>
      </c>
      <c r="G64" s="219" t="s">
        <v>344</v>
      </c>
      <c r="H64" s="219">
        <v>8</v>
      </c>
      <c r="I64" s="243">
        <v>1</v>
      </c>
      <c r="J64" s="228">
        <v>300</v>
      </c>
      <c r="K64" s="228">
        <f>F64*H64*I64*J64</f>
        <v>2400</v>
      </c>
      <c r="L64" s="376">
        <f>K64</f>
        <v>2400</v>
      </c>
      <c r="M64" s="436">
        <f>K64-L64</f>
        <v>0</v>
      </c>
      <c r="N64" s="259">
        <v>1</v>
      </c>
      <c r="O64" s="219">
        <v>8</v>
      </c>
      <c r="P64" s="228">
        <v>150</v>
      </c>
      <c r="Q64" s="228">
        <f>I64*N64*O64*P64</f>
        <v>1200</v>
      </c>
      <c r="R64" s="376">
        <f>Q64</f>
        <v>1200</v>
      </c>
      <c r="S64" s="436">
        <f>Q64-R64</f>
        <v>0</v>
      </c>
      <c r="T64" s="259">
        <v>1</v>
      </c>
      <c r="U64" s="219">
        <v>1</v>
      </c>
      <c r="V64" s="228">
        <f>P64</f>
        <v>150</v>
      </c>
      <c r="W64" s="228">
        <f>I64*T64*U64*V64</f>
        <v>150</v>
      </c>
      <c r="X64" s="376">
        <f>W64</f>
        <v>150</v>
      </c>
      <c r="Y64" s="436">
        <f>W64-X64</f>
        <v>0</v>
      </c>
      <c r="Z64" s="437">
        <f t="shared" si="30"/>
        <v>3750</v>
      </c>
      <c r="AA64" s="376">
        <f t="shared" si="30"/>
        <v>0</v>
      </c>
      <c r="AB64" s="375">
        <f>Z64</f>
        <v>3750</v>
      </c>
      <c r="AC64" s="223"/>
      <c r="AD64" s="223"/>
      <c r="AE64" s="223"/>
    </row>
    <row r="65" spans="1:31">
      <c r="A65" s="607" t="s">
        <v>345</v>
      </c>
      <c r="B65" s="612">
        <v>82420</v>
      </c>
      <c r="C65" s="607" t="s">
        <v>252</v>
      </c>
      <c r="D65" s="607" t="s">
        <v>252</v>
      </c>
      <c r="E65" s="220" t="s">
        <v>346</v>
      </c>
      <c r="F65" s="259">
        <v>1</v>
      </c>
      <c r="G65" s="219" t="s">
        <v>344</v>
      </c>
      <c r="H65" s="219">
        <v>8</v>
      </c>
      <c r="I65" s="243">
        <v>1</v>
      </c>
      <c r="J65" s="228">
        <v>300</v>
      </c>
      <c r="K65" s="228">
        <f>F65*H65*I65*J65</f>
        <v>2400</v>
      </c>
      <c r="L65" s="376">
        <f>K65</f>
        <v>2400</v>
      </c>
      <c r="M65" s="436">
        <f>K65-L65</f>
        <v>0</v>
      </c>
      <c r="N65" s="259">
        <v>1</v>
      </c>
      <c r="O65" s="219">
        <v>8</v>
      </c>
      <c r="P65" s="228">
        <v>150</v>
      </c>
      <c r="Q65" s="228">
        <f>I65*N65*O65*P65</f>
        <v>1200</v>
      </c>
      <c r="R65" s="376">
        <f>Q65</f>
        <v>1200</v>
      </c>
      <c r="S65" s="436">
        <f>Q65-R65</f>
        <v>0</v>
      </c>
      <c r="T65" s="259">
        <v>1</v>
      </c>
      <c r="U65" s="219">
        <v>1</v>
      </c>
      <c r="V65" s="228">
        <f>P65</f>
        <v>150</v>
      </c>
      <c r="W65" s="228">
        <f>I65*T65*U65*V65</f>
        <v>150</v>
      </c>
      <c r="X65" s="376">
        <f>W65</f>
        <v>150</v>
      </c>
      <c r="Y65" s="436">
        <f>W65-X65</f>
        <v>0</v>
      </c>
      <c r="Z65" s="437">
        <f t="shared" si="30"/>
        <v>3750</v>
      </c>
      <c r="AA65" s="376">
        <f t="shared" si="30"/>
        <v>0</v>
      </c>
      <c r="AB65" s="375">
        <f>Z65</f>
        <v>3750</v>
      </c>
      <c r="AC65" s="223"/>
      <c r="AD65" s="223"/>
      <c r="AE65" s="223"/>
    </row>
    <row r="66" spans="1:31" ht="75">
      <c r="A66" s="486"/>
      <c r="B66" s="486"/>
      <c r="C66" s="486"/>
      <c r="D66" s="486"/>
      <c r="E66" s="221" t="s">
        <v>347</v>
      </c>
      <c r="F66" s="307"/>
      <c r="G66" s="399"/>
      <c r="H66" s="399"/>
      <c r="I66" s="412"/>
      <c r="J66" s="229"/>
      <c r="K66" s="229"/>
      <c r="L66" s="400"/>
      <c r="M66" s="433"/>
      <c r="N66" s="307"/>
      <c r="O66" s="399"/>
      <c r="P66" s="229"/>
      <c r="Q66" s="229"/>
      <c r="R66" s="400"/>
      <c r="S66" s="433"/>
      <c r="T66" s="307"/>
      <c r="U66" s="399"/>
      <c r="V66" s="229"/>
      <c r="W66" s="229"/>
      <c r="X66" s="400"/>
      <c r="Y66" s="433"/>
      <c r="Z66" s="434"/>
      <c r="AA66" s="400"/>
      <c r="AB66" s="435"/>
      <c r="AC66" s="223"/>
      <c r="AD66" s="223"/>
      <c r="AE66" s="223"/>
    </row>
    <row r="67" spans="1:31">
      <c r="B67" s="611"/>
      <c r="C67" s="611"/>
      <c r="D67" s="611"/>
      <c r="E67" s="601" t="s">
        <v>348</v>
      </c>
      <c r="F67" s="259"/>
      <c r="H67" s="219"/>
      <c r="J67" s="228"/>
      <c r="K67" s="228"/>
      <c r="L67" s="376"/>
      <c r="M67" s="436"/>
      <c r="N67" s="259"/>
      <c r="O67" s="219"/>
      <c r="P67" s="228"/>
      <c r="Q67" s="228"/>
      <c r="R67" s="376"/>
      <c r="S67" s="436"/>
      <c r="T67" s="259"/>
      <c r="U67" s="219"/>
      <c r="V67" s="228"/>
      <c r="W67" s="228"/>
      <c r="X67" s="376"/>
      <c r="Y67" s="436"/>
      <c r="Z67" s="437"/>
      <c r="AA67" s="376"/>
      <c r="AB67" s="375"/>
      <c r="AC67" s="223"/>
      <c r="AD67" s="223"/>
      <c r="AE67" s="223"/>
    </row>
    <row r="68" spans="1:31" ht="30.95">
      <c r="A68" s="607" t="s">
        <v>349</v>
      </c>
      <c r="B68" s="607" t="s">
        <v>350</v>
      </c>
      <c r="C68" s="607" t="s">
        <v>252</v>
      </c>
      <c r="D68" s="607" t="s">
        <v>252</v>
      </c>
      <c r="E68" s="592" t="s">
        <v>351</v>
      </c>
      <c r="F68" s="259">
        <v>1</v>
      </c>
      <c r="G68" s="219" t="s">
        <v>341</v>
      </c>
      <c r="H68" s="219">
        <v>6</v>
      </c>
      <c r="I68" s="243">
        <v>1</v>
      </c>
      <c r="J68" s="228">
        <v>125</v>
      </c>
      <c r="K68" s="228">
        <f>F68*H68*J68*I68</f>
        <v>750</v>
      </c>
      <c r="L68" s="376">
        <f>K68</f>
        <v>750</v>
      </c>
      <c r="M68" s="436">
        <f>K68-L68</f>
        <v>0</v>
      </c>
      <c r="N68" s="259">
        <v>1</v>
      </c>
      <c r="O68" s="219">
        <v>8</v>
      </c>
      <c r="P68" s="228">
        <f>J68</f>
        <v>125</v>
      </c>
      <c r="Q68" s="228">
        <f>N68*O68*P68*I68</f>
        <v>1000</v>
      </c>
      <c r="R68" s="376">
        <f>Q68</f>
        <v>1000</v>
      </c>
      <c r="S68" s="436">
        <f>Q68-R68</f>
        <v>0</v>
      </c>
      <c r="T68" s="259">
        <v>1</v>
      </c>
      <c r="U68" s="219">
        <v>2</v>
      </c>
      <c r="V68" s="228">
        <f>P68</f>
        <v>125</v>
      </c>
      <c r="W68" s="228">
        <f>T68*U68*V68*I68</f>
        <v>250</v>
      </c>
      <c r="X68" s="376">
        <f>W68</f>
        <v>250</v>
      </c>
      <c r="Y68" s="436">
        <f>W68-X68</f>
        <v>0</v>
      </c>
      <c r="Z68" s="437">
        <f>K68+Q68+W68</f>
        <v>2000</v>
      </c>
      <c r="AA68" s="244">
        <f>M68+S68+Y68</f>
        <v>0</v>
      </c>
      <c r="AB68" s="378">
        <f>Z68+AA68</f>
        <v>2000</v>
      </c>
      <c r="AC68" s="223"/>
      <c r="AD68" s="223"/>
      <c r="AE68" s="223"/>
    </row>
    <row r="69" spans="1:31">
      <c r="A69" s="607" t="s">
        <v>352</v>
      </c>
      <c r="B69" s="612">
        <v>87000</v>
      </c>
      <c r="C69" s="607" t="s">
        <v>252</v>
      </c>
      <c r="D69" s="607" t="s">
        <v>252</v>
      </c>
      <c r="E69" s="600" t="s">
        <v>353</v>
      </c>
      <c r="F69" s="259">
        <v>1</v>
      </c>
      <c r="G69" s="219" t="s">
        <v>354</v>
      </c>
      <c r="H69" s="219">
        <v>1</v>
      </c>
      <c r="I69" s="243">
        <v>1</v>
      </c>
      <c r="J69" s="228">
        <v>500</v>
      </c>
      <c r="K69" s="228">
        <f t="shared" ref="K69:K72" si="31">F69*H69*J69*I69</f>
        <v>500</v>
      </c>
      <c r="L69" s="376">
        <f t="shared" ref="L69:L72" si="32">K69</f>
        <v>500</v>
      </c>
      <c r="M69" s="436">
        <f t="shared" ref="M69:M72" si="33">K69-L69</f>
        <v>0</v>
      </c>
      <c r="N69" s="259">
        <v>1</v>
      </c>
      <c r="O69" s="219">
        <v>0</v>
      </c>
      <c r="P69" s="228">
        <f t="shared" ref="P69:P72" si="34">J69</f>
        <v>500</v>
      </c>
      <c r="Q69" s="228">
        <f t="shared" ref="Q69:Q72" si="35">N69*O69*P69*I69</f>
        <v>0</v>
      </c>
      <c r="R69" s="376">
        <f t="shared" ref="R69:R72" si="36">Q69</f>
        <v>0</v>
      </c>
      <c r="S69" s="436">
        <f t="shared" ref="S69:S72" si="37">Q69-R69</f>
        <v>0</v>
      </c>
      <c r="T69" s="259">
        <v>1</v>
      </c>
      <c r="U69" s="219">
        <v>0</v>
      </c>
      <c r="V69" s="228">
        <f t="shared" ref="V69:V72" si="38">P69</f>
        <v>500</v>
      </c>
      <c r="W69" s="228">
        <f t="shared" ref="W69:W72" si="39">T69*U69*V69*I69</f>
        <v>0</v>
      </c>
      <c r="X69" s="376">
        <f t="shared" ref="X69:X72" si="40">W69</f>
        <v>0</v>
      </c>
      <c r="Y69" s="436">
        <f t="shared" ref="Y69:Y72" si="41">W69-X69</f>
        <v>0</v>
      </c>
      <c r="Z69" s="437">
        <f t="shared" ref="Z69:Z72" si="42">K69+Q69+W69</f>
        <v>500</v>
      </c>
      <c r="AA69" s="228">
        <f t="shared" ref="AA69:AA72" si="43">M69+S69+Y69</f>
        <v>0</v>
      </c>
      <c r="AB69" s="375">
        <f t="shared" ref="AB69:AB72" si="44">Z69+AA69</f>
        <v>500</v>
      </c>
      <c r="AC69" s="223"/>
      <c r="AD69" s="223"/>
      <c r="AE69" s="223"/>
    </row>
    <row r="70" spans="1:31">
      <c r="A70" s="607" t="s">
        <v>355</v>
      </c>
      <c r="B70" s="612">
        <v>85300</v>
      </c>
      <c r="C70" s="607" t="s">
        <v>252</v>
      </c>
      <c r="D70" s="607" t="s">
        <v>252</v>
      </c>
      <c r="E70" s="600" t="s">
        <v>356</v>
      </c>
      <c r="F70" s="259">
        <v>1</v>
      </c>
      <c r="G70" s="219" t="s">
        <v>354</v>
      </c>
      <c r="H70" s="219">
        <v>1</v>
      </c>
      <c r="I70" s="243">
        <v>1</v>
      </c>
      <c r="J70" s="228">
        <v>100</v>
      </c>
      <c r="K70" s="228">
        <f t="shared" si="31"/>
        <v>100</v>
      </c>
      <c r="L70" s="376">
        <f t="shared" si="32"/>
        <v>100</v>
      </c>
      <c r="M70" s="436">
        <f t="shared" si="33"/>
        <v>0</v>
      </c>
      <c r="N70" s="259">
        <v>1</v>
      </c>
      <c r="O70" s="219">
        <v>0</v>
      </c>
      <c r="P70" s="228">
        <f t="shared" si="34"/>
        <v>100</v>
      </c>
      <c r="Q70" s="228">
        <f t="shared" si="35"/>
        <v>0</v>
      </c>
      <c r="R70" s="376">
        <f t="shared" si="36"/>
        <v>0</v>
      </c>
      <c r="S70" s="436">
        <f t="shared" si="37"/>
        <v>0</v>
      </c>
      <c r="T70" s="259">
        <v>1</v>
      </c>
      <c r="U70" s="219">
        <v>0</v>
      </c>
      <c r="V70" s="228">
        <f t="shared" si="38"/>
        <v>100</v>
      </c>
      <c r="W70" s="228">
        <f t="shared" si="39"/>
        <v>0</v>
      </c>
      <c r="X70" s="376">
        <f t="shared" si="40"/>
        <v>0</v>
      </c>
      <c r="Y70" s="436">
        <f t="shared" si="41"/>
        <v>0</v>
      </c>
      <c r="Z70" s="437">
        <f t="shared" si="42"/>
        <v>100</v>
      </c>
      <c r="AA70" s="228">
        <f t="shared" si="43"/>
        <v>0</v>
      </c>
      <c r="AB70" s="375">
        <f t="shared" si="44"/>
        <v>100</v>
      </c>
      <c r="AC70" s="223"/>
      <c r="AD70" s="223"/>
      <c r="AE70" s="223"/>
    </row>
    <row r="71" spans="1:31">
      <c r="A71" s="607" t="s">
        <v>357</v>
      </c>
      <c r="B71" s="612">
        <v>86030</v>
      </c>
      <c r="C71" s="607" t="s">
        <v>252</v>
      </c>
      <c r="D71" s="607" t="s">
        <v>252</v>
      </c>
      <c r="E71" s="600" t="s">
        <v>358</v>
      </c>
      <c r="F71" s="259">
        <v>1</v>
      </c>
      <c r="G71" s="219" t="s">
        <v>286</v>
      </c>
      <c r="H71" s="219">
        <v>9</v>
      </c>
      <c r="I71" s="243">
        <v>1</v>
      </c>
      <c r="J71" s="228">
        <v>150</v>
      </c>
      <c r="K71" s="228">
        <f t="shared" si="31"/>
        <v>1350</v>
      </c>
      <c r="L71" s="376">
        <f t="shared" si="32"/>
        <v>1350</v>
      </c>
      <c r="M71" s="436">
        <f t="shared" si="33"/>
        <v>0</v>
      </c>
      <c r="N71" s="259">
        <v>1</v>
      </c>
      <c r="O71" s="219">
        <v>0</v>
      </c>
      <c r="P71" s="228">
        <f t="shared" si="34"/>
        <v>150</v>
      </c>
      <c r="Q71" s="228">
        <f t="shared" si="35"/>
        <v>0</v>
      </c>
      <c r="R71" s="376">
        <f t="shared" si="36"/>
        <v>0</v>
      </c>
      <c r="S71" s="436">
        <f t="shared" si="37"/>
        <v>0</v>
      </c>
      <c r="T71" s="259">
        <v>1</v>
      </c>
      <c r="U71" s="219">
        <v>0</v>
      </c>
      <c r="V71" s="228">
        <f t="shared" si="38"/>
        <v>150</v>
      </c>
      <c r="W71" s="228">
        <f t="shared" si="39"/>
        <v>0</v>
      </c>
      <c r="X71" s="376">
        <f t="shared" si="40"/>
        <v>0</v>
      </c>
      <c r="Y71" s="436">
        <f t="shared" si="41"/>
        <v>0</v>
      </c>
      <c r="Z71" s="437">
        <f t="shared" si="42"/>
        <v>1350</v>
      </c>
      <c r="AA71" s="228">
        <f t="shared" si="43"/>
        <v>0</v>
      </c>
      <c r="AB71" s="375">
        <f t="shared" si="44"/>
        <v>1350</v>
      </c>
      <c r="AC71" s="223"/>
      <c r="AD71" s="223"/>
      <c r="AE71" s="223"/>
    </row>
    <row r="72" spans="1:31">
      <c r="A72" s="607" t="s">
        <v>359</v>
      </c>
      <c r="B72" s="612">
        <v>86000</v>
      </c>
      <c r="C72" s="607" t="s">
        <v>252</v>
      </c>
      <c r="D72" s="607" t="s">
        <v>252</v>
      </c>
      <c r="E72" s="600" t="s">
        <v>360</v>
      </c>
      <c r="F72" s="259">
        <v>1</v>
      </c>
      <c r="G72" s="219" t="s">
        <v>361</v>
      </c>
      <c r="H72" s="219">
        <v>3</v>
      </c>
      <c r="I72" s="243">
        <v>1</v>
      </c>
      <c r="J72" s="228">
        <v>100</v>
      </c>
      <c r="K72" s="228">
        <f t="shared" si="31"/>
        <v>300</v>
      </c>
      <c r="L72" s="376">
        <f t="shared" si="32"/>
        <v>300</v>
      </c>
      <c r="M72" s="436">
        <f t="shared" si="33"/>
        <v>0</v>
      </c>
      <c r="N72" s="259">
        <v>1</v>
      </c>
      <c r="O72" s="219">
        <v>0</v>
      </c>
      <c r="P72" s="228">
        <f t="shared" si="34"/>
        <v>100</v>
      </c>
      <c r="Q72" s="228">
        <f t="shared" si="35"/>
        <v>0</v>
      </c>
      <c r="R72" s="376">
        <f t="shared" si="36"/>
        <v>0</v>
      </c>
      <c r="S72" s="436">
        <f t="shared" si="37"/>
        <v>0</v>
      </c>
      <c r="T72" s="259">
        <v>1</v>
      </c>
      <c r="U72" s="219">
        <v>0</v>
      </c>
      <c r="V72" s="228">
        <f t="shared" si="38"/>
        <v>100</v>
      </c>
      <c r="W72" s="228">
        <f t="shared" si="39"/>
        <v>0</v>
      </c>
      <c r="X72" s="376">
        <f t="shared" si="40"/>
        <v>0</v>
      </c>
      <c r="Y72" s="436">
        <f t="shared" si="41"/>
        <v>0</v>
      </c>
      <c r="Z72" s="437">
        <f t="shared" si="42"/>
        <v>300</v>
      </c>
      <c r="AA72" s="228">
        <f t="shared" si="43"/>
        <v>0</v>
      </c>
      <c r="AB72" s="375">
        <f t="shared" si="44"/>
        <v>300</v>
      </c>
      <c r="AC72" s="223"/>
      <c r="AD72" s="223"/>
      <c r="AE72" s="223"/>
    </row>
    <row r="73" spans="1:31" ht="45">
      <c r="A73" s="486"/>
      <c r="B73" s="486"/>
      <c r="C73" s="486"/>
      <c r="D73" s="486"/>
      <c r="E73" s="596" t="s">
        <v>362</v>
      </c>
      <c r="F73" s="307"/>
      <c r="G73" s="399"/>
      <c r="H73" s="399"/>
      <c r="I73" s="412"/>
      <c r="J73" s="229"/>
      <c r="K73" s="229"/>
      <c r="L73" s="400"/>
      <c r="M73" s="433"/>
      <c r="N73" s="307"/>
      <c r="O73" s="399"/>
      <c r="P73" s="229"/>
      <c r="Q73" s="229"/>
      <c r="R73" s="400"/>
      <c r="S73" s="433"/>
      <c r="T73" s="307"/>
      <c r="U73" s="399"/>
      <c r="V73" s="229"/>
      <c r="W73" s="229"/>
      <c r="X73" s="400"/>
      <c r="Y73" s="433"/>
      <c r="Z73" s="434"/>
      <c r="AA73" s="229"/>
      <c r="AB73" s="435"/>
      <c r="AC73" s="223"/>
      <c r="AD73" s="223"/>
      <c r="AE73" s="223"/>
    </row>
    <row r="74" spans="1:31" ht="50.1" customHeight="1">
      <c r="B74" s="613"/>
      <c r="C74" s="613"/>
      <c r="D74" s="613"/>
      <c r="E74" s="526" t="s">
        <v>363</v>
      </c>
      <c r="F74" s="259"/>
      <c r="H74" s="219"/>
      <c r="J74" s="228"/>
      <c r="K74" s="228"/>
      <c r="L74" s="376"/>
      <c r="M74" s="436"/>
      <c r="N74" s="259"/>
      <c r="O74" s="219"/>
      <c r="P74" s="228"/>
      <c r="Q74" s="228"/>
      <c r="R74" s="376"/>
      <c r="S74" s="436"/>
      <c r="T74" s="259"/>
      <c r="U74" s="219"/>
      <c r="V74" s="228"/>
      <c r="W74" s="228"/>
      <c r="X74" s="376"/>
      <c r="Y74" s="436"/>
      <c r="Z74" s="437"/>
      <c r="AB74" s="378"/>
      <c r="AC74" s="223"/>
      <c r="AD74" s="223"/>
      <c r="AE74" s="223"/>
    </row>
    <row r="75" spans="1:31" ht="30.95">
      <c r="A75" s="607" t="s">
        <v>364</v>
      </c>
      <c r="B75" s="607" t="s">
        <v>350</v>
      </c>
      <c r="C75" s="607" t="s">
        <v>252</v>
      </c>
      <c r="D75" s="607" t="s">
        <v>252</v>
      </c>
      <c r="E75" s="602" t="s">
        <v>365</v>
      </c>
      <c r="F75" s="259">
        <v>1</v>
      </c>
      <c r="G75" s="219" t="s">
        <v>341</v>
      </c>
      <c r="H75" s="219">
        <v>1</v>
      </c>
      <c r="I75" s="243">
        <v>1</v>
      </c>
      <c r="J75" s="228">
        <v>125</v>
      </c>
      <c r="K75" s="228">
        <f>F75*H75*I75*J75</f>
        <v>125</v>
      </c>
      <c r="L75" s="376">
        <f>K75</f>
        <v>125</v>
      </c>
      <c r="M75" s="436">
        <f>K75-L75</f>
        <v>0</v>
      </c>
      <c r="N75" s="259">
        <v>1</v>
      </c>
      <c r="O75" s="219">
        <v>3</v>
      </c>
      <c r="P75" s="228">
        <f>J75</f>
        <v>125</v>
      </c>
      <c r="Q75" s="228">
        <f>I75*N75*O75*P75</f>
        <v>375</v>
      </c>
      <c r="R75" s="376">
        <f>Q75</f>
        <v>375</v>
      </c>
      <c r="S75" s="436">
        <f>Q75-R75</f>
        <v>0</v>
      </c>
      <c r="T75" s="259">
        <v>1</v>
      </c>
      <c r="U75" s="219">
        <v>0</v>
      </c>
      <c r="V75" s="228">
        <f>P75</f>
        <v>125</v>
      </c>
      <c r="W75" s="228">
        <f>I75*T75*U75*V75</f>
        <v>0</v>
      </c>
      <c r="X75" s="376">
        <f>W75</f>
        <v>0</v>
      </c>
      <c r="Y75" s="436">
        <f>W75-X75</f>
        <v>0</v>
      </c>
      <c r="Z75" s="437">
        <f>L75+R75+X75</f>
        <v>500</v>
      </c>
      <c r="AA75" s="244">
        <f>M75+S75+Y75</f>
        <v>0</v>
      </c>
      <c r="AB75" s="378">
        <f>Z75</f>
        <v>500</v>
      </c>
      <c r="AC75" s="223"/>
      <c r="AD75" s="223"/>
      <c r="AE75" s="223"/>
    </row>
    <row r="76" spans="1:31">
      <c r="A76" s="607" t="s">
        <v>366</v>
      </c>
      <c r="B76" s="612">
        <v>82420</v>
      </c>
      <c r="C76" s="607" t="s">
        <v>252</v>
      </c>
      <c r="D76" s="607" t="s">
        <v>252</v>
      </c>
      <c r="E76" s="602" t="s">
        <v>367</v>
      </c>
      <c r="F76" s="259">
        <v>1</v>
      </c>
      <c r="G76" s="219" t="s">
        <v>368</v>
      </c>
      <c r="H76" s="219">
        <v>0</v>
      </c>
      <c r="I76" s="243">
        <v>1</v>
      </c>
      <c r="J76" s="244">
        <v>2000</v>
      </c>
      <c r="K76" s="244">
        <f>F76*H76*I76*J76</f>
        <v>0</v>
      </c>
      <c r="L76" s="518">
        <f>K76</f>
        <v>0</v>
      </c>
      <c r="M76" s="517">
        <f>K76-L76</f>
        <v>0</v>
      </c>
      <c r="N76" s="259">
        <v>1</v>
      </c>
      <c r="O76" s="219">
        <v>1</v>
      </c>
      <c r="P76" s="244">
        <f>J76</f>
        <v>2000</v>
      </c>
      <c r="Q76" s="244">
        <f>I76*N76*O76*P76</f>
        <v>2000</v>
      </c>
      <c r="R76" s="518">
        <f>Q76</f>
        <v>2000</v>
      </c>
      <c r="S76" s="517">
        <f>Q76-R76</f>
        <v>0</v>
      </c>
      <c r="T76" s="259">
        <v>1</v>
      </c>
      <c r="U76" s="219">
        <v>0</v>
      </c>
      <c r="V76" s="244">
        <f>P76</f>
        <v>2000</v>
      </c>
      <c r="W76" s="244">
        <f>I76*T76*U76*V76</f>
        <v>0</v>
      </c>
      <c r="X76" s="518">
        <f>W76</f>
        <v>0</v>
      </c>
      <c r="Y76" s="517">
        <f>W76-X76</f>
        <v>0</v>
      </c>
      <c r="Z76" s="516">
        <f>L76+R76+X76</f>
        <v>2000</v>
      </c>
      <c r="AA76" s="244">
        <f>M76+S76+Y76</f>
        <v>0</v>
      </c>
      <c r="AB76" s="378">
        <f>Z76</f>
        <v>2000</v>
      </c>
      <c r="AC76" s="223"/>
      <c r="AD76" s="223"/>
      <c r="AE76" s="223"/>
    </row>
    <row r="77" spans="1:31" ht="46.5">
      <c r="B77" s="611"/>
      <c r="E77" s="601" t="s">
        <v>369</v>
      </c>
      <c r="F77" s="259"/>
      <c r="H77" s="219"/>
      <c r="J77" s="228"/>
      <c r="K77" s="228"/>
      <c r="L77" s="376"/>
      <c r="M77" s="436"/>
      <c r="N77" s="259"/>
      <c r="O77" s="219"/>
      <c r="P77" s="228"/>
      <c r="Q77" s="228"/>
      <c r="R77" s="376"/>
      <c r="S77" s="436"/>
      <c r="T77" s="259"/>
      <c r="U77" s="219"/>
      <c r="V77" s="228"/>
      <c r="W77" s="228"/>
      <c r="X77" s="376"/>
      <c r="Y77" s="436"/>
      <c r="Z77" s="437"/>
      <c r="AB77" s="378"/>
      <c r="AC77" s="223"/>
      <c r="AD77" s="223"/>
      <c r="AE77" s="223"/>
    </row>
    <row r="78" spans="1:31" ht="30.95">
      <c r="A78" s="607" t="s">
        <v>370</v>
      </c>
      <c r="B78" s="607" t="s">
        <v>350</v>
      </c>
      <c r="C78" s="607" t="s">
        <v>252</v>
      </c>
      <c r="D78" s="607" t="s">
        <v>252</v>
      </c>
      <c r="E78" s="592" t="s">
        <v>371</v>
      </c>
      <c r="F78" s="259">
        <v>1</v>
      </c>
      <c r="G78" s="219" t="s">
        <v>344</v>
      </c>
      <c r="H78" s="219">
        <v>2</v>
      </c>
      <c r="I78" s="243">
        <v>1</v>
      </c>
      <c r="J78" s="228">
        <v>200</v>
      </c>
      <c r="K78" s="228">
        <f>F78*H78*I78*J78</f>
        <v>400</v>
      </c>
      <c r="L78" s="376">
        <f>K78</f>
        <v>400</v>
      </c>
      <c r="M78" s="436">
        <f>K78-L78</f>
        <v>0</v>
      </c>
      <c r="N78" s="259">
        <v>1</v>
      </c>
      <c r="O78" s="219">
        <v>2</v>
      </c>
      <c r="P78" s="228">
        <f>J78</f>
        <v>200</v>
      </c>
      <c r="Q78" s="228">
        <f>I78*N78*O78*P78</f>
        <v>400</v>
      </c>
      <c r="R78" s="376">
        <f>Q78</f>
        <v>400</v>
      </c>
      <c r="S78" s="436">
        <f>Q78-R78</f>
        <v>0</v>
      </c>
      <c r="T78" s="259">
        <v>1</v>
      </c>
      <c r="U78" s="219">
        <v>0</v>
      </c>
      <c r="V78" s="228">
        <f>P78</f>
        <v>200</v>
      </c>
      <c r="W78" s="228">
        <f>I78*T78*U78*V78</f>
        <v>0</v>
      </c>
      <c r="X78" s="376">
        <f>W78</f>
        <v>0</v>
      </c>
      <c r="Y78" s="436">
        <f>W78-X78</f>
        <v>0</v>
      </c>
      <c r="Z78" s="437">
        <f t="shared" ref="Z78:AA80" si="45">L78+R78+X78</f>
        <v>800</v>
      </c>
      <c r="AA78" s="244">
        <f t="shared" si="45"/>
        <v>0</v>
      </c>
      <c r="AB78" s="378">
        <f>Z78</f>
        <v>800</v>
      </c>
      <c r="AC78" s="223"/>
      <c r="AD78" s="223"/>
      <c r="AE78" s="223"/>
    </row>
    <row r="79" spans="1:31">
      <c r="A79" s="607" t="s">
        <v>372</v>
      </c>
      <c r="B79" s="607">
        <v>86000</v>
      </c>
      <c r="C79" s="607" t="s">
        <v>252</v>
      </c>
      <c r="D79" s="607" t="s">
        <v>252</v>
      </c>
      <c r="E79" s="592" t="s">
        <v>373</v>
      </c>
      <c r="F79" s="259">
        <v>1</v>
      </c>
      <c r="G79" s="219" t="s">
        <v>344</v>
      </c>
      <c r="H79" s="219">
        <v>2</v>
      </c>
      <c r="I79" s="243">
        <v>1</v>
      </c>
      <c r="J79" s="228">
        <v>150</v>
      </c>
      <c r="K79" s="228">
        <f>F79*H79*I79*J79</f>
        <v>300</v>
      </c>
      <c r="L79" s="376">
        <f>K79</f>
        <v>300</v>
      </c>
      <c r="M79" s="436">
        <f>K79-L79</f>
        <v>0</v>
      </c>
      <c r="N79" s="259">
        <v>1</v>
      </c>
      <c r="O79" s="219">
        <v>2</v>
      </c>
      <c r="P79" s="228">
        <f>J79</f>
        <v>150</v>
      </c>
      <c r="Q79" s="228">
        <f>I79*N79*O79*P79</f>
        <v>300</v>
      </c>
      <c r="R79" s="376">
        <f>Q79</f>
        <v>300</v>
      </c>
      <c r="S79" s="436">
        <f>Q79-R79</f>
        <v>0</v>
      </c>
      <c r="T79" s="259">
        <v>1</v>
      </c>
      <c r="U79" s="219">
        <v>0</v>
      </c>
      <c r="V79" s="228">
        <f>P79</f>
        <v>150</v>
      </c>
      <c r="W79" s="228">
        <f>I79*T79*U79*V79</f>
        <v>0</v>
      </c>
      <c r="X79" s="376">
        <f>W79</f>
        <v>0</v>
      </c>
      <c r="Y79" s="436">
        <f>W79-X79</f>
        <v>0</v>
      </c>
      <c r="Z79" s="437">
        <f t="shared" si="45"/>
        <v>600</v>
      </c>
      <c r="AA79" s="244">
        <f t="shared" si="45"/>
        <v>0</v>
      </c>
      <c r="AB79" s="378">
        <f>Z79</f>
        <v>600</v>
      </c>
      <c r="AC79" s="223"/>
      <c r="AD79" s="223"/>
      <c r="AE79" s="223"/>
    </row>
    <row r="80" spans="1:31">
      <c r="A80" s="607" t="s">
        <v>374</v>
      </c>
      <c r="B80" s="612">
        <v>86030</v>
      </c>
      <c r="C80" s="607" t="s">
        <v>252</v>
      </c>
      <c r="D80" s="607" t="s">
        <v>252</v>
      </c>
      <c r="E80" s="215" t="s">
        <v>375</v>
      </c>
      <c r="F80" s="259">
        <v>1</v>
      </c>
      <c r="G80" s="219" t="s">
        <v>344</v>
      </c>
      <c r="H80" s="219">
        <v>2</v>
      </c>
      <c r="I80" s="243">
        <v>1</v>
      </c>
      <c r="J80" s="228">
        <v>300</v>
      </c>
      <c r="K80" s="228">
        <f>F80*H80*I80*J80</f>
        <v>600</v>
      </c>
      <c r="L80" s="376">
        <f>K80</f>
        <v>600</v>
      </c>
      <c r="M80" s="436">
        <f>K80-L80</f>
        <v>0</v>
      </c>
      <c r="N80" s="259">
        <v>1</v>
      </c>
      <c r="O80" s="219">
        <v>2</v>
      </c>
      <c r="P80" s="228">
        <f>J80</f>
        <v>300</v>
      </c>
      <c r="Q80" s="228">
        <f>I80*N80*O80*P80</f>
        <v>600</v>
      </c>
      <c r="R80" s="376">
        <f>Q80</f>
        <v>600</v>
      </c>
      <c r="S80" s="436">
        <f>Q80-R80</f>
        <v>0</v>
      </c>
      <c r="T80" s="259">
        <v>1</v>
      </c>
      <c r="U80" s="219">
        <v>0</v>
      </c>
      <c r="V80" s="228">
        <f>P80</f>
        <v>300</v>
      </c>
      <c r="W80" s="228">
        <f>I80*T80*U80*V80</f>
        <v>0</v>
      </c>
      <c r="X80" s="376">
        <f>W80</f>
        <v>0</v>
      </c>
      <c r="Y80" s="436">
        <f>W80-X80</f>
        <v>0</v>
      </c>
      <c r="Z80" s="437">
        <f t="shared" si="45"/>
        <v>1200</v>
      </c>
      <c r="AA80" s="244">
        <f t="shared" si="45"/>
        <v>0</v>
      </c>
      <c r="AB80" s="378">
        <f>Z80</f>
        <v>1200</v>
      </c>
      <c r="AC80" s="223"/>
      <c r="AD80" s="223"/>
      <c r="AE80" s="223"/>
    </row>
    <row r="81" spans="1:31" ht="30.6">
      <c r="A81" s="486"/>
      <c r="B81" s="614"/>
      <c r="C81" s="614"/>
      <c r="D81" s="614"/>
      <c r="E81" s="505" t="s">
        <v>376</v>
      </c>
      <c r="F81" s="307"/>
      <c r="G81" s="399"/>
      <c r="H81" s="399"/>
      <c r="I81" s="412"/>
      <c r="J81" s="229"/>
      <c r="K81" s="229"/>
      <c r="L81" s="400"/>
      <c r="M81" s="433"/>
      <c r="N81" s="307"/>
      <c r="O81" s="399"/>
      <c r="P81" s="229"/>
      <c r="Q81" s="229"/>
      <c r="R81" s="400"/>
      <c r="S81" s="433"/>
      <c r="T81" s="307"/>
      <c r="U81" s="399"/>
      <c r="V81" s="229"/>
      <c r="W81" s="229"/>
      <c r="X81" s="400"/>
      <c r="Y81" s="433"/>
      <c r="Z81" s="434"/>
      <c r="AA81" s="229"/>
      <c r="AB81" s="435"/>
      <c r="AC81" s="223"/>
      <c r="AD81" s="223"/>
      <c r="AE81" s="223"/>
    </row>
    <row r="82" spans="1:31" ht="30.95">
      <c r="B82" s="613"/>
      <c r="C82" s="613"/>
      <c r="D82" s="613"/>
      <c r="E82" s="526" t="s">
        <v>377</v>
      </c>
      <c r="F82" s="259"/>
      <c r="H82" s="219"/>
      <c r="J82" s="228"/>
      <c r="K82" s="228"/>
      <c r="L82" s="376"/>
      <c r="M82" s="436"/>
      <c r="N82" s="259"/>
      <c r="O82" s="219"/>
      <c r="P82" s="228"/>
      <c r="Q82" s="228"/>
      <c r="R82" s="376"/>
      <c r="S82" s="436"/>
      <c r="T82" s="259"/>
      <c r="U82" s="219"/>
      <c r="V82" s="228"/>
      <c r="W82" s="228"/>
      <c r="X82" s="376"/>
      <c r="Y82" s="436"/>
      <c r="Z82" s="437"/>
      <c r="AB82" s="378"/>
      <c r="AC82" s="223"/>
      <c r="AD82" s="223"/>
      <c r="AE82" s="223"/>
    </row>
    <row r="83" spans="1:31">
      <c r="A83" s="607" t="s">
        <v>378</v>
      </c>
      <c r="B83" s="607">
        <v>85300</v>
      </c>
      <c r="C83" s="607" t="s">
        <v>252</v>
      </c>
      <c r="D83" s="607" t="s">
        <v>252</v>
      </c>
      <c r="E83" s="592" t="s">
        <v>379</v>
      </c>
      <c r="F83" s="259">
        <v>1</v>
      </c>
      <c r="G83" s="219" t="s">
        <v>368</v>
      </c>
      <c r="H83" s="219">
        <v>1</v>
      </c>
      <c r="I83" s="243">
        <v>1</v>
      </c>
      <c r="J83" s="228">
        <v>1000</v>
      </c>
      <c r="K83" s="228">
        <f>F83*0*I83*J83</f>
        <v>0</v>
      </c>
      <c r="L83" s="376">
        <f>K83</f>
        <v>0</v>
      </c>
      <c r="M83" s="436">
        <f>K83-L83</f>
        <v>0</v>
      </c>
      <c r="N83" s="259">
        <v>1</v>
      </c>
      <c r="O83" s="219">
        <v>3</v>
      </c>
      <c r="P83" s="228">
        <f>J83</f>
        <v>1000</v>
      </c>
      <c r="Q83" s="228">
        <f>I83*N83*O83*P83</f>
        <v>3000</v>
      </c>
      <c r="R83" s="376">
        <f>Q83</f>
        <v>3000</v>
      </c>
      <c r="S83" s="436">
        <f>Q83-R83</f>
        <v>0</v>
      </c>
      <c r="T83" s="259">
        <v>1</v>
      </c>
      <c r="U83" s="219">
        <v>0</v>
      </c>
      <c r="V83" s="228">
        <f>P83</f>
        <v>1000</v>
      </c>
      <c r="W83" s="228">
        <f>I83*T83*U83*V83</f>
        <v>0</v>
      </c>
      <c r="X83" s="376">
        <f>W83</f>
        <v>0</v>
      </c>
      <c r="Y83" s="436">
        <f>W83-X83</f>
        <v>0</v>
      </c>
      <c r="Z83" s="437">
        <f>L83+R83+X83</f>
        <v>3000</v>
      </c>
      <c r="AA83" s="228">
        <f>M83+S83+Y83</f>
        <v>0</v>
      </c>
      <c r="AB83" s="375">
        <f>Z83</f>
        <v>3000</v>
      </c>
      <c r="AC83" s="223"/>
      <c r="AD83" s="223"/>
      <c r="AE83" s="223"/>
    </row>
    <row r="84" spans="1:31">
      <c r="A84" s="607" t="s">
        <v>380</v>
      </c>
      <c r="B84" s="607">
        <v>90460</v>
      </c>
      <c r="C84" s="607" t="s">
        <v>252</v>
      </c>
      <c r="D84" s="607" t="s">
        <v>252</v>
      </c>
      <c r="E84" s="592" t="s">
        <v>381</v>
      </c>
      <c r="F84" s="259">
        <v>1</v>
      </c>
      <c r="G84" s="219" t="s">
        <v>382</v>
      </c>
      <c r="H84" s="219">
        <v>1</v>
      </c>
      <c r="I84" s="243">
        <v>1</v>
      </c>
      <c r="J84" s="228">
        <v>300</v>
      </c>
      <c r="K84" s="228">
        <f>F84*H84*I84*J84</f>
        <v>300</v>
      </c>
      <c r="L84" s="376">
        <f>K84</f>
        <v>300</v>
      </c>
      <c r="M84" s="436">
        <f>K84-L84</f>
        <v>0</v>
      </c>
      <c r="N84" s="259">
        <v>1</v>
      </c>
      <c r="O84" s="219">
        <v>1</v>
      </c>
      <c r="P84" s="228">
        <f>J84</f>
        <v>300</v>
      </c>
      <c r="Q84" s="228">
        <f>I84*N84*O84*P84</f>
        <v>300</v>
      </c>
      <c r="R84" s="376">
        <f>Q84</f>
        <v>300</v>
      </c>
      <c r="S84" s="436">
        <f>Q84-R84</f>
        <v>0</v>
      </c>
      <c r="T84" s="259">
        <v>1</v>
      </c>
      <c r="U84" s="219">
        <v>1</v>
      </c>
      <c r="V84" s="228">
        <f>P84</f>
        <v>300</v>
      </c>
      <c r="W84" s="228">
        <f>I84*T84*U84*V84</f>
        <v>300</v>
      </c>
      <c r="X84" s="376">
        <f>W84</f>
        <v>300</v>
      </c>
      <c r="Y84" s="436">
        <f>W84-X84</f>
        <v>0</v>
      </c>
      <c r="Z84" s="437">
        <f>L84+R84+X84</f>
        <v>900</v>
      </c>
      <c r="AA84" s="228">
        <f>M84+S84+Y84</f>
        <v>0</v>
      </c>
      <c r="AB84" s="375">
        <f>Z84</f>
        <v>900</v>
      </c>
      <c r="AC84" s="223"/>
      <c r="AD84" s="223"/>
      <c r="AE84" s="223"/>
    </row>
    <row r="85" spans="1:31">
      <c r="A85" s="486"/>
      <c r="B85" s="615"/>
      <c r="C85" s="615"/>
      <c r="D85" s="615"/>
      <c r="E85" s="603" t="s">
        <v>383</v>
      </c>
      <c r="F85" s="307"/>
      <c r="G85" s="399"/>
      <c r="H85" s="399"/>
      <c r="I85" s="412"/>
      <c r="J85" s="229"/>
      <c r="K85" s="229"/>
      <c r="L85" s="400"/>
      <c r="M85" s="433"/>
      <c r="N85" s="307"/>
      <c r="O85" s="399"/>
      <c r="P85" s="229"/>
      <c r="Q85" s="229"/>
      <c r="R85" s="400"/>
      <c r="S85" s="433"/>
      <c r="T85" s="307"/>
      <c r="U85" s="399"/>
      <c r="V85" s="229"/>
      <c r="W85" s="229"/>
      <c r="X85" s="400"/>
      <c r="Y85" s="433"/>
      <c r="Z85" s="434"/>
      <c r="AA85" s="229"/>
      <c r="AB85" s="433"/>
      <c r="AC85" s="223"/>
      <c r="AD85" s="223"/>
      <c r="AE85" s="223"/>
    </row>
    <row r="86" spans="1:31">
      <c r="A86" s="616" t="s">
        <v>384</v>
      </c>
      <c r="B86" s="616">
        <v>82420</v>
      </c>
      <c r="C86" s="607" t="s">
        <v>252</v>
      </c>
      <c r="D86" s="607" t="s">
        <v>252</v>
      </c>
      <c r="E86" s="604" t="s">
        <v>385</v>
      </c>
      <c r="F86" s="259">
        <v>1</v>
      </c>
      <c r="G86" s="219" t="s">
        <v>299</v>
      </c>
      <c r="H86" s="219">
        <v>1</v>
      </c>
      <c r="I86" s="243">
        <v>1</v>
      </c>
      <c r="J86" s="228">
        <v>300</v>
      </c>
      <c r="K86" s="438">
        <f>F86*H86*J86</f>
        <v>300</v>
      </c>
      <c r="L86" s="438">
        <f>K86</f>
        <v>300</v>
      </c>
      <c r="M86" s="436">
        <f>K86-L86</f>
        <v>0</v>
      </c>
      <c r="N86" s="259">
        <v>1</v>
      </c>
      <c r="O86" s="219">
        <v>1</v>
      </c>
      <c r="P86" s="228">
        <f>J86</f>
        <v>300</v>
      </c>
      <c r="Q86" s="438">
        <f>N86*O86*P86</f>
        <v>300</v>
      </c>
      <c r="R86" s="438">
        <f>Q86</f>
        <v>300</v>
      </c>
      <c r="S86" s="436">
        <f>Q86-R86</f>
        <v>0</v>
      </c>
      <c r="T86" s="259">
        <v>1</v>
      </c>
      <c r="U86" s="219">
        <v>1</v>
      </c>
      <c r="V86" s="228">
        <f>P86</f>
        <v>300</v>
      </c>
      <c r="W86" s="228">
        <f>T86*U86*V86</f>
        <v>300</v>
      </c>
      <c r="X86" s="438">
        <f>W86</f>
        <v>300</v>
      </c>
      <c r="Y86" s="436">
        <f>W86-X86</f>
        <v>0</v>
      </c>
      <c r="Z86" s="439">
        <f t="shared" ref="Z86:AA88" si="46">L86+R86+X86</f>
        <v>900</v>
      </c>
      <c r="AA86" s="228">
        <f t="shared" si="46"/>
        <v>0</v>
      </c>
      <c r="AB86" s="440">
        <f>Z86+AA86</f>
        <v>900</v>
      </c>
      <c r="AC86" s="223"/>
      <c r="AD86" s="223"/>
      <c r="AE86" s="223"/>
    </row>
    <row r="87" spans="1:31">
      <c r="A87" s="616" t="s">
        <v>386</v>
      </c>
      <c r="B87" s="616">
        <v>87010</v>
      </c>
      <c r="C87" s="607" t="s">
        <v>252</v>
      </c>
      <c r="D87" s="607" t="s">
        <v>252</v>
      </c>
      <c r="E87" s="604" t="s">
        <v>387</v>
      </c>
      <c r="F87" s="259">
        <v>1</v>
      </c>
      <c r="G87" s="219" t="s">
        <v>388</v>
      </c>
      <c r="H87" s="219">
        <v>10</v>
      </c>
      <c r="I87" s="243">
        <v>1</v>
      </c>
      <c r="J87" s="228">
        <v>125</v>
      </c>
      <c r="K87" s="438">
        <f>F87*H87*J87</f>
        <v>1250</v>
      </c>
      <c r="L87" s="438">
        <f>K87</f>
        <v>1250</v>
      </c>
      <c r="M87" s="436">
        <f>K87-L87</f>
        <v>0</v>
      </c>
      <c r="N87" s="259">
        <v>1</v>
      </c>
      <c r="O87" s="219">
        <v>12</v>
      </c>
      <c r="P87" s="228">
        <f>J87</f>
        <v>125</v>
      </c>
      <c r="Q87" s="438">
        <f>N87*O87*P87</f>
        <v>1500</v>
      </c>
      <c r="R87" s="438">
        <f>Q87</f>
        <v>1500</v>
      </c>
      <c r="S87" s="436">
        <f>Q87-R87</f>
        <v>0</v>
      </c>
      <c r="T87" s="259">
        <v>1</v>
      </c>
      <c r="U87" s="219">
        <v>8</v>
      </c>
      <c r="V87" s="228">
        <f>P87</f>
        <v>125</v>
      </c>
      <c r="W87" s="228">
        <f>T87*U87*V87</f>
        <v>1000</v>
      </c>
      <c r="X87" s="438">
        <f>W87</f>
        <v>1000</v>
      </c>
      <c r="Y87" s="436">
        <f>W87-X87</f>
        <v>0</v>
      </c>
      <c r="Z87" s="439">
        <f t="shared" si="46"/>
        <v>3750</v>
      </c>
      <c r="AA87" s="228">
        <f t="shared" si="46"/>
        <v>0</v>
      </c>
      <c r="AB87" s="440">
        <f>Z87+AA87</f>
        <v>3750</v>
      </c>
      <c r="AC87" s="223"/>
      <c r="AD87" s="223"/>
      <c r="AE87" s="223"/>
    </row>
    <row r="88" spans="1:31" s="217" customFormat="1">
      <c r="A88" s="616" t="s">
        <v>389</v>
      </c>
      <c r="B88" s="607">
        <v>81010</v>
      </c>
      <c r="C88" s="607" t="s">
        <v>252</v>
      </c>
      <c r="D88" s="607" t="s">
        <v>252</v>
      </c>
      <c r="E88" s="592" t="s">
        <v>390</v>
      </c>
      <c r="F88" s="259">
        <v>1</v>
      </c>
      <c r="G88" s="219" t="s">
        <v>324</v>
      </c>
      <c r="H88" s="219">
        <v>0</v>
      </c>
      <c r="I88" s="243">
        <v>1</v>
      </c>
      <c r="J88" s="228">
        <v>7196.5</v>
      </c>
      <c r="K88" s="228">
        <f>F88*H88*J88</f>
        <v>0</v>
      </c>
      <c r="L88" s="228">
        <f>K88</f>
        <v>0</v>
      </c>
      <c r="M88" s="436">
        <f>K88-L88</f>
        <v>0</v>
      </c>
      <c r="N88" s="259">
        <v>1</v>
      </c>
      <c r="O88" s="219">
        <v>1</v>
      </c>
      <c r="P88" s="228">
        <f>J88</f>
        <v>7196.5</v>
      </c>
      <c r="Q88" s="228">
        <f>N88*O88*P88</f>
        <v>7196.5</v>
      </c>
      <c r="R88" s="228">
        <f>Q88</f>
        <v>7196.5</v>
      </c>
      <c r="S88" s="436">
        <f>Q88-R88</f>
        <v>0</v>
      </c>
      <c r="T88" s="259">
        <v>1</v>
      </c>
      <c r="U88" s="219">
        <v>0</v>
      </c>
      <c r="V88" s="228">
        <f>P88</f>
        <v>7196.5</v>
      </c>
      <c r="W88" s="228">
        <f>T88*U88*V88</f>
        <v>0</v>
      </c>
      <c r="X88" s="228">
        <f>W88</f>
        <v>0</v>
      </c>
      <c r="Y88" s="436">
        <f>W88-X88</f>
        <v>0</v>
      </c>
      <c r="Z88" s="395">
        <f t="shared" si="46"/>
        <v>7196.5</v>
      </c>
      <c r="AA88" s="228">
        <f t="shared" si="46"/>
        <v>0</v>
      </c>
      <c r="AB88" s="375">
        <f>Z88+AA88</f>
        <v>7196.5</v>
      </c>
      <c r="AC88" s="230"/>
      <c r="AD88" s="224"/>
      <c r="AE88" s="223"/>
    </row>
    <row r="89" spans="1:31" s="215" customFormat="1">
      <c r="A89" s="486"/>
      <c r="B89" s="486"/>
      <c r="C89" s="486"/>
      <c r="D89" s="486"/>
      <c r="E89" s="596" t="s">
        <v>391</v>
      </c>
      <c r="F89" s="295"/>
      <c r="G89" s="303"/>
      <c r="H89" s="297"/>
      <c r="I89" s="381"/>
      <c r="J89" s="382"/>
      <c r="K89" s="382">
        <f>SUM(K63:K88)</f>
        <v>12075</v>
      </c>
      <c r="L89" s="382">
        <f>SUM(L63:L88)</f>
        <v>12075</v>
      </c>
      <c r="M89" s="383">
        <f>SUM(M67:M88)</f>
        <v>0</v>
      </c>
      <c r="N89" s="407"/>
      <c r="O89" s="408"/>
      <c r="P89" s="382"/>
      <c r="Q89" s="382">
        <f>SUM(Q63:Q88)</f>
        <v>20371.5</v>
      </c>
      <c r="R89" s="382">
        <f>SUM(R63:R88)</f>
        <v>20371.5</v>
      </c>
      <c r="S89" s="383">
        <f>SUM(S67:S88)</f>
        <v>0</v>
      </c>
      <c r="T89" s="407"/>
      <c r="U89" s="408"/>
      <c r="V89" s="382"/>
      <c r="W89" s="382">
        <f>SUM(W63:W88)</f>
        <v>2275</v>
      </c>
      <c r="X89" s="382">
        <f>SUM(X63:X88)</f>
        <v>2275</v>
      </c>
      <c r="Y89" s="383">
        <f>SUM(Y67:Y88)</f>
        <v>0</v>
      </c>
      <c r="Z89" s="384">
        <f>SUM(Z63:Z88)</f>
        <v>34721.5</v>
      </c>
      <c r="AA89" s="382">
        <f>SUM(AA67:AA88)</f>
        <v>0</v>
      </c>
      <c r="AB89" s="383">
        <f>SUM(AB63:AB88)</f>
        <v>34721.5</v>
      </c>
      <c r="AC89" s="529"/>
      <c r="AD89" s="479"/>
    </row>
    <row r="90" spans="1:31" s="215" customFormat="1">
      <c r="A90" s="609"/>
      <c r="B90" s="609"/>
      <c r="C90" s="609"/>
      <c r="D90" s="609"/>
      <c r="E90" s="597" t="s">
        <v>224</v>
      </c>
      <c r="F90" s="278"/>
      <c r="G90" s="302"/>
      <c r="H90" s="302"/>
      <c r="I90" s="386"/>
      <c r="J90" s="387"/>
      <c r="K90" s="387">
        <f>K15+K24+K38+K48+K57+K89</f>
        <v>184491.58</v>
      </c>
      <c r="L90" s="387">
        <f>L15+L24+L38+L48+L57+L89</f>
        <v>184491.58</v>
      </c>
      <c r="M90" s="441">
        <f>M15+M24+M38+M48+M57+M89</f>
        <v>0</v>
      </c>
      <c r="N90" s="278"/>
      <c r="O90" s="390"/>
      <c r="P90" s="387"/>
      <c r="Q90" s="387">
        <f>Q15+Q24+Q38+Q48+Q57+Q89</f>
        <v>226549.52779999998</v>
      </c>
      <c r="R90" s="387">
        <f>R15+R24+R38+R48+R57+R89</f>
        <v>226549.52779999998</v>
      </c>
      <c r="S90" s="441">
        <f>S15+S24+S38+S48+S57+S89</f>
        <v>0</v>
      </c>
      <c r="T90" s="278"/>
      <c r="U90" s="390"/>
      <c r="V90" s="387"/>
      <c r="W90" s="387">
        <f t="shared" ref="W90:AB90" si="47">W15+W24+W38+W48+W57+W89</f>
        <v>71211.197272999998</v>
      </c>
      <c r="X90" s="387">
        <f t="shared" si="47"/>
        <v>71211.197272999998</v>
      </c>
      <c r="Y90" s="441">
        <f t="shared" si="47"/>
        <v>0</v>
      </c>
      <c r="Z90" s="442">
        <f t="shared" si="47"/>
        <v>482252.30507299997</v>
      </c>
      <c r="AA90" s="387">
        <f t="shared" si="47"/>
        <v>0</v>
      </c>
      <c r="AB90" s="441">
        <f t="shared" si="47"/>
        <v>482252.30507299997</v>
      </c>
    </row>
    <row r="91" spans="1:31" s="215" customFormat="1">
      <c r="A91" s="609"/>
      <c r="B91" s="609"/>
      <c r="C91" s="609"/>
      <c r="D91" s="609"/>
      <c r="E91" s="597" t="s">
        <v>392</v>
      </c>
      <c r="F91" s="278"/>
      <c r="G91" s="302"/>
      <c r="H91" s="302"/>
      <c r="I91" s="386"/>
      <c r="J91" s="387"/>
      <c r="K91" s="387"/>
      <c r="L91" s="387"/>
      <c r="M91" s="441"/>
      <c r="N91" s="278"/>
      <c r="O91" s="390"/>
      <c r="P91" s="387"/>
      <c r="Q91" s="387"/>
      <c r="R91" s="387"/>
      <c r="S91" s="441"/>
      <c r="T91" s="278"/>
      <c r="U91" s="390"/>
      <c r="V91" s="387"/>
      <c r="W91" s="387"/>
      <c r="X91" s="387"/>
      <c r="Y91" s="441"/>
      <c r="Z91" s="442"/>
      <c r="AA91" s="387"/>
      <c r="AB91" s="441"/>
    </row>
    <row r="92" spans="1:31" s="215" customFormat="1">
      <c r="A92" s="607" t="s">
        <v>393</v>
      </c>
      <c r="B92" s="607">
        <v>94050</v>
      </c>
      <c r="C92" s="607">
        <v>0</v>
      </c>
      <c r="D92" s="607">
        <v>0</v>
      </c>
      <c r="E92" s="593" t="s">
        <v>394</v>
      </c>
      <c r="F92" s="545"/>
      <c r="G92" s="546">
        <v>0.28000000000000003</v>
      </c>
      <c r="H92" s="214"/>
      <c r="I92" s="358">
        <v>1</v>
      </c>
      <c r="J92" s="404"/>
      <c r="K92" s="404">
        <f>K90*G92</f>
        <v>51657.642400000004</v>
      </c>
      <c r="L92" s="404">
        <f>K92</f>
        <v>51657.642400000004</v>
      </c>
      <c r="M92" s="547">
        <f>K92-L92</f>
        <v>0</v>
      </c>
      <c r="N92" s="545"/>
      <c r="O92" s="226"/>
      <c r="P92" s="404"/>
      <c r="Q92" s="404">
        <f>Q90*G92</f>
        <v>63433.867784000002</v>
      </c>
      <c r="R92" s="404">
        <f>Q92</f>
        <v>63433.867784000002</v>
      </c>
      <c r="S92" s="547">
        <f>Q92-R92</f>
        <v>0</v>
      </c>
      <c r="T92" s="545"/>
      <c r="U92" s="226"/>
      <c r="V92" s="404"/>
      <c r="W92" s="404">
        <f>W90*G92</f>
        <v>19939.135236440001</v>
      </c>
      <c r="X92" s="404">
        <f>W92</f>
        <v>19939.135236440001</v>
      </c>
      <c r="Y92" s="547">
        <f>W92-X92</f>
        <v>0</v>
      </c>
      <c r="Z92" s="548">
        <f>L92+R92+X92</f>
        <v>135030.64542044001</v>
      </c>
      <c r="AA92" s="404">
        <f>M92+S92+Y92</f>
        <v>0</v>
      </c>
      <c r="AB92" s="547">
        <f>Z92+AA92</f>
        <v>135030.64542044001</v>
      </c>
    </row>
    <row r="93" spans="1:31" s="215" customFormat="1">
      <c r="A93" s="609"/>
      <c r="B93" s="609"/>
      <c r="C93" s="609"/>
      <c r="D93" s="609"/>
      <c r="E93" s="605" t="s">
        <v>395</v>
      </c>
      <c r="F93" s="343"/>
      <c r="G93" s="443"/>
      <c r="H93" s="347"/>
      <c r="I93" s="444"/>
      <c r="J93" s="445"/>
      <c r="K93" s="445">
        <f>K92</f>
        <v>51657.642400000004</v>
      </c>
      <c r="L93" s="445">
        <f>L92</f>
        <v>51657.642400000004</v>
      </c>
      <c r="M93" s="446">
        <f>M92</f>
        <v>0</v>
      </c>
      <c r="N93" s="343"/>
      <c r="O93" s="447"/>
      <c r="P93" s="445"/>
      <c r="Q93" s="445">
        <f>Q92</f>
        <v>63433.867784000002</v>
      </c>
      <c r="R93" s="445">
        <f>R92</f>
        <v>63433.867784000002</v>
      </c>
      <c r="S93" s="446">
        <f>S92</f>
        <v>0</v>
      </c>
      <c r="T93" s="343"/>
      <c r="U93" s="447"/>
      <c r="V93" s="445"/>
      <c r="W93" s="445">
        <f t="shared" ref="W93:AB93" si="48">W92</f>
        <v>19939.135236440001</v>
      </c>
      <c r="X93" s="445">
        <f t="shared" si="48"/>
        <v>19939.135236440001</v>
      </c>
      <c r="Y93" s="446">
        <f t="shared" si="48"/>
        <v>0</v>
      </c>
      <c r="Z93" s="448">
        <f t="shared" si="48"/>
        <v>135030.64542044001</v>
      </c>
      <c r="AA93" s="448">
        <f t="shared" si="48"/>
        <v>0</v>
      </c>
      <c r="AB93" s="449">
        <f t="shared" si="48"/>
        <v>135030.64542044001</v>
      </c>
    </row>
    <row r="94" spans="1:31" s="215" customFormat="1" ht="15.95" thickBot="1">
      <c r="A94" s="609"/>
      <c r="B94" s="609"/>
      <c r="C94" s="609"/>
      <c r="D94" s="609"/>
      <c r="E94" s="606" t="s">
        <v>396</v>
      </c>
      <c r="F94" s="349"/>
      <c r="G94" s="264"/>
      <c r="H94" s="264"/>
      <c r="I94" s="450"/>
      <c r="J94" s="451"/>
      <c r="K94" s="451">
        <f>K90+K93</f>
        <v>236149.2224</v>
      </c>
      <c r="L94" s="451">
        <f t="shared" ref="L94:AB94" si="49">L90+L93</f>
        <v>236149.2224</v>
      </c>
      <c r="M94" s="452">
        <f t="shared" si="49"/>
        <v>0</v>
      </c>
      <c r="N94" s="453"/>
      <c r="O94" s="451"/>
      <c r="P94" s="451"/>
      <c r="Q94" s="451">
        <f t="shared" si="49"/>
        <v>289983.39558399998</v>
      </c>
      <c r="R94" s="451">
        <f t="shared" si="49"/>
        <v>289983.39558399998</v>
      </c>
      <c r="S94" s="452">
        <f t="shared" si="49"/>
        <v>0</v>
      </c>
      <c r="T94" s="453"/>
      <c r="U94" s="451"/>
      <c r="V94" s="451"/>
      <c r="W94" s="451">
        <f t="shared" si="49"/>
        <v>91150.332509439992</v>
      </c>
      <c r="X94" s="451">
        <f t="shared" si="49"/>
        <v>91150.332509439992</v>
      </c>
      <c r="Y94" s="452">
        <f t="shared" si="49"/>
        <v>0</v>
      </c>
      <c r="Z94" s="453">
        <f t="shared" si="49"/>
        <v>617282.95049344003</v>
      </c>
      <c r="AA94" s="451">
        <f t="shared" si="49"/>
        <v>0</v>
      </c>
      <c r="AB94" s="452">
        <f t="shared" si="49"/>
        <v>617282.95049344003</v>
      </c>
    </row>
    <row r="95" spans="1:31" s="215" customFormat="1">
      <c r="A95" s="608"/>
      <c r="B95" s="608"/>
      <c r="C95" s="608"/>
      <c r="D95" s="608"/>
      <c r="G95" s="216"/>
      <c r="H95" s="231"/>
      <c r="I95" s="232"/>
      <c r="J95" s="233"/>
      <c r="K95" s="233"/>
      <c r="L95" s="234"/>
      <c r="M95" s="234"/>
      <c r="N95" s="235"/>
      <c r="O95" s="235"/>
      <c r="P95" s="234"/>
      <c r="Q95" s="234"/>
      <c r="R95" s="234"/>
      <c r="S95" s="234"/>
      <c r="T95" s="235"/>
      <c r="U95" s="235"/>
      <c r="V95" s="234"/>
      <c r="W95" s="234"/>
      <c r="X95" s="234"/>
      <c r="Y95" s="234"/>
      <c r="Z95" s="234"/>
      <c r="AA95" s="234"/>
      <c r="AB95" s="233"/>
    </row>
    <row r="96" spans="1:31" s="215" customFormat="1">
      <c r="A96" s="608"/>
      <c r="B96" s="608"/>
      <c r="C96" s="608"/>
      <c r="D96" s="608"/>
      <c r="G96" s="216"/>
      <c r="H96" s="231"/>
      <c r="I96" s="236"/>
      <c r="J96" s="233"/>
      <c r="K96" s="233"/>
      <c r="L96" s="234"/>
      <c r="M96" s="234"/>
      <c r="N96" s="237"/>
      <c r="O96" s="237"/>
      <c r="P96" s="234"/>
      <c r="Q96" s="234"/>
      <c r="R96" s="234"/>
      <c r="S96" s="234"/>
      <c r="T96" s="237"/>
      <c r="U96" s="237"/>
      <c r="V96" s="234"/>
      <c r="W96" s="234"/>
      <c r="X96" s="234"/>
      <c r="Y96" s="234"/>
      <c r="Z96" s="234"/>
      <c r="AA96" s="234"/>
      <c r="AB96" s="234"/>
    </row>
    <row r="97" spans="1:28" s="215" customFormat="1">
      <c r="A97" s="608"/>
      <c r="B97" s="608"/>
      <c r="C97" s="608"/>
      <c r="D97" s="608"/>
      <c r="G97" s="216"/>
      <c r="H97" s="231"/>
      <c r="I97" s="236"/>
      <c r="J97" s="233"/>
      <c r="K97" s="233"/>
      <c r="L97" s="233"/>
      <c r="M97" s="233"/>
      <c r="P97" s="233"/>
      <c r="Q97" s="233"/>
      <c r="R97" s="233"/>
      <c r="S97" s="233"/>
      <c r="V97" s="233"/>
      <c r="W97" s="233"/>
      <c r="X97" s="233"/>
      <c r="Y97" s="233"/>
      <c r="Z97" s="233"/>
      <c r="AA97" s="233"/>
      <c r="AB97" s="233"/>
    </row>
    <row r="98" spans="1:28" s="215" customFormat="1">
      <c r="A98" s="608"/>
      <c r="B98" s="608"/>
      <c r="C98" s="608"/>
      <c r="D98" s="608"/>
      <c r="G98" s="216"/>
      <c r="H98" s="231"/>
      <c r="I98" s="236"/>
      <c r="J98" s="233"/>
      <c r="K98" s="233"/>
      <c r="L98" s="233"/>
      <c r="M98" s="233"/>
      <c r="P98" s="233"/>
      <c r="Q98" s="233"/>
      <c r="R98" s="233"/>
      <c r="S98" s="233"/>
      <c r="V98" s="233"/>
      <c r="W98" s="233"/>
      <c r="X98" s="233"/>
      <c r="Y98" s="233"/>
      <c r="Z98" s="233"/>
      <c r="AA98" s="233"/>
      <c r="AB98" s="233"/>
    </row>
    <row r="99" spans="1:28" s="215" customFormat="1">
      <c r="A99" s="608"/>
      <c r="B99" s="608"/>
      <c r="C99" s="608"/>
      <c r="D99" s="608"/>
      <c r="G99" s="216"/>
      <c r="H99" s="231"/>
      <c r="I99" s="236"/>
      <c r="J99" s="233"/>
      <c r="K99" s="233"/>
      <c r="L99" s="233"/>
      <c r="M99" s="233"/>
      <c r="P99" s="233"/>
      <c r="Q99" s="233"/>
      <c r="R99" s="233"/>
      <c r="S99" s="233"/>
      <c r="V99" s="233"/>
      <c r="W99" s="233"/>
      <c r="X99" s="233"/>
      <c r="Y99" s="233"/>
      <c r="Z99" s="233"/>
      <c r="AA99" s="233"/>
      <c r="AB99" s="233"/>
    </row>
    <row r="100" spans="1:28" s="215" customFormat="1">
      <c r="A100" s="608"/>
      <c r="B100" s="608"/>
      <c r="C100" s="608"/>
      <c r="D100" s="608"/>
      <c r="G100" s="216"/>
      <c r="H100" s="231"/>
      <c r="I100" s="236"/>
      <c r="J100" s="233"/>
      <c r="K100" s="233"/>
      <c r="L100" s="233"/>
      <c r="M100" s="233"/>
      <c r="P100" s="233"/>
      <c r="Q100" s="233"/>
      <c r="R100" s="233"/>
      <c r="S100" s="233"/>
      <c r="V100" s="233"/>
      <c r="W100" s="233"/>
      <c r="X100" s="233"/>
      <c r="Y100" s="233"/>
      <c r="Z100" s="233"/>
      <c r="AA100" s="233"/>
      <c r="AB100" s="233"/>
    </row>
    <row r="101" spans="1:28" s="215" customFormat="1">
      <c r="A101" s="608"/>
      <c r="B101" s="608"/>
      <c r="C101" s="608"/>
      <c r="D101" s="608"/>
      <c r="G101" s="216"/>
      <c r="H101" s="231"/>
      <c r="I101" s="236"/>
      <c r="J101" s="233"/>
      <c r="K101" s="233"/>
      <c r="L101" s="233"/>
      <c r="M101" s="233"/>
      <c r="P101" s="233"/>
      <c r="Q101" s="233"/>
      <c r="R101" s="233"/>
      <c r="S101" s="233"/>
      <c r="V101" s="233"/>
      <c r="W101" s="233"/>
      <c r="X101" s="233"/>
      <c r="Y101" s="233"/>
      <c r="Z101" s="233"/>
      <c r="AA101" s="233"/>
      <c r="AB101" s="233"/>
    </row>
    <row r="102" spans="1:28" s="215" customFormat="1">
      <c r="A102" s="608"/>
      <c r="B102" s="608"/>
      <c r="C102" s="608"/>
      <c r="D102" s="608"/>
      <c r="G102" s="216"/>
      <c r="H102" s="231"/>
      <c r="I102" s="236"/>
      <c r="J102" s="233"/>
      <c r="K102" s="233"/>
      <c r="L102" s="233"/>
      <c r="M102" s="233"/>
      <c r="P102" s="233"/>
      <c r="Q102" s="233"/>
      <c r="R102" s="233"/>
      <c r="S102" s="233"/>
      <c r="V102" s="233"/>
      <c r="W102" s="233"/>
      <c r="X102" s="233"/>
      <c r="Y102" s="233"/>
      <c r="Z102" s="233"/>
      <c r="AA102" s="233"/>
      <c r="AB102" s="233"/>
    </row>
    <row r="103" spans="1:28" s="215" customFormat="1">
      <c r="A103" s="608"/>
      <c r="B103" s="608"/>
      <c r="C103" s="608"/>
      <c r="D103" s="608"/>
      <c r="G103" s="216"/>
      <c r="H103" s="231"/>
      <c r="I103" s="236"/>
      <c r="J103" s="233"/>
      <c r="K103" s="233"/>
      <c r="L103" s="233"/>
      <c r="M103" s="233"/>
      <c r="P103" s="233"/>
      <c r="Q103" s="233"/>
      <c r="R103" s="233"/>
      <c r="S103" s="233"/>
      <c r="V103" s="233"/>
      <c r="W103" s="233"/>
      <c r="X103" s="233"/>
      <c r="Y103" s="233"/>
      <c r="Z103" s="233"/>
      <c r="AA103" s="233"/>
      <c r="AB103" s="233"/>
    </row>
    <row r="104" spans="1:28" s="215" customFormat="1">
      <c r="A104" s="608"/>
      <c r="B104" s="608"/>
      <c r="C104" s="608"/>
      <c r="D104" s="608"/>
      <c r="G104" s="216"/>
      <c r="H104" s="231"/>
      <c r="I104" s="236"/>
      <c r="J104" s="233"/>
      <c r="K104" s="233"/>
      <c r="L104" s="233"/>
      <c r="M104" s="233"/>
      <c r="P104" s="233"/>
      <c r="Q104" s="233"/>
      <c r="R104" s="233"/>
      <c r="S104" s="233"/>
      <c r="V104" s="233"/>
      <c r="W104" s="233"/>
      <c r="X104" s="233"/>
      <c r="Y104" s="233"/>
      <c r="Z104" s="233"/>
      <c r="AA104" s="233"/>
      <c r="AB104" s="233"/>
    </row>
    <row r="105" spans="1:28" s="215" customFormat="1">
      <c r="A105" s="608"/>
      <c r="B105" s="608"/>
      <c r="C105" s="608"/>
      <c r="D105" s="608"/>
      <c r="G105" s="216"/>
      <c r="H105" s="231"/>
      <c r="I105" s="236"/>
      <c r="J105" s="233"/>
      <c r="K105" s="233"/>
      <c r="L105" s="233"/>
      <c r="M105" s="233"/>
      <c r="P105" s="233"/>
      <c r="Q105" s="233"/>
      <c r="R105" s="233"/>
      <c r="S105" s="233"/>
      <c r="V105" s="233"/>
      <c r="W105" s="233"/>
      <c r="X105" s="233"/>
      <c r="Y105" s="233"/>
      <c r="Z105" s="233"/>
      <c r="AA105" s="233"/>
      <c r="AB105" s="233"/>
    </row>
    <row r="106" spans="1:28" s="215" customFormat="1">
      <c r="A106" s="608"/>
      <c r="B106" s="608"/>
      <c r="C106" s="608"/>
      <c r="D106" s="608"/>
      <c r="G106" s="216"/>
      <c r="H106" s="231"/>
      <c r="I106" s="236"/>
      <c r="J106" s="233"/>
      <c r="K106" s="233"/>
      <c r="L106" s="233"/>
      <c r="M106" s="233"/>
      <c r="P106" s="233"/>
      <c r="Q106" s="233"/>
      <c r="R106" s="233"/>
      <c r="S106" s="233"/>
      <c r="V106" s="233"/>
      <c r="W106" s="233"/>
      <c r="X106" s="233"/>
      <c r="Y106" s="233"/>
      <c r="Z106" s="233"/>
      <c r="AA106" s="233"/>
      <c r="AB106" s="233"/>
    </row>
    <row r="107" spans="1:28" s="215" customFormat="1">
      <c r="A107" s="608"/>
      <c r="B107" s="608"/>
      <c r="C107" s="608"/>
      <c r="D107" s="608"/>
      <c r="G107" s="216"/>
      <c r="H107" s="231"/>
      <c r="I107" s="236"/>
      <c r="J107" s="233"/>
      <c r="K107" s="233"/>
      <c r="L107" s="233"/>
      <c r="M107" s="233"/>
      <c r="P107" s="233"/>
      <c r="Q107" s="233"/>
      <c r="R107" s="233"/>
      <c r="S107" s="233"/>
      <c r="V107" s="233"/>
      <c r="W107" s="233"/>
      <c r="X107" s="233"/>
      <c r="Y107" s="233"/>
      <c r="Z107" s="233"/>
      <c r="AA107" s="233"/>
      <c r="AB107" s="233"/>
    </row>
    <row r="108" spans="1:28" s="215" customFormat="1">
      <c r="A108" s="608"/>
      <c r="B108" s="608"/>
      <c r="C108" s="608"/>
      <c r="D108" s="608"/>
      <c r="G108" s="216"/>
      <c r="H108" s="231"/>
      <c r="I108" s="236"/>
      <c r="J108" s="233"/>
      <c r="K108" s="233"/>
      <c r="L108" s="233"/>
      <c r="M108" s="233"/>
      <c r="P108" s="233"/>
      <c r="Q108" s="233"/>
      <c r="R108" s="233"/>
      <c r="S108" s="233"/>
      <c r="V108" s="233"/>
      <c r="W108" s="233"/>
      <c r="X108" s="233"/>
      <c r="Y108" s="233"/>
      <c r="Z108" s="233"/>
      <c r="AA108" s="233"/>
      <c r="AB108" s="233"/>
    </row>
    <row r="109" spans="1:28" s="215" customFormat="1">
      <c r="A109" s="608"/>
      <c r="B109" s="608"/>
      <c r="C109" s="608"/>
      <c r="D109" s="608"/>
      <c r="G109" s="216"/>
      <c r="H109" s="231"/>
      <c r="I109" s="236"/>
      <c r="J109" s="233"/>
      <c r="K109" s="233"/>
      <c r="L109" s="233"/>
      <c r="M109" s="233"/>
      <c r="P109" s="233"/>
      <c r="Q109" s="233"/>
      <c r="R109" s="233"/>
      <c r="S109" s="233"/>
      <c r="V109" s="233"/>
      <c r="W109" s="233"/>
      <c r="X109" s="233"/>
      <c r="Y109" s="233"/>
      <c r="Z109" s="233"/>
      <c r="AA109" s="233"/>
      <c r="AB109" s="233"/>
    </row>
    <row r="110" spans="1:28" s="215" customFormat="1">
      <c r="A110" s="608"/>
      <c r="B110" s="608"/>
      <c r="C110" s="608"/>
      <c r="D110" s="608"/>
      <c r="G110" s="216"/>
      <c r="H110" s="231"/>
      <c r="I110" s="236"/>
      <c r="J110" s="233"/>
      <c r="K110" s="233"/>
      <c r="L110" s="233"/>
      <c r="M110" s="233"/>
      <c r="P110" s="233"/>
      <c r="Q110" s="233"/>
      <c r="R110" s="233"/>
      <c r="S110" s="233"/>
      <c r="V110" s="233"/>
      <c r="W110" s="233"/>
      <c r="X110" s="233"/>
      <c r="Y110" s="233"/>
      <c r="Z110" s="233"/>
      <c r="AA110" s="233"/>
      <c r="AB110" s="233"/>
    </row>
    <row r="111" spans="1:28" s="215" customFormat="1">
      <c r="A111" s="608"/>
      <c r="B111" s="608"/>
      <c r="C111" s="608"/>
      <c r="D111" s="608"/>
      <c r="G111" s="216"/>
      <c r="H111" s="231"/>
      <c r="I111" s="236"/>
      <c r="J111" s="233"/>
      <c r="K111" s="233"/>
      <c r="L111" s="233"/>
      <c r="M111" s="233"/>
      <c r="P111" s="233"/>
      <c r="Q111" s="233"/>
      <c r="R111" s="233"/>
      <c r="S111" s="233"/>
      <c r="V111" s="233"/>
      <c r="W111" s="233"/>
      <c r="X111" s="233"/>
      <c r="Y111" s="233"/>
      <c r="Z111" s="233"/>
      <c r="AA111" s="233"/>
      <c r="AB111" s="233"/>
    </row>
    <row r="112" spans="1:28" s="215" customFormat="1">
      <c r="A112" s="608"/>
      <c r="B112" s="608"/>
      <c r="C112" s="608"/>
      <c r="D112" s="608"/>
      <c r="G112" s="216"/>
      <c r="H112" s="231"/>
      <c r="I112" s="236"/>
      <c r="J112" s="233"/>
      <c r="K112" s="233"/>
      <c r="L112" s="233"/>
      <c r="M112" s="233"/>
      <c r="P112" s="233"/>
      <c r="Q112" s="233"/>
      <c r="R112" s="233"/>
      <c r="S112" s="233"/>
      <c r="V112" s="233"/>
      <c r="W112" s="233"/>
      <c r="X112" s="233"/>
      <c r="Y112" s="233"/>
      <c r="Z112" s="233"/>
      <c r="AA112" s="233"/>
      <c r="AB112" s="233"/>
    </row>
    <row r="113" spans="1:28" s="215" customFormat="1">
      <c r="A113" s="608"/>
      <c r="B113" s="608"/>
      <c r="C113" s="608"/>
      <c r="D113" s="608"/>
      <c r="G113" s="216"/>
      <c r="H113" s="231"/>
      <c r="I113" s="236"/>
      <c r="J113" s="233"/>
      <c r="K113" s="233"/>
      <c r="L113" s="233"/>
      <c r="M113" s="233"/>
      <c r="P113" s="233"/>
      <c r="Q113" s="233"/>
      <c r="R113" s="233"/>
      <c r="S113" s="233"/>
      <c r="V113" s="233"/>
      <c r="W113" s="233"/>
      <c r="X113" s="233"/>
      <c r="Y113" s="233"/>
      <c r="Z113" s="233"/>
      <c r="AA113" s="233"/>
      <c r="AB113" s="233"/>
    </row>
    <row r="114" spans="1:28" s="215" customFormat="1">
      <c r="A114" s="608"/>
      <c r="B114" s="608"/>
      <c r="C114" s="608"/>
      <c r="D114" s="608"/>
      <c r="G114" s="216"/>
      <c r="H114" s="231"/>
      <c r="I114" s="236"/>
      <c r="J114" s="233"/>
      <c r="K114" s="233"/>
      <c r="L114" s="233"/>
      <c r="M114" s="233"/>
      <c r="P114" s="233"/>
      <c r="Q114" s="233"/>
      <c r="R114" s="233"/>
      <c r="S114" s="233"/>
      <c r="V114" s="233"/>
      <c r="W114" s="233"/>
      <c r="X114" s="233"/>
      <c r="Y114" s="233"/>
      <c r="Z114" s="233"/>
      <c r="AA114" s="233"/>
      <c r="AB114" s="233"/>
    </row>
    <row r="115" spans="1:28" s="215" customFormat="1">
      <c r="A115" s="608"/>
      <c r="B115" s="608"/>
      <c r="C115" s="608"/>
      <c r="D115" s="608"/>
      <c r="G115" s="216"/>
      <c r="H115" s="231"/>
      <c r="I115" s="236"/>
      <c r="J115" s="233"/>
      <c r="K115" s="233"/>
      <c r="L115" s="233"/>
      <c r="M115" s="233"/>
      <c r="P115" s="233"/>
      <c r="Q115" s="233"/>
      <c r="R115" s="233"/>
      <c r="S115" s="233"/>
      <c r="V115" s="233"/>
      <c r="W115" s="233"/>
      <c r="X115" s="233"/>
      <c r="Y115" s="233"/>
      <c r="Z115" s="233"/>
      <c r="AA115" s="233"/>
      <c r="AB115" s="233"/>
    </row>
    <row r="116" spans="1:28" s="215" customFormat="1">
      <c r="A116" s="608"/>
      <c r="B116" s="608"/>
      <c r="C116" s="608"/>
      <c r="D116" s="608"/>
      <c r="G116" s="216"/>
      <c r="H116" s="231"/>
      <c r="I116" s="236"/>
      <c r="J116" s="233"/>
      <c r="K116" s="233"/>
      <c r="L116" s="233"/>
      <c r="M116" s="233"/>
      <c r="P116" s="233"/>
      <c r="Q116" s="233"/>
      <c r="R116" s="233"/>
      <c r="S116" s="233"/>
      <c r="V116" s="233"/>
      <c r="W116" s="233"/>
      <c r="X116" s="233"/>
      <c r="Y116" s="233"/>
      <c r="Z116" s="233"/>
      <c r="AA116" s="233"/>
      <c r="AB116" s="233"/>
    </row>
    <row r="117" spans="1:28" s="215" customFormat="1">
      <c r="A117" s="617"/>
      <c r="B117" s="617"/>
      <c r="C117" s="617"/>
      <c r="D117" s="617"/>
      <c r="E117" s="217"/>
      <c r="F117" s="217"/>
      <c r="G117" s="212"/>
      <c r="H117" s="238"/>
      <c r="I117" s="239"/>
      <c r="J117" s="240"/>
      <c r="K117" s="240"/>
      <c r="L117" s="240"/>
      <c r="M117" s="240"/>
      <c r="N117" s="217"/>
      <c r="O117" s="217"/>
      <c r="P117" s="240"/>
      <c r="Q117" s="240"/>
      <c r="R117" s="240"/>
      <c r="S117" s="240"/>
      <c r="T117" s="217"/>
      <c r="U117" s="217"/>
      <c r="V117" s="240"/>
      <c r="W117" s="240"/>
      <c r="X117" s="240"/>
      <c r="Y117" s="240"/>
      <c r="Z117" s="240"/>
      <c r="AA117" s="240"/>
      <c r="AB117" s="240"/>
    </row>
    <row r="118" spans="1:28" s="215" customFormat="1">
      <c r="A118" s="608"/>
      <c r="B118" s="608"/>
      <c r="C118" s="608"/>
      <c r="D118" s="608"/>
      <c r="G118" s="216"/>
      <c r="H118" s="231"/>
      <c r="I118" s="236"/>
      <c r="J118" s="233"/>
      <c r="K118" s="233"/>
      <c r="L118" s="233"/>
      <c r="M118" s="233"/>
      <c r="P118" s="233"/>
      <c r="Q118" s="241"/>
      <c r="R118" s="233"/>
      <c r="S118" s="233"/>
      <c r="V118" s="233"/>
      <c r="W118" s="241"/>
      <c r="X118" s="233"/>
      <c r="Y118" s="233"/>
      <c r="Z118" s="233"/>
      <c r="AA118" s="233"/>
      <c r="AB118" s="241"/>
    </row>
    <row r="119" spans="1:28" s="215" customFormat="1">
      <c r="A119" s="608"/>
      <c r="B119" s="608"/>
      <c r="C119" s="608"/>
      <c r="D119" s="608"/>
      <c r="G119" s="216"/>
      <c r="H119" s="231"/>
      <c r="I119" s="236"/>
      <c r="J119" s="233"/>
      <c r="K119" s="241"/>
      <c r="L119" s="233"/>
      <c r="M119" s="233"/>
      <c r="P119" s="233"/>
      <c r="Q119" s="241"/>
      <c r="R119" s="233"/>
      <c r="S119" s="233"/>
      <c r="V119" s="233"/>
      <c r="W119" s="241"/>
      <c r="X119" s="233"/>
      <c r="Y119" s="233"/>
      <c r="Z119" s="233"/>
      <c r="AA119" s="233"/>
      <c r="AB119" s="241"/>
    </row>
    <row r="120" spans="1:28" s="217" customFormat="1">
      <c r="A120" s="608"/>
      <c r="B120" s="608"/>
      <c r="C120" s="608"/>
      <c r="D120" s="608"/>
      <c r="E120" s="215"/>
      <c r="F120" s="215"/>
      <c r="G120" s="216"/>
      <c r="H120" s="231"/>
      <c r="I120" s="236"/>
      <c r="J120" s="233"/>
      <c r="K120" s="241"/>
      <c r="L120" s="233"/>
      <c r="M120" s="233"/>
      <c r="N120" s="215"/>
      <c r="O120" s="215"/>
      <c r="P120" s="233"/>
      <c r="Q120" s="233"/>
      <c r="R120" s="233"/>
      <c r="S120" s="233"/>
      <c r="T120" s="215"/>
      <c r="U120" s="215"/>
      <c r="V120" s="233"/>
      <c r="W120" s="233"/>
      <c r="X120" s="233"/>
      <c r="Y120" s="233"/>
      <c r="Z120" s="233"/>
      <c r="AA120" s="233"/>
      <c r="AB120" s="233"/>
    </row>
    <row r="121" spans="1:28" s="215" customFormat="1">
      <c r="A121" s="608"/>
      <c r="B121" s="608"/>
      <c r="C121" s="608"/>
      <c r="D121" s="608"/>
      <c r="G121" s="216"/>
      <c r="H121" s="231"/>
      <c r="I121" s="236"/>
      <c r="J121" s="233"/>
      <c r="K121" s="233"/>
      <c r="L121" s="233"/>
      <c r="M121" s="233"/>
      <c r="P121" s="233"/>
      <c r="Q121" s="233"/>
      <c r="R121" s="233"/>
      <c r="S121" s="233"/>
      <c r="V121" s="233"/>
      <c r="W121" s="233"/>
      <c r="X121" s="233"/>
      <c r="Y121" s="233"/>
      <c r="Z121" s="233"/>
      <c r="AA121" s="233"/>
      <c r="AB121" s="233"/>
    </row>
    <row r="122" spans="1:28" s="215" customFormat="1">
      <c r="A122" s="608"/>
      <c r="B122" s="608"/>
      <c r="C122" s="608"/>
      <c r="D122" s="608"/>
      <c r="G122" s="216"/>
      <c r="H122" s="231"/>
      <c r="I122" s="236"/>
      <c r="J122" s="233"/>
      <c r="K122" s="233"/>
      <c r="L122" s="233"/>
      <c r="M122" s="233"/>
      <c r="P122" s="233"/>
      <c r="Q122" s="233"/>
      <c r="R122" s="233"/>
      <c r="S122" s="233"/>
      <c r="V122" s="233"/>
      <c r="W122" s="233"/>
      <c r="X122" s="233"/>
      <c r="Y122" s="233"/>
      <c r="Z122" s="233"/>
      <c r="AA122" s="233"/>
      <c r="AB122" s="233"/>
    </row>
    <row r="123" spans="1:28" s="215" customFormat="1">
      <c r="A123" s="608"/>
      <c r="B123" s="608"/>
      <c r="C123" s="608"/>
      <c r="D123" s="608"/>
      <c r="G123" s="216"/>
      <c r="H123" s="231"/>
      <c r="I123" s="236"/>
      <c r="J123" s="233"/>
      <c r="K123" s="233"/>
      <c r="L123" s="233"/>
      <c r="M123" s="233"/>
      <c r="P123" s="233"/>
      <c r="Q123" s="233"/>
      <c r="R123" s="233"/>
      <c r="S123" s="233"/>
      <c r="V123" s="233"/>
      <c r="W123" s="233"/>
      <c r="X123" s="233"/>
      <c r="Y123" s="233"/>
      <c r="Z123" s="233"/>
      <c r="AA123" s="233"/>
      <c r="AB123" s="233"/>
    </row>
    <row r="124" spans="1:28" s="215" customFormat="1">
      <c r="A124" s="608"/>
      <c r="B124" s="608"/>
      <c r="C124" s="608"/>
      <c r="D124" s="608"/>
      <c r="G124" s="216"/>
      <c r="H124" s="231"/>
      <c r="I124" s="236"/>
      <c r="J124" s="233"/>
      <c r="K124" s="233"/>
      <c r="L124" s="233"/>
      <c r="M124" s="233"/>
      <c r="P124" s="233"/>
      <c r="Q124" s="233"/>
      <c r="R124" s="233"/>
      <c r="S124" s="233"/>
      <c r="V124" s="233"/>
      <c r="W124" s="233"/>
      <c r="X124" s="233"/>
      <c r="Y124" s="233"/>
      <c r="Z124" s="233"/>
      <c r="AA124" s="233"/>
      <c r="AB124" s="233"/>
    </row>
    <row r="125" spans="1:28" s="215" customFormat="1">
      <c r="A125" s="608"/>
      <c r="B125" s="608"/>
      <c r="C125" s="608"/>
      <c r="D125" s="608"/>
      <c r="G125" s="216"/>
      <c r="H125" s="231"/>
      <c r="I125" s="236"/>
      <c r="J125" s="233"/>
      <c r="K125" s="233"/>
      <c r="L125" s="233"/>
      <c r="M125" s="233"/>
      <c r="P125" s="233"/>
      <c r="Q125" s="233"/>
      <c r="R125" s="233"/>
      <c r="S125" s="233"/>
      <c r="V125" s="233"/>
      <c r="W125" s="233"/>
      <c r="X125" s="233"/>
      <c r="Y125" s="233"/>
      <c r="Z125" s="233"/>
      <c r="AA125" s="233"/>
      <c r="AB125" s="233"/>
    </row>
    <row r="126" spans="1:28" s="215" customFormat="1">
      <c r="A126" s="608"/>
      <c r="B126" s="608"/>
      <c r="C126" s="608"/>
      <c r="D126" s="608"/>
      <c r="G126" s="216"/>
      <c r="H126" s="231"/>
      <c r="I126" s="236"/>
      <c r="J126" s="233"/>
      <c r="K126" s="233"/>
      <c r="L126" s="233"/>
      <c r="M126" s="233"/>
      <c r="P126" s="233"/>
      <c r="Q126" s="233"/>
      <c r="R126" s="233"/>
      <c r="S126" s="233"/>
      <c r="V126" s="233"/>
      <c r="W126" s="233"/>
      <c r="X126" s="233"/>
      <c r="Y126" s="233"/>
      <c r="Z126" s="233"/>
      <c r="AA126" s="233"/>
      <c r="AB126" s="233"/>
    </row>
    <row r="127" spans="1:28" s="215" customFormat="1">
      <c r="A127" s="608"/>
      <c r="B127" s="608"/>
      <c r="C127" s="608"/>
      <c r="D127" s="608"/>
      <c r="G127" s="216"/>
      <c r="H127" s="231"/>
      <c r="I127" s="236"/>
      <c r="J127" s="233"/>
      <c r="K127" s="233"/>
      <c r="L127" s="233"/>
      <c r="M127" s="233"/>
      <c r="P127" s="233"/>
      <c r="Q127" s="233"/>
      <c r="R127" s="233"/>
      <c r="S127" s="233"/>
      <c r="V127" s="233"/>
      <c r="W127" s="233"/>
      <c r="X127" s="233"/>
      <c r="Y127" s="233"/>
      <c r="Z127" s="233"/>
      <c r="AA127" s="233"/>
      <c r="AB127" s="233"/>
    </row>
    <row r="128" spans="1:28" s="215" customFormat="1">
      <c r="A128" s="608"/>
      <c r="B128" s="608"/>
      <c r="C128" s="608"/>
      <c r="D128" s="608"/>
      <c r="G128" s="216"/>
      <c r="H128" s="231"/>
      <c r="I128" s="236"/>
      <c r="J128" s="233"/>
      <c r="K128" s="233"/>
      <c r="L128" s="233"/>
      <c r="M128" s="233"/>
      <c r="P128" s="233"/>
      <c r="Q128" s="233"/>
      <c r="R128" s="233"/>
      <c r="S128" s="233"/>
      <c r="V128" s="233"/>
      <c r="W128" s="233"/>
      <c r="X128" s="233"/>
      <c r="Y128" s="233"/>
      <c r="Z128" s="233"/>
      <c r="AA128" s="233"/>
      <c r="AB128" s="233"/>
    </row>
    <row r="129" spans="1:28" s="215" customFormat="1">
      <c r="A129" s="608"/>
      <c r="B129" s="608"/>
      <c r="C129" s="608"/>
      <c r="D129" s="608"/>
      <c r="G129" s="216"/>
      <c r="H129" s="231"/>
      <c r="I129" s="236"/>
      <c r="J129" s="233"/>
      <c r="K129" s="233"/>
      <c r="L129" s="233"/>
      <c r="M129" s="233"/>
      <c r="P129" s="233"/>
      <c r="Q129" s="233"/>
      <c r="R129" s="233"/>
      <c r="S129" s="233"/>
      <c r="V129" s="233"/>
      <c r="W129" s="233"/>
      <c r="X129" s="233"/>
      <c r="Y129" s="233"/>
      <c r="Z129" s="233"/>
      <c r="AA129" s="233"/>
      <c r="AB129" s="233"/>
    </row>
    <row r="130" spans="1:28" s="215" customFormat="1">
      <c r="A130" s="608"/>
      <c r="B130" s="608"/>
      <c r="C130" s="608"/>
      <c r="D130" s="608"/>
      <c r="G130" s="216"/>
      <c r="H130" s="231"/>
      <c r="I130" s="236"/>
      <c r="J130" s="233"/>
      <c r="K130" s="233"/>
      <c r="L130" s="233"/>
      <c r="M130" s="233"/>
      <c r="P130" s="233"/>
      <c r="Q130" s="233"/>
      <c r="R130" s="233"/>
      <c r="S130" s="233"/>
      <c r="V130" s="233"/>
      <c r="W130" s="233"/>
      <c r="X130" s="233"/>
      <c r="Y130" s="233"/>
      <c r="Z130" s="233"/>
      <c r="AA130" s="233"/>
      <c r="AB130" s="233"/>
    </row>
    <row r="131" spans="1:28" s="215" customFormat="1">
      <c r="A131" s="608"/>
      <c r="B131" s="608"/>
      <c r="C131" s="608"/>
      <c r="D131" s="608"/>
      <c r="G131" s="216"/>
      <c r="H131" s="231"/>
      <c r="I131" s="236"/>
      <c r="J131" s="233"/>
      <c r="K131" s="233"/>
      <c r="L131" s="233"/>
      <c r="M131" s="233"/>
      <c r="P131" s="233"/>
      <c r="Q131" s="233"/>
      <c r="R131" s="233"/>
      <c r="S131" s="233"/>
      <c r="V131" s="233"/>
      <c r="W131" s="233"/>
      <c r="X131" s="233"/>
      <c r="Y131" s="233"/>
      <c r="Z131" s="233"/>
      <c r="AA131" s="233"/>
      <c r="AB131" s="233"/>
    </row>
    <row r="132" spans="1:28" s="215" customFormat="1">
      <c r="A132" s="608"/>
      <c r="B132" s="608"/>
      <c r="C132" s="608"/>
      <c r="D132" s="608"/>
      <c r="G132" s="216"/>
      <c r="H132" s="231"/>
      <c r="I132" s="236"/>
      <c r="J132" s="233"/>
      <c r="K132" s="233"/>
      <c r="L132" s="233"/>
      <c r="M132" s="233"/>
      <c r="P132" s="233"/>
      <c r="Q132" s="233"/>
      <c r="R132" s="233"/>
      <c r="S132" s="233"/>
      <c r="V132" s="233"/>
      <c r="W132" s="233"/>
      <c r="X132" s="233"/>
      <c r="Y132" s="233"/>
      <c r="Z132" s="233"/>
      <c r="AA132" s="233"/>
      <c r="AB132" s="233"/>
    </row>
    <row r="133" spans="1:28" s="215" customFormat="1">
      <c r="A133" s="608"/>
      <c r="B133" s="608"/>
      <c r="C133" s="608"/>
      <c r="D133" s="608"/>
      <c r="G133" s="216"/>
      <c r="H133" s="231"/>
      <c r="I133" s="236"/>
      <c r="J133" s="233"/>
      <c r="K133" s="233"/>
      <c r="L133" s="233"/>
      <c r="M133" s="233"/>
      <c r="P133" s="233"/>
      <c r="Q133" s="233"/>
      <c r="R133" s="233"/>
      <c r="S133" s="233"/>
      <c r="V133" s="233"/>
      <c r="W133" s="233"/>
      <c r="X133" s="233"/>
      <c r="Y133" s="233"/>
      <c r="Z133" s="233"/>
      <c r="AA133" s="233"/>
      <c r="AB133" s="233"/>
    </row>
    <row r="134" spans="1:28" s="215" customFormat="1">
      <c r="A134" s="608"/>
      <c r="B134" s="608"/>
      <c r="C134" s="608"/>
      <c r="D134" s="608"/>
      <c r="G134" s="216"/>
      <c r="H134" s="231"/>
      <c r="I134" s="236"/>
      <c r="J134" s="233"/>
      <c r="K134" s="233"/>
      <c r="L134" s="233"/>
      <c r="M134" s="233"/>
      <c r="P134" s="233"/>
      <c r="Q134" s="233"/>
      <c r="R134" s="233"/>
      <c r="S134" s="233"/>
      <c r="V134" s="233"/>
      <c r="W134" s="233"/>
      <c r="X134" s="233"/>
      <c r="Y134" s="233"/>
      <c r="Z134" s="233"/>
      <c r="AA134" s="233"/>
      <c r="AB134" s="233"/>
    </row>
    <row r="135" spans="1:28" s="215" customFormat="1">
      <c r="A135" s="608"/>
      <c r="B135" s="608"/>
      <c r="C135" s="608"/>
      <c r="D135" s="608"/>
      <c r="G135" s="216"/>
      <c r="H135" s="231"/>
      <c r="I135" s="236"/>
      <c r="J135" s="233"/>
      <c r="K135" s="233"/>
      <c r="L135" s="233"/>
      <c r="M135" s="233"/>
      <c r="P135" s="233"/>
      <c r="Q135" s="233"/>
      <c r="R135" s="233"/>
      <c r="S135" s="233"/>
      <c r="V135" s="233"/>
      <c r="W135" s="233"/>
      <c r="X135" s="233"/>
      <c r="Y135" s="233"/>
      <c r="Z135" s="233"/>
      <c r="AA135" s="233"/>
      <c r="AB135" s="233"/>
    </row>
    <row r="136" spans="1:28" s="215" customFormat="1">
      <c r="A136" s="608"/>
      <c r="B136" s="608"/>
      <c r="C136" s="608"/>
      <c r="D136" s="608"/>
      <c r="G136" s="216"/>
      <c r="H136" s="231"/>
      <c r="I136" s="236"/>
      <c r="J136" s="233"/>
      <c r="K136" s="233"/>
      <c r="L136" s="233"/>
      <c r="M136" s="233"/>
      <c r="P136" s="233"/>
      <c r="Q136" s="233"/>
      <c r="R136" s="233"/>
      <c r="S136" s="233"/>
      <c r="V136" s="233"/>
      <c r="W136" s="233"/>
      <c r="X136" s="233"/>
      <c r="Y136" s="233"/>
      <c r="Z136" s="233"/>
      <c r="AA136" s="233"/>
      <c r="AB136" s="233"/>
    </row>
    <row r="137" spans="1:28" s="215" customFormat="1">
      <c r="A137" s="608"/>
      <c r="B137" s="608"/>
      <c r="C137" s="608"/>
      <c r="D137" s="608"/>
      <c r="G137" s="216"/>
      <c r="H137" s="231"/>
      <c r="I137" s="236"/>
      <c r="J137" s="233"/>
      <c r="K137" s="233"/>
      <c r="L137" s="233"/>
      <c r="M137" s="233"/>
      <c r="P137" s="233"/>
      <c r="Q137" s="233"/>
      <c r="R137" s="233"/>
      <c r="S137" s="233"/>
      <c r="V137" s="233"/>
      <c r="W137" s="233"/>
      <c r="X137" s="233"/>
      <c r="Y137" s="233"/>
      <c r="Z137" s="233"/>
      <c r="AA137" s="233"/>
      <c r="AB137" s="233"/>
    </row>
    <row r="138" spans="1:28" s="215" customFormat="1">
      <c r="A138" s="608"/>
      <c r="B138" s="608"/>
      <c r="C138" s="608"/>
      <c r="D138" s="608"/>
      <c r="G138" s="216"/>
      <c r="H138" s="231"/>
      <c r="I138" s="236"/>
      <c r="J138" s="233"/>
      <c r="K138" s="233"/>
      <c r="L138" s="233"/>
      <c r="M138" s="233"/>
      <c r="P138" s="233"/>
      <c r="Q138" s="233"/>
      <c r="R138" s="233"/>
      <c r="S138" s="233"/>
      <c r="V138" s="233"/>
      <c r="W138" s="233"/>
      <c r="X138" s="233"/>
      <c r="Y138" s="233"/>
      <c r="Z138" s="233"/>
      <c r="AA138" s="233"/>
      <c r="AB138" s="233"/>
    </row>
    <row r="139" spans="1:28" s="215" customFormat="1">
      <c r="A139" s="608"/>
      <c r="B139" s="608"/>
      <c r="C139" s="608"/>
      <c r="D139" s="608"/>
      <c r="G139" s="216"/>
      <c r="H139" s="231"/>
      <c r="I139" s="236"/>
      <c r="J139" s="233"/>
      <c r="K139" s="233"/>
      <c r="L139" s="233"/>
      <c r="M139" s="233"/>
      <c r="P139" s="233"/>
      <c r="Q139" s="233"/>
      <c r="R139" s="233"/>
      <c r="S139" s="233"/>
      <c r="V139" s="233"/>
      <c r="W139" s="233"/>
      <c r="X139" s="233"/>
      <c r="Y139" s="233"/>
      <c r="Z139" s="233"/>
      <c r="AA139" s="233"/>
      <c r="AB139" s="233"/>
    </row>
    <row r="140" spans="1:28" s="215" customFormat="1">
      <c r="A140" s="608"/>
      <c r="B140" s="608"/>
      <c r="C140" s="608"/>
      <c r="D140" s="608"/>
      <c r="G140" s="216"/>
      <c r="H140" s="231"/>
      <c r="I140" s="236"/>
      <c r="J140" s="233"/>
      <c r="K140" s="233"/>
      <c r="L140" s="233"/>
      <c r="M140" s="233"/>
      <c r="P140" s="233"/>
      <c r="Q140" s="233"/>
      <c r="R140" s="233"/>
      <c r="S140" s="233"/>
      <c r="V140" s="233"/>
      <c r="W140" s="233"/>
      <c r="X140" s="233"/>
      <c r="Y140" s="233"/>
      <c r="Z140" s="233"/>
      <c r="AA140" s="233"/>
      <c r="AB140" s="233"/>
    </row>
    <row r="141" spans="1:28" s="215" customFormat="1">
      <c r="A141" s="608"/>
      <c r="B141" s="608"/>
      <c r="C141" s="608"/>
      <c r="D141" s="608"/>
      <c r="G141" s="216"/>
      <c r="H141" s="231"/>
      <c r="I141" s="236"/>
      <c r="J141" s="233"/>
      <c r="K141" s="233"/>
      <c r="L141" s="233"/>
      <c r="M141" s="233"/>
      <c r="P141" s="233"/>
      <c r="Q141" s="233"/>
      <c r="R141" s="233"/>
      <c r="S141" s="233"/>
      <c r="V141" s="233"/>
      <c r="W141" s="233"/>
      <c r="X141" s="233"/>
      <c r="Y141" s="233"/>
      <c r="Z141" s="233"/>
      <c r="AA141" s="233"/>
      <c r="AB141" s="233"/>
    </row>
    <row r="142" spans="1:28" s="215" customFormat="1">
      <c r="A142" s="608"/>
      <c r="B142" s="608"/>
      <c r="C142" s="608"/>
      <c r="D142" s="608"/>
      <c r="G142" s="216"/>
      <c r="H142" s="231"/>
      <c r="I142" s="236"/>
      <c r="J142" s="233"/>
      <c r="K142" s="233"/>
      <c r="L142" s="233"/>
      <c r="M142" s="233"/>
      <c r="P142" s="233"/>
      <c r="Q142" s="233"/>
      <c r="R142" s="233"/>
      <c r="S142" s="233"/>
      <c r="V142" s="233"/>
      <c r="W142" s="233"/>
      <c r="X142" s="233"/>
      <c r="Y142" s="233"/>
      <c r="Z142" s="233"/>
      <c r="AA142" s="233"/>
      <c r="AB142" s="233"/>
    </row>
    <row r="143" spans="1:28" s="215" customFormat="1">
      <c r="A143" s="608"/>
      <c r="B143" s="608"/>
      <c r="C143" s="608"/>
      <c r="D143" s="608"/>
      <c r="G143" s="216"/>
      <c r="H143" s="231"/>
      <c r="I143" s="236"/>
      <c r="J143" s="233"/>
      <c r="K143" s="233"/>
      <c r="L143" s="233"/>
      <c r="M143" s="233"/>
      <c r="P143" s="233"/>
      <c r="Q143" s="233"/>
      <c r="R143" s="233"/>
      <c r="S143" s="233"/>
      <c r="V143" s="233"/>
      <c r="W143" s="233"/>
      <c r="X143" s="233"/>
      <c r="Y143" s="233"/>
      <c r="Z143" s="233"/>
      <c r="AA143" s="233"/>
      <c r="AB143" s="233"/>
    </row>
    <row r="144" spans="1:28" s="215" customFormat="1">
      <c r="A144" s="608"/>
      <c r="B144" s="608"/>
      <c r="C144" s="608"/>
      <c r="D144" s="608"/>
      <c r="G144" s="216"/>
      <c r="H144" s="231"/>
      <c r="I144" s="236"/>
      <c r="J144" s="233"/>
      <c r="K144" s="233"/>
      <c r="L144" s="233"/>
      <c r="M144" s="233"/>
      <c r="P144" s="233"/>
      <c r="Q144" s="233"/>
      <c r="R144" s="233"/>
      <c r="S144" s="233"/>
      <c r="V144" s="233"/>
      <c r="W144" s="233"/>
      <c r="X144" s="233"/>
      <c r="Y144" s="233"/>
      <c r="Z144" s="233"/>
      <c r="AA144" s="233"/>
      <c r="AB144" s="233"/>
    </row>
    <row r="145" spans="1:28" s="215" customFormat="1">
      <c r="A145" s="608"/>
      <c r="B145" s="608"/>
      <c r="C145" s="608"/>
      <c r="D145" s="608"/>
      <c r="G145" s="216"/>
      <c r="H145" s="231"/>
      <c r="I145" s="236"/>
      <c r="J145" s="233"/>
      <c r="K145" s="233"/>
      <c r="L145" s="233"/>
      <c r="M145" s="233"/>
      <c r="P145" s="233"/>
      <c r="Q145" s="233"/>
      <c r="R145" s="233"/>
      <c r="S145" s="233"/>
      <c r="V145" s="233"/>
      <c r="W145" s="233"/>
      <c r="X145" s="233"/>
      <c r="Y145" s="233"/>
      <c r="Z145" s="233"/>
      <c r="AA145" s="233"/>
      <c r="AB145" s="233"/>
    </row>
    <row r="146" spans="1:28" s="215" customFormat="1">
      <c r="A146" s="608"/>
      <c r="B146" s="608"/>
      <c r="C146" s="608"/>
      <c r="D146" s="608"/>
      <c r="G146" s="216"/>
      <c r="H146" s="231"/>
      <c r="I146" s="236"/>
      <c r="J146" s="233"/>
      <c r="K146" s="233"/>
      <c r="L146" s="233"/>
      <c r="M146" s="233"/>
      <c r="P146" s="233"/>
      <c r="Q146" s="233"/>
      <c r="R146" s="233"/>
      <c r="S146" s="233"/>
      <c r="V146" s="233"/>
      <c r="W146" s="233"/>
      <c r="X146" s="233"/>
      <c r="Y146" s="233"/>
      <c r="Z146" s="233"/>
      <c r="AA146" s="233"/>
      <c r="AB146" s="233"/>
    </row>
    <row r="147" spans="1:28" s="215" customFormat="1">
      <c r="A147" s="608"/>
      <c r="B147" s="608"/>
      <c r="C147" s="608"/>
      <c r="D147" s="608"/>
      <c r="G147" s="216"/>
      <c r="H147" s="231"/>
      <c r="I147" s="236"/>
      <c r="J147" s="233"/>
      <c r="K147" s="233"/>
      <c r="L147" s="233"/>
      <c r="M147" s="233"/>
      <c r="P147" s="233"/>
      <c r="Q147" s="233"/>
      <c r="R147" s="233"/>
      <c r="S147" s="233"/>
      <c r="V147" s="233"/>
      <c r="W147" s="233"/>
      <c r="X147" s="233"/>
      <c r="Y147" s="233"/>
      <c r="Z147" s="233"/>
      <c r="AA147" s="233"/>
      <c r="AB147" s="233"/>
    </row>
    <row r="148" spans="1:28" s="215" customFormat="1">
      <c r="A148" s="608"/>
      <c r="B148" s="608"/>
      <c r="C148" s="608"/>
      <c r="D148" s="608"/>
      <c r="G148" s="216"/>
      <c r="H148" s="231"/>
      <c r="I148" s="236"/>
      <c r="J148" s="233"/>
      <c r="K148" s="233"/>
      <c r="L148" s="233"/>
      <c r="M148" s="233"/>
      <c r="P148" s="233"/>
      <c r="Q148" s="233"/>
      <c r="R148" s="233"/>
      <c r="S148" s="233"/>
      <c r="V148" s="233"/>
      <c r="W148" s="233"/>
      <c r="X148" s="233"/>
      <c r="Y148" s="233"/>
      <c r="Z148" s="233"/>
      <c r="AA148" s="233"/>
      <c r="AB148" s="233"/>
    </row>
    <row r="149" spans="1:28" s="215" customFormat="1">
      <c r="A149" s="608"/>
      <c r="B149" s="608"/>
      <c r="C149" s="608"/>
      <c r="D149" s="608"/>
      <c r="G149" s="216"/>
      <c r="H149" s="231"/>
      <c r="I149" s="236"/>
      <c r="J149" s="233"/>
      <c r="K149" s="233"/>
      <c r="L149" s="233"/>
      <c r="M149" s="233"/>
      <c r="P149" s="233"/>
      <c r="Q149" s="233"/>
      <c r="R149" s="233"/>
      <c r="S149" s="233"/>
      <c r="V149" s="233"/>
      <c r="W149" s="233"/>
      <c r="X149" s="233"/>
      <c r="Y149" s="233"/>
      <c r="Z149" s="233"/>
      <c r="AA149" s="233"/>
      <c r="AB149" s="233"/>
    </row>
    <row r="150" spans="1:28" s="215" customFormat="1">
      <c r="A150" s="608"/>
      <c r="B150" s="608"/>
      <c r="C150" s="608"/>
      <c r="D150" s="608"/>
      <c r="G150" s="216"/>
      <c r="H150" s="231"/>
      <c r="I150" s="236"/>
      <c r="J150" s="233"/>
      <c r="K150" s="233"/>
      <c r="L150" s="233"/>
      <c r="M150" s="233"/>
      <c r="P150" s="233"/>
      <c r="Q150" s="233"/>
      <c r="R150" s="233"/>
      <c r="S150" s="233"/>
      <c r="V150" s="233"/>
      <c r="W150" s="233"/>
      <c r="X150" s="233"/>
      <c r="Y150" s="233"/>
      <c r="Z150" s="233"/>
      <c r="AA150" s="233"/>
      <c r="AB150" s="233"/>
    </row>
    <row r="151" spans="1:28" s="215" customFormat="1">
      <c r="A151" s="608"/>
      <c r="B151" s="608"/>
      <c r="C151" s="608"/>
      <c r="D151" s="608"/>
      <c r="G151" s="216"/>
      <c r="H151" s="231"/>
      <c r="I151" s="236"/>
      <c r="J151" s="233"/>
      <c r="K151" s="233"/>
      <c r="L151" s="233"/>
      <c r="M151" s="233"/>
      <c r="P151" s="233"/>
      <c r="Q151" s="233"/>
      <c r="R151" s="233"/>
      <c r="S151" s="233"/>
      <c r="V151" s="233"/>
      <c r="W151" s="233"/>
      <c r="X151" s="233"/>
      <c r="Y151" s="233"/>
      <c r="Z151" s="233"/>
      <c r="AA151" s="233"/>
      <c r="AB151" s="233"/>
    </row>
    <row r="152" spans="1:28" s="215" customFormat="1">
      <c r="A152" s="608"/>
      <c r="B152" s="608"/>
      <c r="C152" s="608"/>
      <c r="D152" s="608"/>
      <c r="G152" s="216"/>
      <c r="H152" s="231"/>
      <c r="I152" s="236"/>
      <c r="J152" s="233"/>
      <c r="K152" s="233"/>
      <c r="L152" s="233"/>
      <c r="M152" s="233"/>
      <c r="P152" s="233"/>
      <c r="Q152" s="233"/>
      <c r="R152" s="233"/>
      <c r="S152" s="233"/>
      <c r="V152" s="233"/>
      <c r="W152" s="233"/>
      <c r="X152" s="233"/>
      <c r="Y152" s="233"/>
      <c r="Z152" s="233"/>
      <c r="AA152" s="233"/>
      <c r="AB152" s="233"/>
    </row>
    <row r="153" spans="1:28" s="215" customFormat="1">
      <c r="A153" s="608"/>
      <c r="B153" s="608"/>
      <c r="C153" s="608"/>
      <c r="D153" s="608"/>
      <c r="G153" s="216"/>
      <c r="H153" s="231"/>
      <c r="I153" s="236"/>
      <c r="J153" s="233"/>
      <c r="K153" s="233"/>
      <c r="L153" s="233"/>
      <c r="M153" s="233"/>
      <c r="P153" s="233"/>
      <c r="Q153" s="233"/>
      <c r="R153" s="233"/>
      <c r="S153" s="233"/>
      <c r="V153" s="233"/>
      <c r="W153" s="233"/>
      <c r="X153" s="233"/>
      <c r="Y153" s="233"/>
      <c r="Z153" s="233"/>
      <c r="AA153" s="233"/>
      <c r="AB153" s="233"/>
    </row>
    <row r="154" spans="1:28" s="215" customFormat="1">
      <c r="A154" s="608"/>
      <c r="B154" s="608"/>
      <c r="C154" s="608"/>
      <c r="D154" s="608"/>
      <c r="G154" s="216"/>
      <c r="H154" s="231"/>
      <c r="I154" s="236"/>
      <c r="J154" s="233"/>
      <c r="K154" s="233"/>
      <c r="L154" s="233"/>
      <c r="M154" s="233"/>
      <c r="P154" s="233"/>
      <c r="Q154" s="233"/>
      <c r="R154" s="233"/>
      <c r="S154" s="233"/>
      <c r="V154" s="233"/>
      <c r="W154" s="233"/>
      <c r="X154" s="233"/>
      <c r="Y154" s="233"/>
      <c r="Z154" s="233"/>
      <c r="AA154" s="233"/>
      <c r="AB154" s="233"/>
    </row>
    <row r="155" spans="1:28" s="215" customFormat="1">
      <c r="A155" s="608"/>
      <c r="B155" s="608"/>
      <c r="C155" s="608"/>
      <c r="D155" s="608"/>
      <c r="G155" s="216"/>
      <c r="H155" s="231"/>
      <c r="I155" s="236"/>
      <c r="J155" s="233"/>
      <c r="K155" s="233"/>
      <c r="L155" s="233"/>
      <c r="M155" s="233"/>
      <c r="P155" s="233"/>
      <c r="Q155" s="233"/>
      <c r="R155" s="233"/>
      <c r="S155" s="233"/>
      <c r="V155" s="233"/>
      <c r="W155" s="233"/>
      <c r="X155" s="233"/>
      <c r="Y155" s="233"/>
      <c r="Z155" s="233"/>
      <c r="AA155" s="233"/>
      <c r="AB155" s="233"/>
    </row>
    <row r="156" spans="1:28" s="215" customFormat="1">
      <c r="A156" s="608"/>
      <c r="B156" s="608"/>
      <c r="C156" s="608"/>
      <c r="D156" s="608"/>
      <c r="G156" s="216"/>
      <c r="H156" s="231"/>
      <c r="I156" s="236"/>
      <c r="J156" s="233"/>
      <c r="K156" s="233"/>
      <c r="L156" s="233"/>
      <c r="M156" s="233"/>
      <c r="P156" s="233"/>
      <c r="Q156" s="233"/>
      <c r="R156" s="233"/>
      <c r="S156" s="233"/>
      <c r="V156" s="233"/>
      <c r="W156" s="233"/>
      <c r="X156" s="233"/>
      <c r="Y156" s="233"/>
      <c r="Z156" s="233"/>
      <c r="AA156" s="233"/>
      <c r="AB156" s="233"/>
    </row>
    <row r="157" spans="1:28" s="215" customFormat="1">
      <c r="A157" s="608"/>
      <c r="B157" s="608"/>
      <c r="C157" s="608"/>
      <c r="D157" s="608"/>
      <c r="G157" s="216"/>
      <c r="H157" s="231"/>
      <c r="I157" s="236"/>
      <c r="J157" s="233"/>
      <c r="K157" s="233"/>
      <c r="L157" s="233"/>
      <c r="M157" s="233"/>
      <c r="P157" s="233"/>
      <c r="Q157" s="233"/>
      <c r="R157" s="233"/>
      <c r="S157" s="233"/>
      <c r="V157" s="233"/>
      <c r="W157" s="233"/>
      <c r="X157" s="233"/>
      <c r="Y157" s="233"/>
      <c r="Z157" s="233"/>
      <c r="AA157" s="233"/>
      <c r="AB157" s="233"/>
    </row>
    <row r="158" spans="1:28" s="215" customFormat="1">
      <c r="A158" s="608"/>
      <c r="B158" s="608"/>
      <c r="C158" s="608"/>
      <c r="D158" s="608"/>
      <c r="G158" s="216"/>
      <c r="H158" s="231"/>
      <c r="I158" s="236"/>
      <c r="J158" s="233"/>
      <c r="K158" s="233"/>
      <c r="L158" s="233"/>
      <c r="M158" s="233"/>
      <c r="P158" s="233"/>
      <c r="Q158" s="233"/>
      <c r="R158" s="233"/>
      <c r="S158" s="233"/>
      <c r="V158" s="233"/>
      <c r="W158" s="233"/>
      <c r="X158" s="233"/>
      <c r="Y158" s="233"/>
      <c r="Z158" s="233"/>
      <c r="AA158" s="233"/>
      <c r="AB158" s="233"/>
    </row>
    <row r="159" spans="1:28" s="215" customFormat="1">
      <c r="A159" s="608"/>
      <c r="B159" s="608"/>
      <c r="C159" s="608"/>
      <c r="D159" s="608"/>
      <c r="G159" s="216"/>
      <c r="H159" s="231"/>
      <c r="I159" s="236"/>
      <c r="J159" s="233"/>
      <c r="K159" s="233"/>
      <c r="L159" s="233"/>
      <c r="M159" s="233"/>
      <c r="P159" s="233"/>
      <c r="Q159" s="233"/>
      <c r="R159" s="233"/>
      <c r="S159" s="233"/>
      <c r="V159" s="233"/>
      <c r="W159" s="233"/>
      <c r="X159" s="233"/>
      <c r="Y159" s="233"/>
      <c r="Z159" s="233"/>
      <c r="AA159" s="233"/>
      <c r="AB159" s="233"/>
    </row>
    <row r="160" spans="1:28" s="215" customFormat="1">
      <c r="A160" s="608"/>
      <c r="B160" s="608"/>
      <c r="C160" s="608"/>
      <c r="D160" s="608"/>
      <c r="G160" s="216"/>
      <c r="H160" s="231"/>
      <c r="I160" s="236"/>
      <c r="J160" s="233"/>
      <c r="K160" s="233"/>
      <c r="L160" s="233"/>
      <c r="M160" s="233"/>
      <c r="P160" s="233"/>
      <c r="Q160" s="233"/>
      <c r="R160" s="233"/>
      <c r="S160" s="233"/>
      <c r="V160" s="233"/>
      <c r="W160" s="233"/>
      <c r="X160" s="233"/>
      <c r="Y160" s="233"/>
      <c r="Z160" s="233"/>
      <c r="AA160" s="233"/>
      <c r="AB160" s="233"/>
    </row>
    <row r="161" spans="1:28" s="215" customFormat="1">
      <c r="A161" s="608"/>
      <c r="B161" s="608"/>
      <c r="C161" s="608"/>
      <c r="D161" s="608"/>
      <c r="G161" s="216"/>
      <c r="H161" s="231"/>
      <c r="I161" s="236"/>
      <c r="J161" s="233"/>
      <c r="K161" s="233"/>
      <c r="L161" s="233"/>
      <c r="M161" s="233"/>
      <c r="P161" s="233"/>
      <c r="Q161" s="233"/>
      <c r="R161" s="233"/>
      <c r="S161" s="233"/>
      <c r="V161" s="233"/>
      <c r="W161" s="233"/>
      <c r="X161" s="233"/>
      <c r="Y161" s="233"/>
      <c r="Z161" s="233"/>
      <c r="AA161" s="233"/>
      <c r="AB161" s="233"/>
    </row>
    <row r="162" spans="1:28" s="215" customFormat="1">
      <c r="A162" s="608"/>
      <c r="B162" s="608"/>
      <c r="C162" s="608"/>
      <c r="D162" s="608"/>
      <c r="G162" s="216"/>
      <c r="H162" s="231"/>
      <c r="I162" s="236"/>
      <c r="J162" s="233"/>
      <c r="K162" s="233"/>
      <c r="L162" s="233"/>
      <c r="M162" s="233"/>
      <c r="P162" s="233"/>
      <c r="Q162" s="233"/>
      <c r="R162" s="233"/>
      <c r="S162" s="233"/>
      <c r="V162" s="233"/>
      <c r="W162" s="233"/>
      <c r="X162" s="233"/>
      <c r="Y162" s="233"/>
      <c r="Z162" s="233"/>
      <c r="AA162" s="233"/>
      <c r="AB162" s="233"/>
    </row>
    <row r="163" spans="1:28" s="215" customFormat="1">
      <c r="A163" s="608"/>
      <c r="B163" s="608"/>
      <c r="C163" s="608"/>
      <c r="D163" s="608"/>
      <c r="G163" s="216"/>
      <c r="H163" s="231"/>
      <c r="I163" s="236"/>
      <c r="J163" s="233"/>
      <c r="K163" s="233"/>
      <c r="L163" s="233"/>
      <c r="M163" s="233"/>
      <c r="P163" s="233"/>
      <c r="Q163" s="233"/>
      <c r="R163" s="233"/>
      <c r="S163" s="233"/>
      <c r="V163" s="233"/>
      <c r="W163" s="233"/>
      <c r="X163" s="233"/>
      <c r="Y163" s="233"/>
      <c r="Z163" s="233"/>
      <c r="AA163" s="233"/>
      <c r="AB163" s="233"/>
    </row>
    <row r="164" spans="1:28" s="215" customFormat="1">
      <c r="A164" s="608"/>
      <c r="B164" s="608"/>
      <c r="C164" s="608"/>
      <c r="D164" s="608"/>
      <c r="G164" s="216"/>
      <c r="H164" s="231"/>
      <c r="I164" s="236"/>
      <c r="J164" s="233"/>
      <c r="K164" s="233"/>
      <c r="L164" s="233"/>
      <c r="M164" s="233"/>
      <c r="P164" s="233"/>
      <c r="Q164" s="233"/>
      <c r="R164" s="233"/>
      <c r="S164" s="233"/>
      <c r="V164" s="233"/>
      <c r="W164" s="233"/>
      <c r="X164" s="233"/>
      <c r="Y164" s="233"/>
      <c r="Z164" s="233"/>
      <c r="AA164" s="233"/>
      <c r="AB164" s="233"/>
    </row>
    <row r="165" spans="1:28" s="215" customFormat="1">
      <c r="A165" s="608"/>
      <c r="B165" s="608"/>
      <c r="C165" s="608"/>
      <c r="D165" s="608"/>
      <c r="G165" s="216"/>
      <c r="H165" s="231"/>
      <c r="I165" s="236"/>
      <c r="J165" s="233"/>
      <c r="K165" s="233"/>
      <c r="L165" s="233"/>
      <c r="M165" s="233"/>
      <c r="P165" s="233"/>
      <c r="Q165" s="233"/>
      <c r="R165" s="233"/>
      <c r="S165" s="233"/>
      <c r="V165" s="233"/>
      <c r="W165" s="233"/>
      <c r="X165" s="233"/>
      <c r="Y165" s="233"/>
      <c r="Z165" s="233"/>
      <c r="AA165" s="233"/>
      <c r="AB165" s="233"/>
    </row>
    <row r="166" spans="1:28" s="215" customFormat="1">
      <c r="A166" s="608"/>
      <c r="B166" s="608"/>
      <c r="C166" s="608"/>
      <c r="D166" s="608"/>
      <c r="G166" s="216"/>
      <c r="H166" s="231"/>
      <c r="I166" s="236"/>
      <c r="J166" s="233"/>
      <c r="K166" s="233"/>
      <c r="L166" s="233"/>
      <c r="M166" s="233"/>
      <c r="P166" s="233"/>
      <c r="Q166" s="233"/>
      <c r="R166" s="233"/>
      <c r="S166" s="233"/>
      <c r="V166" s="233"/>
      <c r="W166" s="233"/>
      <c r="X166" s="233"/>
      <c r="Y166" s="233"/>
      <c r="Z166" s="233"/>
      <c r="AA166" s="233"/>
      <c r="AB166" s="233"/>
    </row>
    <row r="167" spans="1:28" s="215" customFormat="1">
      <c r="A167" s="608"/>
      <c r="B167" s="608"/>
      <c r="C167" s="608"/>
      <c r="D167" s="608"/>
      <c r="G167" s="216"/>
      <c r="H167" s="231"/>
      <c r="I167" s="236"/>
      <c r="J167" s="233"/>
      <c r="K167" s="233"/>
      <c r="L167" s="233"/>
      <c r="M167" s="233"/>
      <c r="P167" s="233"/>
      <c r="Q167" s="233"/>
      <c r="R167" s="233"/>
      <c r="S167" s="233"/>
      <c r="V167" s="233"/>
      <c r="W167" s="233"/>
      <c r="X167" s="233"/>
      <c r="Y167" s="233"/>
      <c r="Z167" s="233"/>
      <c r="AA167" s="233"/>
      <c r="AB167" s="233"/>
    </row>
    <row r="168" spans="1:28" s="215" customFormat="1">
      <c r="A168" s="608"/>
      <c r="B168" s="608"/>
      <c r="C168" s="608"/>
      <c r="D168" s="608"/>
      <c r="G168" s="216"/>
      <c r="H168" s="231"/>
      <c r="I168" s="236"/>
      <c r="J168" s="233"/>
      <c r="K168" s="233"/>
      <c r="L168" s="233"/>
      <c r="M168" s="233"/>
      <c r="P168" s="233"/>
      <c r="Q168" s="233"/>
      <c r="R168" s="233"/>
      <c r="S168" s="233"/>
      <c r="V168" s="233"/>
      <c r="W168" s="233"/>
      <c r="X168" s="233"/>
      <c r="Y168" s="233"/>
      <c r="Z168" s="233"/>
      <c r="AA168" s="233"/>
      <c r="AB168" s="233"/>
    </row>
    <row r="169" spans="1:28" s="215" customFormat="1">
      <c r="A169" s="608"/>
      <c r="B169" s="608"/>
      <c r="C169" s="608"/>
      <c r="D169" s="608"/>
      <c r="G169" s="216"/>
      <c r="H169" s="231"/>
      <c r="I169" s="236"/>
      <c r="J169" s="233"/>
      <c r="K169" s="233"/>
      <c r="L169" s="233"/>
      <c r="M169" s="233"/>
      <c r="P169" s="233"/>
      <c r="Q169" s="233"/>
      <c r="R169" s="233"/>
      <c r="S169" s="233"/>
      <c r="V169" s="233"/>
      <c r="W169" s="233"/>
      <c r="X169" s="233"/>
      <c r="Y169" s="233"/>
      <c r="Z169" s="233"/>
      <c r="AA169" s="233"/>
      <c r="AB169" s="233"/>
    </row>
    <row r="170" spans="1:28" s="215" customFormat="1">
      <c r="A170" s="608"/>
      <c r="B170" s="608"/>
      <c r="C170" s="608"/>
      <c r="D170" s="608"/>
      <c r="G170" s="216"/>
      <c r="H170" s="231"/>
      <c r="I170" s="236"/>
      <c r="J170" s="233"/>
      <c r="K170" s="233"/>
      <c r="L170" s="233"/>
      <c r="M170" s="233"/>
      <c r="P170" s="233"/>
      <c r="Q170" s="233"/>
      <c r="R170" s="233"/>
      <c r="S170" s="233"/>
      <c r="V170" s="233"/>
      <c r="W170" s="233"/>
      <c r="X170" s="233"/>
      <c r="Y170" s="233"/>
      <c r="Z170" s="233"/>
      <c r="AA170" s="233"/>
      <c r="AB170" s="233"/>
    </row>
    <row r="171" spans="1:28" s="215" customFormat="1">
      <c r="A171" s="608"/>
      <c r="B171" s="608"/>
      <c r="C171" s="608"/>
      <c r="D171" s="608"/>
      <c r="G171" s="216"/>
      <c r="H171" s="231"/>
      <c r="I171" s="236"/>
      <c r="J171" s="233"/>
      <c r="K171" s="233"/>
      <c r="L171" s="233"/>
      <c r="M171" s="233"/>
      <c r="P171" s="233"/>
      <c r="Q171" s="233"/>
      <c r="R171" s="233"/>
      <c r="S171" s="233"/>
      <c r="V171" s="233"/>
      <c r="W171" s="233"/>
      <c r="X171" s="233"/>
      <c r="Y171" s="233"/>
      <c r="Z171" s="233"/>
      <c r="AA171" s="233"/>
      <c r="AB171" s="233"/>
    </row>
    <row r="172" spans="1:28" s="215" customFormat="1">
      <c r="A172" s="608"/>
      <c r="B172" s="608"/>
      <c r="C172" s="608"/>
      <c r="D172" s="608"/>
      <c r="G172" s="216"/>
      <c r="H172" s="231"/>
      <c r="I172" s="236"/>
      <c r="J172" s="233"/>
      <c r="K172" s="233"/>
      <c r="L172" s="233"/>
      <c r="M172" s="233"/>
      <c r="P172" s="233"/>
      <c r="Q172" s="233"/>
      <c r="R172" s="233"/>
      <c r="S172" s="233"/>
      <c r="V172" s="233"/>
      <c r="W172" s="233"/>
      <c r="X172" s="233"/>
      <c r="Y172" s="233"/>
      <c r="Z172" s="233"/>
      <c r="AA172" s="233"/>
      <c r="AB172" s="233"/>
    </row>
    <row r="173" spans="1:28" s="215" customFormat="1">
      <c r="A173" s="608"/>
      <c r="B173" s="608"/>
      <c r="C173" s="608"/>
      <c r="D173" s="608"/>
      <c r="G173" s="216"/>
      <c r="H173" s="231"/>
      <c r="I173" s="236"/>
      <c r="J173" s="233"/>
      <c r="K173" s="233"/>
      <c r="L173" s="233"/>
      <c r="M173" s="233"/>
      <c r="P173" s="233"/>
      <c r="Q173" s="233"/>
      <c r="R173" s="233"/>
      <c r="S173" s="233"/>
      <c r="V173" s="233"/>
      <c r="W173" s="233"/>
      <c r="X173" s="233"/>
      <c r="Y173" s="233"/>
      <c r="Z173" s="233"/>
      <c r="AA173" s="233"/>
      <c r="AB173" s="233"/>
    </row>
    <row r="174" spans="1:28" s="215" customFormat="1">
      <c r="A174" s="608"/>
      <c r="B174" s="608"/>
      <c r="C174" s="608"/>
      <c r="D174" s="608"/>
      <c r="G174" s="216"/>
      <c r="H174" s="231"/>
      <c r="I174" s="236"/>
      <c r="J174" s="233"/>
      <c r="K174" s="233"/>
      <c r="L174" s="233"/>
      <c r="M174" s="233"/>
      <c r="P174" s="233"/>
      <c r="Q174" s="233"/>
      <c r="R174" s="233"/>
      <c r="S174" s="233"/>
      <c r="V174" s="233"/>
      <c r="W174" s="233"/>
      <c r="X174" s="233"/>
      <c r="Y174" s="233"/>
      <c r="Z174" s="233"/>
      <c r="AA174" s="233"/>
      <c r="AB174" s="233"/>
    </row>
    <row r="175" spans="1:28" s="215" customFormat="1">
      <c r="A175" s="608"/>
      <c r="B175" s="608"/>
      <c r="C175" s="608"/>
      <c r="D175" s="608"/>
      <c r="G175" s="216"/>
      <c r="H175" s="231"/>
      <c r="I175" s="236"/>
      <c r="J175" s="233"/>
      <c r="K175" s="233"/>
      <c r="L175" s="233"/>
      <c r="M175" s="233"/>
      <c r="P175" s="233"/>
      <c r="Q175" s="233"/>
      <c r="R175" s="233"/>
      <c r="S175" s="233"/>
      <c r="V175" s="233"/>
      <c r="W175" s="233"/>
      <c r="X175" s="233"/>
      <c r="Y175" s="233"/>
      <c r="Z175" s="233"/>
      <c r="AA175" s="233"/>
      <c r="AB175" s="233"/>
    </row>
    <row r="176" spans="1:28" s="215" customFormat="1">
      <c r="A176" s="608"/>
      <c r="B176" s="608"/>
      <c r="C176" s="608"/>
      <c r="D176" s="608"/>
      <c r="G176" s="216"/>
      <c r="H176" s="231"/>
      <c r="I176" s="236"/>
      <c r="J176" s="233"/>
      <c r="K176" s="233"/>
      <c r="L176" s="233"/>
      <c r="M176" s="233"/>
      <c r="P176" s="233"/>
      <c r="Q176" s="233"/>
      <c r="R176" s="233"/>
      <c r="S176" s="233"/>
      <c r="V176" s="233"/>
      <c r="W176" s="233"/>
      <c r="X176" s="233"/>
      <c r="Y176" s="233"/>
      <c r="Z176" s="233"/>
      <c r="AA176" s="233"/>
      <c r="AB176" s="233"/>
    </row>
    <row r="177" spans="1:28" s="215" customFormat="1">
      <c r="A177" s="608"/>
      <c r="B177" s="608"/>
      <c r="C177" s="608"/>
      <c r="D177" s="608"/>
      <c r="G177" s="216"/>
      <c r="H177" s="231"/>
      <c r="I177" s="236"/>
      <c r="J177" s="233"/>
      <c r="K177" s="233"/>
      <c r="L177" s="233"/>
      <c r="M177" s="233"/>
      <c r="P177" s="233"/>
      <c r="Q177" s="233"/>
      <c r="R177" s="233"/>
      <c r="S177" s="233"/>
      <c r="V177" s="233"/>
      <c r="W177" s="233"/>
      <c r="X177" s="233"/>
      <c r="Y177" s="233"/>
      <c r="Z177" s="233"/>
      <c r="AA177" s="233"/>
      <c r="AB177" s="233"/>
    </row>
    <row r="178" spans="1:28" s="215" customFormat="1">
      <c r="A178" s="608"/>
      <c r="B178" s="608"/>
      <c r="C178" s="608"/>
      <c r="D178" s="608"/>
      <c r="G178" s="216"/>
      <c r="H178" s="231"/>
      <c r="I178" s="236"/>
      <c r="J178" s="233"/>
      <c r="K178" s="233"/>
      <c r="L178" s="233"/>
      <c r="M178" s="233"/>
      <c r="P178" s="233"/>
      <c r="Q178" s="233"/>
      <c r="R178" s="233"/>
      <c r="S178" s="233"/>
      <c r="V178" s="233"/>
      <c r="W178" s="233"/>
      <c r="X178" s="233"/>
      <c r="Y178" s="233"/>
      <c r="Z178" s="233"/>
      <c r="AA178" s="233"/>
      <c r="AB178" s="233"/>
    </row>
    <row r="179" spans="1:28" s="215" customFormat="1">
      <c r="A179" s="608"/>
      <c r="B179" s="608"/>
      <c r="C179" s="608"/>
      <c r="D179" s="608"/>
      <c r="G179" s="216"/>
      <c r="H179" s="231"/>
      <c r="I179" s="236"/>
      <c r="J179" s="233"/>
      <c r="K179" s="233"/>
      <c r="L179" s="233"/>
      <c r="M179" s="233"/>
      <c r="P179" s="233"/>
      <c r="Q179" s="233"/>
      <c r="R179" s="233"/>
      <c r="S179" s="233"/>
      <c r="V179" s="233"/>
      <c r="W179" s="233"/>
      <c r="X179" s="233"/>
      <c r="Y179" s="233"/>
      <c r="Z179" s="233"/>
      <c r="AA179" s="233"/>
      <c r="AB179" s="233"/>
    </row>
    <row r="180" spans="1:28" s="215" customFormat="1">
      <c r="A180" s="608"/>
      <c r="B180" s="608"/>
      <c r="C180" s="608"/>
      <c r="D180" s="608"/>
      <c r="G180" s="216"/>
      <c r="H180" s="231"/>
      <c r="I180" s="236"/>
      <c r="J180" s="233"/>
      <c r="K180" s="233"/>
      <c r="L180" s="233"/>
      <c r="M180" s="233"/>
      <c r="P180" s="233"/>
      <c r="Q180" s="233"/>
      <c r="R180" s="233"/>
      <c r="S180" s="233"/>
      <c r="V180" s="233"/>
      <c r="W180" s="233"/>
      <c r="X180" s="233"/>
      <c r="Y180" s="233"/>
      <c r="Z180" s="233"/>
      <c r="AA180" s="233"/>
      <c r="AB180" s="233"/>
    </row>
    <row r="181" spans="1:28" s="215" customFormat="1">
      <c r="A181" s="608"/>
      <c r="B181" s="608"/>
      <c r="C181" s="608"/>
      <c r="D181" s="608"/>
      <c r="G181" s="216"/>
      <c r="H181" s="231"/>
      <c r="I181" s="236"/>
      <c r="J181" s="233"/>
      <c r="K181" s="233"/>
      <c r="L181" s="233"/>
      <c r="M181" s="233"/>
      <c r="P181" s="233"/>
      <c r="Q181" s="233"/>
      <c r="R181" s="233"/>
      <c r="S181" s="233"/>
      <c r="V181" s="233"/>
      <c r="W181" s="233"/>
      <c r="X181" s="233"/>
      <c r="Y181" s="233"/>
      <c r="Z181" s="233"/>
      <c r="AA181" s="233"/>
      <c r="AB181" s="233"/>
    </row>
    <row r="182" spans="1:28" s="215" customFormat="1">
      <c r="A182" s="608"/>
      <c r="B182" s="608"/>
      <c r="C182" s="608"/>
      <c r="D182" s="608"/>
      <c r="G182" s="216"/>
      <c r="H182" s="231"/>
      <c r="I182" s="236"/>
      <c r="J182" s="233"/>
      <c r="K182" s="233"/>
      <c r="L182" s="233"/>
      <c r="M182" s="233"/>
      <c r="P182" s="233"/>
      <c r="Q182" s="233"/>
      <c r="R182" s="233"/>
      <c r="S182" s="233"/>
      <c r="V182" s="233"/>
      <c r="W182" s="233"/>
      <c r="X182" s="233"/>
      <c r="Y182" s="233"/>
      <c r="Z182" s="233"/>
      <c r="AA182" s="233"/>
      <c r="AB182" s="233"/>
    </row>
    <row r="183" spans="1:28" s="215" customFormat="1">
      <c r="A183" s="608"/>
      <c r="B183" s="608"/>
      <c r="C183" s="608"/>
      <c r="D183" s="608"/>
      <c r="G183" s="216"/>
      <c r="H183" s="231"/>
      <c r="I183" s="236"/>
      <c r="J183" s="233"/>
      <c r="K183" s="233"/>
      <c r="L183" s="233"/>
      <c r="M183" s="233"/>
      <c r="P183" s="233"/>
      <c r="Q183" s="233"/>
      <c r="R183" s="233"/>
      <c r="S183" s="233"/>
      <c r="V183" s="233"/>
      <c r="W183" s="233"/>
      <c r="X183" s="233"/>
      <c r="Y183" s="233"/>
      <c r="Z183" s="233"/>
      <c r="AA183" s="233"/>
      <c r="AB183" s="233"/>
    </row>
    <row r="184" spans="1:28" s="215" customFormat="1">
      <c r="A184" s="608"/>
      <c r="B184" s="608"/>
      <c r="C184" s="608"/>
      <c r="D184" s="608"/>
      <c r="G184" s="216"/>
      <c r="H184" s="231"/>
      <c r="I184" s="236"/>
      <c r="J184" s="233"/>
      <c r="K184" s="233"/>
      <c r="L184" s="233"/>
      <c r="M184" s="233"/>
      <c r="P184" s="233"/>
      <c r="Q184" s="233"/>
      <c r="R184" s="233"/>
      <c r="S184" s="233"/>
      <c r="V184" s="233"/>
      <c r="W184" s="233"/>
      <c r="X184" s="233"/>
      <c r="Y184" s="233"/>
      <c r="Z184" s="233"/>
      <c r="AA184" s="233"/>
      <c r="AB184" s="233"/>
    </row>
    <row r="185" spans="1:28" s="215" customFormat="1">
      <c r="A185" s="608"/>
      <c r="B185" s="608"/>
      <c r="C185" s="608"/>
      <c r="D185" s="608"/>
      <c r="G185" s="216"/>
      <c r="H185" s="231"/>
      <c r="I185" s="236"/>
      <c r="J185" s="233"/>
      <c r="K185" s="233"/>
      <c r="L185" s="233"/>
      <c r="M185" s="233"/>
      <c r="P185" s="233"/>
      <c r="Q185" s="233"/>
      <c r="R185" s="233"/>
      <c r="S185" s="233"/>
      <c r="V185" s="233"/>
      <c r="W185" s="233"/>
      <c r="X185" s="233"/>
      <c r="Y185" s="233"/>
      <c r="Z185" s="233"/>
      <c r="AA185" s="233"/>
      <c r="AB185" s="233"/>
    </row>
    <row r="186" spans="1:28" s="215" customFormat="1">
      <c r="A186" s="608"/>
      <c r="B186" s="608"/>
      <c r="C186" s="608"/>
      <c r="D186" s="608"/>
      <c r="G186" s="216"/>
      <c r="H186" s="231"/>
      <c r="I186" s="236"/>
      <c r="J186" s="233"/>
      <c r="K186" s="233"/>
      <c r="L186" s="233"/>
      <c r="M186" s="233"/>
      <c r="P186" s="233"/>
      <c r="Q186" s="233"/>
      <c r="R186" s="233"/>
      <c r="S186" s="233"/>
      <c r="V186" s="233"/>
      <c r="W186" s="233"/>
      <c r="X186" s="233"/>
      <c r="Y186" s="233"/>
      <c r="Z186" s="233"/>
      <c r="AA186" s="233"/>
      <c r="AB186" s="233"/>
    </row>
    <row r="187" spans="1:28" s="215" customFormat="1">
      <c r="A187" s="608"/>
      <c r="B187" s="608"/>
      <c r="C187" s="608"/>
      <c r="D187" s="608"/>
      <c r="G187" s="216"/>
      <c r="H187" s="231"/>
      <c r="I187" s="236"/>
      <c r="J187" s="233"/>
      <c r="K187" s="233"/>
      <c r="L187" s="233"/>
      <c r="M187" s="233"/>
      <c r="P187" s="233"/>
      <c r="Q187" s="233"/>
      <c r="R187" s="233"/>
      <c r="S187" s="233"/>
      <c r="V187" s="233"/>
      <c r="W187" s="233"/>
      <c r="X187" s="233"/>
      <c r="Y187" s="233"/>
      <c r="Z187" s="233"/>
      <c r="AA187" s="233"/>
      <c r="AB187" s="233"/>
    </row>
    <row r="188" spans="1:28" s="215" customFormat="1">
      <c r="A188" s="608"/>
      <c r="B188" s="608"/>
      <c r="C188" s="608"/>
      <c r="D188" s="608"/>
      <c r="G188" s="216"/>
      <c r="H188" s="231"/>
      <c r="I188" s="236"/>
      <c r="J188" s="233"/>
      <c r="K188" s="233"/>
      <c r="L188" s="233"/>
      <c r="M188" s="233"/>
      <c r="P188" s="233"/>
      <c r="Q188" s="233"/>
      <c r="R188" s="233"/>
      <c r="S188" s="233"/>
      <c r="V188" s="233"/>
      <c r="W188" s="233"/>
      <c r="X188" s="233"/>
      <c r="Y188" s="233"/>
      <c r="Z188" s="233"/>
      <c r="AA188" s="233"/>
      <c r="AB188" s="233"/>
    </row>
    <row r="189" spans="1:28" s="215" customFormat="1">
      <c r="A189" s="608"/>
      <c r="B189" s="608"/>
      <c r="C189" s="608"/>
      <c r="D189" s="608"/>
      <c r="G189" s="216"/>
      <c r="H189" s="231"/>
      <c r="I189" s="236"/>
      <c r="J189" s="233"/>
      <c r="K189" s="233"/>
      <c r="L189" s="233"/>
      <c r="M189" s="233"/>
      <c r="P189" s="233"/>
      <c r="Q189" s="233"/>
      <c r="R189" s="233"/>
      <c r="S189" s="233"/>
      <c r="V189" s="233"/>
      <c r="W189" s="233"/>
      <c r="X189" s="233"/>
      <c r="Y189" s="233"/>
      <c r="Z189" s="233"/>
      <c r="AA189" s="233"/>
      <c r="AB189" s="233"/>
    </row>
    <row r="190" spans="1:28" s="215" customFormat="1">
      <c r="A190" s="608"/>
      <c r="B190" s="608"/>
      <c r="C190" s="608"/>
      <c r="D190" s="608"/>
      <c r="G190" s="216"/>
      <c r="H190" s="231"/>
      <c r="I190" s="236"/>
      <c r="J190" s="233"/>
      <c r="K190" s="233"/>
      <c r="L190" s="233"/>
      <c r="M190" s="233"/>
      <c r="P190" s="233"/>
      <c r="Q190" s="233"/>
      <c r="R190" s="233"/>
      <c r="S190" s="233"/>
      <c r="V190" s="233"/>
      <c r="W190" s="233"/>
      <c r="X190" s="233"/>
      <c r="Y190" s="233"/>
      <c r="Z190" s="233"/>
      <c r="AA190" s="233"/>
      <c r="AB190" s="233"/>
    </row>
    <row r="191" spans="1:28" s="215" customFormat="1">
      <c r="A191" s="608"/>
      <c r="B191" s="608"/>
      <c r="C191" s="608"/>
      <c r="D191" s="608"/>
      <c r="G191" s="216"/>
      <c r="H191" s="231"/>
      <c r="I191" s="236"/>
      <c r="J191" s="233"/>
      <c r="K191" s="233"/>
      <c r="L191" s="233"/>
      <c r="M191" s="233"/>
      <c r="P191" s="233"/>
      <c r="Q191" s="233"/>
      <c r="R191" s="233"/>
      <c r="S191" s="233"/>
      <c r="V191" s="233"/>
      <c r="W191" s="233"/>
      <c r="X191" s="233"/>
      <c r="Y191" s="233"/>
      <c r="Z191" s="233"/>
      <c r="AA191" s="233"/>
      <c r="AB191" s="233"/>
    </row>
    <row r="192" spans="1:28" s="215" customFormat="1">
      <c r="A192" s="608"/>
      <c r="B192" s="608"/>
      <c r="C192" s="608"/>
      <c r="D192" s="608"/>
      <c r="G192" s="216"/>
      <c r="H192" s="231"/>
      <c r="I192" s="236"/>
      <c r="J192" s="233"/>
      <c r="K192" s="233"/>
      <c r="L192" s="233"/>
      <c r="M192" s="233"/>
      <c r="P192" s="233"/>
      <c r="Q192" s="233"/>
      <c r="R192" s="233"/>
      <c r="S192" s="233"/>
      <c r="V192" s="233"/>
      <c r="W192" s="233"/>
      <c r="X192" s="233"/>
      <c r="Y192" s="233"/>
      <c r="Z192" s="233"/>
      <c r="AA192" s="233"/>
      <c r="AB192" s="233"/>
    </row>
    <row r="193" spans="1:28" s="215" customFormat="1">
      <c r="A193" s="608"/>
      <c r="B193" s="608"/>
      <c r="C193" s="608"/>
      <c r="D193" s="608"/>
      <c r="G193" s="216"/>
      <c r="H193" s="231"/>
      <c r="I193" s="236"/>
      <c r="J193" s="233"/>
      <c r="K193" s="233"/>
      <c r="L193" s="233"/>
      <c r="M193" s="233"/>
      <c r="P193" s="233"/>
      <c r="Q193" s="233"/>
      <c r="R193" s="233"/>
      <c r="S193" s="233"/>
      <c r="V193" s="233"/>
      <c r="W193" s="233"/>
      <c r="X193" s="233"/>
      <c r="Y193" s="233"/>
      <c r="Z193" s="233"/>
      <c r="AA193" s="233"/>
      <c r="AB193" s="233"/>
    </row>
    <row r="194" spans="1:28" s="215" customFormat="1">
      <c r="A194" s="608"/>
      <c r="B194" s="608"/>
      <c r="C194" s="608"/>
      <c r="D194" s="608"/>
      <c r="G194" s="216"/>
      <c r="H194" s="231"/>
      <c r="I194" s="236"/>
      <c r="J194" s="233"/>
      <c r="K194" s="233"/>
      <c r="L194" s="233"/>
      <c r="M194" s="233"/>
      <c r="P194" s="233"/>
      <c r="Q194" s="233"/>
      <c r="R194" s="233"/>
      <c r="S194" s="233"/>
      <c r="V194" s="233"/>
      <c r="W194" s="233"/>
      <c r="X194" s="233"/>
      <c r="Y194" s="233"/>
      <c r="Z194" s="233"/>
      <c r="AA194" s="233"/>
      <c r="AB194" s="233"/>
    </row>
    <row r="195" spans="1:28" s="215" customFormat="1">
      <c r="A195" s="608"/>
      <c r="B195" s="608"/>
      <c r="C195" s="608"/>
      <c r="D195" s="608"/>
      <c r="G195" s="216"/>
      <c r="H195" s="231"/>
      <c r="I195" s="236"/>
      <c r="J195" s="233"/>
      <c r="K195" s="233"/>
      <c r="L195" s="233"/>
      <c r="M195" s="233"/>
      <c r="P195" s="233"/>
      <c r="Q195" s="233"/>
      <c r="R195" s="233"/>
      <c r="S195" s="233"/>
      <c r="V195" s="233"/>
      <c r="W195" s="233"/>
      <c r="X195" s="233"/>
      <c r="Y195" s="233"/>
      <c r="Z195" s="233"/>
      <c r="AA195" s="233"/>
      <c r="AB195" s="233"/>
    </row>
    <row r="196" spans="1:28" s="215" customFormat="1">
      <c r="A196" s="608"/>
      <c r="B196" s="608"/>
      <c r="C196" s="608"/>
      <c r="D196" s="608"/>
      <c r="G196" s="216"/>
      <c r="H196" s="231"/>
      <c r="I196" s="236"/>
      <c r="J196" s="233"/>
      <c r="K196" s="233"/>
      <c r="L196" s="233"/>
      <c r="M196" s="233"/>
      <c r="P196" s="233"/>
      <c r="Q196" s="233"/>
      <c r="R196" s="233"/>
      <c r="S196" s="233"/>
      <c r="V196" s="233"/>
      <c r="W196" s="233"/>
      <c r="X196" s="233"/>
      <c r="Y196" s="233"/>
      <c r="Z196" s="233"/>
      <c r="AA196" s="233"/>
      <c r="AB196" s="233"/>
    </row>
    <row r="197" spans="1:28" s="215" customFormat="1">
      <c r="A197" s="608"/>
      <c r="B197" s="608"/>
      <c r="C197" s="608"/>
      <c r="D197" s="608"/>
      <c r="G197" s="216"/>
      <c r="H197" s="231"/>
      <c r="I197" s="236"/>
      <c r="J197" s="233"/>
      <c r="K197" s="233"/>
      <c r="L197" s="233"/>
      <c r="M197" s="233"/>
      <c r="P197" s="233"/>
      <c r="Q197" s="233"/>
      <c r="R197" s="233"/>
      <c r="S197" s="233"/>
      <c r="V197" s="233"/>
      <c r="W197" s="233"/>
      <c r="X197" s="233"/>
      <c r="Y197" s="233"/>
      <c r="Z197" s="233"/>
      <c r="AA197" s="233"/>
      <c r="AB197" s="233"/>
    </row>
    <row r="198" spans="1:28" s="215" customFormat="1">
      <c r="A198" s="608"/>
      <c r="B198" s="608"/>
      <c r="C198" s="608"/>
      <c r="D198" s="608"/>
      <c r="G198" s="216"/>
      <c r="H198" s="231"/>
      <c r="I198" s="236"/>
      <c r="J198" s="233"/>
      <c r="K198" s="233"/>
      <c r="L198" s="233"/>
      <c r="M198" s="233"/>
      <c r="P198" s="233"/>
      <c r="Q198" s="233"/>
      <c r="R198" s="233"/>
      <c r="S198" s="233"/>
      <c r="V198" s="233"/>
      <c r="W198" s="233"/>
      <c r="X198" s="233"/>
      <c r="Y198" s="233"/>
      <c r="Z198" s="233"/>
      <c r="AA198" s="233"/>
      <c r="AB198" s="233"/>
    </row>
    <row r="199" spans="1:28" s="215" customFormat="1">
      <c r="A199" s="608"/>
      <c r="B199" s="608"/>
      <c r="C199" s="608"/>
      <c r="D199" s="608"/>
      <c r="G199" s="216"/>
      <c r="H199" s="231"/>
      <c r="I199" s="236"/>
      <c r="J199" s="233"/>
      <c r="K199" s="233"/>
      <c r="L199" s="233"/>
      <c r="M199" s="233"/>
      <c r="P199" s="233"/>
      <c r="Q199" s="233"/>
      <c r="R199" s="233"/>
      <c r="S199" s="233"/>
      <c r="V199" s="233"/>
      <c r="W199" s="233"/>
      <c r="X199" s="233"/>
      <c r="Y199" s="233"/>
      <c r="Z199" s="233"/>
      <c r="AA199" s="233"/>
      <c r="AB199" s="233"/>
    </row>
    <row r="200" spans="1:28" s="215" customFormat="1">
      <c r="A200" s="608"/>
      <c r="B200" s="608"/>
      <c r="C200" s="608"/>
      <c r="D200" s="608"/>
      <c r="G200" s="216"/>
      <c r="H200" s="231"/>
      <c r="I200" s="236"/>
      <c r="J200" s="233"/>
      <c r="K200" s="233"/>
      <c r="L200" s="233"/>
      <c r="M200" s="233"/>
      <c r="P200" s="233"/>
      <c r="Q200" s="233"/>
      <c r="R200" s="233"/>
      <c r="S200" s="233"/>
      <c r="V200" s="233"/>
      <c r="W200" s="233"/>
      <c r="X200" s="233"/>
      <c r="Y200" s="233"/>
      <c r="Z200" s="233"/>
      <c r="AA200" s="233"/>
      <c r="AB200" s="233"/>
    </row>
    <row r="201" spans="1:28" s="215" customFormat="1">
      <c r="A201" s="608"/>
      <c r="B201" s="608"/>
      <c r="C201" s="608"/>
      <c r="D201" s="608"/>
      <c r="G201" s="216"/>
      <c r="H201" s="231"/>
      <c r="I201" s="236"/>
      <c r="J201" s="233"/>
      <c r="K201" s="233"/>
      <c r="L201" s="233"/>
      <c r="M201" s="233"/>
      <c r="P201" s="233"/>
      <c r="Q201" s="233"/>
      <c r="R201" s="233"/>
      <c r="S201" s="233"/>
      <c r="V201" s="233"/>
      <c r="W201" s="233"/>
      <c r="X201" s="233"/>
      <c r="Y201" s="233"/>
      <c r="Z201" s="233"/>
      <c r="AA201" s="233"/>
      <c r="AB201" s="233"/>
    </row>
    <row r="202" spans="1:28" s="215" customFormat="1">
      <c r="A202" s="608"/>
      <c r="B202" s="608"/>
      <c r="C202" s="608"/>
      <c r="D202" s="608"/>
      <c r="G202" s="216"/>
      <c r="H202" s="231"/>
      <c r="I202" s="236"/>
      <c r="J202" s="233"/>
      <c r="K202" s="233"/>
      <c r="L202" s="233"/>
      <c r="M202" s="233"/>
      <c r="P202" s="233"/>
      <c r="Q202" s="233"/>
      <c r="R202" s="233"/>
      <c r="S202" s="233"/>
      <c r="V202" s="233"/>
      <c r="W202" s="233"/>
      <c r="X202" s="233"/>
      <c r="Y202" s="233"/>
      <c r="Z202" s="233"/>
      <c r="AA202" s="233"/>
      <c r="AB202" s="233"/>
    </row>
    <row r="203" spans="1:28" s="215" customFormat="1">
      <c r="A203" s="608"/>
      <c r="B203" s="608"/>
      <c r="C203" s="608"/>
      <c r="D203" s="608"/>
      <c r="G203" s="216"/>
      <c r="H203" s="231"/>
      <c r="I203" s="236"/>
      <c r="J203" s="233"/>
      <c r="K203" s="233"/>
      <c r="L203" s="233"/>
      <c r="M203" s="233"/>
      <c r="P203" s="233"/>
      <c r="Q203" s="233"/>
      <c r="R203" s="233"/>
      <c r="S203" s="233"/>
      <c r="V203" s="233"/>
      <c r="W203" s="233"/>
      <c r="X203" s="233"/>
      <c r="Y203" s="233"/>
      <c r="Z203" s="233"/>
      <c r="AA203" s="233"/>
      <c r="AB203" s="233"/>
    </row>
    <row r="204" spans="1:28" s="215" customFormat="1">
      <c r="A204" s="608"/>
      <c r="B204" s="608"/>
      <c r="C204" s="608"/>
      <c r="D204" s="608"/>
      <c r="G204" s="216"/>
      <c r="H204" s="231"/>
      <c r="I204" s="236"/>
      <c r="J204" s="233"/>
      <c r="K204" s="233"/>
      <c r="L204" s="233"/>
      <c r="M204" s="233"/>
      <c r="P204" s="233"/>
      <c r="Q204" s="233"/>
      <c r="R204" s="233"/>
      <c r="S204" s="233"/>
      <c r="V204" s="233"/>
      <c r="W204" s="233"/>
      <c r="X204" s="233"/>
      <c r="Y204" s="233"/>
      <c r="Z204" s="233"/>
      <c r="AA204" s="233"/>
      <c r="AB204" s="233"/>
    </row>
    <row r="205" spans="1:28" s="215" customFormat="1">
      <c r="A205" s="608"/>
      <c r="B205" s="608"/>
      <c r="C205" s="608"/>
      <c r="D205" s="608"/>
      <c r="G205" s="216"/>
      <c r="H205" s="231"/>
      <c r="I205" s="236"/>
      <c r="J205" s="233"/>
      <c r="K205" s="233"/>
      <c r="L205" s="233"/>
      <c r="M205" s="233"/>
      <c r="P205" s="233"/>
      <c r="Q205" s="233"/>
      <c r="R205" s="233"/>
      <c r="S205" s="233"/>
      <c r="V205" s="233"/>
      <c r="W205" s="233"/>
      <c r="X205" s="233"/>
      <c r="Y205" s="233"/>
      <c r="Z205" s="233"/>
      <c r="AA205" s="233"/>
      <c r="AB205" s="233"/>
    </row>
    <row r="206" spans="1:28" s="215" customFormat="1">
      <c r="A206" s="608"/>
      <c r="B206" s="608"/>
      <c r="C206" s="608"/>
      <c r="D206" s="608"/>
      <c r="G206" s="216"/>
      <c r="H206" s="231"/>
      <c r="I206" s="236"/>
      <c r="J206" s="233"/>
      <c r="K206" s="233"/>
      <c r="L206" s="233"/>
      <c r="M206" s="233"/>
      <c r="P206" s="233"/>
      <c r="Q206" s="233"/>
      <c r="R206" s="233"/>
      <c r="S206" s="233"/>
      <c r="V206" s="233"/>
      <c r="W206" s="233"/>
      <c r="X206" s="233"/>
      <c r="Y206" s="233"/>
      <c r="Z206" s="233"/>
      <c r="AA206" s="233"/>
      <c r="AB206" s="233"/>
    </row>
    <row r="207" spans="1:28" s="215" customFormat="1">
      <c r="A207" s="608"/>
      <c r="B207" s="608"/>
      <c r="C207" s="608"/>
      <c r="D207" s="608"/>
      <c r="G207" s="216"/>
      <c r="H207" s="231"/>
      <c r="I207" s="236"/>
      <c r="J207" s="233"/>
      <c r="K207" s="233"/>
      <c r="L207" s="233"/>
      <c r="M207" s="233"/>
      <c r="P207" s="233"/>
      <c r="Q207" s="233"/>
      <c r="R207" s="233"/>
      <c r="S207" s="233"/>
      <c r="V207" s="233"/>
      <c r="W207" s="233"/>
      <c r="X207" s="233"/>
      <c r="Y207" s="233"/>
      <c r="Z207" s="233"/>
      <c r="AA207" s="233"/>
      <c r="AB207" s="233"/>
    </row>
    <row r="208" spans="1:28" s="215" customFormat="1">
      <c r="A208" s="608"/>
      <c r="B208" s="608"/>
      <c r="C208" s="608"/>
      <c r="D208" s="608"/>
      <c r="G208" s="216"/>
      <c r="H208" s="231"/>
      <c r="I208" s="236"/>
      <c r="J208" s="233"/>
      <c r="K208" s="233"/>
      <c r="L208" s="233"/>
      <c r="M208" s="233"/>
      <c r="P208" s="233"/>
      <c r="Q208" s="233"/>
      <c r="R208" s="233"/>
      <c r="S208" s="233"/>
      <c r="V208" s="233"/>
      <c r="W208" s="233"/>
      <c r="X208" s="233"/>
      <c r="Y208" s="233"/>
      <c r="Z208" s="233"/>
      <c r="AA208" s="233"/>
      <c r="AB208" s="233"/>
    </row>
    <row r="209" spans="1:28" s="215" customFormat="1">
      <c r="A209" s="608"/>
      <c r="B209" s="608"/>
      <c r="C209" s="608"/>
      <c r="D209" s="608"/>
      <c r="G209" s="216"/>
      <c r="H209" s="231"/>
      <c r="I209" s="236"/>
      <c r="J209" s="233"/>
      <c r="K209" s="233"/>
      <c r="L209" s="233"/>
      <c r="M209" s="233"/>
      <c r="P209" s="233"/>
      <c r="Q209" s="233"/>
      <c r="R209" s="233"/>
      <c r="S209" s="233"/>
      <c r="V209" s="233"/>
      <c r="W209" s="233"/>
      <c r="X209" s="233"/>
      <c r="Y209" s="233"/>
      <c r="Z209" s="233"/>
      <c r="AA209" s="233"/>
      <c r="AB209" s="233"/>
    </row>
    <row r="210" spans="1:28" s="215" customFormat="1">
      <c r="A210" s="608"/>
      <c r="B210" s="608"/>
      <c r="C210" s="608"/>
      <c r="D210" s="608"/>
      <c r="G210" s="216"/>
      <c r="H210" s="231"/>
      <c r="I210" s="236"/>
      <c r="J210" s="233"/>
      <c r="K210" s="233"/>
      <c r="L210" s="233"/>
      <c r="M210" s="233"/>
      <c r="P210" s="233"/>
      <c r="Q210" s="233"/>
      <c r="R210" s="233"/>
      <c r="S210" s="233"/>
      <c r="V210" s="233"/>
      <c r="W210" s="233"/>
      <c r="X210" s="233"/>
      <c r="Y210" s="233"/>
      <c r="Z210" s="233"/>
      <c r="AA210" s="233"/>
      <c r="AB210" s="233"/>
    </row>
    <row r="211" spans="1:28" s="215" customFormat="1">
      <c r="A211" s="608"/>
      <c r="B211" s="608"/>
      <c r="C211" s="608"/>
      <c r="D211" s="608"/>
      <c r="G211" s="216"/>
      <c r="H211" s="231"/>
      <c r="I211" s="236"/>
      <c r="J211" s="233"/>
      <c r="K211" s="233"/>
      <c r="L211" s="233"/>
      <c r="M211" s="233"/>
      <c r="P211" s="233"/>
      <c r="Q211" s="233"/>
      <c r="R211" s="233"/>
      <c r="S211" s="233"/>
      <c r="V211" s="233"/>
      <c r="W211" s="233"/>
      <c r="X211" s="233"/>
      <c r="Y211" s="233"/>
      <c r="Z211" s="233"/>
      <c r="AA211" s="233"/>
      <c r="AB211" s="233"/>
    </row>
    <row r="212" spans="1:28" s="215" customFormat="1">
      <c r="A212" s="608"/>
      <c r="B212" s="608"/>
      <c r="C212" s="608"/>
      <c r="D212" s="608"/>
      <c r="G212" s="216"/>
      <c r="H212" s="231"/>
      <c r="I212" s="236"/>
      <c r="J212" s="233"/>
      <c r="K212" s="233"/>
      <c r="L212" s="233"/>
      <c r="M212" s="233"/>
      <c r="P212" s="233"/>
      <c r="Q212" s="233"/>
      <c r="R212" s="233"/>
      <c r="S212" s="233"/>
      <c r="V212" s="233"/>
      <c r="W212" s="233"/>
      <c r="X212" s="233"/>
      <c r="Y212" s="233"/>
      <c r="Z212" s="233"/>
      <c r="AA212" s="233"/>
      <c r="AB212" s="233"/>
    </row>
    <row r="213" spans="1:28" s="215" customFormat="1">
      <c r="A213" s="608"/>
      <c r="B213" s="608"/>
      <c r="C213" s="608"/>
      <c r="D213" s="608"/>
      <c r="G213" s="216"/>
      <c r="H213" s="231"/>
      <c r="I213" s="236"/>
      <c r="J213" s="233"/>
      <c r="K213" s="233"/>
      <c r="L213" s="233"/>
      <c r="M213" s="233"/>
      <c r="P213" s="233"/>
      <c r="Q213" s="233"/>
      <c r="R213" s="233"/>
      <c r="S213" s="233"/>
      <c r="V213" s="233"/>
      <c r="W213" s="233"/>
      <c r="X213" s="233"/>
      <c r="Y213" s="233"/>
      <c r="Z213" s="233"/>
      <c r="AA213" s="233"/>
      <c r="AB213" s="233"/>
    </row>
    <row r="214" spans="1:28" s="215" customFormat="1">
      <c r="A214" s="608"/>
      <c r="B214" s="608"/>
      <c r="C214" s="608"/>
      <c r="D214" s="608"/>
      <c r="G214" s="216"/>
      <c r="H214" s="231"/>
      <c r="I214" s="236"/>
      <c r="J214" s="233"/>
      <c r="K214" s="233"/>
      <c r="L214" s="233"/>
      <c r="M214" s="233"/>
      <c r="P214" s="233"/>
      <c r="Q214" s="233"/>
      <c r="R214" s="233"/>
      <c r="S214" s="233"/>
      <c r="V214" s="233"/>
      <c r="W214" s="233"/>
      <c r="X214" s="233"/>
      <c r="Y214" s="233"/>
      <c r="Z214" s="233"/>
      <c r="AA214" s="233"/>
      <c r="AB214" s="233"/>
    </row>
    <row r="215" spans="1:28" s="215" customFormat="1">
      <c r="A215" s="608"/>
      <c r="B215" s="608"/>
      <c r="C215" s="608"/>
      <c r="D215" s="608"/>
      <c r="G215" s="216"/>
      <c r="H215" s="231"/>
      <c r="I215" s="236"/>
      <c r="J215" s="233"/>
      <c r="K215" s="233"/>
      <c r="L215" s="233"/>
      <c r="M215" s="233"/>
      <c r="P215" s="233"/>
      <c r="Q215" s="233"/>
      <c r="R215" s="233"/>
      <c r="S215" s="233"/>
      <c r="V215" s="233"/>
      <c r="W215" s="233"/>
      <c r="X215" s="233"/>
      <c r="Y215" s="233"/>
      <c r="Z215" s="233"/>
      <c r="AA215" s="233"/>
      <c r="AB215" s="233"/>
    </row>
    <row r="216" spans="1:28" s="215" customFormat="1">
      <c r="A216" s="608"/>
      <c r="B216" s="608"/>
      <c r="C216" s="608"/>
      <c r="D216" s="608"/>
      <c r="G216" s="216"/>
      <c r="H216" s="231"/>
      <c r="I216" s="236"/>
      <c r="J216" s="233"/>
      <c r="K216" s="233"/>
      <c r="L216" s="233"/>
      <c r="M216" s="233"/>
      <c r="P216" s="233"/>
      <c r="Q216" s="233"/>
      <c r="R216" s="233"/>
      <c r="S216" s="233"/>
      <c r="V216" s="233"/>
      <c r="W216" s="233"/>
      <c r="X216" s="233"/>
      <c r="Y216" s="233"/>
      <c r="Z216" s="233"/>
      <c r="AA216" s="233"/>
      <c r="AB216" s="233"/>
    </row>
    <row r="217" spans="1:28" s="215" customFormat="1">
      <c r="A217" s="608"/>
      <c r="B217" s="608"/>
      <c r="C217" s="608"/>
      <c r="D217" s="608"/>
      <c r="G217" s="216"/>
      <c r="H217" s="231"/>
      <c r="I217" s="236"/>
      <c r="J217" s="233"/>
      <c r="K217" s="233"/>
      <c r="L217" s="233"/>
      <c r="M217" s="233"/>
      <c r="P217" s="233"/>
      <c r="Q217" s="233"/>
      <c r="R217" s="233"/>
      <c r="S217" s="233"/>
      <c r="V217" s="233"/>
      <c r="W217" s="233"/>
      <c r="X217" s="233"/>
      <c r="Y217" s="233"/>
      <c r="Z217" s="233"/>
      <c r="AA217" s="233"/>
      <c r="AB217" s="233"/>
    </row>
    <row r="218" spans="1:28" s="215" customFormat="1">
      <c r="A218" s="608"/>
      <c r="B218" s="608"/>
      <c r="C218" s="608"/>
      <c r="D218" s="608"/>
      <c r="G218" s="216"/>
      <c r="H218" s="231"/>
      <c r="I218" s="236"/>
      <c r="J218" s="233"/>
      <c r="K218" s="233"/>
      <c r="L218" s="233"/>
      <c r="M218" s="233"/>
      <c r="P218" s="233"/>
      <c r="Q218" s="233"/>
      <c r="R218" s="233"/>
      <c r="S218" s="233"/>
      <c r="V218" s="233"/>
      <c r="W218" s="233"/>
      <c r="X218" s="233"/>
      <c r="Y218" s="233"/>
      <c r="Z218" s="233"/>
      <c r="AA218" s="233"/>
      <c r="AB218" s="233"/>
    </row>
    <row r="219" spans="1:28" s="215" customFormat="1">
      <c r="A219" s="608"/>
      <c r="B219" s="608"/>
      <c r="C219" s="608"/>
      <c r="D219" s="608"/>
      <c r="G219" s="216"/>
      <c r="H219" s="231"/>
      <c r="I219" s="236"/>
      <c r="J219" s="233"/>
      <c r="K219" s="233"/>
      <c r="L219" s="233"/>
      <c r="M219" s="233"/>
      <c r="P219" s="233"/>
      <c r="Q219" s="233"/>
      <c r="R219" s="233"/>
      <c r="S219" s="233"/>
      <c r="V219" s="233"/>
      <c r="W219" s="233"/>
      <c r="X219" s="233"/>
      <c r="Y219" s="233"/>
      <c r="Z219" s="233"/>
      <c r="AA219" s="233"/>
      <c r="AB219" s="233"/>
    </row>
    <row r="220" spans="1:28" s="215" customFormat="1">
      <c r="A220" s="608"/>
      <c r="B220" s="608"/>
      <c r="C220" s="608"/>
      <c r="D220" s="608"/>
      <c r="G220" s="216"/>
      <c r="H220" s="231"/>
      <c r="I220" s="236"/>
      <c r="J220" s="233"/>
      <c r="K220" s="233"/>
      <c r="L220" s="233"/>
      <c r="M220" s="233"/>
      <c r="P220" s="233"/>
      <c r="Q220" s="233"/>
      <c r="R220" s="233"/>
      <c r="S220" s="233"/>
      <c r="V220" s="233"/>
      <c r="W220" s="233"/>
      <c r="X220" s="233"/>
      <c r="Y220" s="233"/>
      <c r="Z220" s="233"/>
      <c r="AA220" s="233"/>
      <c r="AB220" s="233"/>
    </row>
    <row r="221" spans="1:28" s="215" customFormat="1">
      <c r="A221" s="608"/>
      <c r="B221" s="608"/>
      <c r="C221" s="608"/>
      <c r="D221" s="608"/>
      <c r="G221" s="216"/>
      <c r="H221" s="231"/>
      <c r="I221" s="236"/>
      <c r="J221" s="233"/>
      <c r="K221" s="233"/>
      <c r="L221" s="233"/>
      <c r="M221" s="233"/>
      <c r="P221" s="233"/>
      <c r="Q221" s="233"/>
      <c r="R221" s="233"/>
      <c r="S221" s="233"/>
      <c r="V221" s="233"/>
      <c r="W221" s="233"/>
      <c r="X221" s="233"/>
      <c r="Y221" s="233"/>
      <c r="Z221" s="233"/>
      <c r="AA221" s="233"/>
      <c r="AB221" s="233"/>
    </row>
    <row r="222" spans="1:28" s="215" customFormat="1">
      <c r="A222" s="608"/>
      <c r="B222" s="608"/>
      <c r="C222" s="608"/>
      <c r="D222" s="608"/>
      <c r="G222" s="216"/>
      <c r="H222" s="231"/>
      <c r="I222" s="236"/>
      <c r="J222" s="233"/>
      <c r="K222" s="233"/>
      <c r="L222" s="233"/>
      <c r="M222" s="233"/>
      <c r="P222" s="233"/>
      <c r="Q222" s="233"/>
      <c r="R222" s="233"/>
      <c r="S222" s="233"/>
      <c r="V222" s="233"/>
      <c r="W222" s="233"/>
      <c r="X222" s="233"/>
      <c r="Y222" s="233"/>
      <c r="Z222" s="233"/>
      <c r="AA222" s="233"/>
      <c r="AB222" s="233"/>
    </row>
    <row r="223" spans="1:28" s="215" customFormat="1">
      <c r="A223" s="608"/>
      <c r="B223" s="608"/>
      <c r="C223" s="608"/>
      <c r="D223" s="608"/>
      <c r="G223" s="216"/>
      <c r="H223" s="231"/>
      <c r="I223" s="236"/>
      <c r="J223" s="233"/>
      <c r="K223" s="233"/>
      <c r="L223" s="233"/>
      <c r="M223" s="233"/>
      <c r="P223" s="233"/>
      <c r="Q223" s="233"/>
      <c r="R223" s="233"/>
      <c r="S223" s="233"/>
      <c r="V223" s="233"/>
      <c r="W223" s="233"/>
      <c r="X223" s="233"/>
      <c r="Y223" s="233"/>
      <c r="Z223" s="233"/>
      <c r="AA223" s="233"/>
      <c r="AB223" s="233"/>
    </row>
    <row r="224" spans="1:28" s="215" customFormat="1">
      <c r="A224" s="608"/>
      <c r="B224" s="608"/>
      <c r="C224" s="608"/>
      <c r="D224" s="608"/>
      <c r="G224" s="216"/>
      <c r="H224" s="231"/>
      <c r="I224" s="236"/>
      <c r="J224" s="233"/>
      <c r="K224" s="233"/>
      <c r="L224" s="233"/>
      <c r="M224" s="233"/>
      <c r="P224" s="233"/>
      <c r="Q224" s="233"/>
      <c r="R224" s="233"/>
      <c r="S224" s="233"/>
      <c r="V224" s="233"/>
      <c r="W224" s="233"/>
      <c r="X224" s="233"/>
      <c r="Y224" s="233"/>
      <c r="Z224" s="233"/>
      <c r="AA224" s="233"/>
      <c r="AB224" s="233"/>
    </row>
    <row r="225" spans="1:28" s="215" customFormat="1">
      <c r="A225" s="608"/>
      <c r="B225" s="608"/>
      <c r="C225" s="608"/>
      <c r="D225" s="608"/>
      <c r="G225" s="216"/>
      <c r="H225" s="231"/>
      <c r="I225" s="236"/>
      <c r="J225" s="233"/>
      <c r="K225" s="233"/>
      <c r="L225" s="233"/>
      <c r="M225" s="233"/>
      <c r="P225" s="233"/>
      <c r="Q225" s="233"/>
      <c r="R225" s="233"/>
      <c r="S225" s="233"/>
      <c r="V225" s="233"/>
      <c r="W225" s="233"/>
      <c r="X225" s="233"/>
      <c r="Y225" s="233"/>
      <c r="Z225" s="233"/>
      <c r="AA225" s="233"/>
      <c r="AB225" s="233"/>
    </row>
    <row r="226" spans="1:28" s="215" customFormat="1">
      <c r="A226" s="608"/>
      <c r="B226" s="608"/>
      <c r="C226" s="608"/>
      <c r="D226" s="608"/>
      <c r="G226" s="216"/>
      <c r="H226" s="231"/>
      <c r="I226" s="236"/>
      <c r="J226" s="233"/>
      <c r="K226" s="233"/>
      <c r="L226" s="233"/>
      <c r="M226" s="233"/>
      <c r="P226" s="233"/>
      <c r="Q226" s="233"/>
      <c r="R226" s="233"/>
      <c r="S226" s="233"/>
      <c r="V226" s="233"/>
      <c r="W226" s="233"/>
      <c r="X226" s="233"/>
      <c r="Y226" s="233"/>
      <c r="Z226" s="233"/>
      <c r="AA226" s="233"/>
      <c r="AB226" s="233"/>
    </row>
    <row r="227" spans="1:28" s="215" customFormat="1">
      <c r="A227" s="608"/>
      <c r="B227" s="608"/>
      <c r="C227" s="608"/>
      <c r="D227" s="608"/>
      <c r="G227" s="216"/>
      <c r="H227" s="231"/>
      <c r="I227" s="236"/>
      <c r="J227" s="233"/>
      <c r="K227" s="233"/>
      <c r="L227" s="233"/>
      <c r="M227" s="233"/>
      <c r="P227" s="233"/>
      <c r="Q227" s="233"/>
      <c r="R227" s="233"/>
      <c r="S227" s="233"/>
      <c r="V227" s="233"/>
      <c r="W227" s="233"/>
      <c r="X227" s="233"/>
      <c r="Y227" s="233"/>
      <c r="Z227" s="233"/>
      <c r="AA227" s="233"/>
      <c r="AB227" s="233"/>
    </row>
    <row r="228" spans="1:28" s="215" customFormat="1">
      <c r="A228" s="608"/>
      <c r="B228" s="608"/>
      <c r="C228" s="608"/>
      <c r="D228" s="608"/>
      <c r="G228" s="216"/>
      <c r="H228" s="231"/>
      <c r="I228" s="236"/>
      <c r="J228" s="233"/>
      <c r="K228" s="233"/>
      <c r="L228" s="233"/>
      <c r="M228" s="233"/>
      <c r="P228" s="233"/>
      <c r="Q228" s="233"/>
      <c r="R228" s="233"/>
      <c r="S228" s="233"/>
      <c r="V228" s="233"/>
      <c r="W228" s="233"/>
      <c r="X228" s="233"/>
      <c r="Y228" s="233"/>
      <c r="Z228" s="233"/>
      <c r="AA228" s="233"/>
      <c r="AB228" s="233"/>
    </row>
    <row r="229" spans="1:28" s="215" customFormat="1">
      <c r="A229" s="608"/>
      <c r="B229" s="608"/>
      <c r="C229" s="608"/>
      <c r="D229" s="608"/>
      <c r="G229" s="216"/>
      <c r="H229" s="231"/>
      <c r="I229" s="236"/>
      <c r="J229" s="233"/>
      <c r="K229" s="233"/>
      <c r="L229" s="233"/>
      <c r="M229" s="233"/>
      <c r="P229" s="233"/>
      <c r="Q229" s="233"/>
      <c r="R229" s="233"/>
      <c r="S229" s="233"/>
      <c r="V229" s="233"/>
      <c r="W229" s="233"/>
      <c r="X229" s="233"/>
      <c r="Y229" s="233"/>
      <c r="Z229" s="233"/>
      <c r="AA229" s="233"/>
      <c r="AB229" s="233"/>
    </row>
    <row r="230" spans="1:28" s="215" customFormat="1">
      <c r="A230" s="608"/>
      <c r="B230" s="608"/>
      <c r="C230" s="608"/>
      <c r="D230" s="608"/>
      <c r="G230" s="216"/>
      <c r="H230" s="231"/>
      <c r="I230" s="236"/>
      <c r="J230" s="233"/>
      <c r="K230" s="233"/>
      <c r="L230" s="233"/>
      <c r="M230" s="233"/>
      <c r="P230" s="233"/>
      <c r="Q230" s="233"/>
      <c r="R230" s="233"/>
      <c r="S230" s="233"/>
      <c r="V230" s="233"/>
      <c r="W230" s="233"/>
      <c r="X230" s="233"/>
      <c r="Y230" s="233"/>
      <c r="Z230" s="233"/>
      <c r="AA230" s="233"/>
      <c r="AB230" s="233"/>
    </row>
    <row r="231" spans="1:28" s="215" customFormat="1">
      <c r="A231" s="608"/>
      <c r="B231" s="608"/>
      <c r="C231" s="608"/>
      <c r="D231" s="608"/>
      <c r="G231" s="216"/>
      <c r="H231" s="231"/>
      <c r="I231" s="236"/>
      <c r="J231" s="233"/>
      <c r="K231" s="233"/>
      <c r="L231" s="233"/>
      <c r="M231" s="233"/>
      <c r="P231" s="233"/>
      <c r="Q231" s="233"/>
      <c r="R231" s="233"/>
      <c r="S231" s="233"/>
      <c r="V231" s="233"/>
      <c r="W231" s="233"/>
      <c r="X231" s="233"/>
      <c r="Y231" s="233"/>
      <c r="Z231" s="233"/>
      <c r="AA231" s="233"/>
      <c r="AB231" s="233"/>
    </row>
    <row r="232" spans="1:28" s="215" customFormat="1">
      <c r="A232" s="608"/>
      <c r="B232" s="608"/>
      <c r="C232" s="608"/>
      <c r="D232" s="608"/>
      <c r="G232" s="216"/>
      <c r="H232" s="231"/>
      <c r="I232" s="236"/>
      <c r="J232" s="233"/>
      <c r="K232" s="233"/>
      <c r="L232" s="233"/>
      <c r="M232" s="233"/>
      <c r="P232" s="233"/>
      <c r="Q232" s="233"/>
      <c r="R232" s="233"/>
      <c r="S232" s="233"/>
      <c r="V232" s="233"/>
      <c r="W232" s="233"/>
      <c r="X232" s="233"/>
      <c r="Y232" s="233"/>
      <c r="Z232" s="233"/>
      <c r="AA232" s="233"/>
      <c r="AB232" s="233"/>
    </row>
    <row r="233" spans="1:28" s="215" customFormat="1">
      <c r="A233" s="608"/>
      <c r="B233" s="608"/>
      <c r="C233" s="608"/>
      <c r="D233" s="608"/>
      <c r="G233" s="216"/>
      <c r="H233" s="231"/>
      <c r="I233" s="236"/>
      <c r="J233" s="233"/>
      <c r="K233" s="233"/>
      <c r="L233" s="233"/>
      <c r="M233" s="233"/>
      <c r="P233" s="233"/>
      <c r="Q233" s="233"/>
      <c r="R233" s="233"/>
      <c r="S233" s="233"/>
      <c r="V233" s="233"/>
      <c r="W233" s="233"/>
      <c r="X233" s="233"/>
      <c r="Y233" s="233"/>
      <c r="Z233" s="233"/>
      <c r="AA233" s="233"/>
      <c r="AB233" s="233"/>
    </row>
    <row r="234" spans="1:28" s="215" customFormat="1">
      <c r="A234" s="608"/>
      <c r="B234" s="608"/>
      <c r="C234" s="608"/>
      <c r="D234" s="608"/>
      <c r="G234" s="216"/>
      <c r="H234" s="231"/>
      <c r="I234" s="236"/>
      <c r="J234" s="233"/>
      <c r="K234" s="233"/>
      <c r="L234" s="233"/>
      <c r="M234" s="233"/>
      <c r="P234" s="233"/>
      <c r="Q234" s="233"/>
      <c r="R234" s="233"/>
      <c r="S234" s="233"/>
      <c r="V234" s="233"/>
      <c r="W234" s="233"/>
      <c r="X234" s="233"/>
      <c r="Y234" s="233"/>
      <c r="Z234" s="233"/>
      <c r="AA234" s="233"/>
      <c r="AB234" s="233"/>
    </row>
    <row r="235" spans="1:28" s="215" customFormat="1">
      <c r="A235" s="608"/>
      <c r="B235" s="608"/>
      <c r="C235" s="608"/>
      <c r="D235" s="608"/>
      <c r="G235" s="216"/>
      <c r="H235" s="231"/>
      <c r="I235" s="236"/>
      <c r="J235" s="233"/>
      <c r="K235" s="233"/>
      <c r="L235" s="233"/>
      <c r="M235" s="233"/>
      <c r="P235" s="233"/>
      <c r="Q235" s="233"/>
      <c r="R235" s="233"/>
      <c r="S235" s="233"/>
      <c r="V235" s="233"/>
      <c r="W235" s="233"/>
      <c r="X235" s="233"/>
      <c r="Y235" s="233"/>
      <c r="Z235" s="233"/>
      <c r="AA235" s="233"/>
      <c r="AB235" s="233"/>
    </row>
    <row r="236" spans="1:28" s="215" customFormat="1">
      <c r="A236" s="608"/>
      <c r="B236" s="608"/>
      <c r="C236" s="608"/>
      <c r="D236" s="608"/>
      <c r="G236" s="216"/>
      <c r="H236" s="231"/>
      <c r="I236" s="236"/>
      <c r="J236" s="233"/>
      <c r="K236" s="233"/>
      <c r="L236" s="233"/>
      <c r="M236" s="233"/>
      <c r="P236" s="233"/>
      <c r="Q236" s="233"/>
      <c r="R236" s="233"/>
      <c r="S236" s="233"/>
      <c r="V236" s="233"/>
      <c r="W236" s="233"/>
      <c r="X236" s="233"/>
      <c r="Y236" s="233"/>
      <c r="Z236" s="233"/>
      <c r="AA236" s="233"/>
      <c r="AB236" s="233"/>
    </row>
    <row r="237" spans="1:28" s="215" customFormat="1">
      <c r="A237" s="608"/>
      <c r="B237" s="608"/>
      <c r="C237" s="608"/>
      <c r="D237" s="608"/>
      <c r="G237" s="216"/>
      <c r="H237" s="231"/>
      <c r="I237" s="236"/>
      <c r="J237" s="233"/>
      <c r="K237" s="233"/>
      <c r="L237" s="233"/>
      <c r="M237" s="233"/>
      <c r="P237" s="233"/>
      <c r="Q237" s="233"/>
      <c r="R237" s="233"/>
      <c r="S237" s="233"/>
      <c r="V237" s="233"/>
      <c r="W237" s="233"/>
      <c r="X237" s="233"/>
      <c r="Y237" s="233"/>
      <c r="Z237" s="233"/>
      <c r="AA237" s="233"/>
      <c r="AB237" s="233"/>
    </row>
    <row r="238" spans="1:28" s="215" customFormat="1">
      <c r="A238" s="608"/>
      <c r="B238" s="608"/>
      <c r="C238" s="608"/>
      <c r="D238" s="608"/>
      <c r="G238" s="216"/>
      <c r="H238" s="231"/>
      <c r="I238" s="236"/>
      <c r="J238" s="233"/>
      <c r="K238" s="233"/>
      <c r="L238" s="233"/>
      <c r="M238" s="233"/>
      <c r="P238" s="233"/>
      <c r="Q238" s="233"/>
      <c r="R238" s="233"/>
      <c r="S238" s="233"/>
      <c r="V238" s="233"/>
      <c r="W238" s="233"/>
      <c r="X238" s="233"/>
      <c r="Y238" s="233"/>
      <c r="Z238" s="233"/>
      <c r="AA238" s="233"/>
      <c r="AB238" s="233"/>
    </row>
    <row r="239" spans="1:28" s="215" customFormat="1">
      <c r="A239" s="608"/>
      <c r="B239" s="608"/>
      <c r="C239" s="608"/>
      <c r="D239" s="608"/>
      <c r="G239" s="216"/>
      <c r="H239" s="231"/>
      <c r="I239" s="236"/>
      <c r="J239" s="233"/>
      <c r="K239" s="233"/>
      <c r="L239" s="233"/>
      <c r="M239" s="233"/>
      <c r="P239" s="233"/>
      <c r="Q239" s="233"/>
      <c r="R239" s="233"/>
      <c r="S239" s="233"/>
      <c r="V239" s="233"/>
      <c r="W239" s="233"/>
      <c r="X239" s="233"/>
      <c r="Y239" s="233"/>
      <c r="Z239" s="233"/>
      <c r="AA239" s="233"/>
      <c r="AB239" s="233"/>
    </row>
    <row r="240" spans="1:28" s="215" customFormat="1">
      <c r="A240" s="608"/>
      <c r="B240" s="608"/>
      <c r="C240" s="608"/>
      <c r="D240" s="608"/>
      <c r="G240" s="216"/>
      <c r="H240" s="231"/>
      <c r="I240" s="236"/>
      <c r="J240" s="233"/>
      <c r="K240" s="233"/>
      <c r="L240" s="233"/>
      <c r="M240" s="233"/>
      <c r="P240" s="233"/>
      <c r="Q240" s="233"/>
      <c r="R240" s="233"/>
      <c r="S240" s="233"/>
      <c r="V240" s="233"/>
      <c r="W240" s="233"/>
      <c r="X240" s="233"/>
      <c r="Y240" s="233"/>
      <c r="Z240" s="233"/>
      <c r="AA240" s="233"/>
      <c r="AB240" s="233"/>
    </row>
    <row r="241" spans="1:28" s="215" customFormat="1">
      <c r="A241" s="608"/>
      <c r="B241" s="608"/>
      <c r="C241" s="608"/>
      <c r="D241" s="608"/>
      <c r="G241" s="216"/>
      <c r="H241" s="231"/>
      <c r="I241" s="236"/>
      <c r="J241" s="233"/>
      <c r="K241" s="233"/>
      <c r="L241" s="233"/>
      <c r="M241" s="233"/>
      <c r="P241" s="233"/>
      <c r="Q241" s="233"/>
      <c r="R241" s="233"/>
      <c r="S241" s="233"/>
      <c r="V241" s="233"/>
      <c r="W241" s="233"/>
      <c r="X241" s="233"/>
      <c r="Y241" s="233"/>
      <c r="Z241" s="233"/>
      <c r="AA241" s="233"/>
      <c r="AB241" s="233"/>
    </row>
    <row r="242" spans="1:28" s="215" customFormat="1">
      <c r="A242" s="608"/>
      <c r="B242" s="608"/>
      <c r="C242" s="608"/>
      <c r="D242" s="608"/>
      <c r="G242" s="216"/>
      <c r="H242" s="231"/>
      <c r="I242" s="236"/>
      <c r="J242" s="233"/>
      <c r="K242" s="233"/>
      <c r="L242" s="233"/>
      <c r="M242" s="233"/>
      <c r="P242" s="233"/>
      <c r="Q242" s="233"/>
      <c r="R242" s="233"/>
      <c r="S242" s="233"/>
      <c r="V242" s="233"/>
      <c r="W242" s="233"/>
      <c r="X242" s="233"/>
      <c r="Y242" s="233"/>
      <c r="Z242" s="233"/>
      <c r="AA242" s="233"/>
      <c r="AB242" s="233"/>
    </row>
    <row r="243" spans="1:28" s="215" customFormat="1">
      <c r="A243" s="608"/>
      <c r="B243" s="608"/>
      <c r="C243" s="608"/>
      <c r="D243" s="608"/>
      <c r="G243" s="216"/>
      <c r="H243" s="231"/>
      <c r="I243" s="236"/>
      <c r="J243" s="233"/>
      <c r="K243" s="233"/>
      <c r="L243" s="233"/>
      <c r="M243" s="233"/>
      <c r="P243" s="233"/>
      <c r="Q243" s="233"/>
      <c r="R243" s="233"/>
      <c r="S243" s="233"/>
      <c r="V243" s="233"/>
      <c r="W243" s="233"/>
      <c r="X243" s="233"/>
      <c r="Y243" s="233"/>
      <c r="Z243" s="233"/>
      <c r="AA243" s="233"/>
      <c r="AB243" s="233"/>
    </row>
    <row r="244" spans="1:28" s="215" customFormat="1">
      <c r="A244" s="608"/>
      <c r="B244" s="608"/>
      <c r="C244" s="608"/>
      <c r="D244" s="608"/>
      <c r="G244" s="216"/>
      <c r="H244" s="231"/>
      <c r="I244" s="236"/>
      <c r="J244" s="233"/>
      <c r="K244" s="233"/>
      <c r="L244" s="233"/>
      <c r="M244" s="233"/>
      <c r="P244" s="233"/>
      <c r="Q244" s="233"/>
      <c r="R244" s="233"/>
      <c r="S244" s="233"/>
      <c r="V244" s="233"/>
      <c r="W244" s="233"/>
      <c r="X244" s="233"/>
      <c r="Y244" s="233"/>
      <c r="Z244" s="233"/>
      <c r="AA244" s="233"/>
      <c r="AB244" s="233"/>
    </row>
    <row r="245" spans="1:28" s="215" customFormat="1">
      <c r="A245" s="608"/>
      <c r="B245" s="608"/>
      <c r="C245" s="608"/>
      <c r="D245" s="608"/>
      <c r="G245" s="216"/>
      <c r="H245" s="231"/>
      <c r="I245" s="236"/>
      <c r="J245" s="233"/>
      <c r="K245" s="233"/>
      <c r="L245" s="233"/>
      <c r="M245" s="233"/>
      <c r="P245" s="233"/>
      <c r="Q245" s="233"/>
      <c r="R245" s="233"/>
      <c r="S245" s="233"/>
      <c r="V245" s="233"/>
      <c r="W245" s="233"/>
      <c r="X245" s="233"/>
      <c r="Y245" s="233"/>
      <c r="Z245" s="233"/>
      <c r="AA245" s="233"/>
      <c r="AB245" s="233"/>
    </row>
    <row r="246" spans="1:28" s="215" customFormat="1">
      <c r="A246" s="608"/>
      <c r="B246" s="608"/>
      <c r="C246" s="608"/>
      <c r="D246" s="608"/>
      <c r="G246" s="216"/>
      <c r="H246" s="231"/>
      <c r="I246" s="236"/>
      <c r="J246" s="233"/>
      <c r="K246" s="233"/>
      <c r="L246" s="233"/>
      <c r="M246" s="233"/>
      <c r="P246" s="233"/>
      <c r="Q246" s="233"/>
      <c r="R246" s="233"/>
      <c r="S246" s="233"/>
      <c r="V246" s="233"/>
      <c r="W246" s="233"/>
      <c r="X246" s="233"/>
      <c r="Y246" s="233"/>
      <c r="Z246" s="233"/>
      <c r="AA246" s="233"/>
      <c r="AB246" s="233"/>
    </row>
    <row r="247" spans="1:28" s="215" customFormat="1">
      <c r="A247" s="608"/>
      <c r="B247" s="608"/>
      <c r="C247" s="608"/>
      <c r="D247" s="608"/>
      <c r="G247" s="216"/>
      <c r="H247" s="231"/>
      <c r="I247" s="236"/>
      <c r="J247" s="233"/>
      <c r="K247" s="233"/>
      <c r="L247" s="233"/>
      <c r="M247" s="233"/>
      <c r="P247" s="233"/>
      <c r="Q247" s="233"/>
      <c r="R247" s="233"/>
      <c r="S247" s="233"/>
      <c r="V247" s="233"/>
      <c r="W247" s="233"/>
      <c r="X247" s="233"/>
      <c r="Y247" s="233"/>
      <c r="Z247" s="233"/>
      <c r="AA247" s="233"/>
      <c r="AB247" s="233"/>
    </row>
    <row r="248" spans="1:28" s="215" customFormat="1">
      <c r="A248" s="608"/>
      <c r="B248" s="608"/>
      <c r="C248" s="608"/>
      <c r="D248" s="608"/>
      <c r="G248" s="216"/>
      <c r="H248" s="231"/>
      <c r="I248" s="236"/>
      <c r="J248" s="233"/>
      <c r="K248" s="233"/>
      <c r="L248" s="233"/>
      <c r="M248" s="233"/>
      <c r="P248" s="233"/>
      <c r="Q248" s="233"/>
      <c r="R248" s="233"/>
      <c r="S248" s="233"/>
      <c r="V248" s="233"/>
      <c r="W248" s="233"/>
      <c r="X248" s="233"/>
      <c r="Y248" s="233"/>
      <c r="Z248" s="233"/>
      <c r="AA248" s="233"/>
      <c r="AB248" s="233"/>
    </row>
    <row r="249" spans="1:28" s="215" customFormat="1">
      <c r="A249" s="608"/>
      <c r="B249" s="608"/>
      <c r="C249" s="608"/>
      <c r="D249" s="608"/>
      <c r="G249" s="216"/>
      <c r="H249" s="231"/>
      <c r="I249" s="236"/>
      <c r="J249" s="233"/>
      <c r="K249" s="233"/>
      <c r="L249" s="233"/>
      <c r="M249" s="233"/>
      <c r="P249" s="233"/>
      <c r="Q249" s="233"/>
      <c r="R249" s="233"/>
      <c r="S249" s="233"/>
      <c r="V249" s="233"/>
      <c r="W249" s="233"/>
      <c r="X249" s="233"/>
      <c r="Y249" s="233"/>
      <c r="Z249" s="233"/>
      <c r="AA249" s="233"/>
      <c r="AB249" s="233"/>
    </row>
    <row r="250" spans="1:28" s="215" customFormat="1">
      <c r="A250" s="608"/>
      <c r="B250" s="608"/>
      <c r="C250" s="608"/>
      <c r="D250" s="608"/>
      <c r="G250" s="216"/>
      <c r="H250" s="231"/>
      <c r="I250" s="236"/>
      <c r="J250" s="233"/>
      <c r="K250" s="233"/>
      <c r="L250" s="233"/>
      <c r="M250" s="233"/>
      <c r="P250" s="233"/>
      <c r="Q250" s="233"/>
      <c r="R250" s="233"/>
      <c r="S250" s="233"/>
      <c r="V250" s="233"/>
      <c r="W250" s="233"/>
      <c r="X250" s="233"/>
      <c r="Y250" s="233"/>
      <c r="Z250" s="233"/>
      <c r="AA250" s="233"/>
      <c r="AB250" s="233"/>
    </row>
    <row r="251" spans="1:28" s="215" customFormat="1">
      <c r="A251" s="608"/>
      <c r="B251" s="608"/>
      <c r="C251" s="608"/>
      <c r="D251" s="608"/>
      <c r="G251" s="216"/>
      <c r="H251" s="231"/>
      <c r="I251" s="236"/>
      <c r="J251" s="233"/>
      <c r="K251" s="233"/>
      <c r="L251" s="233"/>
      <c r="M251" s="233"/>
      <c r="P251" s="233"/>
      <c r="Q251" s="233"/>
      <c r="R251" s="233"/>
      <c r="S251" s="233"/>
      <c r="V251" s="233"/>
      <c r="W251" s="233"/>
      <c r="X251" s="233"/>
      <c r="Y251" s="233"/>
      <c r="Z251" s="233"/>
      <c r="AA251" s="233"/>
      <c r="AB251" s="233"/>
    </row>
    <row r="252" spans="1:28" s="215" customFormat="1">
      <c r="A252" s="608"/>
      <c r="B252" s="608"/>
      <c r="C252" s="608"/>
      <c r="D252" s="608"/>
      <c r="G252" s="216"/>
      <c r="H252" s="231"/>
      <c r="I252" s="236"/>
      <c r="J252" s="233"/>
      <c r="K252" s="233"/>
      <c r="L252" s="233"/>
      <c r="M252" s="233"/>
      <c r="P252" s="233"/>
      <c r="Q252" s="233"/>
      <c r="R252" s="233"/>
      <c r="S252" s="233"/>
      <c r="V252" s="233"/>
      <c r="W252" s="233"/>
      <c r="X252" s="233"/>
      <c r="Y252" s="233"/>
      <c r="Z252" s="233"/>
      <c r="AA252" s="233"/>
      <c r="AB252" s="233"/>
    </row>
    <row r="253" spans="1:28" s="215" customFormat="1">
      <c r="A253" s="608"/>
      <c r="B253" s="608"/>
      <c r="C253" s="608"/>
      <c r="D253" s="608"/>
      <c r="G253" s="216"/>
      <c r="H253" s="231"/>
      <c r="I253" s="236"/>
      <c r="J253" s="233"/>
      <c r="K253" s="233"/>
      <c r="L253" s="233"/>
      <c r="M253" s="233"/>
      <c r="P253" s="233"/>
      <c r="Q253" s="233"/>
      <c r="R253" s="233"/>
      <c r="S253" s="233"/>
      <c r="V253" s="233"/>
      <c r="W253" s="233"/>
      <c r="X253" s="233"/>
      <c r="Y253" s="233"/>
      <c r="Z253" s="233"/>
      <c r="AA253" s="233"/>
      <c r="AB253" s="233"/>
    </row>
    <row r="254" spans="1:28" s="215" customFormat="1">
      <c r="A254" s="608"/>
      <c r="B254" s="608"/>
      <c r="C254" s="608"/>
      <c r="D254" s="608"/>
      <c r="G254" s="216"/>
      <c r="H254" s="231"/>
      <c r="I254" s="236"/>
      <c r="J254" s="233"/>
      <c r="K254" s="233"/>
      <c r="L254" s="233"/>
      <c r="M254" s="233"/>
      <c r="P254" s="233"/>
      <c r="Q254" s="233"/>
      <c r="R254" s="233"/>
      <c r="S254" s="233"/>
      <c r="V254" s="233"/>
      <c r="W254" s="233"/>
      <c r="X254" s="233"/>
      <c r="Y254" s="233"/>
      <c r="Z254" s="233"/>
      <c r="AA254" s="233"/>
      <c r="AB254" s="233"/>
    </row>
    <row r="255" spans="1:28" s="215" customFormat="1">
      <c r="A255" s="608"/>
      <c r="B255" s="608"/>
      <c r="C255" s="608"/>
      <c r="D255" s="608"/>
      <c r="G255" s="216"/>
      <c r="H255" s="231"/>
      <c r="I255" s="236"/>
      <c r="J255" s="233"/>
      <c r="K255" s="233"/>
      <c r="L255" s="233"/>
      <c r="M255" s="233"/>
      <c r="P255" s="233"/>
      <c r="Q255" s="233"/>
      <c r="R255" s="233"/>
      <c r="S255" s="233"/>
      <c r="V255" s="233"/>
      <c r="W255" s="233"/>
      <c r="X255" s="233"/>
      <c r="Y255" s="233"/>
      <c r="Z255" s="233"/>
      <c r="AA255" s="233"/>
      <c r="AB255" s="233"/>
    </row>
    <row r="256" spans="1:28" s="215" customFormat="1">
      <c r="A256" s="608"/>
      <c r="B256" s="608"/>
      <c r="C256" s="608"/>
      <c r="D256" s="608"/>
      <c r="G256" s="216"/>
      <c r="H256" s="231"/>
      <c r="I256" s="236"/>
      <c r="J256" s="233"/>
      <c r="K256" s="233"/>
      <c r="L256" s="233"/>
      <c r="M256" s="233"/>
      <c r="P256" s="233"/>
      <c r="Q256" s="233"/>
      <c r="R256" s="233"/>
      <c r="S256" s="233"/>
      <c r="V256" s="233"/>
      <c r="W256" s="233"/>
      <c r="X256" s="233"/>
      <c r="Y256" s="233"/>
      <c r="Z256" s="233"/>
      <c r="AA256" s="233"/>
      <c r="AB256" s="233"/>
    </row>
    <row r="257" spans="1:28" s="215" customFormat="1">
      <c r="A257" s="608"/>
      <c r="B257" s="608"/>
      <c r="C257" s="608"/>
      <c r="D257" s="608"/>
      <c r="G257" s="216"/>
      <c r="H257" s="231"/>
      <c r="I257" s="236"/>
      <c r="J257" s="233"/>
      <c r="K257" s="233"/>
      <c r="L257" s="233"/>
      <c r="M257" s="233"/>
      <c r="P257" s="233"/>
      <c r="Q257" s="233"/>
      <c r="R257" s="233"/>
      <c r="S257" s="233"/>
      <c r="V257" s="233"/>
      <c r="W257" s="233"/>
      <c r="X257" s="233"/>
      <c r="Y257" s="233"/>
      <c r="Z257" s="233"/>
      <c r="AA257" s="233"/>
      <c r="AB257" s="233"/>
    </row>
    <row r="258" spans="1:28" s="215" customFormat="1">
      <c r="A258" s="608"/>
      <c r="B258" s="608"/>
      <c r="C258" s="608"/>
      <c r="D258" s="608"/>
      <c r="G258" s="216"/>
      <c r="H258" s="231"/>
      <c r="I258" s="236"/>
      <c r="J258" s="233"/>
      <c r="K258" s="233"/>
      <c r="L258" s="233"/>
      <c r="M258" s="233"/>
      <c r="P258" s="233"/>
      <c r="Q258" s="233"/>
      <c r="R258" s="233"/>
      <c r="S258" s="233"/>
      <c r="V258" s="233"/>
      <c r="W258" s="233"/>
      <c r="X258" s="233"/>
      <c r="Y258" s="233"/>
      <c r="Z258" s="233"/>
      <c r="AA258" s="233"/>
      <c r="AB258" s="233"/>
    </row>
    <row r="259" spans="1:28" s="215" customFormat="1">
      <c r="A259" s="608"/>
      <c r="B259" s="608"/>
      <c r="C259" s="608"/>
      <c r="D259" s="608"/>
      <c r="G259" s="216"/>
      <c r="H259" s="231"/>
      <c r="I259" s="236"/>
      <c r="J259" s="233"/>
      <c r="K259" s="233"/>
      <c r="L259" s="233"/>
      <c r="M259" s="233"/>
      <c r="P259" s="233"/>
      <c r="Q259" s="233"/>
      <c r="R259" s="233"/>
      <c r="S259" s="233"/>
      <c r="V259" s="233"/>
      <c r="W259" s="233"/>
      <c r="X259" s="233"/>
      <c r="Y259" s="233"/>
      <c r="Z259" s="233"/>
      <c r="AA259" s="233"/>
      <c r="AB259" s="233"/>
    </row>
    <row r="260" spans="1:28" s="215" customFormat="1">
      <c r="A260" s="608"/>
      <c r="B260" s="608"/>
      <c r="C260" s="608"/>
      <c r="D260" s="608"/>
      <c r="G260" s="216"/>
      <c r="H260" s="231"/>
      <c r="I260" s="236"/>
      <c r="J260" s="233"/>
      <c r="K260" s="233"/>
      <c r="L260" s="233"/>
      <c r="M260" s="233"/>
      <c r="P260" s="233"/>
      <c r="Q260" s="233"/>
      <c r="R260" s="233"/>
      <c r="S260" s="233"/>
      <c r="V260" s="233"/>
      <c r="W260" s="233"/>
      <c r="X260" s="233"/>
      <c r="Y260" s="233"/>
      <c r="Z260" s="233"/>
      <c r="AA260" s="233"/>
      <c r="AB260" s="233"/>
    </row>
    <row r="261" spans="1:28" s="215" customFormat="1">
      <c r="A261" s="608"/>
      <c r="B261" s="608"/>
      <c r="C261" s="608"/>
      <c r="D261" s="608"/>
      <c r="G261" s="216"/>
      <c r="H261" s="231"/>
      <c r="I261" s="236"/>
      <c r="J261" s="233"/>
      <c r="K261" s="233"/>
      <c r="L261" s="233"/>
      <c r="M261" s="233"/>
      <c r="P261" s="233"/>
      <c r="Q261" s="233"/>
      <c r="R261" s="233"/>
      <c r="S261" s="233"/>
      <c r="V261" s="233"/>
      <c r="W261" s="233"/>
      <c r="X261" s="233"/>
      <c r="Y261" s="233"/>
      <c r="Z261" s="233"/>
      <c r="AA261" s="233"/>
      <c r="AB261" s="233"/>
    </row>
    <row r="262" spans="1:28" s="215" customFormat="1">
      <c r="A262" s="608"/>
      <c r="B262" s="608"/>
      <c r="C262" s="608"/>
      <c r="D262" s="608"/>
      <c r="G262" s="216"/>
      <c r="H262" s="231"/>
      <c r="I262" s="236"/>
      <c r="J262" s="233"/>
      <c r="K262" s="233"/>
      <c r="L262" s="233"/>
      <c r="M262" s="233"/>
      <c r="P262" s="233"/>
      <c r="Q262" s="233"/>
      <c r="R262" s="233"/>
      <c r="S262" s="233"/>
      <c r="V262" s="233"/>
      <c r="W262" s="233"/>
      <c r="X262" s="233"/>
      <c r="Y262" s="233"/>
      <c r="Z262" s="233"/>
      <c r="AA262" s="233"/>
      <c r="AB262" s="233"/>
    </row>
    <row r="263" spans="1:28" s="215" customFormat="1">
      <c r="A263" s="608"/>
      <c r="B263" s="608"/>
      <c r="C263" s="608"/>
      <c r="D263" s="608"/>
      <c r="G263" s="216"/>
      <c r="H263" s="231"/>
      <c r="I263" s="236"/>
      <c r="J263" s="233"/>
      <c r="K263" s="233"/>
      <c r="L263" s="233"/>
      <c r="M263" s="233"/>
      <c r="P263" s="233"/>
      <c r="Q263" s="233"/>
      <c r="R263" s="233"/>
      <c r="S263" s="233"/>
      <c r="V263" s="233"/>
      <c r="W263" s="233"/>
      <c r="X263" s="233"/>
      <c r="Y263" s="233"/>
      <c r="Z263" s="233"/>
      <c r="AA263" s="233"/>
      <c r="AB263" s="233"/>
    </row>
    <row r="264" spans="1:28" s="215" customFormat="1">
      <c r="A264" s="608"/>
      <c r="B264" s="608"/>
      <c r="C264" s="608"/>
      <c r="D264" s="608"/>
      <c r="G264" s="216"/>
      <c r="H264" s="231"/>
      <c r="I264" s="236"/>
      <c r="J264" s="233"/>
      <c r="K264" s="233"/>
      <c r="L264" s="233"/>
      <c r="M264" s="233"/>
      <c r="P264" s="233"/>
      <c r="Q264" s="233"/>
      <c r="R264" s="233"/>
      <c r="S264" s="233"/>
      <c r="V264" s="233"/>
      <c r="W264" s="233"/>
      <c r="X264" s="233"/>
      <c r="Y264" s="233"/>
      <c r="Z264" s="233"/>
      <c r="AA264" s="233"/>
      <c r="AB264" s="233"/>
    </row>
    <row r="265" spans="1:28" s="215" customFormat="1">
      <c r="A265" s="608"/>
      <c r="B265" s="608"/>
      <c r="C265" s="608"/>
      <c r="D265" s="608"/>
      <c r="G265" s="216"/>
      <c r="H265" s="231"/>
      <c r="I265" s="236"/>
      <c r="J265" s="233"/>
      <c r="K265" s="233"/>
      <c r="L265" s="233"/>
      <c r="M265" s="233"/>
      <c r="P265" s="233"/>
      <c r="Q265" s="233"/>
      <c r="R265" s="233"/>
      <c r="S265" s="233"/>
      <c r="V265" s="233"/>
      <c r="W265" s="233"/>
      <c r="X265" s="233"/>
      <c r="Y265" s="233"/>
      <c r="Z265" s="233"/>
      <c r="AA265" s="233"/>
      <c r="AB265" s="233"/>
    </row>
    <row r="266" spans="1:28" s="215" customFormat="1">
      <c r="A266" s="608"/>
      <c r="B266" s="608"/>
      <c r="C266" s="608"/>
      <c r="D266" s="608"/>
      <c r="G266" s="216"/>
      <c r="H266" s="231"/>
      <c r="I266" s="236"/>
      <c r="J266" s="233"/>
      <c r="K266" s="233"/>
      <c r="L266" s="233"/>
      <c r="M266" s="233"/>
      <c r="P266" s="233"/>
      <c r="Q266" s="233"/>
      <c r="R266" s="233"/>
      <c r="S266" s="233"/>
      <c r="V266" s="233"/>
      <c r="W266" s="233"/>
      <c r="X266" s="233"/>
      <c r="Y266" s="233"/>
      <c r="Z266" s="233"/>
      <c r="AA266" s="233"/>
      <c r="AB266" s="233"/>
    </row>
    <row r="267" spans="1:28" s="215" customFormat="1">
      <c r="A267" s="608"/>
      <c r="B267" s="608"/>
      <c r="C267" s="608"/>
      <c r="D267" s="608"/>
      <c r="G267" s="216"/>
      <c r="H267" s="231"/>
      <c r="I267" s="236"/>
      <c r="J267" s="233"/>
      <c r="K267" s="233"/>
      <c r="L267" s="233"/>
      <c r="M267" s="233"/>
      <c r="P267" s="233"/>
      <c r="Q267" s="233"/>
      <c r="R267" s="233"/>
      <c r="S267" s="233"/>
      <c r="V267" s="233"/>
      <c r="W267" s="233"/>
      <c r="X267" s="233"/>
      <c r="Y267" s="233"/>
      <c r="Z267" s="233"/>
      <c r="AA267" s="233"/>
      <c r="AB267" s="233"/>
    </row>
    <row r="268" spans="1:28" s="215" customFormat="1">
      <c r="A268" s="608"/>
      <c r="B268" s="608"/>
      <c r="C268" s="608"/>
      <c r="D268" s="608"/>
      <c r="G268" s="216"/>
      <c r="H268" s="231"/>
      <c r="I268" s="236"/>
      <c r="J268" s="233"/>
      <c r="K268" s="233"/>
      <c r="L268" s="233"/>
      <c r="M268" s="233"/>
      <c r="P268" s="233"/>
      <c r="Q268" s="233"/>
      <c r="R268" s="233"/>
      <c r="S268" s="233"/>
      <c r="V268" s="233"/>
      <c r="W268" s="233"/>
      <c r="X268" s="233"/>
      <c r="Y268" s="233"/>
      <c r="Z268" s="233"/>
      <c r="AA268" s="233"/>
      <c r="AB268" s="233"/>
    </row>
    <row r="269" spans="1:28" s="215" customFormat="1">
      <c r="A269" s="608"/>
      <c r="B269" s="608"/>
      <c r="C269" s="608"/>
      <c r="D269" s="608"/>
      <c r="G269" s="216"/>
      <c r="H269" s="231"/>
      <c r="I269" s="236"/>
      <c r="J269" s="233"/>
      <c r="K269" s="233"/>
      <c r="L269" s="233"/>
      <c r="M269" s="233"/>
      <c r="P269" s="233"/>
      <c r="Q269" s="233"/>
      <c r="R269" s="233"/>
      <c r="S269" s="233"/>
      <c r="V269" s="233"/>
      <c r="W269" s="233"/>
      <c r="X269" s="233"/>
      <c r="Y269" s="233"/>
      <c r="Z269" s="233"/>
      <c r="AA269" s="233"/>
      <c r="AB269" s="233"/>
    </row>
    <row r="270" spans="1:28" s="215" customFormat="1">
      <c r="A270" s="608"/>
      <c r="B270" s="608"/>
      <c r="C270" s="608"/>
      <c r="D270" s="608"/>
      <c r="G270" s="216"/>
      <c r="H270" s="231"/>
      <c r="I270" s="236"/>
      <c r="J270" s="233"/>
      <c r="K270" s="233"/>
      <c r="L270" s="233"/>
      <c r="M270" s="233"/>
      <c r="P270" s="233"/>
      <c r="Q270" s="233"/>
      <c r="R270" s="233"/>
      <c r="S270" s="233"/>
      <c r="V270" s="233"/>
      <c r="W270" s="233"/>
      <c r="X270" s="233"/>
      <c r="Y270" s="233"/>
      <c r="Z270" s="233"/>
      <c r="AA270" s="233"/>
      <c r="AB270" s="233"/>
    </row>
    <row r="271" spans="1:28" s="215" customFormat="1">
      <c r="A271" s="608"/>
      <c r="B271" s="608"/>
      <c r="C271" s="608"/>
      <c r="D271" s="608"/>
      <c r="G271" s="216"/>
      <c r="H271" s="231"/>
      <c r="I271" s="236"/>
      <c r="J271" s="233"/>
      <c r="K271" s="233"/>
      <c r="L271" s="233"/>
      <c r="M271" s="233"/>
      <c r="P271" s="233"/>
      <c r="Q271" s="233"/>
      <c r="R271" s="233"/>
      <c r="S271" s="233"/>
      <c r="V271" s="233"/>
      <c r="W271" s="233"/>
      <c r="X271" s="233"/>
      <c r="Y271" s="233"/>
      <c r="Z271" s="233"/>
      <c r="AA271" s="233"/>
      <c r="AB271" s="233"/>
    </row>
    <row r="272" spans="1:28" s="215" customFormat="1">
      <c r="A272" s="608"/>
      <c r="B272" s="608"/>
      <c r="C272" s="608"/>
      <c r="D272" s="608"/>
      <c r="G272" s="216"/>
      <c r="H272" s="231"/>
      <c r="I272" s="236"/>
      <c r="J272" s="233"/>
      <c r="K272" s="233"/>
      <c r="L272" s="233"/>
      <c r="M272" s="233"/>
      <c r="P272" s="233"/>
      <c r="Q272" s="233"/>
      <c r="R272" s="233"/>
      <c r="S272" s="233"/>
      <c r="V272" s="233"/>
      <c r="W272" s="233"/>
      <c r="X272" s="233"/>
      <c r="Y272" s="233"/>
      <c r="Z272" s="233"/>
      <c r="AA272" s="233"/>
      <c r="AB272" s="233"/>
    </row>
    <row r="273" spans="1:28" s="215" customFormat="1">
      <c r="A273" s="608"/>
      <c r="B273" s="608"/>
      <c r="C273" s="608"/>
      <c r="D273" s="608"/>
      <c r="G273" s="216"/>
      <c r="H273" s="231"/>
      <c r="I273" s="236"/>
      <c r="J273" s="233"/>
      <c r="K273" s="233"/>
      <c r="L273" s="233"/>
      <c r="M273" s="233"/>
      <c r="P273" s="233"/>
      <c r="Q273" s="233"/>
      <c r="R273" s="233"/>
      <c r="S273" s="233"/>
      <c r="V273" s="233"/>
      <c r="W273" s="233"/>
      <c r="X273" s="233"/>
      <c r="Y273" s="233"/>
      <c r="Z273" s="233"/>
      <c r="AA273" s="233"/>
      <c r="AB273" s="233"/>
    </row>
    <row r="274" spans="1:28" s="215" customFormat="1">
      <c r="A274" s="608"/>
      <c r="B274" s="608"/>
      <c r="C274" s="608"/>
      <c r="D274" s="608"/>
      <c r="G274" s="216"/>
      <c r="H274" s="231"/>
      <c r="I274" s="236"/>
      <c r="J274" s="233"/>
      <c r="K274" s="233"/>
      <c r="L274" s="233"/>
      <c r="M274" s="233"/>
      <c r="P274" s="233"/>
      <c r="Q274" s="233"/>
      <c r="R274" s="233"/>
      <c r="S274" s="233"/>
      <c r="V274" s="233"/>
      <c r="W274" s="233"/>
      <c r="X274" s="233"/>
      <c r="Y274" s="233"/>
      <c r="Z274" s="233"/>
      <c r="AA274" s="233"/>
      <c r="AB274" s="233"/>
    </row>
    <row r="275" spans="1:28" s="215" customFormat="1">
      <c r="A275" s="608"/>
      <c r="B275" s="608"/>
      <c r="C275" s="608"/>
      <c r="D275" s="608"/>
      <c r="G275" s="216"/>
      <c r="H275" s="231"/>
      <c r="I275" s="236"/>
      <c r="J275" s="233"/>
      <c r="K275" s="233"/>
      <c r="L275" s="233"/>
      <c r="M275" s="233"/>
      <c r="P275" s="233"/>
      <c r="Q275" s="233"/>
      <c r="R275" s="233"/>
      <c r="S275" s="233"/>
      <c r="V275" s="233"/>
      <c r="W275" s="233"/>
      <c r="X275" s="233"/>
      <c r="Y275" s="233"/>
      <c r="Z275" s="233"/>
      <c r="AA275" s="233"/>
      <c r="AB275" s="233"/>
    </row>
    <row r="276" spans="1:28" s="215" customFormat="1">
      <c r="A276" s="608"/>
      <c r="B276" s="608"/>
      <c r="C276" s="608"/>
      <c r="D276" s="608"/>
      <c r="G276" s="216"/>
      <c r="H276" s="231"/>
      <c r="I276" s="236"/>
      <c r="J276" s="233"/>
      <c r="K276" s="233"/>
      <c r="L276" s="233"/>
      <c r="M276" s="233"/>
      <c r="P276" s="233"/>
      <c r="Q276" s="233"/>
      <c r="R276" s="233"/>
      <c r="S276" s="233"/>
      <c r="V276" s="233"/>
      <c r="W276" s="233"/>
      <c r="X276" s="233"/>
      <c r="Y276" s="233"/>
      <c r="Z276" s="233"/>
      <c r="AA276" s="233"/>
      <c r="AB276" s="233"/>
    </row>
    <row r="277" spans="1:28" s="215" customFormat="1">
      <c r="A277" s="608"/>
      <c r="B277" s="608"/>
      <c r="C277" s="608"/>
      <c r="D277" s="608"/>
      <c r="G277" s="216"/>
      <c r="H277" s="231"/>
      <c r="I277" s="236"/>
      <c r="J277" s="233"/>
      <c r="K277" s="233"/>
      <c r="L277" s="233"/>
      <c r="M277" s="233"/>
      <c r="P277" s="233"/>
      <c r="Q277" s="233"/>
      <c r="R277" s="233"/>
      <c r="S277" s="233"/>
      <c r="V277" s="233"/>
      <c r="W277" s="233"/>
      <c r="X277" s="233"/>
      <c r="Y277" s="233"/>
      <c r="Z277" s="233"/>
      <c r="AA277" s="233"/>
      <c r="AB277" s="233"/>
    </row>
    <row r="278" spans="1:28" s="215" customFormat="1">
      <c r="A278" s="608"/>
      <c r="B278" s="608"/>
      <c r="C278" s="608"/>
      <c r="D278" s="608"/>
      <c r="G278" s="216"/>
      <c r="H278" s="231"/>
      <c r="I278" s="236"/>
      <c r="J278" s="233"/>
      <c r="K278" s="233"/>
      <c r="L278" s="233"/>
      <c r="M278" s="233"/>
      <c r="P278" s="233"/>
      <c r="Q278" s="233"/>
      <c r="R278" s="233"/>
      <c r="S278" s="233"/>
      <c r="V278" s="233"/>
      <c r="W278" s="233"/>
      <c r="X278" s="233"/>
      <c r="Y278" s="233"/>
      <c r="Z278" s="233"/>
      <c r="AA278" s="233"/>
      <c r="AB278" s="233"/>
    </row>
    <row r="279" spans="1:28" s="215" customFormat="1">
      <c r="A279" s="608"/>
      <c r="B279" s="608"/>
      <c r="C279" s="608"/>
      <c r="D279" s="608"/>
      <c r="G279" s="216"/>
      <c r="H279" s="231"/>
      <c r="I279" s="236"/>
      <c r="J279" s="233"/>
      <c r="K279" s="233"/>
      <c r="L279" s="233"/>
      <c r="M279" s="233"/>
      <c r="P279" s="233"/>
      <c r="Q279" s="233"/>
      <c r="R279" s="233"/>
      <c r="S279" s="233"/>
      <c r="V279" s="233"/>
      <c r="W279" s="233"/>
      <c r="X279" s="233"/>
      <c r="Y279" s="233"/>
      <c r="Z279" s="233"/>
      <c r="AA279" s="233"/>
      <c r="AB279" s="233"/>
    </row>
    <row r="280" spans="1:28" s="215" customFormat="1">
      <c r="A280" s="608"/>
      <c r="B280" s="608"/>
      <c r="C280" s="608"/>
      <c r="D280" s="608"/>
      <c r="G280" s="216"/>
      <c r="H280" s="231"/>
      <c r="I280" s="236"/>
      <c r="J280" s="233"/>
      <c r="K280" s="233"/>
      <c r="L280" s="233"/>
      <c r="M280" s="233"/>
      <c r="P280" s="233"/>
      <c r="Q280" s="233"/>
      <c r="R280" s="233"/>
      <c r="S280" s="233"/>
      <c r="V280" s="233"/>
      <c r="W280" s="233"/>
      <c r="X280" s="233"/>
      <c r="Y280" s="233"/>
      <c r="Z280" s="233"/>
      <c r="AA280" s="233"/>
      <c r="AB280" s="233"/>
    </row>
    <row r="281" spans="1:28" s="215" customFormat="1">
      <c r="A281" s="608"/>
      <c r="B281" s="608"/>
      <c r="C281" s="608"/>
      <c r="D281" s="608"/>
      <c r="G281" s="216"/>
      <c r="H281" s="231"/>
      <c r="I281" s="236"/>
      <c r="J281" s="233"/>
      <c r="K281" s="233"/>
      <c r="L281" s="233"/>
      <c r="M281" s="233"/>
      <c r="P281" s="233"/>
      <c r="Q281" s="233"/>
      <c r="R281" s="233"/>
      <c r="S281" s="233"/>
      <c r="V281" s="233"/>
      <c r="W281" s="233"/>
      <c r="X281" s="233"/>
      <c r="Y281" s="233"/>
      <c r="Z281" s="233"/>
      <c r="AA281" s="233"/>
      <c r="AB281" s="233"/>
    </row>
    <row r="282" spans="1:28" s="215" customFormat="1">
      <c r="A282" s="608"/>
      <c r="B282" s="608"/>
      <c r="C282" s="608"/>
      <c r="D282" s="608"/>
      <c r="G282" s="216"/>
      <c r="H282" s="231"/>
      <c r="I282" s="236"/>
      <c r="J282" s="233"/>
      <c r="K282" s="233"/>
      <c r="L282" s="233"/>
      <c r="M282" s="233"/>
      <c r="P282" s="233"/>
      <c r="Q282" s="233"/>
      <c r="R282" s="233"/>
      <c r="S282" s="233"/>
      <c r="V282" s="233"/>
      <c r="W282" s="233"/>
      <c r="X282" s="233"/>
      <c r="Y282" s="233"/>
      <c r="Z282" s="233"/>
      <c r="AA282" s="233"/>
      <c r="AB282" s="233"/>
    </row>
    <row r="283" spans="1:28" s="215" customFormat="1">
      <c r="A283" s="608"/>
      <c r="B283" s="608"/>
      <c r="C283" s="608"/>
      <c r="D283" s="608"/>
      <c r="G283" s="216"/>
      <c r="H283" s="231"/>
      <c r="I283" s="236"/>
      <c r="J283" s="233"/>
      <c r="K283" s="233"/>
      <c r="L283" s="233"/>
      <c r="M283" s="233"/>
      <c r="P283" s="233"/>
      <c r="Q283" s="233"/>
      <c r="R283" s="233"/>
      <c r="S283" s="233"/>
      <c r="V283" s="233"/>
      <c r="W283" s="233"/>
      <c r="X283" s="233"/>
      <c r="Y283" s="233"/>
      <c r="Z283" s="233"/>
      <c r="AA283" s="233"/>
      <c r="AB283" s="233"/>
    </row>
    <row r="284" spans="1:28" s="215" customFormat="1">
      <c r="A284" s="608"/>
      <c r="B284" s="608"/>
      <c r="C284" s="608"/>
      <c r="D284" s="608"/>
      <c r="G284" s="216"/>
      <c r="H284" s="231"/>
      <c r="I284" s="236"/>
      <c r="J284" s="233"/>
      <c r="K284" s="233"/>
      <c r="L284" s="233"/>
      <c r="M284" s="233"/>
      <c r="P284" s="233"/>
      <c r="Q284" s="233"/>
      <c r="R284" s="233"/>
      <c r="S284" s="233"/>
      <c r="V284" s="233"/>
      <c r="W284" s="233"/>
      <c r="X284" s="233"/>
      <c r="Y284" s="233"/>
      <c r="Z284" s="233"/>
      <c r="AA284" s="233"/>
      <c r="AB284" s="233"/>
    </row>
    <row r="285" spans="1:28" s="215" customFormat="1">
      <c r="A285" s="608"/>
      <c r="B285" s="608"/>
      <c r="C285" s="608"/>
      <c r="D285" s="608"/>
      <c r="G285" s="216"/>
      <c r="H285" s="231"/>
      <c r="I285" s="236"/>
      <c r="J285" s="233"/>
      <c r="K285" s="233"/>
      <c r="L285" s="233"/>
      <c r="M285" s="233"/>
      <c r="P285" s="233"/>
      <c r="Q285" s="233"/>
      <c r="R285" s="233"/>
      <c r="S285" s="233"/>
      <c r="V285" s="233"/>
      <c r="W285" s="233"/>
      <c r="X285" s="233"/>
      <c r="Y285" s="233"/>
      <c r="Z285" s="233"/>
      <c r="AA285" s="233"/>
      <c r="AB285" s="233"/>
    </row>
    <row r="286" spans="1:28" s="215" customFormat="1">
      <c r="A286" s="608"/>
      <c r="B286" s="608"/>
      <c r="C286" s="608"/>
      <c r="D286" s="608"/>
      <c r="G286" s="216"/>
      <c r="H286" s="231"/>
      <c r="I286" s="236"/>
      <c r="J286" s="233"/>
      <c r="K286" s="233"/>
      <c r="L286" s="233"/>
      <c r="M286" s="233"/>
      <c r="P286" s="233"/>
      <c r="Q286" s="233"/>
      <c r="R286" s="233"/>
      <c r="S286" s="233"/>
      <c r="V286" s="233"/>
      <c r="W286" s="233"/>
      <c r="X286" s="233"/>
      <c r="Y286" s="233"/>
      <c r="Z286" s="233"/>
      <c r="AA286" s="233"/>
      <c r="AB286" s="233"/>
    </row>
    <row r="287" spans="1:28" s="215" customFormat="1">
      <c r="A287" s="608"/>
      <c r="B287" s="608"/>
      <c r="C287" s="608"/>
      <c r="D287" s="608"/>
      <c r="G287" s="216"/>
      <c r="H287" s="231"/>
      <c r="I287" s="236"/>
      <c r="J287" s="233"/>
      <c r="K287" s="233"/>
      <c r="L287" s="233"/>
      <c r="M287" s="233"/>
      <c r="P287" s="233"/>
      <c r="Q287" s="233"/>
      <c r="R287" s="233"/>
      <c r="S287" s="233"/>
      <c r="V287" s="233"/>
      <c r="W287" s="233"/>
      <c r="X287" s="233"/>
      <c r="Y287" s="233"/>
      <c r="Z287" s="233"/>
      <c r="AA287" s="233"/>
      <c r="AB287" s="233"/>
    </row>
    <row r="288" spans="1:28" s="215" customFormat="1">
      <c r="A288" s="608"/>
      <c r="B288" s="608"/>
      <c r="C288" s="608"/>
      <c r="D288" s="608"/>
      <c r="G288" s="216"/>
      <c r="H288" s="231"/>
      <c r="I288" s="236"/>
      <c r="J288" s="233"/>
      <c r="K288" s="233"/>
      <c r="L288" s="233"/>
      <c r="M288" s="233"/>
      <c r="P288" s="233"/>
      <c r="Q288" s="233"/>
      <c r="R288" s="233"/>
      <c r="S288" s="233"/>
      <c r="V288" s="233"/>
      <c r="W288" s="233"/>
      <c r="X288" s="233"/>
      <c r="Y288" s="233"/>
      <c r="Z288" s="233"/>
      <c r="AA288" s="233"/>
      <c r="AB288" s="233"/>
    </row>
    <row r="289" spans="1:28" s="215" customFormat="1">
      <c r="A289" s="608"/>
      <c r="B289" s="608"/>
      <c r="C289" s="608"/>
      <c r="D289" s="608"/>
      <c r="G289" s="216"/>
      <c r="H289" s="231"/>
      <c r="I289" s="236"/>
      <c r="J289" s="233"/>
      <c r="K289" s="233"/>
      <c r="L289" s="233"/>
      <c r="M289" s="233"/>
      <c r="P289" s="233"/>
      <c r="Q289" s="233"/>
      <c r="R289" s="233"/>
      <c r="S289" s="233"/>
      <c r="V289" s="233"/>
      <c r="W289" s="233"/>
      <c r="X289" s="233"/>
      <c r="Y289" s="233"/>
      <c r="Z289" s="233"/>
      <c r="AA289" s="233"/>
      <c r="AB289" s="233"/>
    </row>
    <row r="290" spans="1:28" s="215" customFormat="1">
      <c r="A290" s="608"/>
      <c r="B290" s="608"/>
      <c r="C290" s="608"/>
      <c r="D290" s="608"/>
      <c r="G290" s="216"/>
      <c r="H290" s="231"/>
      <c r="I290" s="236"/>
      <c r="J290" s="233"/>
      <c r="K290" s="233"/>
      <c r="L290" s="233"/>
      <c r="M290" s="233"/>
      <c r="P290" s="233"/>
      <c r="Q290" s="233"/>
      <c r="R290" s="233"/>
      <c r="S290" s="233"/>
      <c r="V290" s="233"/>
      <c r="W290" s="233"/>
      <c r="X290" s="233"/>
      <c r="Y290" s="233"/>
      <c r="Z290" s="233"/>
      <c r="AA290" s="233"/>
      <c r="AB290" s="233"/>
    </row>
    <row r="291" spans="1:28" s="215" customFormat="1">
      <c r="A291" s="608"/>
      <c r="B291" s="608"/>
      <c r="C291" s="608"/>
      <c r="D291" s="608"/>
      <c r="G291" s="216"/>
      <c r="H291" s="231"/>
      <c r="I291" s="236"/>
      <c r="J291" s="233"/>
      <c r="K291" s="233"/>
      <c r="L291" s="233"/>
      <c r="M291" s="233"/>
      <c r="P291" s="233"/>
      <c r="Q291" s="233"/>
      <c r="R291" s="233"/>
      <c r="S291" s="233"/>
      <c r="V291" s="233"/>
      <c r="W291" s="233"/>
      <c r="X291" s="233"/>
      <c r="Y291" s="233"/>
      <c r="Z291" s="233"/>
      <c r="AA291" s="233"/>
      <c r="AB291" s="233"/>
    </row>
    <row r="292" spans="1:28" s="215" customFormat="1">
      <c r="A292" s="608"/>
      <c r="B292" s="608"/>
      <c r="C292" s="608"/>
      <c r="D292" s="608"/>
      <c r="G292" s="216"/>
      <c r="H292" s="231"/>
      <c r="I292" s="236"/>
      <c r="J292" s="233"/>
      <c r="K292" s="233"/>
      <c r="L292" s="233"/>
      <c r="M292" s="233"/>
      <c r="P292" s="233"/>
      <c r="Q292" s="233"/>
      <c r="R292" s="233"/>
      <c r="S292" s="233"/>
      <c r="V292" s="233"/>
      <c r="W292" s="233"/>
      <c r="X292" s="233"/>
      <c r="Y292" s="233"/>
      <c r="Z292" s="233"/>
      <c r="AA292" s="233"/>
      <c r="AB292" s="233"/>
    </row>
    <row r="293" spans="1:28" s="215" customFormat="1">
      <c r="A293" s="608"/>
      <c r="B293" s="608"/>
      <c r="C293" s="608"/>
      <c r="D293" s="608"/>
      <c r="G293" s="216"/>
      <c r="H293" s="231"/>
      <c r="I293" s="236"/>
      <c r="J293" s="233"/>
      <c r="K293" s="233"/>
      <c r="L293" s="233"/>
      <c r="M293" s="233"/>
      <c r="P293" s="233"/>
      <c r="Q293" s="233"/>
      <c r="R293" s="233"/>
      <c r="S293" s="233"/>
      <c r="V293" s="233"/>
      <c r="W293" s="233"/>
      <c r="X293" s="233"/>
      <c r="Y293" s="233"/>
      <c r="Z293" s="233"/>
      <c r="AA293" s="233"/>
      <c r="AB293" s="233"/>
    </row>
    <row r="294" spans="1:28" s="215" customFormat="1">
      <c r="A294" s="608"/>
      <c r="B294" s="608"/>
      <c r="C294" s="608"/>
      <c r="D294" s="608"/>
      <c r="G294" s="216"/>
      <c r="H294" s="231"/>
      <c r="I294" s="236"/>
      <c r="J294" s="233"/>
      <c r="K294" s="233"/>
      <c r="L294" s="233"/>
      <c r="M294" s="233"/>
      <c r="P294" s="233"/>
      <c r="Q294" s="233"/>
      <c r="R294" s="233"/>
      <c r="S294" s="233"/>
      <c r="V294" s="233"/>
      <c r="W294" s="233"/>
      <c r="X294" s="233"/>
      <c r="Y294" s="233"/>
      <c r="Z294" s="233"/>
      <c r="AA294" s="233"/>
      <c r="AB294" s="233"/>
    </row>
    <row r="295" spans="1:28" s="215" customFormat="1">
      <c r="A295" s="608"/>
      <c r="B295" s="608"/>
      <c r="C295" s="608"/>
      <c r="D295" s="608"/>
      <c r="G295" s="216"/>
      <c r="H295" s="231"/>
      <c r="I295" s="236"/>
      <c r="J295" s="233"/>
      <c r="K295" s="233"/>
      <c r="L295" s="233"/>
      <c r="M295" s="233"/>
      <c r="P295" s="233"/>
      <c r="Q295" s="233"/>
      <c r="R295" s="233"/>
      <c r="S295" s="233"/>
      <c r="V295" s="233"/>
      <c r="W295" s="233"/>
      <c r="X295" s="233"/>
      <c r="Y295" s="233"/>
      <c r="Z295" s="233"/>
      <c r="AA295" s="233"/>
      <c r="AB295" s="233"/>
    </row>
    <row r="296" spans="1:28" s="215" customFormat="1">
      <c r="A296" s="608"/>
      <c r="B296" s="608"/>
      <c r="C296" s="608"/>
      <c r="D296" s="608"/>
      <c r="G296" s="216"/>
      <c r="H296" s="231"/>
      <c r="I296" s="236"/>
      <c r="J296" s="233"/>
      <c r="K296" s="233"/>
      <c r="L296" s="233"/>
      <c r="M296" s="233"/>
      <c r="P296" s="233"/>
      <c r="Q296" s="233"/>
      <c r="R296" s="233"/>
      <c r="S296" s="233"/>
      <c r="V296" s="233"/>
      <c r="W296" s="233"/>
      <c r="X296" s="233"/>
      <c r="Y296" s="233"/>
      <c r="Z296" s="233"/>
      <c r="AA296" s="233"/>
      <c r="AB296" s="233"/>
    </row>
    <row r="297" spans="1:28" s="215" customFormat="1">
      <c r="A297" s="608"/>
      <c r="B297" s="608"/>
      <c r="C297" s="608"/>
      <c r="D297" s="608"/>
      <c r="G297" s="216"/>
      <c r="H297" s="231"/>
      <c r="I297" s="236"/>
      <c r="J297" s="233"/>
      <c r="K297" s="233"/>
      <c r="L297" s="233"/>
      <c r="M297" s="233"/>
      <c r="P297" s="233"/>
      <c r="Q297" s="233"/>
      <c r="R297" s="233"/>
      <c r="S297" s="233"/>
      <c r="V297" s="233"/>
      <c r="W297" s="233"/>
      <c r="X297" s="233"/>
      <c r="Y297" s="233"/>
      <c r="Z297" s="233"/>
      <c r="AA297" s="233"/>
      <c r="AB297" s="233"/>
    </row>
    <row r="298" spans="1:28" s="215" customFormat="1">
      <c r="A298" s="608"/>
      <c r="B298" s="608"/>
      <c r="C298" s="608"/>
      <c r="D298" s="608"/>
      <c r="G298" s="216"/>
      <c r="H298" s="231"/>
      <c r="I298" s="236"/>
      <c r="J298" s="233"/>
      <c r="K298" s="233"/>
      <c r="L298" s="233"/>
      <c r="M298" s="233"/>
      <c r="P298" s="233"/>
      <c r="Q298" s="233"/>
      <c r="R298" s="233"/>
      <c r="S298" s="233"/>
      <c r="V298" s="233"/>
      <c r="W298" s="233"/>
      <c r="X298" s="233"/>
      <c r="Y298" s="233"/>
      <c r="Z298" s="233"/>
      <c r="AA298" s="233"/>
      <c r="AB298" s="233"/>
    </row>
    <row r="299" spans="1:28" s="215" customFormat="1">
      <c r="A299" s="608"/>
      <c r="B299" s="608"/>
      <c r="C299" s="608"/>
      <c r="D299" s="608"/>
      <c r="G299" s="216"/>
      <c r="H299" s="231"/>
      <c r="I299" s="236"/>
      <c r="J299" s="233"/>
      <c r="K299" s="233"/>
      <c r="L299" s="233"/>
      <c r="M299" s="233"/>
      <c r="P299" s="233"/>
      <c r="Q299" s="233"/>
      <c r="R299" s="233"/>
      <c r="S299" s="233"/>
      <c r="V299" s="233"/>
      <c r="W299" s="233"/>
      <c r="X299" s="233"/>
      <c r="Y299" s="233"/>
      <c r="Z299" s="233"/>
      <c r="AA299" s="233"/>
      <c r="AB299" s="233"/>
    </row>
    <row r="300" spans="1:28" s="215" customFormat="1">
      <c r="A300" s="608"/>
      <c r="B300" s="608"/>
      <c r="C300" s="608"/>
      <c r="D300" s="608"/>
      <c r="G300" s="216"/>
      <c r="H300" s="231"/>
      <c r="I300" s="236"/>
      <c r="J300" s="233"/>
      <c r="K300" s="233"/>
      <c r="L300" s="233"/>
      <c r="M300" s="233"/>
      <c r="P300" s="233"/>
      <c r="Q300" s="233"/>
      <c r="R300" s="233"/>
      <c r="S300" s="233"/>
      <c r="V300" s="233"/>
      <c r="W300" s="233"/>
      <c r="X300" s="233"/>
      <c r="Y300" s="233"/>
      <c r="Z300" s="233"/>
      <c r="AA300" s="233"/>
      <c r="AB300" s="233"/>
    </row>
    <row r="301" spans="1:28" s="215" customFormat="1">
      <c r="A301" s="608"/>
      <c r="B301" s="608"/>
      <c r="C301" s="608"/>
      <c r="D301" s="608"/>
      <c r="G301" s="216"/>
      <c r="H301" s="231"/>
      <c r="I301" s="236"/>
      <c r="J301" s="233"/>
      <c r="K301" s="233"/>
      <c r="L301" s="233"/>
      <c r="M301" s="233"/>
      <c r="P301" s="233"/>
      <c r="Q301" s="233"/>
      <c r="R301" s="233"/>
      <c r="S301" s="233"/>
      <c r="V301" s="233"/>
      <c r="W301" s="233"/>
      <c r="X301" s="233"/>
      <c r="Y301" s="233"/>
      <c r="Z301" s="233"/>
      <c r="AA301" s="233"/>
      <c r="AB301" s="233"/>
    </row>
    <row r="302" spans="1:28" s="215" customFormat="1">
      <c r="A302" s="608"/>
      <c r="B302" s="608"/>
      <c r="C302" s="608"/>
      <c r="D302" s="608"/>
      <c r="G302" s="216"/>
      <c r="H302" s="231"/>
      <c r="I302" s="236"/>
      <c r="J302" s="233"/>
      <c r="K302" s="233"/>
      <c r="L302" s="233"/>
      <c r="M302" s="233"/>
      <c r="P302" s="233"/>
      <c r="Q302" s="233"/>
      <c r="R302" s="233"/>
      <c r="S302" s="233"/>
      <c r="V302" s="233"/>
      <c r="W302" s="233"/>
      <c r="X302" s="233"/>
      <c r="Y302" s="233"/>
      <c r="Z302" s="233"/>
      <c r="AA302" s="233"/>
      <c r="AB302" s="233"/>
    </row>
    <row r="303" spans="1:28" s="215" customFormat="1">
      <c r="A303" s="608"/>
      <c r="B303" s="608"/>
      <c r="C303" s="608"/>
      <c r="D303" s="608"/>
      <c r="G303" s="216"/>
      <c r="H303" s="231"/>
      <c r="I303" s="236"/>
      <c r="J303" s="233"/>
      <c r="K303" s="233"/>
      <c r="L303" s="233"/>
      <c r="M303" s="233"/>
      <c r="P303" s="233"/>
      <c r="Q303" s="233"/>
      <c r="R303" s="233"/>
      <c r="S303" s="233"/>
      <c r="V303" s="233"/>
      <c r="W303" s="233"/>
      <c r="X303" s="233"/>
      <c r="Y303" s="233"/>
      <c r="Z303" s="233"/>
      <c r="AA303" s="233"/>
      <c r="AB303" s="233"/>
    </row>
    <row r="304" spans="1:28" s="215" customFormat="1">
      <c r="A304" s="608"/>
      <c r="B304" s="608"/>
      <c r="C304" s="608"/>
      <c r="D304" s="608"/>
      <c r="G304" s="216"/>
      <c r="H304" s="231"/>
      <c r="I304" s="236"/>
      <c r="J304" s="233"/>
      <c r="K304" s="233"/>
      <c r="L304" s="233"/>
      <c r="M304" s="233"/>
      <c r="P304" s="233"/>
      <c r="Q304" s="233"/>
      <c r="R304" s="233"/>
      <c r="S304" s="233"/>
      <c r="V304" s="233"/>
      <c r="W304" s="233"/>
      <c r="X304" s="233"/>
      <c r="Y304" s="233"/>
      <c r="Z304" s="233"/>
      <c r="AA304" s="233"/>
      <c r="AB304" s="233"/>
    </row>
    <row r="305" spans="1:28" s="215" customFormat="1">
      <c r="A305" s="608"/>
      <c r="B305" s="608"/>
      <c r="C305" s="608"/>
      <c r="D305" s="608"/>
      <c r="G305" s="216"/>
      <c r="H305" s="231"/>
      <c r="I305" s="236"/>
      <c r="J305" s="233"/>
      <c r="K305" s="233"/>
      <c r="L305" s="233"/>
      <c r="M305" s="233"/>
      <c r="P305" s="233"/>
      <c r="Q305" s="233"/>
      <c r="R305" s="233"/>
      <c r="S305" s="233"/>
      <c r="V305" s="233"/>
      <c r="W305" s="233"/>
      <c r="X305" s="233"/>
      <c r="Y305" s="233"/>
      <c r="Z305" s="233"/>
      <c r="AA305" s="233"/>
      <c r="AB305" s="233"/>
    </row>
    <row r="306" spans="1:28" s="215" customFormat="1">
      <c r="A306" s="608"/>
      <c r="B306" s="608"/>
      <c r="C306" s="608"/>
      <c r="D306" s="608"/>
      <c r="G306" s="216"/>
      <c r="H306" s="231"/>
      <c r="I306" s="236"/>
      <c r="J306" s="233"/>
      <c r="K306" s="233"/>
      <c r="L306" s="233"/>
      <c r="M306" s="233"/>
      <c r="P306" s="233"/>
      <c r="Q306" s="233"/>
      <c r="R306" s="233"/>
      <c r="S306" s="233"/>
      <c r="V306" s="233"/>
      <c r="W306" s="233"/>
      <c r="X306" s="233"/>
      <c r="Y306" s="233"/>
      <c r="Z306" s="233"/>
      <c r="AA306" s="233"/>
      <c r="AB306" s="233"/>
    </row>
    <row r="307" spans="1:28" s="215" customFormat="1">
      <c r="A307" s="608"/>
      <c r="B307" s="608"/>
      <c r="C307" s="608"/>
      <c r="D307" s="608"/>
      <c r="G307" s="216"/>
      <c r="H307" s="231"/>
      <c r="I307" s="236"/>
      <c r="J307" s="233"/>
      <c r="K307" s="233"/>
      <c r="L307" s="233"/>
      <c r="M307" s="233"/>
      <c r="P307" s="233"/>
      <c r="Q307" s="233"/>
      <c r="R307" s="233"/>
      <c r="S307" s="233"/>
      <c r="V307" s="233"/>
      <c r="W307" s="233"/>
      <c r="X307" s="233"/>
      <c r="Y307" s="233"/>
      <c r="Z307" s="233"/>
      <c r="AA307" s="233"/>
      <c r="AB307" s="233"/>
    </row>
    <row r="308" spans="1:28" s="215" customFormat="1">
      <c r="A308" s="608"/>
      <c r="B308" s="608"/>
      <c r="C308" s="608"/>
      <c r="D308" s="608"/>
      <c r="G308" s="216"/>
      <c r="H308" s="231"/>
      <c r="I308" s="236"/>
      <c r="J308" s="233"/>
      <c r="K308" s="233"/>
      <c r="L308" s="233"/>
      <c r="M308" s="233"/>
      <c r="P308" s="233"/>
      <c r="Q308" s="233"/>
      <c r="R308" s="233"/>
      <c r="S308" s="233"/>
      <c r="V308" s="233"/>
      <c r="W308" s="233"/>
      <c r="X308" s="233"/>
      <c r="Y308" s="233"/>
      <c r="Z308" s="233"/>
      <c r="AA308" s="233"/>
      <c r="AB308" s="233"/>
    </row>
    <row r="309" spans="1:28" s="215" customFormat="1">
      <c r="A309" s="608"/>
      <c r="B309" s="608"/>
      <c r="C309" s="608"/>
      <c r="D309" s="608"/>
      <c r="G309" s="216"/>
      <c r="H309" s="231"/>
      <c r="I309" s="236"/>
      <c r="J309" s="233"/>
      <c r="K309" s="233"/>
      <c r="L309" s="233"/>
      <c r="M309" s="233"/>
      <c r="P309" s="233"/>
      <c r="Q309" s="233"/>
      <c r="R309" s="233"/>
      <c r="S309" s="233"/>
      <c r="V309" s="233"/>
      <c r="W309" s="233"/>
      <c r="X309" s="233"/>
      <c r="Y309" s="233"/>
      <c r="Z309" s="233"/>
      <c r="AA309" s="233"/>
      <c r="AB309" s="233"/>
    </row>
    <row r="310" spans="1:28" s="215" customFormat="1">
      <c r="A310" s="608"/>
      <c r="B310" s="608"/>
      <c r="C310" s="608"/>
      <c r="D310" s="608"/>
      <c r="G310" s="216"/>
      <c r="H310" s="231"/>
      <c r="I310" s="236"/>
      <c r="J310" s="233"/>
      <c r="K310" s="233"/>
      <c r="L310" s="233"/>
      <c r="M310" s="233"/>
      <c r="P310" s="233"/>
      <c r="Q310" s="233"/>
      <c r="R310" s="233"/>
      <c r="S310" s="233"/>
      <c r="V310" s="233"/>
      <c r="W310" s="233"/>
      <c r="X310" s="233"/>
      <c r="Y310" s="233"/>
      <c r="Z310" s="233"/>
      <c r="AA310" s="233"/>
      <c r="AB310" s="233"/>
    </row>
    <row r="311" spans="1:28" s="215" customFormat="1">
      <c r="A311" s="608"/>
      <c r="B311" s="608"/>
      <c r="C311" s="608"/>
      <c r="D311" s="608"/>
      <c r="G311" s="216"/>
      <c r="H311" s="231"/>
      <c r="I311" s="236"/>
      <c r="J311" s="233"/>
      <c r="K311" s="233"/>
      <c r="L311" s="233"/>
      <c r="M311" s="233"/>
      <c r="P311" s="233"/>
      <c r="Q311" s="233"/>
      <c r="R311" s="233"/>
      <c r="S311" s="233"/>
      <c r="V311" s="233"/>
      <c r="W311" s="233"/>
      <c r="X311" s="233"/>
      <c r="Y311" s="233"/>
      <c r="Z311" s="233"/>
      <c r="AA311" s="233"/>
      <c r="AB311" s="233"/>
    </row>
    <row r="312" spans="1:28" s="215" customFormat="1">
      <c r="A312" s="608"/>
      <c r="B312" s="608"/>
      <c r="C312" s="608"/>
      <c r="D312" s="608"/>
      <c r="G312" s="216"/>
      <c r="H312" s="231"/>
      <c r="I312" s="236"/>
      <c r="J312" s="233"/>
      <c r="K312" s="233"/>
      <c r="L312" s="233"/>
      <c r="M312" s="233"/>
      <c r="P312" s="233"/>
      <c r="Q312" s="233"/>
      <c r="R312" s="233"/>
      <c r="S312" s="233"/>
      <c r="V312" s="233"/>
      <c r="W312" s="233"/>
      <c r="X312" s="233"/>
      <c r="Y312" s="233"/>
      <c r="Z312" s="233"/>
      <c r="AA312" s="233"/>
      <c r="AB312" s="233"/>
    </row>
    <row r="313" spans="1:28" s="215" customFormat="1">
      <c r="A313" s="608"/>
      <c r="B313" s="608"/>
      <c r="C313" s="608"/>
      <c r="D313" s="608"/>
      <c r="G313" s="216"/>
      <c r="H313" s="231"/>
      <c r="I313" s="236"/>
      <c r="J313" s="233"/>
      <c r="K313" s="233"/>
      <c r="L313" s="233"/>
      <c r="M313" s="233"/>
      <c r="P313" s="233"/>
      <c r="Q313" s="233"/>
      <c r="R313" s="233"/>
      <c r="S313" s="233"/>
      <c r="V313" s="233"/>
      <c r="W313" s="233"/>
      <c r="X313" s="233"/>
      <c r="Y313" s="233"/>
      <c r="Z313" s="233"/>
      <c r="AA313" s="233"/>
      <c r="AB313" s="233"/>
    </row>
    <row r="314" spans="1:28" s="215" customFormat="1">
      <c r="A314" s="608"/>
      <c r="B314" s="608"/>
      <c r="C314" s="608"/>
      <c r="D314" s="608"/>
      <c r="G314" s="216"/>
      <c r="H314" s="231"/>
      <c r="I314" s="236"/>
      <c r="J314" s="233"/>
      <c r="K314" s="233"/>
      <c r="L314" s="233"/>
      <c r="M314" s="233"/>
      <c r="P314" s="233"/>
      <c r="Q314" s="233"/>
      <c r="R314" s="233"/>
      <c r="S314" s="233"/>
      <c r="V314" s="233"/>
      <c r="W314" s="233"/>
      <c r="X314" s="233"/>
      <c r="Y314" s="233"/>
      <c r="Z314" s="233"/>
      <c r="AA314" s="233"/>
      <c r="AB314" s="233"/>
    </row>
    <row r="315" spans="1:28" s="215" customFormat="1">
      <c r="A315" s="608"/>
      <c r="B315" s="608"/>
      <c r="C315" s="608"/>
      <c r="D315" s="608"/>
      <c r="G315" s="216"/>
      <c r="H315" s="231"/>
      <c r="I315" s="236"/>
      <c r="J315" s="233"/>
      <c r="K315" s="233"/>
      <c r="L315" s="233"/>
      <c r="M315" s="233"/>
      <c r="P315" s="233"/>
      <c r="Q315" s="233"/>
      <c r="R315" s="233"/>
      <c r="S315" s="233"/>
      <c r="V315" s="233"/>
      <c r="W315" s="233"/>
      <c r="X315" s="233"/>
      <c r="Y315" s="233"/>
      <c r="Z315" s="233"/>
      <c r="AA315" s="233"/>
      <c r="AB315" s="233"/>
    </row>
    <row r="316" spans="1:28" s="215" customFormat="1">
      <c r="A316" s="608"/>
      <c r="B316" s="608"/>
      <c r="C316" s="608"/>
      <c r="D316" s="608"/>
      <c r="G316" s="216"/>
      <c r="H316" s="231"/>
      <c r="I316" s="236"/>
      <c r="J316" s="233"/>
      <c r="K316" s="233"/>
      <c r="L316" s="233"/>
      <c r="M316" s="233"/>
      <c r="P316" s="233"/>
      <c r="Q316" s="233"/>
      <c r="R316" s="233"/>
      <c r="S316" s="233"/>
      <c r="V316" s="233"/>
      <c r="W316" s="233"/>
      <c r="X316" s="233"/>
      <c r="Y316" s="233"/>
      <c r="Z316" s="233"/>
      <c r="AA316" s="233"/>
      <c r="AB316" s="233"/>
    </row>
    <row r="317" spans="1:28" s="215" customFormat="1">
      <c r="A317" s="608"/>
      <c r="B317" s="608"/>
      <c r="C317" s="608"/>
      <c r="D317" s="608"/>
      <c r="G317" s="216"/>
      <c r="H317" s="231"/>
      <c r="I317" s="236"/>
      <c r="J317" s="233"/>
      <c r="K317" s="233"/>
      <c r="L317" s="233"/>
      <c r="M317" s="233"/>
      <c r="P317" s="233"/>
      <c r="Q317" s="233"/>
      <c r="R317" s="233"/>
      <c r="S317" s="233"/>
      <c r="V317" s="233"/>
      <c r="W317" s="233"/>
      <c r="X317" s="233"/>
      <c r="Y317" s="233"/>
      <c r="Z317" s="233"/>
      <c r="AA317" s="233"/>
      <c r="AB317" s="233"/>
    </row>
    <row r="318" spans="1:28" s="215" customFormat="1">
      <c r="A318" s="608"/>
      <c r="B318" s="608"/>
      <c r="C318" s="608"/>
      <c r="D318" s="608"/>
      <c r="G318" s="216"/>
      <c r="H318" s="231"/>
      <c r="I318" s="236"/>
      <c r="J318" s="233"/>
      <c r="K318" s="233"/>
      <c r="L318" s="233"/>
      <c r="M318" s="233"/>
      <c r="P318" s="233"/>
      <c r="Q318" s="233"/>
      <c r="R318" s="233"/>
      <c r="S318" s="233"/>
      <c r="V318" s="233"/>
      <c r="W318" s="233"/>
      <c r="X318" s="233"/>
      <c r="Y318" s="233"/>
      <c r="Z318" s="233"/>
      <c r="AA318" s="233"/>
      <c r="AB318" s="233"/>
    </row>
    <row r="319" spans="1:28" s="215" customFormat="1">
      <c r="A319" s="608"/>
      <c r="B319" s="608"/>
      <c r="C319" s="608"/>
      <c r="D319" s="608"/>
      <c r="G319" s="216"/>
      <c r="H319" s="231"/>
      <c r="I319" s="236"/>
      <c r="J319" s="233"/>
      <c r="K319" s="233"/>
      <c r="L319" s="233"/>
      <c r="M319" s="233"/>
      <c r="P319" s="233"/>
      <c r="Q319" s="233"/>
      <c r="R319" s="233"/>
      <c r="S319" s="233"/>
      <c r="V319" s="233"/>
      <c r="W319" s="233"/>
      <c r="X319" s="233"/>
      <c r="Y319" s="233"/>
      <c r="Z319" s="233"/>
      <c r="AA319" s="233"/>
      <c r="AB319" s="233"/>
    </row>
    <row r="320" spans="1:28" s="215" customFormat="1">
      <c r="A320" s="608"/>
      <c r="B320" s="608"/>
      <c r="C320" s="608"/>
      <c r="D320" s="608"/>
      <c r="G320" s="216"/>
      <c r="H320" s="231"/>
      <c r="I320" s="236"/>
      <c r="J320" s="233"/>
      <c r="K320" s="233"/>
      <c r="L320" s="233"/>
      <c r="M320" s="233"/>
      <c r="P320" s="233"/>
      <c r="Q320" s="233"/>
      <c r="R320" s="233"/>
      <c r="S320" s="233"/>
      <c r="V320" s="233"/>
      <c r="W320" s="233"/>
      <c r="X320" s="233"/>
      <c r="Y320" s="233"/>
      <c r="Z320" s="233"/>
      <c r="AA320" s="233"/>
      <c r="AB320" s="233"/>
    </row>
    <row r="321" spans="1:28" s="215" customFormat="1">
      <c r="A321" s="608"/>
      <c r="B321" s="608"/>
      <c r="C321" s="608"/>
      <c r="D321" s="608"/>
      <c r="G321" s="216"/>
      <c r="H321" s="231"/>
      <c r="I321" s="236"/>
      <c r="J321" s="233"/>
      <c r="K321" s="233"/>
      <c r="L321" s="233"/>
      <c r="M321" s="233"/>
      <c r="P321" s="233"/>
      <c r="Q321" s="233"/>
      <c r="R321" s="233"/>
      <c r="S321" s="233"/>
      <c r="V321" s="233"/>
      <c r="W321" s="233"/>
      <c r="X321" s="233"/>
      <c r="Y321" s="233"/>
      <c r="Z321" s="233"/>
      <c r="AA321" s="233"/>
      <c r="AB321" s="233"/>
    </row>
    <row r="322" spans="1:28" s="215" customFormat="1">
      <c r="A322" s="608"/>
      <c r="B322" s="608"/>
      <c r="C322" s="608"/>
      <c r="D322" s="608"/>
      <c r="G322" s="216"/>
      <c r="H322" s="231"/>
      <c r="I322" s="236"/>
      <c r="J322" s="233"/>
      <c r="K322" s="233"/>
      <c r="L322" s="233"/>
      <c r="M322" s="233"/>
      <c r="P322" s="233"/>
      <c r="Q322" s="233"/>
      <c r="R322" s="233"/>
      <c r="S322" s="233"/>
      <c r="V322" s="233"/>
      <c r="W322" s="233"/>
      <c r="X322" s="233"/>
      <c r="Y322" s="233"/>
      <c r="Z322" s="233"/>
      <c r="AA322" s="233"/>
      <c r="AB322" s="233"/>
    </row>
    <row r="323" spans="1:28" s="215" customFormat="1">
      <c r="A323" s="608"/>
      <c r="B323" s="608"/>
      <c r="C323" s="608"/>
      <c r="D323" s="608"/>
      <c r="G323" s="216"/>
      <c r="H323" s="231"/>
      <c r="I323" s="236"/>
      <c r="J323" s="233"/>
      <c r="K323" s="233"/>
      <c r="L323" s="233"/>
      <c r="M323" s="233"/>
      <c r="P323" s="233"/>
      <c r="Q323" s="233"/>
      <c r="R323" s="233"/>
      <c r="S323" s="233"/>
      <c r="V323" s="233"/>
      <c r="W323" s="233"/>
      <c r="X323" s="233"/>
      <c r="Y323" s="233"/>
      <c r="Z323" s="233"/>
      <c r="AA323" s="233"/>
      <c r="AB323" s="233"/>
    </row>
    <row r="324" spans="1:28" s="215" customFormat="1">
      <c r="A324" s="608"/>
      <c r="B324" s="608"/>
      <c r="C324" s="608"/>
      <c r="D324" s="608"/>
      <c r="G324" s="216"/>
      <c r="H324" s="231"/>
      <c r="I324" s="236"/>
      <c r="J324" s="233"/>
      <c r="K324" s="233"/>
      <c r="L324" s="233"/>
      <c r="M324" s="233"/>
      <c r="P324" s="233"/>
      <c r="Q324" s="233"/>
      <c r="R324" s="233"/>
      <c r="S324" s="233"/>
      <c r="V324" s="233"/>
      <c r="W324" s="233"/>
      <c r="X324" s="233"/>
      <c r="Y324" s="233"/>
      <c r="Z324" s="233"/>
      <c r="AA324" s="233"/>
      <c r="AB324" s="233"/>
    </row>
    <row r="325" spans="1:28" s="215" customFormat="1">
      <c r="A325" s="608"/>
      <c r="B325" s="608"/>
      <c r="C325" s="608"/>
      <c r="D325" s="608"/>
      <c r="G325" s="216"/>
      <c r="H325" s="231"/>
      <c r="I325" s="236"/>
      <c r="J325" s="233"/>
      <c r="K325" s="233"/>
      <c r="L325" s="233"/>
      <c r="M325" s="233"/>
      <c r="P325" s="233"/>
      <c r="Q325" s="233"/>
      <c r="R325" s="233"/>
      <c r="S325" s="233"/>
      <c r="V325" s="233"/>
      <c r="W325" s="233"/>
      <c r="X325" s="233"/>
      <c r="Y325" s="233"/>
      <c r="Z325" s="233"/>
      <c r="AA325" s="233"/>
      <c r="AB325" s="233"/>
    </row>
    <row r="326" spans="1:28" s="215" customFormat="1">
      <c r="A326" s="608"/>
      <c r="B326" s="608"/>
      <c r="C326" s="608"/>
      <c r="D326" s="608"/>
      <c r="G326" s="216"/>
      <c r="H326" s="231"/>
      <c r="I326" s="236"/>
      <c r="J326" s="233"/>
      <c r="K326" s="233"/>
      <c r="L326" s="233"/>
      <c r="M326" s="233"/>
      <c r="P326" s="233"/>
      <c r="Q326" s="233"/>
      <c r="R326" s="233"/>
      <c r="S326" s="233"/>
      <c r="V326" s="233"/>
      <c r="W326" s="233"/>
      <c r="X326" s="233"/>
      <c r="Y326" s="233"/>
      <c r="Z326" s="233"/>
      <c r="AA326" s="233"/>
      <c r="AB326" s="233"/>
    </row>
    <row r="327" spans="1:28" s="215" customFormat="1">
      <c r="A327" s="608"/>
      <c r="B327" s="608"/>
      <c r="C327" s="608"/>
      <c r="D327" s="608"/>
      <c r="G327" s="216"/>
      <c r="H327" s="231"/>
      <c r="I327" s="236"/>
      <c r="J327" s="233"/>
      <c r="K327" s="233"/>
      <c r="L327" s="233"/>
      <c r="M327" s="233"/>
      <c r="P327" s="233"/>
      <c r="Q327" s="233"/>
      <c r="R327" s="233"/>
      <c r="S327" s="233"/>
      <c r="V327" s="233"/>
      <c r="W327" s="233"/>
      <c r="X327" s="233"/>
      <c r="Y327" s="233"/>
      <c r="Z327" s="233"/>
      <c r="AA327" s="233"/>
      <c r="AB327" s="233"/>
    </row>
    <row r="328" spans="1:28" s="215" customFormat="1">
      <c r="A328" s="608"/>
      <c r="B328" s="608"/>
      <c r="C328" s="608"/>
      <c r="D328" s="608"/>
      <c r="G328" s="216"/>
      <c r="H328" s="231"/>
      <c r="I328" s="236"/>
      <c r="J328" s="233"/>
      <c r="K328" s="233"/>
      <c r="L328" s="233"/>
      <c r="M328" s="233"/>
      <c r="P328" s="233"/>
      <c r="Q328" s="233"/>
      <c r="R328" s="233"/>
      <c r="S328" s="233"/>
      <c r="V328" s="233"/>
      <c r="W328" s="233"/>
      <c r="X328" s="233"/>
      <c r="Y328" s="233"/>
      <c r="Z328" s="233"/>
      <c r="AA328" s="233"/>
      <c r="AB328" s="233"/>
    </row>
    <row r="329" spans="1:28" s="215" customFormat="1">
      <c r="A329" s="608"/>
      <c r="B329" s="608"/>
      <c r="C329" s="608"/>
      <c r="D329" s="608"/>
      <c r="G329" s="216"/>
      <c r="H329" s="231"/>
      <c r="I329" s="236"/>
      <c r="J329" s="233"/>
      <c r="K329" s="233"/>
      <c r="L329" s="233"/>
      <c r="M329" s="233"/>
      <c r="P329" s="233"/>
      <c r="Q329" s="233"/>
      <c r="R329" s="233"/>
      <c r="S329" s="233"/>
      <c r="V329" s="233"/>
      <c r="W329" s="233"/>
      <c r="X329" s="233"/>
      <c r="Y329" s="233"/>
      <c r="Z329" s="233"/>
      <c r="AA329" s="233"/>
      <c r="AB329" s="233"/>
    </row>
    <row r="330" spans="1:28" s="215" customFormat="1">
      <c r="A330" s="608"/>
      <c r="B330" s="608"/>
      <c r="C330" s="608"/>
      <c r="D330" s="608"/>
      <c r="G330" s="216"/>
      <c r="H330" s="231"/>
      <c r="I330" s="236"/>
      <c r="J330" s="233"/>
      <c r="K330" s="233"/>
      <c r="L330" s="233"/>
      <c r="M330" s="233"/>
      <c r="P330" s="233"/>
      <c r="Q330" s="233"/>
      <c r="R330" s="233"/>
      <c r="S330" s="233"/>
      <c r="V330" s="233"/>
      <c r="W330" s="233"/>
      <c r="X330" s="233"/>
      <c r="Y330" s="233"/>
      <c r="Z330" s="233"/>
      <c r="AA330" s="233"/>
      <c r="AB330" s="233"/>
    </row>
    <row r="331" spans="1:28" s="215" customFormat="1">
      <c r="A331" s="608"/>
      <c r="B331" s="608"/>
      <c r="C331" s="608"/>
      <c r="D331" s="608"/>
      <c r="G331" s="216"/>
      <c r="H331" s="231"/>
      <c r="I331" s="236"/>
      <c r="J331" s="233"/>
      <c r="K331" s="233"/>
      <c r="L331" s="233"/>
      <c r="M331" s="233"/>
      <c r="P331" s="233"/>
      <c r="Q331" s="233"/>
      <c r="R331" s="233"/>
      <c r="S331" s="233"/>
      <c r="V331" s="233"/>
      <c r="W331" s="233"/>
      <c r="X331" s="233"/>
      <c r="Y331" s="233"/>
      <c r="Z331" s="233"/>
      <c r="AA331" s="233"/>
      <c r="AB331" s="233"/>
    </row>
    <row r="332" spans="1:28" s="215" customFormat="1">
      <c r="A332" s="608"/>
      <c r="B332" s="608"/>
      <c r="C332" s="608"/>
      <c r="D332" s="608"/>
      <c r="G332" s="216"/>
      <c r="H332" s="231"/>
      <c r="I332" s="236"/>
      <c r="J332" s="233"/>
      <c r="K332" s="233"/>
      <c r="L332" s="233"/>
      <c r="M332" s="233"/>
      <c r="P332" s="233"/>
      <c r="Q332" s="233"/>
      <c r="R332" s="233"/>
      <c r="S332" s="233"/>
      <c r="V332" s="233"/>
      <c r="W332" s="233"/>
      <c r="X332" s="233"/>
      <c r="Y332" s="233"/>
      <c r="Z332" s="233"/>
      <c r="AA332" s="233"/>
      <c r="AB332" s="233"/>
    </row>
    <row r="333" spans="1:28" s="215" customFormat="1">
      <c r="A333" s="608"/>
      <c r="B333" s="608"/>
      <c r="C333" s="608"/>
      <c r="D333" s="608"/>
      <c r="G333" s="216"/>
      <c r="H333" s="231"/>
      <c r="I333" s="236"/>
      <c r="J333" s="233"/>
      <c r="K333" s="233"/>
      <c r="L333" s="233"/>
      <c r="M333" s="233"/>
      <c r="P333" s="233"/>
      <c r="Q333" s="233"/>
      <c r="R333" s="233"/>
      <c r="S333" s="233"/>
      <c r="V333" s="233"/>
      <c r="W333" s="233"/>
      <c r="X333" s="233"/>
      <c r="Y333" s="233"/>
      <c r="Z333" s="233"/>
      <c r="AA333" s="233"/>
      <c r="AB333" s="233"/>
    </row>
    <row r="334" spans="1:28" s="215" customFormat="1">
      <c r="A334" s="608"/>
      <c r="B334" s="608"/>
      <c r="C334" s="608"/>
      <c r="D334" s="608"/>
      <c r="G334" s="216"/>
      <c r="H334" s="231"/>
      <c r="I334" s="236"/>
      <c r="J334" s="233"/>
      <c r="K334" s="233"/>
      <c r="L334" s="233"/>
      <c r="M334" s="233"/>
      <c r="P334" s="233"/>
      <c r="Q334" s="233"/>
      <c r="R334" s="233"/>
      <c r="S334" s="233"/>
      <c r="V334" s="233"/>
      <c r="W334" s="233"/>
      <c r="X334" s="233"/>
      <c r="Y334" s="233"/>
      <c r="Z334" s="233"/>
      <c r="AA334" s="233"/>
      <c r="AB334" s="233"/>
    </row>
    <row r="335" spans="1:28" s="215" customFormat="1">
      <c r="A335" s="608"/>
      <c r="B335" s="608"/>
      <c r="C335" s="608"/>
      <c r="D335" s="608"/>
      <c r="G335" s="216"/>
      <c r="H335" s="231"/>
      <c r="I335" s="236"/>
      <c r="J335" s="233"/>
      <c r="K335" s="233"/>
      <c r="L335" s="233"/>
      <c r="M335" s="233"/>
      <c r="P335" s="233"/>
      <c r="Q335" s="233"/>
      <c r="R335" s="233"/>
      <c r="S335" s="233"/>
      <c r="V335" s="233"/>
      <c r="W335" s="233"/>
      <c r="X335" s="233"/>
      <c r="Y335" s="233"/>
      <c r="Z335" s="233"/>
      <c r="AA335" s="233"/>
      <c r="AB335" s="233"/>
    </row>
    <row r="336" spans="1:28" s="215" customFormat="1">
      <c r="A336" s="608"/>
      <c r="B336" s="608"/>
      <c r="C336" s="608"/>
      <c r="D336" s="608"/>
      <c r="G336" s="216"/>
      <c r="H336" s="231"/>
      <c r="I336" s="236"/>
      <c r="J336" s="233"/>
      <c r="K336" s="233"/>
      <c r="L336" s="233"/>
      <c r="M336" s="233"/>
      <c r="P336" s="233"/>
      <c r="Q336" s="233"/>
      <c r="R336" s="233"/>
      <c r="S336" s="233"/>
      <c r="V336" s="233"/>
      <c r="W336" s="233"/>
      <c r="X336" s="233"/>
      <c r="Y336" s="233"/>
      <c r="Z336" s="233"/>
      <c r="AA336" s="233"/>
      <c r="AB336" s="233"/>
    </row>
    <row r="337" spans="1:28" s="215" customFormat="1">
      <c r="A337" s="608"/>
      <c r="B337" s="608"/>
      <c r="C337" s="608"/>
      <c r="D337" s="608"/>
      <c r="G337" s="216"/>
      <c r="H337" s="231"/>
      <c r="I337" s="236"/>
      <c r="J337" s="233"/>
      <c r="K337" s="233"/>
      <c r="L337" s="233"/>
      <c r="M337" s="233"/>
      <c r="P337" s="233"/>
      <c r="Q337" s="233"/>
      <c r="R337" s="233"/>
      <c r="S337" s="233"/>
      <c r="V337" s="233"/>
      <c r="W337" s="233"/>
      <c r="X337" s="233"/>
      <c r="Y337" s="233"/>
      <c r="Z337" s="233"/>
      <c r="AA337" s="233"/>
      <c r="AB337" s="233"/>
    </row>
    <row r="338" spans="1:28" s="215" customFormat="1">
      <c r="A338" s="608"/>
      <c r="B338" s="608"/>
      <c r="C338" s="608"/>
      <c r="D338" s="608"/>
      <c r="G338" s="216"/>
      <c r="H338" s="231"/>
      <c r="I338" s="236"/>
      <c r="J338" s="233"/>
      <c r="K338" s="233"/>
      <c r="L338" s="233"/>
      <c r="M338" s="233"/>
      <c r="P338" s="233"/>
      <c r="Q338" s="233"/>
      <c r="R338" s="233"/>
      <c r="S338" s="233"/>
      <c r="V338" s="233"/>
      <c r="W338" s="233"/>
      <c r="X338" s="233"/>
      <c r="Y338" s="233"/>
      <c r="Z338" s="233"/>
      <c r="AA338" s="233"/>
      <c r="AB338" s="233"/>
    </row>
    <row r="339" spans="1:28" s="215" customFormat="1">
      <c r="A339" s="608"/>
      <c r="B339" s="608"/>
      <c r="C339" s="608"/>
      <c r="D339" s="608"/>
      <c r="G339" s="216"/>
      <c r="H339" s="231"/>
      <c r="I339" s="236"/>
      <c r="J339" s="233"/>
      <c r="K339" s="233"/>
      <c r="L339" s="233"/>
      <c r="M339" s="233"/>
      <c r="P339" s="233"/>
      <c r="Q339" s="233"/>
      <c r="R339" s="233"/>
      <c r="S339" s="233"/>
      <c r="V339" s="233"/>
      <c r="W339" s="233"/>
      <c r="X339" s="233"/>
      <c r="Y339" s="233"/>
      <c r="Z339" s="233"/>
      <c r="AA339" s="233"/>
      <c r="AB339" s="233"/>
    </row>
    <row r="340" spans="1:28" s="215" customFormat="1">
      <c r="A340" s="608"/>
      <c r="B340" s="608"/>
      <c r="C340" s="608"/>
      <c r="D340" s="608"/>
      <c r="G340" s="216"/>
      <c r="H340" s="231"/>
      <c r="I340" s="236"/>
      <c r="J340" s="233"/>
      <c r="K340" s="233"/>
      <c r="L340" s="233"/>
      <c r="M340" s="233"/>
      <c r="P340" s="233"/>
      <c r="Q340" s="233"/>
      <c r="R340" s="233"/>
      <c r="S340" s="233"/>
      <c r="V340" s="233"/>
      <c r="W340" s="233"/>
      <c r="X340" s="233"/>
      <c r="Y340" s="233"/>
      <c r="Z340" s="233"/>
      <c r="AA340" s="233"/>
      <c r="AB340" s="233"/>
    </row>
    <row r="341" spans="1:28" s="215" customFormat="1">
      <c r="A341" s="608"/>
      <c r="B341" s="608"/>
      <c r="C341" s="608"/>
      <c r="D341" s="608"/>
      <c r="G341" s="216"/>
      <c r="H341" s="231"/>
      <c r="I341" s="236"/>
      <c r="J341" s="233"/>
      <c r="K341" s="233"/>
      <c r="L341" s="233"/>
      <c r="M341" s="233"/>
      <c r="P341" s="233"/>
      <c r="Q341" s="233"/>
      <c r="R341" s="233"/>
      <c r="S341" s="233"/>
      <c r="V341" s="233"/>
      <c r="W341" s="233"/>
      <c r="X341" s="233"/>
      <c r="Y341" s="233"/>
      <c r="Z341" s="233"/>
      <c r="AA341" s="233"/>
      <c r="AB341" s="233"/>
    </row>
    <row r="342" spans="1:28" s="215" customFormat="1">
      <c r="A342" s="608"/>
      <c r="B342" s="608"/>
      <c r="C342" s="608"/>
      <c r="D342" s="608"/>
      <c r="G342" s="216"/>
      <c r="H342" s="231"/>
      <c r="I342" s="236"/>
      <c r="J342" s="233"/>
      <c r="K342" s="233"/>
      <c r="L342" s="233"/>
      <c r="M342" s="233"/>
      <c r="P342" s="233"/>
      <c r="Q342" s="233"/>
      <c r="R342" s="233"/>
      <c r="S342" s="233"/>
      <c r="V342" s="233"/>
      <c r="W342" s="233"/>
      <c r="X342" s="233"/>
      <c r="Y342" s="233"/>
      <c r="Z342" s="233"/>
      <c r="AA342" s="233"/>
      <c r="AB342" s="233"/>
    </row>
    <row r="343" spans="1:28" s="215" customFormat="1">
      <c r="A343" s="608"/>
      <c r="B343" s="608"/>
      <c r="C343" s="608"/>
      <c r="D343" s="608"/>
      <c r="G343" s="216"/>
      <c r="H343" s="231"/>
      <c r="I343" s="236"/>
      <c r="J343" s="233"/>
      <c r="K343" s="233"/>
      <c r="L343" s="233"/>
      <c r="M343" s="233"/>
      <c r="P343" s="233"/>
      <c r="Q343" s="233"/>
      <c r="R343" s="233"/>
      <c r="S343" s="233"/>
      <c r="V343" s="233"/>
      <c r="W343" s="233"/>
      <c r="X343" s="233"/>
      <c r="Y343" s="233"/>
      <c r="Z343" s="233"/>
      <c r="AA343" s="233"/>
      <c r="AB343" s="233"/>
    </row>
    <row r="344" spans="1:28" s="215" customFormat="1">
      <c r="A344" s="608"/>
      <c r="B344" s="608"/>
      <c r="C344" s="608"/>
      <c r="D344" s="608"/>
      <c r="G344" s="216"/>
      <c r="H344" s="231"/>
      <c r="I344" s="236"/>
      <c r="J344" s="233"/>
      <c r="K344" s="233"/>
      <c r="L344" s="233"/>
      <c r="M344" s="233"/>
      <c r="P344" s="233"/>
      <c r="Q344" s="233"/>
      <c r="R344" s="233"/>
      <c r="S344" s="233"/>
      <c r="V344" s="233"/>
      <c r="W344" s="233"/>
      <c r="X344" s="233"/>
      <c r="Y344" s="233"/>
      <c r="Z344" s="233"/>
      <c r="AA344" s="233"/>
      <c r="AB344" s="233"/>
    </row>
    <row r="345" spans="1:28" s="215" customFormat="1">
      <c r="A345" s="608"/>
      <c r="B345" s="608"/>
      <c r="C345" s="608"/>
      <c r="D345" s="608"/>
      <c r="G345" s="216"/>
      <c r="H345" s="231"/>
      <c r="I345" s="236"/>
      <c r="J345" s="233"/>
      <c r="K345" s="233"/>
      <c r="L345" s="233"/>
      <c r="M345" s="233"/>
      <c r="P345" s="233"/>
      <c r="Q345" s="233"/>
      <c r="R345" s="233"/>
      <c r="S345" s="233"/>
      <c r="V345" s="233"/>
      <c r="W345" s="233"/>
      <c r="X345" s="233"/>
      <c r="Y345" s="233"/>
      <c r="Z345" s="233"/>
      <c r="AA345" s="233"/>
      <c r="AB345" s="233"/>
    </row>
    <row r="346" spans="1:28" s="215" customFormat="1">
      <c r="A346" s="608"/>
      <c r="B346" s="608"/>
      <c r="C346" s="608"/>
      <c r="D346" s="608"/>
      <c r="G346" s="216"/>
      <c r="H346" s="231"/>
      <c r="I346" s="236"/>
      <c r="J346" s="233"/>
      <c r="K346" s="233"/>
      <c r="L346" s="233"/>
      <c r="M346" s="233"/>
      <c r="P346" s="233"/>
      <c r="Q346" s="233"/>
      <c r="R346" s="233"/>
      <c r="S346" s="233"/>
      <c r="V346" s="233"/>
      <c r="W346" s="233"/>
      <c r="X346" s="233"/>
      <c r="Y346" s="233"/>
      <c r="Z346" s="233"/>
      <c r="AA346" s="233"/>
      <c r="AB346" s="233"/>
    </row>
    <row r="347" spans="1:28" s="215" customFormat="1">
      <c r="A347" s="608"/>
      <c r="B347" s="608"/>
      <c r="C347" s="608"/>
      <c r="D347" s="608"/>
      <c r="G347" s="216"/>
      <c r="H347" s="231"/>
      <c r="I347" s="236"/>
      <c r="J347" s="233"/>
      <c r="K347" s="233"/>
      <c r="L347" s="233"/>
      <c r="M347" s="233"/>
      <c r="P347" s="233"/>
      <c r="Q347" s="233"/>
      <c r="R347" s="233"/>
      <c r="S347" s="233"/>
      <c r="V347" s="233"/>
      <c r="W347" s="233"/>
      <c r="X347" s="233"/>
      <c r="Y347" s="233"/>
      <c r="Z347" s="233"/>
      <c r="AA347" s="233"/>
      <c r="AB347" s="233"/>
    </row>
    <row r="348" spans="1:28" s="215" customFormat="1">
      <c r="A348" s="608"/>
      <c r="B348" s="608"/>
      <c r="C348" s="608"/>
      <c r="D348" s="608"/>
      <c r="G348" s="216"/>
      <c r="H348" s="231"/>
      <c r="I348" s="236"/>
      <c r="J348" s="233"/>
      <c r="K348" s="233"/>
      <c r="L348" s="233"/>
      <c r="M348" s="233"/>
      <c r="P348" s="233"/>
      <c r="Q348" s="233"/>
      <c r="R348" s="233"/>
      <c r="S348" s="233"/>
      <c r="V348" s="233"/>
      <c r="W348" s="233"/>
      <c r="X348" s="233"/>
      <c r="Y348" s="233"/>
      <c r="Z348" s="233"/>
      <c r="AA348" s="233"/>
      <c r="AB348" s="233"/>
    </row>
    <row r="349" spans="1:28" s="215" customFormat="1">
      <c r="A349" s="608"/>
      <c r="B349" s="608"/>
      <c r="C349" s="608"/>
      <c r="D349" s="608"/>
      <c r="G349" s="216"/>
      <c r="H349" s="231"/>
      <c r="I349" s="236"/>
      <c r="J349" s="233"/>
      <c r="K349" s="233"/>
      <c r="L349" s="233"/>
      <c r="M349" s="233"/>
      <c r="P349" s="233"/>
      <c r="Q349" s="233"/>
      <c r="R349" s="233"/>
      <c r="S349" s="233"/>
      <c r="V349" s="233"/>
      <c r="W349" s="233"/>
      <c r="X349" s="233"/>
      <c r="Y349" s="233"/>
      <c r="Z349" s="233"/>
      <c r="AA349" s="233"/>
      <c r="AB349" s="233"/>
    </row>
    <row r="350" spans="1:28" s="215" customFormat="1">
      <c r="A350" s="608"/>
      <c r="B350" s="608"/>
      <c r="C350" s="608"/>
      <c r="D350" s="608"/>
      <c r="G350" s="216"/>
      <c r="H350" s="231"/>
      <c r="I350" s="236"/>
      <c r="J350" s="233"/>
      <c r="K350" s="233"/>
      <c r="L350" s="233"/>
      <c r="M350" s="233"/>
      <c r="P350" s="233"/>
      <c r="Q350" s="233"/>
      <c r="R350" s="233"/>
      <c r="S350" s="233"/>
      <c r="V350" s="233"/>
      <c r="W350" s="233"/>
      <c r="X350" s="233"/>
      <c r="Y350" s="233"/>
      <c r="Z350" s="233"/>
      <c r="AA350" s="233"/>
      <c r="AB350" s="233"/>
    </row>
    <row r="351" spans="1:28" s="215" customFormat="1">
      <c r="A351" s="608"/>
      <c r="B351" s="608"/>
      <c r="C351" s="608"/>
      <c r="D351" s="608"/>
      <c r="G351" s="216"/>
      <c r="H351" s="231"/>
      <c r="I351" s="236"/>
      <c r="J351" s="233"/>
      <c r="K351" s="233"/>
      <c r="L351" s="233"/>
      <c r="M351" s="233"/>
      <c r="P351" s="233"/>
      <c r="Q351" s="233"/>
      <c r="R351" s="233"/>
      <c r="S351" s="233"/>
      <c r="V351" s="233"/>
      <c r="W351" s="233"/>
      <c r="X351" s="233"/>
      <c r="Y351" s="233"/>
      <c r="Z351" s="233"/>
      <c r="AA351" s="233"/>
      <c r="AB351" s="233"/>
    </row>
    <row r="352" spans="1:28" s="215" customFormat="1">
      <c r="A352" s="608"/>
      <c r="B352" s="608"/>
      <c r="C352" s="608"/>
      <c r="D352" s="608"/>
      <c r="G352" s="216"/>
      <c r="H352" s="231"/>
      <c r="I352" s="236"/>
      <c r="J352" s="233"/>
      <c r="K352" s="233"/>
      <c r="L352" s="233"/>
      <c r="M352" s="233"/>
      <c r="P352" s="233"/>
      <c r="Q352" s="233"/>
      <c r="R352" s="233"/>
      <c r="S352" s="233"/>
      <c r="V352" s="233"/>
      <c r="W352" s="233"/>
      <c r="X352" s="233"/>
      <c r="Y352" s="233"/>
      <c r="Z352" s="233"/>
      <c r="AA352" s="233"/>
      <c r="AB352" s="233"/>
    </row>
    <row r="353" spans="1:28" s="215" customFormat="1">
      <c r="A353" s="608"/>
      <c r="B353" s="608"/>
      <c r="C353" s="608"/>
      <c r="D353" s="608"/>
      <c r="G353" s="216"/>
      <c r="H353" s="231"/>
      <c r="I353" s="236"/>
      <c r="J353" s="233"/>
      <c r="K353" s="233"/>
      <c r="L353" s="233"/>
      <c r="M353" s="233"/>
      <c r="P353" s="233"/>
      <c r="Q353" s="233"/>
      <c r="R353" s="233"/>
      <c r="S353" s="233"/>
      <c r="V353" s="233"/>
      <c r="W353" s="233"/>
      <c r="X353" s="233"/>
      <c r="Y353" s="233"/>
      <c r="Z353" s="233"/>
      <c r="AA353" s="233"/>
      <c r="AB353" s="233"/>
    </row>
    <row r="354" spans="1:28" s="215" customFormat="1">
      <c r="A354" s="608"/>
      <c r="B354" s="608"/>
      <c r="C354" s="608"/>
      <c r="D354" s="608"/>
      <c r="G354" s="216"/>
      <c r="H354" s="231"/>
      <c r="I354" s="236"/>
      <c r="J354" s="233"/>
      <c r="K354" s="233"/>
      <c r="L354" s="233"/>
      <c r="M354" s="233"/>
      <c r="P354" s="233"/>
      <c r="Q354" s="233"/>
      <c r="R354" s="233"/>
      <c r="S354" s="233"/>
      <c r="V354" s="233"/>
      <c r="W354" s="233"/>
      <c r="X354" s="233"/>
      <c r="Y354" s="233"/>
      <c r="Z354" s="233"/>
      <c r="AA354" s="233"/>
      <c r="AB354" s="233"/>
    </row>
    <row r="355" spans="1:28" s="215" customFormat="1">
      <c r="A355" s="608"/>
      <c r="B355" s="608"/>
      <c r="C355" s="608"/>
      <c r="D355" s="608"/>
      <c r="G355" s="216"/>
      <c r="H355" s="231"/>
      <c r="I355" s="236"/>
      <c r="J355" s="233"/>
      <c r="K355" s="233"/>
      <c r="L355" s="233"/>
      <c r="M355" s="233"/>
      <c r="P355" s="233"/>
      <c r="Q355" s="233"/>
      <c r="R355" s="233"/>
      <c r="S355" s="233"/>
      <c r="V355" s="233"/>
      <c r="W355" s="233"/>
      <c r="X355" s="233"/>
      <c r="Y355" s="233"/>
      <c r="Z355" s="233"/>
      <c r="AA355" s="233"/>
      <c r="AB355" s="233"/>
    </row>
    <row r="356" spans="1:28" s="215" customFormat="1">
      <c r="A356" s="608"/>
      <c r="B356" s="608"/>
      <c r="C356" s="608"/>
      <c r="D356" s="608"/>
      <c r="G356" s="216"/>
      <c r="H356" s="231"/>
      <c r="I356" s="236"/>
      <c r="J356" s="233"/>
      <c r="K356" s="233"/>
      <c r="L356" s="233"/>
      <c r="M356" s="233"/>
      <c r="P356" s="233"/>
      <c r="Q356" s="233"/>
      <c r="R356" s="233"/>
      <c r="S356" s="233"/>
      <c r="V356" s="233"/>
      <c r="W356" s="233"/>
      <c r="X356" s="233"/>
      <c r="Y356" s="233"/>
      <c r="Z356" s="233"/>
      <c r="AA356" s="233"/>
      <c r="AB356" s="233"/>
    </row>
    <row r="357" spans="1:28" s="215" customFormat="1">
      <c r="A357" s="608"/>
      <c r="B357" s="608"/>
      <c r="C357" s="608"/>
      <c r="D357" s="608"/>
      <c r="G357" s="216"/>
      <c r="H357" s="231"/>
      <c r="I357" s="236"/>
      <c r="J357" s="233"/>
      <c r="K357" s="233"/>
      <c r="L357" s="233"/>
      <c r="M357" s="233"/>
      <c r="P357" s="233"/>
      <c r="Q357" s="233"/>
      <c r="R357" s="233"/>
      <c r="S357" s="233"/>
      <c r="V357" s="233"/>
      <c r="W357" s="233"/>
      <c r="X357" s="233"/>
      <c r="Y357" s="233"/>
      <c r="Z357" s="233"/>
      <c r="AA357" s="233"/>
      <c r="AB357" s="233"/>
    </row>
    <row r="358" spans="1:28" s="215" customFormat="1">
      <c r="A358" s="608"/>
      <c r="B358" s="608"/>
      <c r="C358" s="608"/>
      <c r="D358" s="608"/>
      <c r="G358" s="216"/>
      <c r="H358" s="231"/>
      <c r="I358" s="236"/>
      <c r="J358" s="233"/>
      <c r="K358" s="233"/>
      <c r="L358" s="233"/>
      <c r="M358" s="233"/>
      <c r="P358" s="233"/>
      <c r="Q358" s="233"/>
      <c r="R358" s="233"/>
      <c r="S358" s="233"/>
      <c r="V358" s="233"/>
      <c r="W358" s="233"/>
      <c r="X358" s="233"/>
      <c r="Y358" s="233"/>
      <c r="Z358" s="233"/>
      <c r="AA358" s="233"/>
      <c r="AB358" s="233"/>
    </row>
    <row r="359" spans="1:28" s="215" customFormat="1">
      <c r="A359" s="608"/>
      <c r="B359" s="608"/>
      <c r="C359" s="608"/>
      <c r="D359" s="608"/>
      <c r="G359" s="216"/>
      <c r="H359" s="231"/>
      <c r="I359" s="236"/>
      <c r="J359" s="233"/>
      <c r="K359" s="233"/>
      <c r="L359" s="233"/>
      <c r="M359" s="233"/>
      <c r="P359" s="233"/>
      <c r="Q359" s="233"/>
      <c r="R359" s="233"/>
      <c r="S359" s="233"/>
      <c r="V359" s="233"/>
      <c r="W359" s="233"/>
      <c r="X359" s="233"/>
      <c r="Y359" s="233"/>
      <c r="Z359" s="233"/>
      <c r="AA359" s="233"/>
      <c r="AB359" s="233"/>
    </row>
    <row r="360" spans="1:28" s="215" customFormat="1">
      <c r="A360" s="608"/>
      <c r="B360" s="608"/>
      <c r="C360" s="608"/>
      <c r="D360" s="608"/>
      <c r="G360" s="216"/>
      <c r="H360" s="231"/>
      <c r="I360" s="236"/>
      <c r="J360" s="233"/>
      <c r="K360" s="233"/>
      <c r="L360" s="233"/>
      <c r="M360" s="233"/>
      <c r="P360" s="233"/>
      <c r="Q360" s="233"/>
      <c r="R360" s="233"/>
      <c r="S360" s="233"/>
      <c r="V360" s="233"/>
      <c r="W360" s="233"/>
      <c r="X360" s="233"/>
      <c r="Y360" s="233"/>
      <c r="Z360" s="233"/>
      <c r="AA360" s="233"/>
      <c r="AB360" s="233"/>
    </row>
    <row r="361" spans="1:28" s="215" customFormat="1">
      <c r="A361" s="608"/>
      <c r="B361" s="608"/>
      <c r="C361" s="608"/>
      <c r="D361" s="608"/>
      <c r="G361" s="216"/>
      <c r="H361" s="231"/>
      <c r="I361" s="236"/>
      <c r="J361" s="233"/>
      <c r="K361" s="233"/>
      <c r="L361" s="233"/>
      <c r="M361" s="233"/>
      <c r="P361" s="233"/>
      <c r="Q361" s="233"/>
      <c r="R361" s="233"/>
      <c r="S361" s="233"/>
      <c r="V361" s="233"/>
      <c r="W361" s="233"/>
      <c r="X361" s="233"/>
      <c r="Y361" s="233"/>
      <c r="Z361" s="233"/>
      <c r="AA361" s="233"/>
      <c r="AB361" s="233"/>
    </row>
    <row r="362" spans="1:28" s="215" customFormat="1">
      <c r="A362" s="608"/>
      <c r="B362" s="608"/>
      <c r="C362" s="608"/>
      <c r="D362" s="608"/>
      <c r="G362" s="216"/>
      <c r="H362" s="231"/>
      <c r="I362" s="236"/>
      <c r="J362" s="233"/>
      <c r="K362" s="233"/>
      <c r="L362" s="233"/>
      <c r="M362" s="233"/>
      <c r="P362" s="233"/>
      <c r="Q362" s="233"/>
      <c r="R362" s="233"/>
      <c r="S362" s="233"/>
      <c r="V362" s="233"/>
      <c r="W362" s="233"/>
      <c r="X362" s="233"/>
      <c r="Y362" s="233"/>
      <c r="Z362" s="233"/>
      <c r="AA362" s="233"/>
      <c r="AB362" s="233"/>
    </row>
    <row r="363" spans="1:28" s="215" customFormat="1">
      <c r="A363" s="608"/>
      <c r="B363" s="608"/>
      <c r="C363" s="608"/>
      <c r="D363" s="608"/>
      <c r="G363" s="216"/>
      <c r="H363" s="231"/>
      <c r="I363" s="236"/>
      <c r="J363" s="233"/>
      <c r="K363" s="233"/>
      <c r="L363" s="233"/>
      <c r="M363" s="233"/>
      <c r="P363" s="233"/>
      <c r="Q363" s="233"/>
      <c r="R363" s="233"/>
      <c r="S363" s="233"/>
      <c r="V363" s="233"/>
      <c r="W363" s="233"/>
      <c r="X363" s="233"/>
      <c r="Y363" s="233"/>
      <c r="Z363" s="233"/>
      <c r="AA363" s="233"/>
      <c r="AB363" s="233"/>
    </row>
    <row r="364" spans="1:28" s="215" customFormat="1">
      <c r="A364" s="608"/>
      <c r="B364" s="608"/>
      <c r="C364" s="608"/>
      <c r="D364" s="608"/>
      <c r="G364" s="216"/>
      <c r="H364" s="231"/>
      <c r="I364" s="236"/>
      <c r="J364" s="233"/>
      <c r="K364" s="233"/>
      <c r="L364" s="233"/>
      <c r="M364" s="233"/>
      <c r="P364" s="233"/>
      <c r="Q364" s="233"/>
      <c r="R364" s="233"/>
      <c r="S364" s="233"/>
      <c r="V364" s="233"/>
      <c r="W364" s="233"/>
      <c r="X364" s="233"/>
      <c r="Y364" s="233"/>
      <c r="Z364" s="233"/>
      <c r="AA364" s="233"/>
      <c r="AB364" s="233"/>
    </row>
    <row r="365" spans="1:28" s="215" customFormat="1">
      <c r="A365" s="608"/>
      <c r="B365" s="608"/>
      <c r="C365" s="608"/>
      <c r="D365" s="608"/>
      <c r="G365" s="216"/>
      <c r="H365" s="231"/>
      <c r="I365" s="236"/>
      <c r="J365" s="233"/>
      <c r="K365" s="233"/>
      <c r="L365" s="233"/>
      <c r="M365" s="233"/>
      <c r="P365" s="233"/>
      <c r="Q365" s="233"/>
      <c r="R365" s="233"/>
      <c r="S365" s="233"/>
      <c r="V365" s="233"/>
      <c r="W365" s="233"/>
      <c r="X365" s="233"/>
      <c r="Y365" s="233"/>
      <c r="Z365" s="233"/>
      <c r="AA365" s="233"/>
      <c r="AB365" s="233"/>
    </row>
    <row r="366" spans="1:28" s="215" customFormat="1">
      <c r="A366" s="608"/>
      <c r="B366" s="608"/>
      <c r="C366" s="608"/>
      <c r="D366" s="608"/>
      <c r="G366" s="216"/>
      <c r="H366" s="231"/>
      <c r="I366" s="236"/>
      <c r="J366" s="233"/>
      <c r="K366" s="233"/>
      <c r="L366" s="233"/>
      <c r="M366" s="233"/>
      <c r="P366" s="233"/>
      <c r="Q366" s="233"/>
      <c r="R366" s="233"/>
      <c r="S366" s="233"/>
      <c r="V366" s="233"/>
      <c r="W366" s="233"/>
      <c r="X366" s="233"/>
      <c r="Y366" s="233"/>
      <c r="Z366" s="233"/>
      <c r="AA366" s="233"/>
      <c r="AB366" s="233"/>
    </row>
    <row r="367" spans="1:28" s="215" customFormat="1">
      <c r="A367" s="608"/>
      <c r="B367" s="608"/>
      <c r="C367" s="608"/>
      <c r="D367" s="608"/>
      <c r="G367" s="216"/>
      <c r="H367" s="231"/>
      <c r="I367" s="236"/>
      <c r="J367" s="233"/>
      <c r="K367" s="233"/>
      <c r="L367" s="233"/>
      <c r="M367" s="233"/>
      <c r="P367" s="233"/>
      <c r="Q367" s="233"/>
      <c r="R367" s="233"/>
      <c r="S367" s="233"/>
      <c r="V367" s="233"/>
      <c r="W367" s="233"/>
      <c r="X367" s="233"/>
      <c r="Y367" s="233"/>
      <c r="Z367" s="233"/>
      <c r="AA367" s="233"/>
      <c r="AB367" s="233"/>
    </row>
    <row r="368" spans="1:28" s="215" customFormat="1">
      <c r="A368" s="608"/>
      <c r="B368" s="608"/>
      <c r="C368" s="608"/>
      <c r="D368" s="608"/>
      <c r="G368" s="216"/>
      <c r="H368" s="231"/>
      <c r="I368" s="236"/>
      <c r="J368" s="233"/>
      <c r="K368" s="233"/>
      <c r="L368" s="233"/>
      <c r="M368" s="233"/>
      <c r="P368" s="233"/>
      <c r="Q368" s="233"/>
      <c r="R368" s="233"/>
      <c r="S368" s="233"/>
      <c r="V368" s="233"/>
      <c r="W368" s="233"/>
      <c r="X368" s="233"/>
      <c r="Y368" s="233"/>
      <c r="Z368" s="233"/>
      <c r="AA368" s="233"/>
      <c r="AB368" s="233"/>
    </row>
    <row r="369" spans="1:28" s="215" customFormat="1">
      <c r="A369" s="608"/>
      <c r="B369" s="608"/>
      <c r="C369" s="608"/>
      <c r="D369" s="608"/>
      <c r="G369" s="216"/>
      <c r="H369" s="231"/>
      <c r="I369" s="236"/>
      <c r="J369" s="233"/>
      <c r="K369" s="233"/>
      <c r="L369" s="233"/>
      <c r="M369" s="233"/>
      <c r="P369" s="233"/>
      <c r="Q369" s="233"/>
      <c r="R369" s="233"/>
      <c r="S369" s="233"/>
      <c r="V369" s="233"/>
      <c r="W369" s="233"/>
      <c r="X369" s="233"/>
      <c r="Y369" s="233"/>
      <c r="Z369" s="233"/>
      <c r="AA369" s="233"/>
      <c r="AB369" s="233"/>
    </row>
    <row r="370" spans="1:28" s="215" customFormat="1">
      <c r="A370" s="608"/>
      <c r="B370" s="608"/>
      <c r="C370" s="608"/>
      <c r="D370" s="608"/>
      <c r="G370" s="216"/>
      <c r="H370" s="231"/>
      <c r="I370" s="236"/>
      <c r="J370" s="233"/>
      <c r="K370" s="233"/>
      <c r="L370" s="233"/>
      <c r="M370" s="233"/>
      <c r="P370" s="233"/>
      <c r="Q370" s="233"/>
      <c r="R370" s="233"/>
      <c r="S370" s="233"/>
      <c r="V370" s="233"/>
      <c r="W370" s="233"/>
      <c r="X370" s="233"/>
      <c r="Y370" s="233"/>
      <c r="Z370" s="233"/>
      <c r="AA370" s="233"/>
      <c r="AB370" s="233"/>
    </row>
    <row r="371" spans="1:28" s="215" customFormat="1">
      <c r="A371" s="608"/>
      <c r="B371" s="608"/>
      <c r="C371" s="608"/>
      <c r="D371" s="608"/>
      <c r="G371" s="216"/>
      <c r="H371" s="231"/>
      <c r="I371" s="236"/>
      <c r="J371" s="233"/>
      <c r="K371" s="233"/>
      <c r="L371" s="233"/>
      <c r="M371" s="233"/>
      <c r="P371" s="233"/>
      <c r="Q371" s="233"/>
      <c r="R371" s="233"/>
      <c r="S371" s="233"/>
      <c r="V371" s="233"/>
      <c r="W371" s="233"/>
      <c r="X371" s="233"/>
      <c r="Y371" s="233"/>
      <c r="Z371" s="233"/>
      <c r="AA371" s="233"/>
      <c r="AB371" s="233"/>
    </row>
    <row r="372" spans="1:28" s="215" customFormat="1">
      <c r="A372" s="608"/>
      <c r="B372" s="608"/>
      <c r="C372" s="608"/>
      <c r="D372" s="608"/>
      <c r="G372" s="216"/>
      <c r="H372" s="231"/>
      <c r="I372" s="236"/>
      <c r="J372" s="233"/>
      <c r="K372" s="233"/>
      <c r="L372" s="233"/>
      <c r="M372" s="233"/>
      <c r="P372" s="233"/>
      <c r="Q372" s="233"/>
      <c r="R372" s="233"/>
      <c r="S372" s="233"/>
      <c r="V372" s="233"/>
      <c r="W372" s="233"/>
      <c r="X372" s="233"/>
      <c r="Y372" s="233"/>
      <c r="Z372" s="233"/>
      <c r="AA372" s="233"/>
      <c r="AB372" s="233"/>
    </row>
    <row r="373" spans="1:28" s="215" customFormat="1">
      <c r="A373" s="608"/>
      <c r="B373" s="608"/>
      <c r="C373" s="608"/>
      <c r="D373" s="608"/>
      <c r="G373" s="216"/>
      <c r="H373" s="231"/>
      <c r="I373" s="236"/>
      <c r="J373" s="233"/>
      <c r="K373" s="233"/>
      <c r="L373" s="233"/>
      <c r="M373" s="233"/>
      <c r="P373" s="233"/>
      <c r="Q373" s="233"/>
      <c r="R373" s="233"/>
      <c r="S373" s="233"/>
      <c r="V373" s="233"/>
      <c r="W373" s="233"/>
      <c r="X373" s="233"/>
      <c r="Y373" s="233"/>
      <c r="Z373" s="233"/>
      <c r="AA373" s="233"/>
      <c r="AB373" s="233"/>
    </row>
    <row r="374" spans="1:28" s="215" customFormat="1">
      <c r="A374" s="608"/>
      <c r="B374" s="608"/>
      <c r="C374" s="608"/>
      <c r="D374" s="608"/>
      <c r="G374" s="216"/>
      <c r="H374" s="231"/>
      <c r="I374" s="236"/>
      <c r="J374" s="233"/>
      <c r="K374" s="233"/>
      <c r="L374" s="233"/>
      <c r="M374" s="233"/>
      <c r="P374" s="233"/>
      <c r="Q374" s="233"/>
      <c r="R374" s="233"/>
      <c r="S374" s="233"/>
      <c r="V374" s="233"/>
      <c r="W374" s="233"/>
      <c r="X374" s="233"/>
      <c r="Y374" s="233"/>
      <c r="Z374" s="233"/>
      <c r="AA374" s="233"/>
      <c r="AB374" s="233"/>
    </row>
    <row r="375" spans="1:28" s="215" customFormat="1">
      <c r="A375" s="608"/>
      <c r="B375" s="608"/>
      <c r="C375" s="608"/>
      <c r="D375" s="608"/>
      <c r="G375" s="216"/>
      <c r="H375" s="231"/>
      <c r="I375" s="236"/>
      <c r="J375" s="233"/>
      <c r="K375" s="233"/>
      <c r="L375" s="233"/>
      <c r="M375" s="233"/>
      <c r="P375" s="233"/>
      <c r="Q375" s="233"/>
      <c r="R375" s="233"/>
      <c r="S375" s="233"/>
      <c r="V375" s="233"/>
      <c r="W375" s="233"/>
      <c r="X375" s="233"/>
      <c r="Y375" s="233"/>
      <c r="Z375" s="233"/>
      <c r="AA375" s="233"/>
      <c r="AB375" s="233"/>
    </row>
    <row r="376" spans="1:28" s="215" customFormat="1">
      <c r="A376" s="608"/>
      <c r="B376" s="608"/>
      <c r="C376" s="608"/>
      <c r="D376" s="608"/>
      <c r="G376" s="216"/>
      <c r="H376" s="231"/>
      <c r="I376" s="236"/>
      <c r="J376" s="233"/>
      <c r="K376" s="233"/>
      <c r="L376" s="233"/>
      <c r="M376" s="233"/>
      <c r="P376" s="233"/>
      <c r="Q376" s="233"/>
      <c r="R376" s="233"/>
      <c r="S376" s="233"/>
      <c r="V376" s="233"/>
      <c r="W376" s="233"/>
      <c r="X376" s="233"/>
      <c r="Y376" s="233"/>
      <c r="Z376" s="233"/>
      <c r="AA376" s="233"/>
      <c r="AB376" s="233"/>
    </row>
    <row r="377" spans="1:28" s="215" customFormat="1">
      <c r="A377" s="608"/>
      <c r="B377" s="608"/>
      <c r="C377" s="608"/>
      <c r="D377" s="608"/>
      <c r="G377" s="216"/>
      <c r="H377" s="231"/>
      <c r="I377" s="236"/>
      <c r="J377" s="233"/>
      <c r="K377" s="233"/>
      <c r="L377" s="233"/>
      <c r="M377" s="233"/>
      <c r="P377" s="233"/>
      <c r="Q377" s="233"/>
      <c r="R377" s="233"/>
      <c r="S377" s="233"/>
      <c r="V377" s="233"/>
      <c r="W377" s="233"/>
      <c r="X377" s="233"/>
      <c r="Y377" s="233"/>
      <c r="Z377" s="233"/>
      <c r="AA377" s="233"/>
      <c r="AB377" s="233"/>
    </row>
    <row r="378" spans="1:28" s="215" customFormat="1">
      <c r="A378" s="608"/>
      <c r="B378" s="608"/>
      <c r="C378" s="608"/>
      <c r="D378" s="608"/>
      <c r="G378" s="216"/>
      <c r="H378" s="231"/>
      <c r="I378" s="236"/>
      <c r="J378" s="233"/>
      <c r="K378" s="233"/>
      <c r="L378" s="233"/>
      <c r="M378" s="233"/>
      <c r="P378" s="233"/>
      <c r="Q378" s="233"/>
      <c r="R378" s="233"/>
      <c r="S378" s="233"/>
      <c r="V378" s="233"/>
      <c r="W378" s="233"/>
      <c r="X378" s="233"/>
      <c r="Y378" s="233"/>
      <c r="Z378" s="233"/>
      <c r="AA378" s="233"/>
      <c r="AB378" s="233"/>
    </row>
    <row r="379" spans="1:28" s="215" customFormat="1">
      <c r="A379" s="608"/>
      <c r="B379" s="608"/>
      <c r="C379" s="608"/>
      <c r="D379" s="608"/>
      <c r="G379" s="216"/>
      <c r="H379" s="231"/>
      <c r="I379" s="236"/>
      <c r="J379" s="233"/>
      <c r="K379" s="233"/>
      <c r="L379" s="233"/>
      <c r="M379" s="233"/>
      <c r="P379" s="233"/>
      <c r="Q379" s="233"/>
      <c r="R379" s="233"/>
      <c r="S379" s="233"/>
      <c r="V379" s="233"/>
      <c r="W379" s="233"/>
      <c r="X379" s="233"/>
      <c r="Y379" s="233"/>
      <c r="Z379" s="233"/>
      <c r="AA379" s="233"/>
      <c r="AB379" s="233"/>
    </row>
    <row r="380" spans="1:28" s="215" customFormat="1">
      <c r="A380" s="608"/>
      <c r="B380" s="608"/>
      <c r="C380" s="608"/>
      <c r="D380" s="608"/>
      <c r="G380" s="216"/>
      <c r="H380" s="231"/>
      <c r="I380" s="236"/>
      <c r="J380" s="233"/>
      <c r="K380" s="233"/>
      <c r="L380" s="233"/>
      <c r="M380" s="233"/>
      <c r="P380" s="233"/>
      <c r="Q380" s="233"/>
      <c r="R380" s="233"/>
      <c r="S380" s="233"/>
      <c r="V380" s="233"/>
      <c r="W380" s="233"/>
      <c r="X380" s="233"/>
      <c r="Y380" s="233"/>
      <c r="Z380" s="233"/>
      <c r="AA380" s="233"/>
      <c r="AB380" s="233"/>
    </row>
    <row r="381" spans="1:28" s="215" customFormat="1">
      <c r="A381" s="608"/>
      <c r="B381" s="608"/>
      <c r="C381" s="608"/>
      <c r="D381" s="608"/>
      <c r="G381" s="216"/>
      <c r="H381" s="231"/>
      <c r="I381" s="236"/>
      <c r="J381" s="233"/>
      <c r="K381" s="233"/>
      <c r="L381" s="233"/>
      <c r="M381" s="233"/>
      <c r="P381" s="233"/>
      <c r="Q381" s="233"/>
      <c r="R381" s="233"/>
      <c r="S381" s="233"/>
      <c r="V381" s="233"/>
      <c r="W381" s="233"/>
      <c r="X381" s="233"/>
      <c r="Y381" s="233"/>
      <c r="Z381" s="233"/>
      <c r="AA381" s="233"/>
      <c r="AB381" s="233"/>
    </row>
    <row r="382" spans="1:28" s="215" customFormat="1">
      <c r="A382" s="608"/>
      <c r="B382" s="608"/>
      <c r="C382" s="608"/>
      <c r="D382" s="608"/>
      <c r="G382" s="216"/>
      <c r="H382" s="231"/>
      <c r="I382" s="236"/>
      <c r="J382" s="233"/>
      <c r="K382" s="233"/>
      <c r="L382" s="233"/>
      <c r="M382" s="233"/>
      <c r="P382" s="233"/>
      <c r="Q382" s="233"/>
      <c r="R382" s="233"/>
      <c r="S382" s="233"/>
      <c r="V382" s="233"/>
      <c r="W382" s="233"/>
      <c r="X382" s="233"/>
      <c r="Y382" s="233"/>
      <c r="Z382" s="233"/>
      <c r="AA382" s="233"/>
      <c r="AB382" s="233"/>
    </row>
    <row r="383" spans="1:28" s="215" customFormat="1">
      <c r="A383" s="608"/>
      <c r="B383" s="608"/>
      <c r="C383" s="608"/>
      <c r="D383" s="608"/>
      <c r="G383" s="216"/>
      <c r="H383" s="231"/>
      <c r="I383" s="236"/>
      <c r="J383" s="233"/>
      <c r="K383" s="233"/>
      <c r="L383" s="233"/>
      <c r="M383" s="233"/>
      <c r="P383" s="233"/>
      <c r="Q383" s="233"/>
      <c r="R383" s="233"/>
      <c r="S383" s="233"/>
      <c r="V383" s="233"/>
      <c r="W383" s="233"/>
      <c r="X383" s="233"/>
      <c r="Y383" s="233"/>
      <c r="Z383" s="233"/>
      <c r="AA383" s="233"/>
      <c r="AB383" s="233"/>
    </row>
    <row r="384" spans="1:28" s="215" customFormat="1">
      <c r="A384" s="608"/>
      <c r="B384" s="608"/>
      <c r="C384" s="608"/>
      <c r="D384" s="608"/>
      <c r="G384" s="216"/>
      <c r="H384" s="231"/>
      <c r="I384" s="236"/>
      <c r="J384" s="233"/>
      <c r="K384" s="233"/>
      <c r="L384" s="233"/>
      <c r="M384" s="233"/>
      <c r="P384" s="233"/>
      <c r="Q384" s="233"/>
      <c r="R384" s="233"/>
      <c r="S384" s="233"/>
      <c r="V384" s="233"/>
      <c r="W384" s="233"/>
      <c r="X384" s="233"/>
      <c r="Y384" s="233"/>
      <c r="Z384" s="233"/>
      <c r="AA384" s="233"/>
      <c r="AB384" s="233"/>
    </row>
    <row r="385" spans="1:28" s="215" customFormat="1">
      <c r="A385" s="608"/>
      <c r="B385" s="608"/>
      <c r="C385" s="608"/>
      <c r="D385" s="608"/>
      <c r="G385" s="216"/>
      <c r="H385" s="231"/>
      <c r="I385" s="236"/>
      <c r="J385" s="233"/>
      <c r="K385" s="233"/>
      <c r="L385" s="233"/>
      <c r="M385" s="233"/>
      <c r="P385" s="233"/>
      <c r="Q385" s="233"/>
      <c r="R385" s="233"/>
      <c r="S385" s="233"/>
      <c r="V385" s="233"/>
      <c r="W385" s="233"/>
      <c r="X385" s="233"/>
      <c r="Y385" s="233"/>
      <c r="Z385" s="233"/>
      <c r="AA385" s="233"/>
      <c r="AB385" s="233"/>
    </row>
    <row r="386" spans="1:28" s="215" customFormat="1">
      <c r="A386" s="608"/>
      <c r="B386" s="608"/>
      <c r="C386" s="608"/>
      <c r="D386" s="608"/>
      <c r="G386" s="216"/>
      <c r="H386" s="231"/>
      <c r="I386" s="236"/>
      <c r="J386" s="233"/>
      <c r="K386" s="233"/>
      <c r="L386" s="233"/>
      <c r="M386" s="233"/>
      <c r="P386" s="233"/>
      <c r="Q386" s="233"/>
      <c r="R386" s="233"/>
      <c r="S386" s="233"/>
      <c r="V386" s="233"/>
      <c r="W386" s="233"/>
      <c r="X386" s="233"/>
      <c r="Y386" s="233"/>
      <c r="Z386" s="233"/>
      <c r="AA386" s="233"/>
      <c r="AB386" s="233"/>
    </row>
    <row r="387" spans="1:28" s="215" customFormat="1">
      <c r="A387" s="608"/>
      <c r="B387" s="608"/>
      <c r="C387" s="608"/>
      <c r="D387" s="608"/>
      <c r="G387" s="216"/>
      <c r="H387" s="231"/>
      <c r="I387" s="236"/>
      <c r="J387" s="233"/>
      <c r="K387" s="233"/>
      <c r="L387" s="233"/>
      <c r="M387" s="233"/>
      <c r="P387" s="233"/>
      <c r="Q387" s="233"/>
      <c r="R387" s="233"/>
      <c r="S387" s="233"/>
      <c r="V387" s="233"/>
      <c r="W387" s="233"/>
      <c r="X387" s="233"/>
      <c r="Y387" s="233"/>
      <c r="Z387" s="233"/>
      <c r="AA387" s="233"/>
      <c r="AB387" s="233"/>
    </row>
    <row r="388" spans="1:28" s="215" customFormat="1">
      <c r="A388" s="608"/>
      <c r="B388" s="608"/>
      <c r="C388" s="608"/>
      <c r="D388" s="608"/>
      <c r="G388" s="216"/>
      <c r="H388" s="231"/>
      <c r="I388" s="236"/>
      <c r="J388" s="233"/>
      <c r="K388" s="233"/>
      <c r="L388" s="233"/>
      <c r="M388" s="233"/>
      <c r="P388" s="233"/>
      <c r="Q388" s="233"/>
      <c r="R388" s="233"/>
      <c r="S388" s="233"/>
      <c r="V388" s="233"/>
      <c r="W388" s="233"/>
      <c r="X388" s="233"/>
      <c r="Y388" s="233"/>
      <c r="Z388" s="233"/>
      <c r="AA388" s="233"/>
      <c r="AB388" s="233"/>
    </row>
    <row r="389" spans="1:28" s="215" customFormat="1">
      <c r="A389" s="608"/>
      <c r="B389" s="608"/>
      <c r="C389" s="608"/>
      <c r="D389" s="608"/>
      <c r="G389" s="216"/>
      <c r="H389" s="231"/>
      <c r="I389" s="236"/>
      <c r="J389" s="233"/>
      <c r="K389" s="233"/>
      <c r="L389" s="233"/>
      <c r="M389" s="233"/>
      <c r="P389" s="233"/>
      <c r="Q389" s="233"/>
      <c r="R389" s="233"/>
      <c r="S389" s="233"/>
      <c r="V389" s="233"/>
      <c r="W389" s="233"/>
      <c r="X389" s="233"/>
      <c r="Y389" s="233"/>
      <c r="Z389" s="233"/>
      <c r="AA389" s="233"/>
      <c r="AB389" s="233"/>
    </row>
    <row r="390" spans="1:28" s="215" customFormat="1">
      <c r="A390" s="608"/>
      <c r="B390" s="608"/>
      <c r="C390" s="608"/>
      <c r="D390" s="608"/>
      <c r="G390" s="216"/>
      <c r="H390" s="231"/>
      <c r="I390" s="236"/>
      <c r="J390" s="233"/>
      <c r="K390" s="233"/>
      <c r="L390" s="233"/>
      <c r="M390" s="233"/>
      <c r="P390" s="233"/>
      <c r="Q390" s="233"/>
      <c r="R390" s="233"/>
      <c r="S390" s="233"/>
      <c r="V390" s="233"/>
      <c r="W390" s="233"/>
      <c r="X390" s="233"/>
      <c r="Y390" s="233"/>
      <c r="Z390" s="233"/>
      <c r="AA390" s="233"/>
      <c r="AB390" s="233"/>
    </row>
    <row r="391" spans="1:28" s="215" customFormat="1">
      <c r="A391" s="608"/>
      <c r="B391" s="608"/>
      <c r="C391" s="608"/>
      <c r="D391" s="608"/>
      <c r="G391" s="216"/>
      <c r="H391" s="231"/>
      <c r="I391" s="236"/>
      <c r="J391" s="233"/>
      <c r="K391" s="233"/>
      <c r="L391" s="233"/>
      <c r="M391" s="233"/>
      <c r="P391" s="233"/>
      <c r="Q391" s="233"/>
      <c r="R391" s="233"/>
      <c r="S391" s="233"/>
      <c r="V391" s="233"/>
      <c r="W391" s="233"/>
      <c r="X391" s="233"/>
      <c r="Y391" s="233"/>
      <c r="Z391" s="233"/>
      <c r="AA391" s="233"/>
      <c r="AB391" s="233"/>
    </row>
    <row r="392" spans="1:28" s="215" customFormat="1">
      <c r="A392" s="608"/>
      <c r="B392" s="608"/>
      <c r="C392" s="608"/>
      <c r="D392" s="608"/>
      <c r="G392" s="216"/>
      <c r="H392" s="231"/>
      <c r="I392" s="236"/>
      <c r="J392" s="233"/>
      <c r="K392" s="233"/>
      <c r="L392" s="233"/>
      <c r="M392" s="233"/>
      <c r="P392" s="233"/>
      <c r="Q392" s="233"/>
      <c r="R392" s="233"/>
      <c r="S392" s="233"/>
      <c r="V392" s="233"/>
      <c r="W392" s="233"/>
      <c r="X392" s="233"/>
      <c r="Y392" s="233"/>
      <c r="Z392" s="233"/>
      <c r="AA392" s="233"/>
      <c r="AB392" s="233"/>
    </row>
    <row r="393" spans="1:28" s="215" customFormat="1">
      <c r="A393" s="608"/>
      <c r="B393" s="608"/>
      <c r="C393" s="608"/>
      <c r="D393" s="608"/>
      <c r="G393" s="216"/>
      <c r="H393" s="231"/>
      <c r="I393" s="236"/>
      <c r="J393" s="233"/>
      <c r="K393" s="233"/>
      <c r="L393" s="233"/>
      <c r="M393" s="233"/>
      <c r="P393" s="233"/>
      <c r="Q393" s="233"/>
      <c r="R393" s="233"/>
      <c r="S393" s="233"/>
      <c r="V393" s="233"/>
      <c r="W393" s="233"/>
      <c r="X393" s="233"/>
      <c r="Y393" s="233"/>
      <c r="Z393" s="233"/>
      <c r="AA393" s="233"/>
      <c r="AB393" s="233"/>
    </row>
    <row r="394" spans="1:28" s="215" customFormat="1">
      <c r="A394" s="608"/>
      <c r="B394" s="608"/>
      <c r="C394" s="608"/>
      <c r="D394" s="608"/>
      <c r="G394" s="216"/>
      <c r="H394" s="231"/>
      <c r="I394" s="236"/>
      <c r="J394" s="233"/>
      <c r="K394" s="233"/>
      <c r="L394" s="233"/>
      <c r="M394" s="233"/>
      <c r="P394" s="233"/>
      <c r="Q394" s="233"/>
      <c r="R394" s="233"/>
      <c r="S394" s="233"/>
      <c r="V394" s="233"/>
      <c r="W394" s="233"/>
      <c r="X394" s="233"/>
      <c r="Y394" s="233"/>
      <c r="Z394" s="233"/>
      <c r="AA394" s="233"/>
      <c r="AB394" s="233"/>
    </row>
    <row r="395" spans="1:28" s="215" customFormat="1">
      <c r="A395" s="608"/>
      <c r="B395" s="608"/>
      <c r="C395" s="608"/>
      <c r="D395" s="608"/>
      <c r="G395" s="216"/>
      <c r="H395" s="231"/>
      <c r="I395" s="236"/>
      <c r="J395" s="233"/>
      <c r="K395" s="233"/>
      <c r="L395" s="233"/>
      <c r="M395" s="233"/>
      <c r="P395" s="233"/>
      <c r="Q395" s="233"/>
      <c r="R395" s="233"/>
      <c r="S395" s="233"/>
      <c r="V395" s="233"/>
      <c r="W395" s="233"/>
      <c r="X395" s="233"/>
      <c r="Y395" s="233"/>
      <c r="Z395" s="233"/>
      <c r="AA395" s="233"/>
      <c r="AB395" s="233"/>
    </row>
    <row r="396" spans="1:28" s="215" customFormat="1">
      <c r="A396" s="608"/>
      <c r="B396" s="608"/>
      <c r="C396" s="608"/>
      <c r="D396" s="608"/>
      <c r="G396" s="216"/>
      <c r="H396" s="231"/>
      <c r="I396" s="236"/>
      <c r="J396" s="233"/>
      <c r="K396" s="233"/>
      <c r="L396" s="233"/>
      <c r="M396" s="233"/>
      <c r="P396" s="233"/>
      <c r="Q396" s="233"/>
      <c r="R396" s="233"/>
      <c r="S396" s="233"/>
      <c r="V396" s="233"/>
      <c r="W396" s="233"/>
      <c r="X396" s="233"/>
      <c r="Y396" s="233"/>
      <c r="Z396" s="233"/>
      <c r="AA396" s="233"/>
      <c r="AB396" s="233"/>
    </row>
    <row r="397" spans="1:28" s="215" customFormat="1">
      <c r="A397" s="608"/>
      <c r="B397" s="608"/>
      <c r="C397" s="608"/>
      <c r="D397" s="608"/>
      <c r="G397" s="216"/>
      <c r="H397" s="231"/>
      <c r="I397" s="236"/>
      <c r="J397" s="233"/>
      <c r="K397" s="233"/>
      <c r="L397" s="233"/>
      <c r="M397" s="233"/>
      <c r="P397" s="233"/>
      <c r="Q397" s="233"/>
      <c r="R397" s="233"/>
      <c r="S397" s="233"/>
      <c r="V397" s="233"/>
      <c r="W397" s="233"/>
      <c r="X397" s="233"/>
      <c r="Y397" s="233"/>
      <c r="Z397" s="233"/>
      <c r="AA397" s="233"/>
      <c r="AB397" s="233"/>
    </row>
    <row r="398" spans="1:28" s="215" customFormat="1">
      <c r="A398" s="608"/>
      <c r="B398" s="608"/>
      <c r="C398" s="608"/>
      <c r="D398" s="608"/>
      <c r="G398" s="216"/>
      <c r="H398" s="231"/>
      <c r="I398" s="236"/>
      <c r="J398" s="233"/>
      <c r="K398" s="233"/>
      <c r="L398" s="233"/>
      <c r="M398" s="233"/>
      <c r="P398" s="233"/>
      <c r="Q398" s="233"/>
      <c r="R398" s="233"/>
      <c r="S398" s="233"/>
      <c r="V398" s="233"/>
      <c r="W398" s="233"/>
      <c r="X398" s="233"/>
      <c r="Y398" s="233"/>
      <c r="Z398" s="233"/>
      <c r="AA398" s="233"/>
      <c r="AB398" s="233"/>
    </row>
    <row r="399" spans="1:28" s="215" customFormat="1">
      <c r="A399" s="608"/>
      <c r="B399" s="608"/>
      <c r="C399" s="608"/>
      <c r="D399" s="608"/>
      <c r="G399" s="216"/>
      <c r="H399" s="231"/>
      <c r="I399" s="236"/>
      <c r="J399" s="233"/>
      <c r="K399" s="233"/>
      <c r="L399" s="233"/>
      <c r="M399" s="233"/>
      <c r="P399" s="233"/>
      <c r="Q399" s="233"/>
      <c r="R399" s="233"/>
      <c r="S399" s="233"/>
      <c r="V399" s="233"/>
      <c r="W399" s="233"/>
      <c r="X399" s="233"/>
      <c r="Y399" s="233"/>
      <c r="Z399" s="233"/>
      <c r="AA399" s="233"/>
      <c r="AB399" s="233"/>
    </row>
    <row r="400" spans="1:28" s="215" customFormat="1">
      <c r="A400" s="608"/>
      <c r="B400" s="608"/>
      <c r="C400" s="608"/>
      <c r="D400" s="608"/>
      <c r="G400" s="216"/>
      <c r="H400" s="231"/>
      <c r="I400" s="236"/>
      <c r="J400" s="233"/>
      <c r="K400" s="233"/>
      <c r="L400" s="233"/>
      <c r="M400" s="233"/>
      <c r="P400" s="233"/>
      <c r="Q400" s="233"/>
      <c r="R400" s="233"/>
      <c r="S400" s="233"/>
      <c r="V400" s="233"/>
      <c r="W400" s="233"/>
      <c r="X400" s="233"/>
      <c r="Y400" s="233"/>
      <c r="Z400" s="233"/>
      <c r="AA400" s="233"/>
      <c r="AB400" s="233"/>
    </row>
    <row r="401" spans="1:28" s="215" customFormat="1">
      <c r="A401" s="608"/>
      <c r="B401" s="608"/>
      <c r="C401" s="608"/>
      <c r="D401" s="608"/>
      <c r="G401" s="216"/>
      <c r="H401" s="231"/>
      <c r="I401" s="236"/>
      <c r="J401" s="233"/>
      <c r="K401" s="233"/>
      <c r="L401" s="233"/>
      <c r="M401" s="233"/>
      <c r="P401" s="233"/>
      <c r="Q401" s="233"/>
      <c r="R401" s="233"/>
      <c r="S401" s="233"/>
      <c r="V401" s="233"/>
      <c r="W401" s="233"/>
      <c r="X401" s="233"/>
      <c r="Y401" s="233"/>
      <c r="Z401" s="233"/>
      <c r="AA401" s="233"/>
      <c r="AB401" s="233"/>
    </row>
    <row r="402" spans="1:28" s="215" customFormat="1">
      <c r="A402" s="608"/>
      <c r="B402" s="608"/>
      <c r="C402" s="608"/>
      <c r="D402" s="608"/>
      <c r="G402" s="216"/>
      <c r="H402" s="231"/>
      <c r="I402" s="236"/>
      <c r="J402" s="233"/>
      <c r="K402" s="233"/>
      <c r="L402" s="233"/>
      <c r="M402" s="233"/>
      <c r="P402" s="233"/>
      <c r="Q402" s="233"/>
      <c r="R402" s="233"/>
      <c r="S402" s="233"/>
      <c r="V402" s="233"/>
      <c r="W402" s="233"/>
      <c r="X402" s="233"/>
      <c r="Y402" s="233"/>
      <c r="Z402" s="233"/>
      <c r="AA402" s="233"/>
      <c r="AB402" s="233"/>
    </row>
    <row r="403" spans="1:28" s="215" customFormat="1">
      <c r="A403" s="608"/>
      <c r="B403" s="608"/>
      <c r="C403" s="608"/>
      <c r="D403" s="608"/>
      <c r="G403" s="216"/>
      <c r="H403" s="231"/>
      <c r="I403" s="236"/>
      <c r="J403" s="233"/>
      <c r="K403" s="233"/>
      <c r="L403" s="233"/>
      <c r="M403" s="233"/>
      <c r="P403" s="233"/>
      <c r="Q403" s="233"/>
      <c r="R403" s="233"/>
      <c r="S403" s="233"/>
      <c r="V403" s="233"/>
      <c r="W403" s="233"/>
      <c r="X403" s="233"/>
      <c r="Y403" s="233"/>
      <c r="Z403" s="233"/>
      <c r="AA403" s="233"/>
      <c r="AB403" s="233"/>
    </row>
    <row r="404" spans="1:28" s="215" customFormat="1">
      <c r="A404" s="608"/>
      <c r="B404" s="608"/>
      <c r="C404" s="608"/>
      <c r="D404" s="608"/>
      <c r="G404" s="216"/>
      <c r="H404" s="231"/>
      <c r="I404" s="236"/>
      <c r="J404" s="233"/>
      <c r="K404" s="233"/>
      <c r="L404" s="233"/>
      <c r="M404" s="233"/>
      <c r="P404" s="233"/>
      <c r="Q404" s="233"/>
      <c r="R404" s="233"/>
      <c r="S404" s="233"/>
      <c r="V404" s="233"/>
      <c r="W404" s="233"/>
      <c r="X404" s="233"/>
      <c r="Y404" s="233"/>
      <c r="Z404" s="233"/>
      <c r="AA404" s="233"/>
      <c r="AB404" s="233"/>
    </row>
    <row r="405" spans="1:28" s="215" customFormat="1">
      <c r="A405" s="608"/>
      <c r="B405" s="608"/>
      <c r="C405" s="608"/>
      <c r="D405" s="608"/>
      <c r="G405" s="216"/>
      <c r="H405" s="231"/>
      <c r="I405" s="236"/>
      <c r="J405" s="233"/>
      <c r="K405" s="233"/>
      <c r="L405" s="233"/>
      <c r="M405" s="233"/>
      <c r="P405" s="233"/>
      <c r="Q405" s="233"/>
      <c r="R405" s="233"/>
      <c r="S405" s="233"/>
      <c r="V405" s="233"/>
      <c r="W405" s="233"/>
      <c r="X405" s="233"/>
      <c r="Y405" s="233"/>
      <c r="Z405" s="233"/>
      <c r="AA405" s="233"/>
      <c r="AB405" s="233"/>
    </row>
    <row r="406" spans="1:28" s="215" customFormat="1">
      <c r="A406" s="608"/>
      <c r="B406" s="608"/>
      <c r="C406" s="608"/>
      <c r="D406" s="608"/>
      <c r="G406" s="216"/>
      <c r="H406" s="231"/>
      <c r="I406" s="236"/>
      <c r="J406" s="233"/>
      <c r="K406" s="233"/>
      <c r="L406" s="233"/>
      <c r="M406" s="233"/>
      <c r="P406" s="233"/>
      <c r="Q406" s="233"/>
      <c r="R406" s="233"/>
      <c r="S406" s="233"/>
      <c r="V406" s="233"/>
      <c r="W406" s="233"/>
      <c r="X406" s="233"/>
      <c r="Y406" s="233"/>
      <c r="Z406" s="233"/>
      <c r="AA406" s="233"/>
      <c r="AB406" s="233"/>
    </row>
    <row r="407" spans="1:28" s="215" customFormat="1">
      <c r="A407" s="608"/>
      <c r="B407" s="608"/>
      <c r="C407" s="608"/>
      <c r="D407" s="608"/>
      <c r="G407" s="216"/>
      <c r="H407" s="231"/>
      <c r="I407" s="236"/>
      <c r="J407" s="233"/>
      <c r="K407" s="233"/>
      <c r="L407" s="233"/>
      <c r="M407" s="233"/>
      <c r="P407" s="233"/>
      <c r="Q407" s="233"/>
      <c r="R407" s="233"/>
      <c r="S407" s="233"/>
      <c r="V407" s="233"/>
      <c r="W407" s="233"/>
      <c r="X407" s="233"/>
      <c r="Y407" s="233"/>
      <c r="Z407" s="233"/>
      <c r="AA407" s="233"/>
      <c r="AB407" s="233"/>
    </row>
    <row r="408" spans="1:28" s="215" customFormat="1">
      <c r="A408" s="608"/>
      <c r="B408" s="608"/>
      <c r="C408" s="608"/>
      <c r="D408" s="608"/>
      <c r="G408" s="216"/>
      <c r="H408" s="231"/>
      <c r="I408" s="236"/>
      <c r="J408" s="233"/>
      <c r="K408" s="233"/>
      <c r="L408" s="233"/>
      <c r="M408" s="233"/>
      <c r="P408" s="233"/>
      <c r="Q408" s="233"/>
      <c r="R408" s="233"/>
      <c r="S408" s="233"/>
      <c r="V408" s="233"/>
      <c r="W408" s="233"/>
      <c r="X408" s="233"/>
      <c r="Y408" s="233"/>
      <c r="Z408" s="233"/>
      <c r="AA408" s="233"/>
      <c r="AB408" s="233"/>
    </row>
    <row r="409" spans="1:28" s="215" customFormat="1">
      <c r="A409" s="608"/>
      <c r="B409" s="608"/>
      <c r="C409" s="608"/>
      <c r="D409" s="608"/>
      <c r="G409" s="216"/>
      <c r="H409" s="231"/>
      <c r="I409" s="236"/>
      <c r="J409" s="233"/>
      <c r="K409" s="233"/>
      <c r="L409" s="233"/>
      <c r="M409" s="233"/>
      <c r="P409" s="233"/>
      <c r="Q409" s="233"/>
      <c r="R409" s="233"/>
      <c r="S409" s="233"/>
      <c r="V409" s="233"/>
      <c r="W409" s="233"/>
      <c r="X409" s="233"/>
      <c r="Y409" s="233"/>
      <c r="Z409" s="233"/>
      <c r="AA409" s="233"/>
      <c r="AB409" s="233"/>
    </row>
    <row r="410" spans="1:28" s="215" customFormat="1">
      <c r="A410" s="608"/>
      <c r="B410" s="608"/>
      <c r="C410" s="608"/>
      <c r="D410" s="608"/>
      <c r="G410" s="216"/>
      <c r="H410" s="231"/>
      <c r="I410" s="236"/>
      <c r="J410" s="233"/>
      <c r="K410" s="233"/>
      <c r="L410" s="233"/>
      <c r="M410" s="233"/>
      <c r="P410" s="233"/>
      <c r="Q410" s="233"/>
      <c r="R410" s="233"/>
      <c r="S410" s="233"/>
      <c r="V410" s="233"/>
      <c r="W410" s="233"/>
      <c r="X410" s="233"/>
      <c r="Y410" s="233"/>
      <c r="Z410" s="233"/>
      <c r="AA410" s="233"/>
      <c r="AB410" s="233"/>
    </row>
    <row r="411" spans="1:28" s="215" customFormat="1">
      <c r="A411" s="608"/>
      <c r="B411" s="608"/>
      <c r="C411" s="608"/>
      <c r="D411" s="608"/>
      <c r="G411" s="216"/>
      <c r="H411" s="231"/>
      <c r="I411" s="236"/>
      <c r="J411" s="233"/>
      <c r="K411" s="233"/>
      <c r="L411" s="233"/>
      <c r="M411" s="233"/>
      <c r="P411" s="233"/>
      <c r="Q411" s="233"/>
      <c r="R411" s="233"/>
      <c r="S411" s="233"/>
      <c r="V411" s="233"/>
      <c r="W411" s="233"/>
      <c r="X411" s="233"/>
      <c r="Y411" s="233"/>
      <c r="Z411" s="233"/>
      <c r="AA411" s="233"/>
      <c r="AB411" s="233"/>
    </row>
    <row r="412" spans="1:28" s="215" customFormat="1">
      <c r="A412" s="608"/>
      <c r="B412" s="608"/>
      <c r="C412" s="608"/>
      <c r="D412" s="608"/>
      <c r="G412" s="216"/>
      <c r="H412" s="231"/>
      <c r="I412" s="236"/>
      <c r="J412" s="233"/>
      <c r="K412" s="233"/>
      <c r="L412" s="233"/>
      <c r="M412" s="233"/>
      <c r="P412" s="233"/>
      <c r="Q412" s="233"/>
      <c r="R412" s="233"/>
      <c r="S412" s="233"/>
      <c r="V412" s="233"/>
      <c r="W412" s="233"/>
      <c r="X412" s="233"/>
      <c r="Y412" s="233"/>
      <c r="Z412" s="233"/>
      <c r="AA412" s="233"/>
      <c r="AB412" s="233"/>
    </row>
    <row r="413" spans="1:28" s="215" customFormat="1">
      <c r="A413" s="608"/>
      <c r="B413" s="608"/>
      <c r="C413" s="608"/>
      <c r="D413" s="608"/>
      <c r="G413" s="216"/>
      <c r="H413" s="231"/>
      <c r="I413" s="236"/>
      <c r="J413" s="233"/>
      <c r="K413" s="233"/>
      <c r="L413" s="233"/>
      <c r="M413" s="233"/>
      <c r="P413" s="233"/>
      <c r="Q413" s="233"/>
      <c r="R413" s="233"/>
      <c r="S413" s="233"/>
      <c r="V413" s="233"/>
      <c r="W413" s="233"/>
      <c r="X413" s="233"/>
      <c r="Y413" s="233"/>
      <c r="Z413" s="233"/>
      <c r="AA413" s="233"/>
      <c r="AB413" s="233"/>
    </row>
    <row r="414" spans="1:28" s="215" customFormat="1">
      <c r="A414" s="608"/>
      <c r="B414" s="608"/>
      <c r="C414" s="608"/>
      <c r="D414" s="608"/>
      <c r="G414" s="216"/>
      <c r="H414" s="231"/>
      <c r="I414" s="236"/>
      <c r="J414" s="233"/>
      <c r="K414" s="233"/>
      <c r="L414" s="233"/>
      <c r="M414" s="233"/>
      <c r="P414" s="233"/>
      <c r="Q414" s="233"/>
      <c r="R414" s="233"/>
      <c r="S414" s="233"/>
      <c r="V414" s="233"/>
      <c r="W414" s="233"/>
      <c r="X414" s="233"/>
      <c r="Y414" s="233"/>
      <c r="Z414" s="233"/>
      <c r="AA414" s="233"/>
      <c r="AB414" s="233"/>
    </row>
    <row r="415" spans="1:28" s="215" customFormat="1">
      <c r="A415" s="608"/>
      <c r="B415" s="608"/>
      <c r="C415" s="608"/>
      <c r="D415" s="608"/>
      <c r="G415" s="216"/>
      <c r="H415" s="231"/>
      <c r="I415" s="236"/>
      <c r="J415" s="233"/>
      <c r="K415" s="233"/>
      <c r="L415" s="233"/>
      <c r="M415" s="233"/>
      <c r="P415" s="233"/>
      <c r="Q415" s="233"/>
      <c r="R415" s="233"/>
      <c r="S415" s="233"/>
      <c r="V415" s="233"/>
      <c r="W415" s="233"/>
      <c r="X415" s="233"/>
      <c r="Y415" s="233"/>
      <c r="Z415" s="233"/>
      <c r="AA415" s="233"/>
      <c r="AB415" s="233"/>
    </row>
    <row r="416" spans="1:28" s="215" customFormat="1">
      <c r="A416" s="608"/>
      <c r="B416" s="608"/>
      <c r="C416" s="608"/>
      <c r="D416" s="608"/>
      <c r="G416" s="216"/>
      <c r="H416" s="231"/>
      <c r="I416" s="236"/>
      <c r="J416" s="233"/>
      <c r="K416" s="233"/>
      <c r="L416" s="233"/>
      <c r="M416" s="233"/>
      <c r="P416" s="233"/>
      <c r="Q416" s="233"/>
      <c r="R416" s="233"/>
      <c r="S416" s="233"/>
      <c r="V416" s="233"/>
      <c r="W416" s="233"/>
      <c r="X416" s="233"/>
      <c r="Y416" s="233"/>
      <c r="Z416" s="233"/>
      <c r="AA416" s="233"/>
      <c r="AB416" s="233"/>
    </row>
    <row r="417" spans="1:28" s="215" customFormat="1">
      <c r="A417" s="608"/>
      <c r="B417" s="608"/>
      <c r="C417" s="608"/>
      <c r="D417" s="608"/>
      <c r="G417" s="216"/>
      <c r="H417" s="231"/>
      <c r="I417" s="236"/>
      <c r="J417" s="233"/>
      <c r="K417" s="233"/>
      <c r="L417" s="233"/>
      <c r="M417" s="233"/>
      <c r="P417" s="233"/>
      <c r="Q417" s="233"/>
      <c r="R417" s="233"/>
      <c r="S417" s="233"/>
      <c r="V417" s="233"/>
      <c r="W417" s="233"/>
      <c r="X417" s="233"/>
      <c r="Y417" s="233"/>
      <c r="Z417" s="233"/>
      <c r="AA417" s="233"/>
      <c r="AB417" s="233"/>
    </row>
    <row r="418" spans="1:28" s="215" customFormat="1">
      <c r="A418" s="608"/>
      <c r="B418" s="608"/>
      <c r="C418" s="608"/>
      <c r="D418" s="608"/>
      <c r="G418" s="216"/>
      <c r="H418" s="231"/>
      <c r="I418" s="236"/>
      <c r="J418" s="233"/>
      <c r="K418" s="233"/>
      <c r="L418" s="233"/>
      <c r="M418" s="233"/>
      <c r="P418" s="233"/>
      <c r="Q418" s="233"/>
      <c r="R418" s="233"/>
      <c r="S418" s="233"/>
      <c r="V418" s="233"/>
      <c r="W418" s="233"/>
      <c r="X418" s="233"/>
      <c r="Y418" s="233"/>
      <c r="Z418" s="233"/>
      <c r="AA418" s="233"/>
      <c r="AB418" s="233"/>
    </row>
    <row r="419" spans="1:28" s="215" customFormat="1">
      <c r="A419" s="608"/>
      <c r="B419" s="608"/>
      <c r="C419" s="608"/>
      <c r="D419" s="608"/>
      <c r="G419" s="216"/>
      <c r="H419" s="231"/>
      <c r="I419" s="236"/>
      <c r="J419" s="233"/>
      <c r="K419" s="233"/>
      <c r="L419" s="233"/>
      <c r="M419" s="233"/>
      <c r="P419" s="233"/>
      <c r="Q419" s="233"/>
      <c r="R419" s="233"/>
      <c r="S419" s="233"/>
      <c r="V419" s="233"/>
      <c r="W419" s="233"/>
      <c r="X419" s="233"/>
      <c r="Y419" s="233"/>
      <c r="Z419" s="233"/>
      <c r="AA419" s="233"/>
      <c r="AB419" s="233"/>
    </row>
    <row r="420" spans="1:28" s="215" customFormat="1">
      <c r="A420" s="608"/>
      <c r="B420" s="608"/>
      <c r="C420" s="608"/>
      <c r="D420" s="608"/>
      <c r="G420" s="216"/>
      <c r="H420" s="231"/>
      <c r="I420" s="236"/>
      <c r="J420" s="233"/>
      <c r="K420" s="233"/>
      <c r="L420" s="233"/>
      <c r="M420" s="233"/>
      <c r="P420" s="233"/>
      <c r="Q420" s="233"/>
      <c r="R420" s="233"/>
      <c r="S420" s="233"/>
      <c r="V420" s="233"/>
      <c r="W420" s="233"/>
      <c r="X420" s="233"/>
      <c r="Y420" s="233"/>
      <c r="Z420" s="233"/>
      <c r="AA420" s="233"/>
      <c r="AB420" s="233"/>
    </row>
    <row r="421" spans="1:28" s="215" customFormat="1">
      <c r="A421" s="608"/>
      <c r="B421" s="608"/>
      <c r="C421" s="608"/>
      <c r="D421" s="608"/>
      <c r="G421" s="216"/>
      <c r="H421" s="231"/>
      <c r="I421" s="236"/>
      <c r="J421" s="233"/>
      <c r="K421" s="233"/>
      <c r="L421" s="233"/>
      <c r="M421" s="233"/>
      <c r="P421" s="233"/>
      <c r="Q421" s="233"/>
      <c r="R421" s="233"/>
      <c r="S421" s="233"/>
      <c r="V421" s="233"/>
      <c r="W421" s="233"/>
      <c r="X421" s="233"/>
      <c r="Y421" s="233"/>
      <c r="Z421" s="233"/>
      <c r="AA421" s="233"/>
      <c r="AB421" s="233"/>
    </row>
    <row r="422" spans="1:28" s="215" customFormat="1">
      <c r="A422" s="608"/>
      <c r="B422" s="608"/>
      <c r="C422" s="608"/>
      <c r="D422" s="608"/>
      <c r="G422" s="216"/>
      <c r="H422" s="231"/>
      <c r="I422" s="236"/>
      <c r="J422" s="233"/>
      <c r="K422" s="233"/>
      <c r="L422" s="233"/>
      <c r="M422" s="233"/>
      <c r="P422" s="233"/>
      <c r="Q422" s="233"/>
      <c r="R422" s="233"/>
      <c r="S422" s="233"/>
      <c r="V422" s="233"/>
      <c r="W422" s="233"/>
      <c r="X422" s="233"/>
      <c r="Y422" s="233"/>
      <c r="Z422" s="233"/>
      <c r="AA422" s="233"/>
      <c r="AB422" s="233"/>
    </row>
    <row r="423" spans="1:28" s="215" customFormat="1">
      <c r="A423" s="608"/>
      <c r="B423" s="608"/>
      <c r="C423" s="608"/>
      <c r="D423" s="608"/>
      <c r="G423" s="216"/>
      <c r="H423" s="231"/>
      <c r="I423" s="236"/>
      <c r="J423" s="233"/>
      <c r="K423" s="233"/>
      <c r="L423" s="233"/>
      <c r="M423" s="233"/>
      <c r="P423" s="233"/>
      <c r="Q423" s="233"/>
      <c r="R423" s="233"/>
      <c r="S423" s="233"/>
      <c r="V423" s="233"/>
      <c r="W423" s="233"/>
      <c r="X423" s="233"/>
      <c r="Y423" s="233"/>
      <c r="Z423" s="233"/>
      <c r="AA423" s="233"/>
      <c r="AB423" s="233"/>
    </row>
    <row r="424" spans="1:28" s="215" customFormat="1">
      <c r="A424" s="608"/>
      <c r="B424" s="608"/>
      <c r="C424" s="608"/>
      <c r="D424" s="608"/>
      <c r="G424" s="216"/>
      <c r="H424" s="231"/>
      <c r="I424" s="236"/>
      <c r="J424" s="233"/>
      <c r="K424" s="233"/>
      <c r="L424" s="233"/>
      <c r="M424" s="233"/>
      <c r="P424" s="233"/>
      <c r="Q424" s="233"/>
      <c r="R424" s="233"/>
      <c r="S424" s="233"/>
      <c r="V424" s="233"/>
      <c r="W424" s="233"/>
      <c r="X424" s="233"/>
      <c r="Y424" s="233"/>
      <c r="Z424" s="233"/>
      <c r="AA424" s="233"/>
      <c r="AB424" s="233"/>
    </row>
    <row r="425" spans="1:28" s="215" customFormat="1">
      <c r="A425" s="608"/>
      <c r="B425" s="608"/>
      <c r="C425" s="608"/>
      <c r="D425" s="608"/>
      <c r="G425" s="216"/>
      <c r="H425" s="231"/>
      <c r="I425" s="236"/>
      <c r="J425" s="233"/>
      <c r="K425" s="233"/>
      <c r="L425" s="233"/>
      <c r="M425" s="233"/>
      <c r="P425" s="233"/>
      <c r="Q425" s="233"/>
      <c r="R425" s="233"/>
      <c r="S425" s="233"/>
      <c r="V425" s="233"/>
      <c r="W425" s="233"/>
      <c r="X425" s="233"/>
      <c r="Y425" s="233"/>
      <c r="Z425" s="233"/>
      <c r="AA425" s="233"/>
      <c r="AB425" s="233"/>
    </row>
    <row r="426" spans="1:28" s="215" customFormat="1">
      <c r="A426" s="608"/>
      <c r="B426" s="608"/>
      <c r="C426" s="608"/>
      <c r="D426" s="608"/>
      <c r="G426" s="216"/>
      <c r="H426" s="231"/>
      <c r="I426" s="236"/>
      <c r="J426" s="233"/>
      <c r="K426" s="233"/>
      <c r="L426" s="233"/>
      <c r="M426" s="233"/>
      <c r="P426" s="233"/>
      <c r="Q426" s="233"/>
      <c r="R426" s="233"/>
      <c r="S426" s="233"/>
      <c r="V426" s="233"/>
      <c r="W426" s="233"/>
      <c r="X426" s="233"/>
      <c r="Y426" s="233"/>
      <c r="Z426" s="233"/>
      <c r="AA426" s="233"/>
      <c r="AB426" s="233"/>
    </row>
    <row r="427" spans="1:28" s="215" customFormat="1">
      <c r="A427" s="608"/>
      <c r="B427" s="608"/>
      <c r="C427" s="608"/>
      <c r="D427" s="608"/>
      <c r="G427" s="216"/>
      <c r="H427" s="231"/>
      <c r="I427" s="236"/>
      <c r="J427" s="233"/>
      <c r="K427" s="233"/>
      <c r="L427" s="233"/>
      <c r="M427" s="233"/>
      <c r="P427" s="233"/>
      <c r="Q427" s="233"/>
      <c r="R427" s="233"/>
      <c r="S427" s="233"/>
      <c r="V427" s="233"/>
      <c r="W427" s="233"/>
      <c r="X427" s="233"/>
      <c r="Y427" s="233"/>
      <c r="Z427" s="233"/>
      <c r="AA427" s="233"/>
      <c r="AB427" s="233"/>
    </row>
    <row r="428" spans="1:28" s="215" customFormat="1">
      <c r="A428" s="608"/>
      <c r="B428" s="608"/>
      <c r="C428" s="608"/>
      <c r="D428" s="608"/>
      <c r="G428" s="216"/>
      <c r="H428" s="231"/>
      <c r="I428" s="236"/>
      <c r="J428" s="233"/>
      <c r="K428" s="233"/>
      <c r="L428" s="233"/>
      <c r="M428" s="233"/>
      <c r="P428" s="233"/>
      <c r="Q428" s="233"/>
      <c r="R428" s="233"/>
      <c r="S428" s="233"/>
      <c r="V428" s="233"/>
      <c r="W428" s="233"/>
      <c r="X428" s="233"/>
      <c r="Y428" s="233"/>
      <c r="Z428" s="233"/>
      <c r="AA428" s="233"/>
      <c r="AB428" s="233"/>
    </row>
    <row r="429" spans="1:28" s="215" customFormat="1">
      <c r="A429" s="608"/>
      <c r="B429" s="608"/>
      <c r="C429" s="608"/>
      <c r="D429" s="608"/>
      <c r="G429" s="216"/>
      <c r="H429" s="231"/>
      <c r="I429" s="236"/>
      <c r="J429" s="233"/>
      <c r="K429" s="233"/>
      <c r="L429" s="233"/>
      <c r="M429" s="233"/>
      <c r="P429" s="233"/>
      <c r="Q429" s="233"/>
      <c r="R429" s="233"/>
      <c r="S429" s="233"/>
      <c r="V429" s="233"/>
      <c r="W429" s="233"/>
      <c r="X429" s="233"/>
      <c r="Y429" s="233"/>
      <c r="Z429" s="233"/>
      <c r="AA429" s="233"/>
      <c r="AB429" s="233"/>
    </row>
    <row r="430" spans="1:28" s="215" customFormat="1">
      <c r="A430" s="608"/>
      <c r="B430" s="608"/>
      <c r="C430" s="608"/>
      <c r="D430" s="608"/>
      <c r="G430" s="216"/>
      <c r="H430" s="231"/>
      <c r="I430" s="236"/>
      <c r="J430" s="233"/>
      <c r="K430" s="233"/>
      <c r="L430" s="233"/>
      <c r="M430" s="233"/>
      <c r="P430" s="233"/>
      <c r="Q430" s="233"/>
      <c r="R430" s="233"/>
      <c r="S430" s="233"/>
      <c r="V430" s="233"/>
      <c r="W430" s="233"/>
      <c r="X430" s="233"/>
      <c r="Y430" s="233"/>
      <c r="Z430" s="233"/>
      <c r="AA430" s="233"/>
      <c r="AB430" s="233"/>
    </row>
    <row r="431" spans="1:28" s="215" customFormat="1">
      <c r="A431" s="608"/>
      <c r="B431" s="608"/>
      <c r="C431" s="608"/>
      <c r="D431" s="608"/>
      <c r="G431" s="216"/>
      <c r="H431" s="231"/>
      <c r="I431" s="236"/>
      <c r="J431" s="233"/>
      <c r="K431" s="233"/>
      <c r="L431" s="233"/>
      <c r="M431" s="233"/>
      <c r="P431" s="233"/>
      <c r="Q431" s="233"/>
      <c r="R431" s="233"/>
      <c r="S431" s="233"/>
      <c r="V431" s="233"/>
      <c r="W431" s="233"/>
      <c r="X431" s="233"/>
      <c r="Y431" s="233"/>
      <c r="Z431" s="233"/>
      <c r="AA431" s="233"/>
      <c r="AB431" s="233"/>
    </row>
    <row r="432" spans="1:28" s="215" customFormat="1">
      <c r="A432" s="608"/>
      <c r="B432" s="608"/>
      <c r="C432" s="608"/>
      <c r="D432" s="608"/>
      <c r="G432" s="216"/>
      <c r="H432" s="231"/>
      <c r="I432" s="236"/>
      <c r="J432" s="233"/>
      <c r="K432" s="233"/>
      <c r="L432" s="233"/>
      <c r="M432" s="233"/>
      <c r="P432" s="233"/>
      <c r="Q432" s="233"/>
      <c r="R432" s="233"/>
      <c r="S432" s="233"/>
      <c r="V432" s="233"/>
      <c r="W432" s="233"/>
      <c r="X432" s="233"/>
      <c r="Y432" s="233"/>
      <c r="Z432" s="233"/>
      <c r="AA432" s="233"/>
      <c r="AB432" s="233"/>
    </row>
    <row r="433" spans="1:28" s="215" customFormat="1">
      <c r="A433" s="608"/>
      <c r="B433" s="608"/>
      <c r="C433" s="608"/>
      <c r="D433" s="608"/>
      <c r="G433" s="216"/>
      <c r="H433" s="231"/>
      <c r="I433" s="236"/>
      <c r="J433" s="233"/>
      <c r="K433" s="233"/>
      <c r="L433" s="233"/>
      <c r="M433" s="233"/>
      <c r="P433" s="233"/>
      <c r="Q433" s="233"/>
      <c r="R433" s="233"/>
      <c r="S433" s="233"/>
      <c r="V433" s="233"/>
      <c r="W433" s="233"/>
      <c r="X433" s="233"/>
      <c r="Y433" s="233"/>
      <c r="Z433" s="233"/>
      <c r="AA433" s="233"/>
      <c r="AB433" s="233"/>
    </row>
    <row r="434" spans="1:28" s="215" customFormat="1">
      <c r="A434" s="608"/>
      <c r="B434" s="608"/>
      <c r="C434" s="608"/>
      <c r="D434" s="608"/>
      <c r="G434" s="216"/>
      <c r="H434" s="231"/>
      <c r="I434" s="236"/>
      <c r="J434" s="233"/>
      <c r="K434" s="233"/>
      <c r="L434" s="233"/>
      <c r="M434" s="233"/>
      <c r="P434" s="233"/>
      <c r="Q434" s="233"/>
      <c r="R434" s="233"/>
      <c r="S434" s="233"/>
      <c r="V434" s="233"/>
      <c r="W434" s="233"/>
      <c r="X434" s="233"/>
      <c r="Y434" s="233"/>
      <c r="Z434" s="233"/>
      <c r="AA434" s="233"/>
      <c r="AB434" s="233"/>
    </row>
    <row r="435" spans="1:28" s="215" customFormat="1">
      <c r="A435" s="608"/>
      <c r="B435" s="608"/>
      <c r="C435" s="608"/>
      <c r="D435" s="608"/>
      <c r="G435" s="216"/>
      <c r="H435" s="231"/>
      <c r="I435" s="236"/>
      <c r="J435" s="233"/>
      <c r="K435" s="233"/>
      <c r="L435" s="233"/>
      <c r="M435" s="233"/>
      <c r="P435" s="233"/>
      <c r="Q435" s="233"/>
      <c r="R435" s="233"/>
      <c r="S435" s="233"/>
      <c r="V435" s="233"/>
      <c r="W435" s="233"/>
      <c r="X435" s="233"/>
      <c r="Y435" s="233"/>
      <c r="Z435" s="233"/>
      <c r="AA435" s="233"/>
      <c r="AB435" s="233"/>
    </row>
    <row r="436" spans="1:28" s="215" customFormat="1">
      <c r="A436" s="608"/>
      <c r="B436" s="608"/>
      <c r="C436" s="608"/>
      <c r="D436" s="608"/>
      <c r="G436" s="216"/>
      <c r="H436" s="231"/>
      <c r="I436" s="236"/>
      <c r="J436" s="233"/>
      <c r="K436" s="233"/>
      <c r="L436" s="233"/>
      <c r="M436" s="233"/>
      <c r="P436" s="233"/>
      <c r="Q436" s="233"/>
      <c r="R436" s="233"/>
      <c r="S436" s="233"/>
      <c r="V436" s="233"/>
      <c r="W436" s="233"/>
      <c r="X436" s="233"/>
      <c r="Y436" s="233"/>
      <c r="Z436" s="233"/>
      <c r="AA436" s="233"/>
      <c r="AB436" s="233"/>
    </row>
    <row r="437" spans="1:28" s="215" customFormat="1">
      <c r="A437" s="608"/>
      <c r="B437" s="608"/>
      <c r="C437" s="608"/>
      <c r="D437" s="608"/>
      <c r="G437" s="216"/>
      <c r="H437" s="231"/>
      <c r="I437" s="236"/>
      <c r="J437" s="233"/>
      <c r="K437" s="233"/>
      <c r="L437" s="233"/>
      <c r="M437" s="233"/>
      <c r="P437" s="233"/>
      <c r="Q437" s="233"/>
      <c r="R437" s="233"/>
      <c r="S437" s="233"/>
      <c r="V437" s="233"/>
      <c r="W437" s="233"/>
      <c r="X437" s="233"/>
      <c r="Y437" s="233"/>
      <c r="Z437" s="233"/>
      <c r="AA437" s="233"/>
      <c r="AB437" s="233"/>
    </row>
    <row r="438" spans="1:28" s="215" customFormat="1">
      <c r="A438" s="608"/>
      <c r="B438" s="608"/>
      <c r="C438" s="608"/>
      <c r="D438" s="608"/>
      <c r="G438" s="216"/>
      <c r="H438" s="231"/>
      <c r="I438" s="236"/>
      <c r="J438" s="233"/>
      <c r="K438" s="233"/>
      <c r="L438" s="233"/>
      <c r="M438" s="233"/>
      <c r="P438" s="233"/>
      <c r="Q438" s="233"/>
      <c r="R438" s="233"/>
      <c r="S438" s="233"/>
      <c r="V438" s="233"/>
      <c r="W438" s="233"/>
      <c r="X438" s="233"/>
      <c r="Y438" s="233"/>
      <c r="Z438" s="233"/>
      <c r="AA438" s="233"/>
      <c r="AB438" s="233"/>
    </row>
    <row r="439" spans="1:28" s="215" customFormat="1">
      <c r="A439" s="608"/>
      <c r="B439" s="608"/>
      <c r="C439" s="608"/>
      <c r="D439" s="608"/>
      <c r="G439" s="216"/>
      <c r="H439" s="231"/>
      <c r="I439" s="236"/>
      <c r="J439" s="233"/>
      <c r="K439" s="233"/>
      <c r="L439" s="233"/>
      <c r="M439" s="233"/>
      <c r="P439" s="233"/>
      <c r="Q439" s="233"/>
      <c r="R439" s="233"/>
      <c r="S439" s="233"/>
      <c r="V439" s="233"/>
      <c r="W439" s="233"/>
      <c r="X439" s="233"/>
      <c r="Y439" s="233"/>
      <c r="Z439" s="233"/>
      <c r="AA439" s="233"/>
      <c r="AB439" s="233"/>
    </row>
    <row r="440" spans="1:28" s="215" customFormat="1">
      <c r="A440" s="608"/>
      <c r="B440" s="608"/>
      <c r="C440" s="608"/>
      <c r="D440" s="608"/>
      <c r="G440" s="216"/>
      <c r="H440" s="231"/>
      <c r="I440" s="236"/>
      <c r="J440" s="233"/>
      <c r="K440" s="233"/>
      <c r="L440" s="233"/>
      <c r="M440" s="233"/>
      <c r="P440" s="233"/>
      <c r="Q440" s="233"/>
      <c r="R440" s="233"/>
      <c r="S440" s="233"/>
      <c r="V440" s="233"/>
      <c r="W440" s="233"/>
      <c r="X440" s="233"/>
      <c r="Y440" s="233"/>
      <c r="Z440" s="233"/>
      <c r="AA440" s="233"/>
      <c r="AB440" s="233"/>
    </row>
    <row r="441" spans="1:28" s="215" customFormat="1">
      <c r="A441" s="608"/>
      <c r="B441" s="608"/>
      <c r="C441" s="608"/>
      <c r="D441" s="608"/>
      <c r="G441" s="216"/>
      <c r="H441" s="231"/>
      <c r="I441" s="236"/>
      <c r="J441" s="233"/>
      <c r="K441" s="233"/>
      <c r="L441" s="233"/>
      <c r="M441" s="233"/>
      <c r="P441" s="233"/>
      <c r="Q441" s="233"/>
      <c r="R441" s="233"/>
      <c r="S441" s="233"/>
      <c r="V441" s="233"/>
      <c r="W441" s="233"/>
      <c r="X441" s="233"/>
      <c r="Y441" s="233"/>
      <c r="Z441" s="233"/>
      <c r="AA441" s="233"/>
      <c r="AB441" s="233"/>
    </row>
    <row r="442" spans="1:28" s="215" customFormat="1">
      <c r="A442" s="608"/>
      <c r="B442" s="608"/>
      <c r="C442" s="608"/>
      <c r="D442" s="608"/>
      <c r="G442" s="216"/>
      <c r="H442" s="231"/>
      <c r="I442" s="236"/>
      <c r="J442" s="233"/>
      <c r="K442" s="233"/>
      <c r="L442" s="233"/>
      <c r="M442" s="233"/>
      <c r="P442" s="233"/>
      <c r="Q442" s="233"/>
      <c r="R442" s="233"/>
      <c r="S442" s="233"/>
      <c r="V442" s="233"/>
      <c r="W442" s="233"/>
      <c r="X442" s="233"/>
      <c r="Y442" s="233"/>
      <c r="Z442" s="233"/>
      <c r="AA442" s="233"/>
      <c r="AB442" s="233"/>
    </row>
    <row r="443" spans="1:28" s="215" customFormat="1">
      <c r="A443" s="608"/>
      <c r="B443" s="608"/>
      <c r="C443" s="608"/>
      <c r="D443" s="608"/>
      <c r="G443" s="216"/>
      <c r="H443" s="231"/>
      <c r="I443" s="236"/>
      <c r="J443" s="233"/>
      <c r="K443" s="233"/>
      <c r="L443" s="233"/>
      <c r="M443" s="233"/>
      <c r="P443" s="233"/>
      <c r="Q443" s="233"/>
      <c r="R443" s="233"/>
      <c r="S443" s="233"/>
      <c r="V443" s="233"/>
      <c r="W443" s="233"/>
      <c r="X443" s="233"/>
      <c r="Y443" s="233"/>
      <c r="Z443" s="233"/>
      <c r="AA443" s="233"/>
      <c r="AB443" s="233"/>
    </row>
    <row r="444" spans="1:28" s="215" customFormat="1">
      <c r="A444" s="608"/>
      <c r="B444" s="608"/>
      <c r="C444" s="608"/>
      <c r="D444" s="608"/>
      <c r="G444" s="216"/>
      <c r="H444" s="231"/>
      <c r="I444" s="236"/>
      <c r="J444" s="233"/>
      <c r="K444" s="233"/>
      <c r="L444" s="233"/>
      <c r="M444" s="233"/>
      <c r="P444" s="233"/>
      <c r="Q444" s="233"/>
      <c r="R444" s="233"/>
      <c r="S444" s="233"/>
      <c r="V444" s="233"/>
      <c r="W444" s="233"/>
      <c r="X444" s="233"/>
      <c r="Y444" s="233"/>
      <c r="Z444" s="233"/>
      <c r="AA444" s="233"/>
      <c r="AB444" s="233"/>
    </row>
    <row r="445" spans="1:28" s="215" customFormat="1">
      <c r="A445" s="608"/>
      <c r="B445" s="608"/>
      <c r="C445" s="608"/>
      <c r="D445" s="608"/>
      <c r="G445" s="216"/>
      <c r="H445" s="231"/>
      <c r="I445" s="236"/>
      <c r="J445" s="233"/>
      <c r="K445" s="233"/>
      <c r="L445" s="233"/>
      <c r="M445" s="233"/>
      <c r="P445" s="233"/>
      <c r="Q445" s="233"/>
      <c r="R445" s="233"/>
      <c r="S445" s="233"/>
      <c r="V445" s="233"/>
      <c r="W445" s="233"/>
      <c r="X445" s="233"/>
      <c r="Y445" s="233"/>
      <c r="Z445" s="233"/>
      <c r="AA445" s="233"/>
      <c r="AB445" s="233"/>
    </row>
    <row r="446" spans="1:28" s="215" customFormat="1">
      <c r="A446" s="608"/>
      <c r="B446" s="608"/>
      <c r="C446" s="608"/>
      <c r="D446" s="608"/>
      <c r="G446" s="216"/>
      <c r="H446" s="231"/>
      <c r="I446" s="236"/>
      <c r="J446" s="233"/>
      <c r="K446" s="233"/>
      <c r="L446" s="233"/>
      <c r="M446" s="233"/>
      <c r="P446" s="233"/>
      <c r="Q446" s="233"/>
      <c r="R446" s="233"/>
      <c r="S446" s="233"/>
      <c r="V446" s="233"/>
      <c r="W446" s="233"/>
      <c r="X446" s="233"/>
      <c r="Y446" s="233"/>
      <c r="Z446" s="233"/>
      <c r="AA446" s="233"/>
      <c r="AB446" s="233"/>
    </row>
    <row r="447" spans="1:28" s="215" customFormat="1">
      <c r="A447" s="608"/>
      <c r="B447" s="608"/>
      <c r="C447" s="608"/>
      <c r="D447" s="608"/>
      <c r="G447" s="216"/>
      <c r="H447" s="231"/>
      <c r="I447" s="236"/>
      <c r="J447" s="233"/>
      <c r="K447" s="233"/>
      <c r="L447" s="233"/>
      <c r="M447" s="233"/>
      <c r="P447" s="233"/>
      <c r="Q447" s="233"/>
      <c r="R447" s="233"/>
      <c r="S447" s="233"/>
      <c r="V447" s="233"/>
      <c r="W447" s="233"/>
      <c r="X447" s="233"/>
      <c r="Y447" s="233"/>
      <c r="Z447" s="233"/>
      <c r="AA447" s="233"/>
      <c r="AB447" s="233"/>
    </row>
    <row r="448" spans="1:28" s="215" customFormat="1">
      <c r="A448" s="608"/>
      <c r="B448" s="608"/>
      <c r="C448" s="608"/>
      <c r="D448" s="608"/>
      <c r="G448" s="216"/>
      <c r="H448" s="231"/>
      <c r="I448" s="236"/>
      <c r="J448" s="233"/>
      <c r="K448" s="233"/>
      <c r="L448" s="233"/>
      <c r="M448" s="233"/>
      <c r="P448" s="233"/>
      <c r="Q448" s="233"/>
      <c r="R448" s="233"/>
      <c r="S448" s="233"/>
      <c r="V448" s="233"/>
      <c r="W448" s="233"/>
      <c r="X448" s="233"/>
      <c r="Y448" s="233"/>
      <c r="Z448" s="233"/>
      <c r="AA448" s="233"/>
      <c r="AB448" s="233"/>
    </row>
    <row r="449" spans="1:28" s="215" customFormat="1">
      <c r="A449" s="608"/>
      <c r="B449" s="608"/>
      <c r="C449" s="608"/>
      <c r="D449" s="608"/>
      <c r="G449" s="216"/>
      <c r="H449" s="231"/>
      <c r="I449" s="236"/>
      <c r="J449" s="233"/>
      <c r="K449" s="233"/>
      <c r="L449" s="233"/>
      <c r="M449" s="233"/>
      <c r="P449" s="233"/>
      <c r="Q449" s="233"/>
      <c r="R449" s="233"/>
      <c r="S449" s="233"/>
      <c r="V449" s="233"/>
      <c r="W449" s="233"/>
      <c r="X449" s="233"/>
      <c r="Y449" s="233"/>
      <c r="Z449" s="233"/>
      <c r="AA449" s="233"/>
      <c r="AB449" s="233"/>
    </row>
    <row r="450" spans="1:28" s="215" customFormat="1">
      <c r="A450" s="608"/>
      <c r="B450" s="608"/>
      <c r="C450" s="608"/>
      <c r="D450" s="608"/>
      <c r="G450" s="216"/>
      <c r="H450" s="231"/>
      <c r="I450" s="236"/>
      <c r="J450" s="233"/>
      <c r="K450" s="233"/>
      <c r="L450" s="233"/>
      <c r="M450" s="233"/>
      <c r="P450" s="233"/>
      <c r="Q450" s="233"/>
      <c r="R450" s="233"/>
      <c r="S450" s="233"/>
      <c r="V450" s="233"/>
      <c r="W450" s="233"/>
      <c r="X450" s="233"/>
      <c r="Y450" s="233"/>
      <c r="Z450" s="233"/>
      <c r="AA450" s="233"/>
      <c r="AB450" s="233"/>
    </row>
    <row r="451" spans="1:28" s="215" customFormat="1">
      <c r="A451" s="608"/>
      <c r="B451" s="608"/>
      <c r="C451" s="608"/>
      <c r="D451" s="608"/>
      <c r="G451" s="216"/>
      <c r="H451" s="231"/>
      <c r="I451" s="236"/>
      <c r="J451" s="233"/>
      <c r="K451" s="233"/>
      <c r="L451" s="233"/>
      <c r="M451" s="233"/>
      <c r="P451" s="233"/>
      <c r="Q451" s="233"/>
      <c r="R451" s="233"/>
      <c r="S451" s="233"/>
      <c r="V451" s="233"/>
      <c r="W451" s="233"/>
      <c r="X451" s="233"/>
      <c r="Y451" s="233"/>
      <c r="Z451" s="233"/>
      <c r="AA451" s="233"/>
      <c r="AB451" s="233"/>
    </row>
    <row r="452" spans="1:28" s="215" customFormat="1">
      <c r="A452" s="608"/>
      <c r="B452" s="608"/>
      <c r="C452" s="608"/>
      <c r="D452" s="608"/>
      <c r="G452" s="216"/>
      <c r="H452" s="231"/>
      <c r="I452" s="236"/>
      <c r="J452" s="233"/>
      <c r="K452" s="233"/>
      <c r="L452" s="233"/>
      <c r="M452" s="233"/>
      <c r="P452" s="233"/>
      <c r="Q452" s="233"/>
      <c r="R452" s="233"/>
      <c r="S452" s="233"/>
      <c r="V452" s="233"/>
      <c r="W452" s="233"/>
      <c r="X452" s="233"/>
      <c r="Y452" s="233"/>
      <c r="Z452" s="233"/>
      <c r="AA452" s="233"/>
      <c r="AB452" s="233"/>
    </row>
    <row r="453" spans="1:28" s="215" customFormat="1">
      <c r="A453" s="608"/>
      <c r="B453" s="608"/>
      <c r="C453" s="608"/>
      <c r="D453" s="608"/>
      <c r="G453" s="216"/>
      <c r="H453" s="231"/>
      <c r="I453" s="236"/>
      <c r="J453" s="233"/>
      <c r="K453" s="233"/>
      <c r="L453" s="233"/>
      <c r="M453" s="233"/>
      <c r="P453" s="233"/>
      <c r="Q453" s="233"/>
      <c r="R453" s="233"/>
      <c r="S453" s="233"/>
      <c r="V453" s="233"/>
      <c r="W453" s="233"/>
      <c r="X453" s="233"/>
      <c r="Y453" s="233"/>
      <c r="Z453" s="233"/>
      <c r="AA453" s="233"/>
      <c r="AB453" s="233"/>
    </row>
    <row r="454" spans="1:28" s="215" customFormat="1">
      <c r="A454" s="608"/>
      <c r="B454" s="608"/>
      <c r="C454" s="608"/>
      <c r="D454" s="608"/>
      <c r="G454" s="216"/>
      <c r="H454" s="231"/>
      <c r="I454" s="236"/>
      <c r="J454" s="233"/>
      <c r="K454" s="233"/>
      <c r="L454" s="233"/>
      <c r="M454" s="233"/>
      <c r="P454" s="233"/>
      <c r="Q454" s="233"/>
      <c r="R454" s="233"/>
      <c r="S454" s="233"/>
      <c r="V454" s="233"/>
      <c r="W454" s="233"/>
      <c r="X454" s="233"/>
      <c r="Y454" s="233"/>
      <c r="Z454" s="233"/>
      <c r="AA454" s="233"/>
      <c r="AB454" s="233"/>
    </row>
    <row r="455" spans="1:28" s="215" customFormat="1">
      <c r="A455" s="608"/>
      <c r="B455" s="608"/>
      <c r="C455" s="608"/>
      <c r="D455" s="608"/>
      <c r="G455" s="216"/>
      <c r="H455" s="231"/>
      <c r="I455" s="236"/>
      <c r="J455" s="233"/>
      <c r="K455" s="233"/>
      <c r="L455" s="233"/>
      <c r="M455" s="233"/>
      <c r="P455" s="233"/>
      <c r="Q455" s="233"/>
      <c r="R455" s="233"/>
      <c r="S455" s="233"/>
      <c r="V455" s="233"/>
      <c r="W455" s="233"/>
      <c r="X455" s="233"/>
      <c r="Y455" s="233"/>
      <c r="Z455" s="233"/>
      <c r="AA455" s="233"/>
      <c r="AB455" s="233"/>
    </row>
    <row r="456" spans="1:28" s="215" customFormat="1">
      <c r="A456" s="608"/>
      <c r="B456" s="608"/>
      <c r="C456" s="608"/>
      <c r="D456" s="608"/>
      <c r="G456" s="216"/>
      <c r="H456" s="231"/>
      <c r="I456" s="236"/>
      <c r="J456" s="233"/>
      <c r="K456" s="233"/>
      <c r="L456" s="233"/>
      <c r="M456" s="233"/>
      <c r="P456" s="233"/>
      <c r="Q456" s="233"/>
      <c r="R456" s="233"/>
      <c r="S456" s="233"/>
      <c r="V456" s="233"/>
      <c r="W456" s="233"/>
      <c r="X456" s="233"/>
      <c r="Y456" s="233"/>
      <c r="Z456" s="233"/>
      <c r="AA456" s="233"/>
      <c r="AB456" s="233"/>
    </row>
    <row r="457" spans="1:28" s="215" customFormat="1">
      <c r="A457" s="608"/>
      <c r="B457" s="608"/>
      <c r="C457" s="608"/>
      <c r="D457" s="608"/>
      <c r="G457" s="216"/>
      <c r="H457" s="231"/>
      <c r="I457" s="236"/>
      <c r="J457" s="233"/>
      <c r="K457" s="233"/>
      <c r="L457" s="233"/>
      <c r="M457" s="233"/>
      <c r="P457" s="233"/>
      <c r="Q457" s="233"/>
      <c r="R457" s="233"/>
      <c r="S457" s="233"/>
      <c r="V457" s="233"/>
      <c r="W457" s="233"/>
      <c r="X457" s="233"/>
      <c r="Y457" s="233"/>
      <c r="Z457" s="233"/>
      <c r="AA457" s="233"/>
      <c r="AB457" s="233"/>
    </row>
    <row r="458" spans="1:28" s="215" customFormat="1">
      <c r="A458" s="608"/>
      <c r="B458" s="608"/>
      <c r="C458" s="608"/>
      <c r="D458" s="608"/>
      <c r="G458" s="216"/>
      <c r="H458" s="231"/>
      <c r="I458" s="236"/>
      <c r="J458" s="233"/>
      <c r="K458" s="233"/>
      <c r="L458" s="233"/>
      <c r="M458" s="233"/>
      <c r="P458" s="233"/>
      <c r="Q458" s="233"/>
      <c r="R458" s="233"/>
      <c r="S458" s="233"/>
      <c r="V458" s="233"/>
      <c r="W458" s="233"/>
      <c r="X458" s="233"/>
      <c r="Y458" s="233"/>
      <c r="Z458" s="233"/>
      <c r="AA458" s="233"/>
      <c r="AB458" s="233"/>
    </row>
    <row r="459" spans="1:28" s="215" customFormat="1">
      <c r="A459" s="608"/>
      <c r="B459" s="608"/>
      <c r="C459" s="608"/>
      <c r="D459" s="608"/>
      <c r="G459" s="216"/>
      <c r="H459" s="231"/>
      <c r="I459" s="236"/>
      <c r="J459" s="233"/>
      <c r="K459" s="233"/>
      <c r="L459" s="233"/>
      <c r="M459" s="233"/>
      <c r="P459" s="233"/>
      <c r="Q459" s="233"/>
      <c r="R459" s="233"/>
      <c r="S459" s="233"/>
      <c r="V459" s="233"/>
      <c r="W459" s="233"/>
      <c r="X459" s="233"/>
      <c r="Y459" s="233"/>
      <c r="Z459" s="233"/>
      <c r="AA459" s="233"/>
      <c r="AB459" s="233"/>
    </row>
    <row r="460" spans="1:28" s="215" customFormat="1">
      <c r="A460" s="608"/>
      <c r="B460" s="608"/>
      <c r="C460" s="608"/>
      <c r="D460" s="608"/>
      <c r="G460" s="216"/>
      <c r="H460" s="231"/>
      <c r="I460" s="236"/>
      <c r="J460" s="233"/>
      <c r="K460" s="233"/>
      <c r="L460" s="233"/>
      <c r="M460" s="233"/>
      <c r="P460" s="233"/>
      <c r="Q460" s="233"/>
      <c r="R460" s="233"/>
      <c r="S460" s="233"/>
      <c r="V460" s="233"/>
      <c r="W460" s="233"/>
      <c r="X460" s="233"/>
      <c r="Y460" s="233"/>
      <c r="Z460" s="233"/>
      <c r="AA460" s="233"/>
      <c r="AB460" s="233"/>
    </row>
    <row r="461" spans="1:28" s="215" customFormat="1">
      <c r="A461" s="608"/>
      <c r="B461" s="608"/>
      <c r="C461" s="608"/>
      <c r="D461" s="608"/>
      <c r="G461" s="216"/>
      <c r="H461" s="231"/>
      <c r="I461" s="236"/>
      <c r="J461" s="233"/>
      <c r="K461" s="233"/>
      <c r="L461" s="233"/>
      <c r="M461" s="233"/>
      <c r="P461" s="233"/>
      <c r="Q461" s="233"/>
      <c r="R461" s="233"/>
      <c r="S461" s="233"/>
      <c r="V461" s="233"/>
      <c r="W461" s="233"/>
      <c r="X461" s="233"/>
      <c r="Y461" s="233"/>
      <c r="Z461" s="233"/>
      <c r="AA461" s="233"/>
      <c r="AB461" s="233"/>
    </row>
    <row r="462" spans="1:28" s="215" customFormat="1">
      <c r="A462" s="608"/>
      <c r="B462" s="608"/>
      <c r="C462" s="608"/>
      <c r="D462" s="608"/>
      <c r="G462" s="216"/>
      <c r="H462" s="231"/>
      <c r="I462" s="236"/>
      <c r="J462" s="233"/>
      <c r="K462" s="233"/>
      <c r="L462" s="233"/>
      <c r="M462" s="233"/>
      <c r="P462" s="233"/>
      <c r="Q462" s="233"/>
      <c r="R462" s="233"/>
      <c r="S462" s="233"/>
      <c r="V462" s="233"/>
      <c r="W462" s="233"/>
      <c r="X462" s="233"/>
      <c r="Y462" s="233"/>
      <c r="Z462" s="233"/>
      <c r="AA462" s="233"/>
      <c r="AB462" s="233"/>
    </row>
    <row r="463" spans="1:28" s="215" customFormat="1">
      <c r="A463" s="608"/>
      <c r="B463" s="608"/>
      <c r="C463" s="608"/>
      <c r="D463" s="608"/>
      <c r="G463" s="216"/>
      <c r="H463" s="231"/>
      <c r="I463" s="236"/>
      <c r="J463" s="233"/>
      <c r="K463" s="233"/>
      <c r="L463" s="233"/>
      <c r="M463" s="233"/>
      <c r="P463" s="233"/>
      <c r="Q463" s="233"/>
      <c r="R463" s="233"/>
      <c r="S463" s="233"/>
      <c r="V463" s="233"/>
      <c r="W463" s="233"/>
      <c r="X463" s="233"/>
      <c r="Y463" s="233"/>
      <c r="Z463" s="233"/>
      <c r="AA463" s="233"/>
      <c r="AB463" s="233"/>
    </row>
    <row r="464" spans="1:28" s="215" customFormat="1">
      <c r="A464" s="608"/>
      <c r="B464" s="608"/>
      <c r="C464" s="608"/>
      <c r="D464" s="608"/>
      <c r="G464" s="216"/>
      <c r="H464" s="231"/>
      <c r="I464" s="236"/>
      <c r="J464" s="233"/>
      <c r="K464" s="233"/>
      <c r="L464" s="233"/>
      <c r="M464" s="233"/>
      <c r="P464" s="233"/>
      <c r="Q464" s="233"/>
      <c r="R464" s="233"/>
      <c r="S464" s="233"/>
      <c r="V464" s="233"/>
      <c r="W464" s="233"/>
      <c r="X464" s="233"/>
      <c r="Y464" s="233"/>
      <c r="Z464" s="233"/>
      <c r="AA464" s="233"/>
      <c r="AB464" s="233"/>
    </row>
    <row r="465" spans="1:28" s="215" customFormat="1">
      <c r="A465" s="608"/>
      <c r="B465" s="608"/>
      <c r="C465" s="608"/>
      <c r="D465" s="608"/>
      <c r="G465" s="216"/>
      <c r="H465" s="231"/>
      <c r="I465" s="236"/>
      <c r="J465" s="233"/>
      <c r="K465" s="233"/>
      <c r="L465" s="233"/>
      <c r="M465" s="233"/>
      <c r="P465" s="233"/>
      <c r="Q465" s="233"/>
      <c r="R465" s="233"/>
      <c r="S465" s="233"/>
      <c r="V465" s="233"/>
      <c r="W465" s="233"/>
      <c r="X465" s="233"/>
      <c r="Y465" s="233"/>
      <c r="Z465" s="233"/>
      <c r="AA465" s="233"/>
      <c r="AB465" s="233"/>
    </row>
    <row r="466" spans="1:28" s="215" customFormat="1">
      <c r="A466" s="608"/>
      <c r="B466" s="608"/>
      <c r="C466" s="608"/>
      <c r="D466" s="608"/>
      <c r="G466" s="216"/>
      <c r="H466" s="231"/>
      <c r="I466" s="236"/>
      <c r="J466" s="233"/>
      <c r="K466" s="233"/>
      <c r="L466" s="233"/>
      <c r="M466" s="233"/>
      <c r="P466" s="233"/>
      <c r="Q466" s="233"/>
      <c r="R466" s="233"/>
      <c r="S466" s="233"/>
      <c r="V466" s="233"/>
      <c r="W466" s="233"/>
      <c r="X466" s="233"/>
      <c r="Y466" s="233"/>
      <c r="Z466" s="233"/>
      <c r="AA466" s="233"/>
      <c r="AB466" s="233"/>
    </row>
    <row r="467" spans="1:28" s="215" customFormat="1">
      <c r="A467" s="608"/>
      <c r="B467" s="608"/>
      <c r="C467" s="608"/>
      <c r="D467" s="608"/>
      <c r="G467" s="216"/>
      <c r="H467" s="231"/>
      <c r="I467" s="236"/>
      <c r="J467" s="233"/>
      <c r="K467" s="233"/>
      <c r="L467" s="233"/>
      <c r="M467" s="233"/>
      <c r="P467" s="233"/>
      <c r="Q467" s="233"/>
      <c r="R467" s="233"/>
      <c r="S467" s="233"/>
      <c r="V467" s="233"/>
      <c r="W467" s="233"/>
      <c r="X467" s="233"/>
      <c r="Y467" s="233"/>
      <c r="Z467" s="233"/>
      <c r="AA467" s="233"/>
      <c r="AB467" s="233"/>
    </row>
    <row r="468" spans="1:28" s="215" customFormat="1">
      <c r="A468" s="608"/>
      <c r="B468" s="608"/>
      <c r="C468" s="608"/>
      <c r="D468" s="608"/>
      <c r="G468" s="216"/>
      <c r="H468" s="231"/>
      <c r="I468" s="236"/>
      <c r="J468" s="233"/>
      <c r="K468" s="233"/>
      <c r="L468" s="233"/>
      <c r="M468" s="233"/>
      <c r="P468" s="233"/>
      <c r="Q468" s="233"/>
      <c r="R468" s="233"/>
      <c r="S468" s="233"/>
      <c r="V468" s="233"/>
      <c r="W468" s="233"/>
      <c r="X468" s="233"/>
      <c r="Y468" s="233"/>
      <c r="Z468" s="233"/>
      <c r="AA468" s="233"/>
      <c r="AB468" s="233"/>
    </row>
    <row r="469" spans="1:28" s="215" customFormat="1">
      <c r="A469" s="608"/>
      <c r="B469" s="608"/>
      <c r="C469" s="608"/>
      <c r="D469" s="608"/>
      <c r="G469" s="216"/>
      <c r="H469" s="231"/>
      <c r="I469" s="236"/>
      <c r="J469" s="233"/>
      <c r="K469" s="233"/>
      <c r="L469" s="233"/>
      <c r="M469" s="233"/>
      <c r="P469" s="233"/>
      <c r="Q469" s="233"/>
      <c r="R469" s="233"/>
      <c r="S469" s="233"/>
      <c r="V469" s="233"/>
      <c r="W469" s="233"/>
      <c r="X469" s="233"/>
      <c r="Y469" s="233"/>
      <c r="Z469" s="233"/>
      <c r="AA469" s="233"/>
      <c r="AB469" s="233"/>
    </row>
    <row r="470" spans="1:28" s="215" customFormat="1">
      <c r="A470" s="608"/>
      <c r="B470" s="608"/>
      <c r="C470" s="608"/>
      <c r="D470" s="608"/>
      <c r="G470" s="216"/>
      <c r="H470" s="231"/>
      <c r="I470" s="236"/>
      <c r="J470" s="233"/>
      <c r="K470" s="233"/>
      <c r="L470" s="233"/>
      <c r="M470" s="233"/>
      <c r="P470" s="233"/>
      <c r="Q470" s="233"/>
      <c r="R470" s="233"/>
      <c r="S470" s="233"/>
      <c r="V470" s="233"/>
      <c r="W470" s="233"/>
      <c r="X470" s="233"/>
      <c r="Y470" s="233"/>
      <c r="Z470" s="233"/>
      <c r="AA470" s="233"/>
      <c r="AB470" s="233"/>
    </row>
    <row r="471" spans="1:28" s="215" customFormat="1">
      <c r="A471" s="608"/>
      <c r="B471" s="608"/>
      <c r="C471" s="608"/>
      <c r="D471" s="608"/>
      <c r="G471" s="216"/>
      <c r="H471" s="231"/>
      <c r="I471" s="236"/>
      <c r="J471" s="233"/>
      <c r="K471" s="233"/>
      <c r="L471" s="233"/>
      <c r="M471" s="233"/>
      <c r="P471" s="233"/>
      <c r="Q471" s="233"/>
      <c r="R471" s="233"/>
      <c r="S471" s="233"/>
      <c r="V471" s="233"/>
      <c r="W471" s="233"/>
      <c r="X471" s="233"/>
      <c r="Y471" s="233"/>
      <c r="Z471" s="233"/>
      <c r="AA471" s="233"/>
      <c r="AB471" s="233"/>
    </row>
    <row r="472" spans="1:28" s="215" customFormat="1">
      <c r="A472" s="608"/>
      <c r="B472" s="608"/>
      <c r="C472" s="608"/>
      <c r="D472" s="608"/>
      <c r="G472" s="216"/>
      <c r="H472" s="231"/>
      <c r="I472" s="236"/>
      <c r="J472" s="233"/>
      <c r="K472" s="233"/>
      <c r="L472" s="233"/>
      <c r="M472" s="233"/>
      <c r="P472" s="233"/>
      <c r="Q472" s="233"/>
      <c r="R472" s="233"/>
      <c r="S472" s="233"/>
      <c r="V472" s="233"/>
      <c r="W472" s="233"/>
      <c r="X472" s="233"/>
      <c r="Y472" s="233"/>
      <c r="Z472" s="233"/>
      <c r="AA472" s="233"/>
      <c r="AB472" s="233"/>
    </row>
    <row r="473" spans="1:28" s="215" customFormat="1">
      <c r="A473" s="608"/>
      <c r="B473" s="608"/>
      <c r="C473" s="608"/>
      <c r="D473" s="608"/>
      <c r="G473" s="216"/>
      <c r="H473" s="231"/>
      <c r="I473" s="236"/>
      <c r="J473" s="233"/>
      <c r="K473" s="233"/>
      <c r="L473" s="233"/>
      <c r="M473" s="233"/>
      <c r="P473" s="233"/>
      <c r="Q473" s="233"/>
      <c r="R473" s="233"/>
      <c r="S473" s="233"/>
      <c r="V473" s="233"/>
      <c r="W473" s="233"/>
      <c r="X473" s="233"/>
      <c r="Y473" s="233"/>
      <c r="Z473" s="233"/>
      <c r="AA473" s="233"/>
      <c r="AB473" s="233"/>
    </row>
    <row r="474" spans="1:28" s="215" customFormat="1">
      <c r="A474" s="608"/>
      <c r="B474" s="608"/>
      <c r="C474" s="608"/>
      <c r="D474" s="608"/>
      <c r="G474" s="216"/>
      <c r="H474" s="231"/>
      <c r="I474" s="236"/>
      <c r="J474" s="233"/>
      <c r="K474" s="233"/>
      <c r="L474" s="233"/>
      <c r="M474" s="233"/>
      <c r="P474" s="233"/>
      <c r="Q474" s="233"/>
      <c r="R474" s="233"/>
      <c r="S474" s="233"/>
      <c r="V474" s="233"/>
      <c r="W474" s="233"/>
      <c r="X474" s="233"/>
      <c r="Y474" s="233"/>
      <c r="Z474" s="233"/>
      <c r="AA474" s="233"/>
      <c r="AB474" s="233"/>
    </row>
    <row r="475" spans="1:28" s="215" customFormat="1">
      <c r="A475" s="608"/>
      <c r="B475" s="608"/>
      <c r="C475" s="608"/>
      <c r="D475" s="608"/>
      <c r="G475" s="216"/>
      <c r="H475" s="231"/>
      <c r="I475" s="236"/>
      <c r="J475" s="233"/>
      <c r="K475" s="233"/>
      <c r="L475" s="233"/>
      <c r="M475" s="233"/>
      <c r="P475" s="233"/>
      <c r="Q475" s="233"/>
      <c r="R475" s="233"/>
      <c r="S475" s="233"/>
      <c r="V475" s="233"/>
      <c r="W475" s="233"/>
      <c r="X475" s="233"/>
      <c r="Y475" s="233"/>
      <c r="Z475" s="233"/>
      <c r="AA475" s="233"/>
      <c r="AB475" s="233"/>
    </row>
    <row r="476" spans="1:28" s="215" customFormat="1">
      <c r="A476" s="608"/>
      <c r="B476" s="608"/>
      <c r="C476" s="608"/>
      <c r="D476" s="608"/>
      <c r="G476" s="216"/>
      <c r="H476" s="231"/>
      <c r="I476" s="236"/>
      <c r="J476" s="233"/>
      <c r="K476" s="233"/>
      <c r="L476" s="233"/>
      <c r="M476" s="233"/>
      <c r="P476" s="233"/>
      <c r="Q476" s="233"/>
      <c r="R476" s="233"/>
      <c r="S476" s="233"/>
      <c r="V476" s="233"/>
      <c r="W476" s="233"/>
      <c r="X476" s="233"/>
      <c r="Y476" s="233"/>
      <c r="Z476" s="233"/>
      <c r="AA476" s="233"/>
      <c r="AB476" s="233"/>
    </row>
    <row r="477" spans="1:28" s="215" customFormat="1">
      <c r="A477" s="608"/>
      <c r="B477" s="608"/>
      <c r="C477" s="608"/>
      <c r="D477" s="608"/>
      <c r="G477" s="216"/>
      <c r="H477" s="231"/>
      <c r="I477" s="236"/>
      <c r="J477" s="233"/>
      <c r="K477" s="233"/>
      <c r="L477" s="233"/>
      <c r="M477" s="233"/>
      <c r="P477" s="233"/>
      <c r="Q477" s="233"/>
      <c r="R477" s="233"/>
      <c r="S477" s="233"/>
      <c r="V477" s="233"/>
      <c r="W477" s="233"/>
      <c r="X477" s="233"/>
      <c r="Y477" s="233"/>
      <c r="Z477" s="233"/>
      <c r="AA477" s="233"/>
      <c r="AB477" s="233"/>
    </row>
    <row r="478" spans="1:28" s="215" customFormat="1">
      <c r="A478" s="608"/>
      <c r="B478" s="608"/>
      <c r="C478" s="608"/>
      <c r="D478" s="608"/>
      <c r="G478" s="216"/>
      <c r="H478" s="231"/>
      <c r="I478" s="236"/>
      <c r="J478" s="233"/>
      <c r="K478" s="233"/>
      <c r="L478" s="233"/>
      <c r="M478" s="233"/>
      <c r="P478" s="233"/>
      <c r="Q478" s="233"/>
      <c r="R478" s="233"/>
      <c r="S478" s="233"/>
      <c r="V478" s="233"/>
      <c r="W478" s="233"/>
      <c r="X478" s="233"/>
      <c r="Y478" s="233"/>
      <c r="Z478" s="233"/>
      <c r="AA478" s="233"/>
      <c r="AB478" s="233"/>
    </row>
    <row r="479" spans="1:28" s="215" customFormat="1">
      <c r="A479" s="608"/>
      <c r="B479" s="608"/>
      <c r="C479" s="608"/>
      <c r="D479" s="608"/>
      <c r="G479" s="216"/>
      <c r="H479" s="231"/>
      <c r="I479" s="236"/>
      <c r="J479" s="233"/>
      <c r="K479" s="233"/>
      <c r="L479" s="233"/>
      <c r="M479" s="233"/>
      <c r="P479" s="233"/>
      <c r="Q479" s="233"/>
      <c r="R479" s="233"/>
      <c r="S479" s="233"/>
      <c r="V479" s="233"/>
      <c r="W479" s="233"/>
      <c r="X479" s="233"/>
      <c r="Y479" s="233"/>
      <c r="Z479" s="233"/>
      <c r="AA479" s="233"/>
      <c r="AB479" s="233"/>
    </row>
    <row r="480" spans="1:28" s="215" customFormat="1">
      <c r="A480" s="608"/>
      <c r="B480" s="608"/>
      <c r="C480" s="608"/>
      <c r="D480" s="608"/>
      <c r="G480" s="216"/>
      <c r="H480" s="231"/>
      <c r="I480" s="236"/>
      <c r="J480" s="233"/>
      <c r="K480" s="233"/>
      <c r="L480" s="233"/>
      <c r="M480" s="233"/>
      <c r="P480" s="233"/>
      <c r="Q480" s="233"/>
      <c r="R480" s="233"/>
      <c r="S480" s="233"/>
      <c r="V480" s="233"/>
      <c r="W480" s="233"/>
      <c r="X480" s="233"/>
      <c r="Y480" s="233"/>
      <c r="Z480" s="233"/>
      <c r="AA480" s="233"/>
      <c r="AB480" s="233"/>
    </row>
    <row r="481" spans="1:28" s="215" customFormat="1">
      <c r="A481" s="608"/>
      <c r="B481" s="608"/>
      <c r="C481" s="608"/>
      <c r="D481" s="608"/>
      <c r="G481" s="216"/>
      <c r="H481" s="231"/>
      <c r="I481" s="236"/>
      <c r="J481" s="233"/>
      <c r="K481" s="233"/>
      <c r="L481" s="233"/>
      <c r="M481" s="233"/>
      <c r="P481" s="233"/>
      <c r="Q481" s="233"/>
      <c r="R481" s="233"/>
      <c r="S481" s="233"/>
      <c r="V481" s="233"/>
      <c r="W481" s="233"/>
      <c r="X481" s="233"/>
      <c r="Y481" s="233"/>
      <c r="Z481" s="233"/>
      <c r="AA481" s="233"/>
      <c r="AB481" s="233"/>
    </row>
    <row r="482" spans="1:28" s="215" customFormat="1">
      <c r="A482" s="608"/>
      <c r="B482" s="608"/>
      <c r="C482" s="608"/>
      <c r="D482" s="608"/>
      <c r="G482" s="216"/>
      <c r="H482" s="231"/>
      <c r="I482" s="236"/>
      <c r="J482" s="233"/>
      <c r="K482" s="233"/>
      <c r="L482" s="233"/>
      <c r="M482" s="233"/>
      <c r="P482" s="233"/>
      <c r="Q482" s="233"/>
      <c r="R482" s="233"/>
      <c r="S482" s="233"/>
      <c r="V482" s="233"/>
      <c r="W482" s="233"/>
      <c r="X482" s="233"/>
      <c r="Y482" s="233"/>
      <c r="Z482" s="233"/>
      <c r="AA482" s="233"/>
      <c r="AB482" s="233"/>
    </row>
    <row r="483" spans="1:28" s="215" customFormat="1">
      <c r="A483" s="608"/>
      <c r="B483" s="608"/>
      <c r="C483" s="608"/>
      <c r="D483" s="608"/>
      <c r="G483" s="216"/>
      <c r="H483" s="231"/>
      <c r="I483" s="236"/>
      <c r="J483" s="233"/>
      <c r="K483" s="233"/>
      <c r="L483" s="233"/>
      <c r="M483" s="233"/>
      <c r="P483" s="233"/>
      <c r="Q483" s="233"/>
      <c r="R483" s="233"/>
      <c r="S483" s="233"/>
      <c r="V483" s="233"/>
      <c r="W483" s="233"/>
      <c r="X483" s="233"/>
      <c r="Y483" s="233"/>
      <c r="Z483" s="233"/>
      <c r="AA483" s="233"/>
      <c r="AB483" s="233"/>
    </row>
    <row r="484" spans="1:28" s="215" customFormat="1">
      <c r="A484" s="608"/>
      <c r="B484" s="608"/>
      <c r="C484" s="608"/>
      <c r="D484" s="608"/>
      <c r="G484" s="216"/>
      <c r="H484" s="231"/>
      <c r="I484" s="236"/>
      <c r="J484" s="233"/>
      <c r="K484" s="233"/>
      <c r="L484" s="233"/>
      <c r="M484" s="233"/>
      <c r="P484" s="233"/>
      <c r="Q484" s="233"/>
      <c r="R484" s="233"/>
      <c r="S484" s="233"/>
      <c r="V484" s="233"/>
      <c r="W484" s="233"/>
      <c r="X484" s="233"/>
      <c r="Y484" s="233"/>
      <c r="Z484" s="233"/>
      <c r="AA484" s="233"/>
      <c r="AB484" s="233"/>
    </row>
    <row r="485" spans="1:28" s="215" customFormat="1">
      <c r="A485" s="608"/>
      <c r="B485" s="608"/>
      <c r="C485" s="608"/>
      <c r="D485" s="608"/>
      <c r="G485" s="216"/>
      <c r="H485" s="231"/>
      <c r="I485" s="236"/>
      <c r="J485" s="233"/>
      <c r="K485" s="233"/>
      <c r="L485" s="233"/>
      <c r="M485" s="233"/>
      <c r="P485" s="233"/>
      <c r="Q485" s="233"/>
      <c r="R485" s="233"/>
      <c r="S485" s="233"/>
      <c r="V485" s="233"/>
      <c r="W485" s="233"/>
      <c r="X485" s="233"/>
      <c r="Y485" s="233"/>
      <c r="Z485" s="233"/>
      <c r="AA485" s="233"/>
      <c r="AB485" s="233"/>
    </row>
    <row r="486" spans="1:28" s="215" customFormat="1">
      <c r="A486" s="608"/>
      <c r="B486" s="608"/>
      <c r="C486" s="608"/>
      <c r="D486" s="608"/>
      <c r="G486" s="216"/>
      <c r="H486" s="231"/>
      <c r="I486" s="236"/>
      <c r="J486" s="233"/>
      <c r="K486" s="233"/>
      <c r="L486" s="233"/>
      <c r="M486" s="233"/>
      <c r="P486" s="233"/>
      <c r="Q486" s="233"/>
      <c r="R486" s="233"/>
      <c r="S486" s="233"/>
      <c r="V486" s="233"/>
      <c r="W486" s="233"/>
      <c r="X486" s="233"/>
      <c r="Y486" s="233"/>
      <c r="Z486" s="233"/>
      <c r="AA486" s="233"/>
      <c r="AB486" s="233"/>
    </row>
    <row r="487" spans="1:28" s="215" customFormat="1">
      <c r="A487" s="608"/>
      <c r="B487" s="608"/>
      <c r="C487" s="608"/>
      <c r="D487" s="608"/>
      <c r="G487" s="216"/>
      <c r="H487" s="231"/>
      <c r="I487" s="236"/>
      <c r="J487" s="233"/>
      <c r="K487" s="233"/>
      <c r="L487" s="233"/>
      <c r="M487" s="233"/>
      <c r="P487" s="233"/>
      <c r="Q487" s="233"/>
      <c r="R487" s="233"/>
      <c r="S487" s="233"/>
      <c r="V487" s="233"/>
      <c r="W487" s="233"/>
      <c r="X487" s="233"/>
      <c r="Y487" s="233"/>
      <c r="Z487" s="233"/>
      <c r="AA487" s="233"/>
      <c r="AB487" s="233"/>
    </row>
    <row r="488" spans="1:28" s="215" customFormat="1">
      <c r="A488" s="608"/>
      <c r="B488" s="608"/>
      <c r="C488" s="608"/>
      <c r="D488" s="608"/>
      <c r="G488" s="216"/>
      <c r="H488" s="231"/>
      <c r="I488" s="236"/>
      <c r="J488" s="233"/>
      <c r="K488" s="233"/>
      <c r="L488" s="233"/>
      <c r="M488" s="233"/>
      <c r="P488" s="233"/>
      <c r="Q488" s="233"/>
      <c r="R488" s="233"/>
      <c r="S488" s="233"/>
      <c r="V488" s="233"/>
      <c r="W488" s="233"/>
      <c r="X488" s="233"/>
      <c r="Y488" s="233"/>
      <c r="Z488" s="233"/>
      <c r="AA488" s="233"/>
      <c r="AB488" s="233"/>
    </row>
    <row r="489" spans="1:28" s="215" customFormat="1">
      <c r="A489" s="608"/>
      <c r="B489" s="608"/>
      <c r="C489" s="608"/>
      <c r="D489" s="608"/>
      <c r="G489" s="216"/>
      <c r="H489" s="231"/>
      <c r="I489" s="236"/>
      <c r="J489" s="233"/>
      <c r="K489" s="233"/>
      <c r="L489" s="233"/>
      <c r="M489" s="233"/>
      <c r="P489" s="233"/>
      <c r="Q489" s="233"/>
      <c r="R489" s="233"/>
      <c r="S489" s="233"/>
      <c r="V489" s="233"/>
      <c r="W489" s="233"/>
      <c r="X489" s="233"/>
      <c r="Y489" s="233"/>
      <c r="Z489" s="233"/>
      <c r="AA489" s="233"/>
      <c r="AB489" s="233"/>
    </row>
    <row r="490" spans="1:28" s="215" customFormat="1">
      <c r="A490" s="608"/>
      <c r="B490" s="608"/>
      <c r="C490" s="608"/>
      <c r="D490" s="608"/>
      <c r="G490" s="216"/>
      <c r="H490" s="231"/>
      <c r="I490" s="236"/>
      <c r="J490" s="233"/>
      <c r="K490" s="233"/>
      <c r="L490" s="233"/>
      <c r="M490" s="233"/>
      <c r="P490" s="233"/>
      <c r="Q490" s="233"/>
      <c r="R490" s="233"/>
      <c r="S490" s="233"/>
      <c r="V490" s="233"/>
      <c r="W490" s="233"/>
      <c r="X490" s="233"/>
      <c r="Y490" s="233"/>
      <c r="Z490" s="233"/>
      <c r="AA490" s="233"/>
      <c r="AB490" s="233"/>
    </row>
    <row r="491" spans="1:28" s="215" customFormat="1">
      <c r="A491" s="608"/>
      <c r="B491" s="608"/>
      <c r="C491" s="608"/>
      <c r="D491" s="608"/>
      <c r="G491" s="216"/>
      <c r="H491" s="231"/>
      <c r="I491" s="236"/>
      <c r="J491" s="233"/>
      <c r="K491" s="233"/>
      <c r="L491" s="233"/>
      <c r="M491" s="233"/>
      <c r="P491" s="233"/>
      <c r="Q491" s="233"/>
      <c r="R491" s="233"/>
      <c r="S491" s="233"/>
      <c r="V491" s="233"/>
      <c r="W491" s="233"/>
      <c r="X491" s="233"/>
      <c r="Y491" s="233"/>
      <c r="Z491" s="233"/>
      <c r="AA491" s="233"/>
      <c r="AB491" s="233"/>
    </row>
    <row r="492" spans="1:28" s="215" customFormat="1">
      <c r="A492" s="608"/>
      <c r="B492" s="608"/>
      <c r="C492" s="608"/>
      <c r="D492" s="608"/>
      <c r="G492" s="216"/>
      <c r="H492" s="231"/>
      <c r="I492" s="236"/>
      <c r="J492" s="233"/>
      <c r="K492" s="233"/>
      <c r="L492" s="233"/>
      <c r="M492" s="233"/>
      <c r="P492" s="233"/>
      <c r="Q492" s="233"/>
      <c r="R492" s="233"/>
      <c r="S492" s="233"/>
      <c r="V492" s="233"/>
      <c r="W492" s="233"/>
      <c r="X492" s="233"/>
      <c r="Y492" s="233"/>
      <c r="Z492" s="233"/>
      <c r="AA492" s="233"/>
      <c r="AB492" s="233"/>
    </row>
    <row r="493" spans="1:28" s="215" customFormat="1">
      <c r="A493" s="608"/>
      <c r="B493" s="608"/>
      <c r="C493" s="608"/>
      <c r="D493" s="608"/>
      <c r="G493" s="216"/>
      <c r="H493" s="231"/>
      <c r="I493" s="236"/>
      <c r="J493" s="233"/>
      <c r="K493" s="233"/>
      <c r="L493" s="233"/>
      <c r="M493" s="233"/>
      <c r="P493" s="233"/>
      <c r="Q493" s="233"/>
      <c r="R493" s="233"/>
      <c r="S493" s="233"/>
      <c r="V493" s="233"/>
      <c r="W493" s="233"/>
      <c r="X493" s="233"/>
      <c r="Y493" s="233"/>
      <c r="Z493" s="233"/>
      <c r="AA493" s="233"/>
      <c r="AB493" s="233"/>
    </row>
    <row r="494" spans="1:28" s="215" customFormat="1">
      <c r="A494" s="608"/>
      <c r="B494" s="608"/>
      <c r="C494" s="608"/>
      <c r="D494" s="608"/>
      <c r="G494" s="216"/>
      <c r="H494" s="231"/>
      <c r="I494" s="236"/>
      <c r="J494" s="233"/>
      <c r="K494" s="233"/>
      <c r="L494" s="233"/>
      <c r="M494" s="233"/>
      <c r="P494" s="233"/>
      <c r="Q494" s="233"/>
      <c r="R494" s="233"/>
      <c r="S494" s="233"/>
      <c r="V494" s="233"/>
      <c r="W494" s="233"/>
      <c r="X494" s="233"/>
      <c r="Y494" s="233"/>
      <c r="Z494" s="233"/>
      <c r="AA494" s="233"/>
      <c r="AB494" s="233"/>
    </row>
    <row r="495" spans="1:28" s="215" customFormat="1">
      <c r="A495" s="608"/>
      <c r="B495" s="608"/>
      <c r="C495" s="608"/>
      <c r="D495" s="608"/>
      <c r="G495" s="216"/>
      <c r="H495" s="231"/>
      <c r="I495" s="236"/>
      <c r="J495" s="233"/>
      <c r="K495" s="233"/>
      <c r="L495" s="233"/>
      <c r="M495" s="233"/>
      <c r="P495" s="233"/>
      <c r="Q495" s="233"/>
      <c r="R495" s="233"/>
      <c r="S495" s="233"/>
      <c r="V495" s="233"/>
      <c r="W495" s="233"/>
      <c r="X495" s="233"/>
      <c r="Y495" s="233"/>
      <c r="Z495" s="233"/>
      <c r="AA495" s="233"/>
      <c r="AB495" s="233"/>
    </row>
    <row r="496" spans="1:28" s="215" customFormat="1">
      <c r="A496" s="608"/>
      <c r="B496" s="608"/>
      <c r="C496" s="608"/>
      <c r="D496" s="608"/>
      <c r="G496" s="216"/>
      <c r="H496" s="231"/>
      <c r="I496" s="236"/>
      <c r="J496" s="233"/>
      <c r="K496" s="233"/>
      <c r="L496" s="233"/>
      <c r="M496" s="233"/>
      <c r="P496" s="233"/>
      <c r="Q496" s="233"/>
      <c r="R496" s="233"/>
      <c r="S496" s="233"/>
      <c r="V496" s="233"/>
      <c r="W496" s="233"/>
      <c r="X496" s="233"/>
      <c r="Y496" s="233"/>
      <c r="Z496" s="233"/>
      <c r="AA496" s="233"/>
      <c r="AB496" s="233"/>
    </row>
    <row r="497" spans="1:28" s="215" customFormat="1">
      <c r="A497" s="608"/>
      <c r="B497" s="608"/>
      <c r="C497" s="608"/>
      <c r="D497" s="608"/>
      <c r="G497" s="216"/>
      <c r="H497" s="231"/>
      <c r="I497" s="236"/>
      <c r="J497" s="233"/>
      <c r="K497" s="233"/>
      <c r="L497" s="233"/>
      <c r="M497" s="233"/>
      <c r="P497" s="233"/>
      <c r="Q497" s="233"/>
      <c r="R497" s="233"/>
      <c r="S497" s="233"/>
      <c r="V497" s="233"/>
      <c r="W497" s="233"/>
      <c r="X497" s="233"/>
      <c r="Y497" s="233"/>
      <c r="Z497" s="233"/>
      <c r="AA497" s="233"/>
      <c r="AB497" s="233"/>
    </row>
    <row r="498" spans="1:28" s="215" customFormat="1">
      <c r="A498" s="608"/>
      <c r="B498" s="608"/>
      <c r="C498" s="608"/>
      <c r="D498" s="608"/>
      <c r="G498" s="216"/>
      <c r="H498" s="231"/>
      <c r="I498" s="236"/>
      <c r="J498" s="233"/>
      <c r="K498" s="233"/>
      <c r="L498" s="233"/>
      <c r="M498" s="233"/>
      <c r="P498" s="233"/>
      <c r="Q498" s="233"/>
      <c r="R498" s="233"/>
      <c r="S498" s="233"/>
      <c r="V498" s="233"/>
      <c r="W498" s="233"/>
      <c r="X498" s="233"/>
      <c r="Y498" s="233"/>
      <c r="Z498" s="233"/>
      <c r="AA498" s="233"/>
      <c r="AB498" s="233"/>
    </row>
    <row r="499" spans="1:28" s="215" customFormat="1">
      <c r="A499" s="608"/>
      <c r="B499" s="608"/>
      <c r="C499" s="608"/>
      <c r="D499" s="608"/>
      <c r="G499" s="216"/>
      <c r="H499" s="231"/>
      <c r="I499" s="236"/>
      <c r="J499" s="233"/>
      <c r="K499" s="233"/>
      <c r="L499" s="233"/>
      <c r="M499" s="233"/>
      <c r="P499" s="233"/>
      <c r="Q499" s="233"/>
      <c r="R499" s="233"/>
      <c r="S499" s="233"/>
      <c r="V499" s="233"/>
      <c r="W499" s="233"/>
      <c r="X499" s="233"/>
      <c r="Y499" s="233"/>
      <c r="Z499" s="233"/>
      <c r="AA499" s="233"/>
      <c r="AB499" s="233"/>
    </row>
    <row r="500" spans="1:28" s="215" customFormat="1">
      <c r="A500" s="608"/>
      <c r="B500" s="608"/>
      <c r="C500" s="608"/>
      <c r="D500" s="608"/>
      <c r="G500" s="216"/>
      <c r="H500" s="231"/>
      <c r="I500" s="236"/>
      <c r="J500" s="233"/>
      <c r="K500" s="233"/>
      <c r="L500" s="233"/>
      <c r="M500" s="233"/>
      <c r="P500" s="233"/>
      <c r="Q500" s="233"/>
      <c r="R500" s="233"/>
      <c r="S500" s="233"/>
      <c r="V500" s="233"/>
      <c r="W500" s="233"/>
      <c r="X500" s="233"/>
      <c r="Y500" s="233"/>
      <c r="Z500" s="233"/>
      <c r="AA500" s="233"/>
      <c r="AB500" s="233"/>
    </row>
    <row r="501" spans="1:28" s="215" customFormat="1">
      <c r="A501" s="608"/>
      <c r="B501" s="608"/>
      <c r="C501" s="608"/>
      <c r="D501" s="608"/>
      <c r="G501" s="216"/>
      <c r="H501" s="231"/>
      <c r="I501" s="236"/>
      <c r="J501" s="233"/>
      <c r="K501" s="233"/>
      <c r="L501" s="233"/>
      <c r="M501" s="233"/>
      <c r="P501" s="233"/>
      <c r="Q501" s="233"/>
      <c r="R501" s="233"/>
      <c r="S501" s="233"/>
      <c r="V501" s="233"/>
      <c r="W501" s="233"/>
      <c r="X501" s="233"/>
      <c r="Y501" s="233"/>
      <c r="Z501" s="233"/>
      <c r="AA501" s="233"/>
      <c r="AB501" s="233"/>
    </row>
    <row r="502" spans="1:28" s="215" customFormat="1">
      <c r="A502" s="608"/>
      <c r="B502" s="608"/>
      <c r="C502" s="608"/>
      <c r="D502" s="608"/>
      <c r="G502" s="216"/>
      <c r="H502" s="231"/>
      <c r="I502" s="236"/>
      <c r="J502" s="233"/>
      <c r="K502" s="233"/>
      <c r="L502" s="233"/>
      <c r="M502" s="233"/>
      <c r="P502" s="233"/>
      <c r="Q502" s="233"/>
      <c r="R502" s="233"/>
      <c r="S502" s="233"/>
      <c r="V502" s="233"/>
      <c r="W502" s="233"/>
      <c r="X502" s="233"/>
      <c r="Y502" s="233"/>
      <c r="Z502" s="233"/>
      <c r="AA502" s="233"/>
      <c r="AB502" s="233"/>
    </row>
    <row r="503" spans="1:28" s="215" customFormat="1">
      <c r="A503" s="608"/>
      <c r="B503" s="608"/>
      <c r="C503" s="608"/>
      <c r="D503" s="608"/>
      <c r="G503" s="216"/>
      <c r="H503" s="231"/>
      <c r="I503" s="236"/>
      <c r="J503" s="233"/>
      <c r="K503" s="233"/>
      <c r="L503" s="233"/>
      <c r="M503" s="233"/>
      <c r="P503" s="233"/>
      <c r="Q503" s="233"/>
      <c r="R503" s="233"/>
      <c r="S503" s="233"/>
      <c r="V503" s="233"/>
      <c r="W503" s="233"/>
      <c r="X503" s="233"/>
      <c r="Y503" s="233"/>
      <c r="Z503" s="233"/>
      <c r="AA503" s="233"/>
      <c r="AB503" s="233"/>
    </row>
    <row r="504" spans="1:28" s="215" customFormat="1">
      <c r="A504" s="608"/>
      <c r="B504" s="608"/>
      <c r="C504" s="608"/>
      <c r="D504" s="608"/>
      <c r="G504" s="216"/>
      <c r="H504" s="231"/>
      <c r="I504" s="236"/>
      <c r="J504" s="233"/>
      <c r="K504" s="233"/>
      <c r="L504" s="233"/>
      <c r="M504" s="233"/>
      <c r="P504" s="233"/>
      <c r="Q504" s="233"/>
      <c r="R504" s="233"/>
      <c r="S504" s="233"/>
      <c r="V504" s="233"/>
      <c r="W504" s="233"/>
      <c r="X504" s="233"/>
      <c r="Y504" s="233"/>
      <c r="Z504" s="233"/>
      <c r="AA504" s="233"/>
      <c r="AB504" s="233"/>
    </row>
    <row r="505" spans="1:28" s="215" customFormat="1">
      <c r="A505" s="608"/>
      <c r="B505" s="608"/>
      <c r="C505" s="608"/>
      <c r="D505" s="608"/>
      <c r="G505" s="216"/>
      <c r="H505" s="231"/>
      <c r="I505" s="236"/>
      <c r="J505" s="233"/>
      <c r="K505" s="233"/>
      <c r="L505" s="233"/>
      <c r="M505" s="233"/>
      <c r="P505" s="233"/>
      <c r="Q505" s="233"/>
      <c r="R505" s="233"/>
      <c r="S505" s="233"/>
      <c r="V505" s="233"/>
      <c r="W505" s="233"/>
      <c r="X505" s="233"/>
      <c r="Y505" s="233"/>
      <c r="Z505" s="233"/>
      <c r="AA505" s="233"/>
      <c r="AB505" s="233"/>
    </row>
    <row r="506" spans="1:28" s="215" customFormat="1">
      <c r="A506" s="608"/>
      <c r="B506" s="608"/>
      <c r="C506" s="608"/>
      <c r="D506" s="608"/>
      <c r="G506" s="216"/>
      <c r="H506" s="231"/>
      <c r="I506" s="236"/>
      <c r="J506" s="233"/>
      <c r="K506" s="233"/>
      <c r="L506" s="233"/>
      <c r="M506" s="233"/>
      <c r="P506" s="233"/>
      <c r="Q506" s="233"/>
      <c r="R506" s="233"/>
      <c r="S506" s="233"/>
      <c r="V506" s="233"/>
      <c r="W506" s="233"/>
      <c r="X506" s="233"/>
      <c r="Y506" s="233"/>
      <c r="Z506" s="233"/>
      <c r="AA506" s="233"/>
      <c r="AB506" s="233"/>
    </row>
    <row r="507" spans="1:28" s="215" customFormat="1">
      <c r="A507" s="608"/>
      <c r="B507" s="608"/>
      <c r="C507" s="608"/>
      <c r="D507" s="608"/>
      <c r="G507" s="216"/>
      <c r="H507" s="231"/>
      <c r="I507" s="236"/>
      <c r="J507" s="233"/>
      <c r="K507" s="233"/>
      <c r="L507" s="233"/>
      <c r="M507" s="233"/>
      <c r="P507" s="233"/>
      <c r="Q507" s="233"/>
      <c r="R507" s="233"/>
      <c r="S507" s="233"/>
      <c r="V507" s="233"/>
      <c r="W507" s="233"/>
      <c r="X507" s="233"/>
      <c r="Y507" s="233"/>
      <c r="Z507" s="233"/>
      <c r="AA507" s="233"/>
      <c r="AB507" s="233"/>
    </row>
    <row r="508" spans="1:28" s="215" customFormat="1">
      <c r="A508" s="608"/>
      <c r="B508" s="608"/>
      <c r="C508" s="608"/>
      <c r="D508" s="608"/>
      <c r="G508" s="216"/>
      <c r="H508" s="231"/>
      <c r="I508" s="236"/>
      <c r="J508" s="233"/>
      <c r="K508" s="233"/>
      <c r="L508" s="233"/>
      <c r="M508" s="233"/>
      <c r="P508" s="233"/>
      <c r="Q508" s="233"/>
      <c r="R508" s="233"/>
      <c r="S508" s="233"/>
      <c r="V508" s="233"/>
      <c r="W508" s="233"/>
      <c r="X508" s="233"/>
      <c r="Y508" s="233"/>
      <c r="Z508" s="233"/>
      <c r="AA508" s="233"/>
      <c r="AB508" s="233"/>
    </row>
    <row r="509" spans="1:28" s="215" customFormat="1">
      <c r="A509" s="608"/>
      <c r="B509" s="608"/>
      <c r="C509" s="608"/>
      <c r="D509" s="608"/>
      <c r="G509" s="216"/>
      <c r="H509" s="231"/>
      <c r="I509" s="236"/>
      <c r="J509" s="233"/>
      <c r="K509" s="233"/>
      <c r="L509" s="233"/>
      <c r="M509" s="233"/>
      <c r="P509" s="233"/>
      <c r="Q509" s="233"/>
      <c r="R509" s="233"/>
      <c r="S509" s="233"/>
      <c r="V509" s="233"/>
      <c r="W509" s="233"/>
      <c r="X509" s="233"/>
      <c r="Y509" s="233"/>
      <c r="Z509" s="233"/>
      <c r="AA509" s="233"/>
      <c r="AB509" s="233"/>
    </row>
    <row r="510" spans="1:28" s="215" customFormat="1">
      <c r="A510" s="608"/>
      <c r="B510" s="608"/>
      <c r="C510" s="608"/>
      <c r="D510" s="608"/>
      <c r="G510" s="216"/>
      <c r="H510" s="231"/>
      <c r="I510" s="236"/>
      <c r="J510" s="233"/>
      <c r="K510" s="233"/>
      <c r="L510" s="233"/>
      <c r="M510" s="233"/>
      <c r="P510" s="233"/>
      <c r="Q510" s="233"/>
      <c r="R510" s="233"/>
      <c r="S510" s="233"/>
      <c r="V510" s="233"/>
      <c r="W510" s="233"/>
      <c r="X510" s="233"/>
      <c r="Y510" s="233"/>
      <c r="Z510" s="233"/>
      <c r="AA510" s="233"/>
      <c r="AB510" s="233"/>
    </row>
    <row r="511" spans="1:28" s="215" customFormat="1">
      <c r="A511" s="608"/>
      <c r="B511" s="608"/>
      <c r="C511" s="608"/>
      <c r="D511" s="608"/>
      <c r="G511" s="216"/>
      <c r="H511" s="231"/>
      <c r="I511" s="236"/>
      <c r="J511" s="233"/>
      <c r="K511" s="233"/>
      <c r="L511" s="233"/>
      <c r="M511" s="233"/>
      <c r="P511" s="233"/>
      <c r="Q511" s="233"/>
      <c r="R511" s="233"/>
      <c r="S511" s="233"/>
      <c r="V511" s="233"/>
      <c r="W511" s="233"/>
      <c r="X511" s="233"/>
      <c r="Y511" s="233"/>
      <c r="Z511" s="233"/>
      <c r="AA511" s="233"/>
      <c r="AB511" s="233"/>
    </row>
    <row r="512" spans="1:28" s="215" customFormat="1">
      <c r="A512" s="608"/>
      <c r="B512" s="608"/>
      <c r="C512" s="608"/>
      <c r="D512" s="608"/>
      <c r="G512" s="216"/>
      <c r="H512" s="231"/>
      <c r="I512" s="236"/>
      <c r="J512" s="233"/>
      <c r="K512" s="233"/>
      <c r="L512" s="233"/>
      <c r="M512" s="233"/>
      <c r="P512" s="233"/>
      <c r="Q512" s="233"/>
      <c r="R512" s="233"/>
      <c r="S512" s="233"/>
      <c r="V512" s="233"/>
      <c r="W512" s="233"/>
      <c r="X512" s="233"/>
      <c r="Y512" s="233"/>
      <c r="Z512" s="233"/>
      <c r="AA512" s="233"/>
      <c r="AB512" s="233"/>
    </row>
    <row r="513" spans="1:28" s="215" customFormat="1">
      <c r="A513" s="608"/>
      <c r="B513" s="608"/>
      <c r="C513" s="608"/>
      <c r="D513" s="608"/>
      <c r="G513" s="216"/>
      <c r="H513" s="231"/>
      <c r="I513" s="236"/>
      <c r="J513" s="233"/>
      <c r="K513" s="233"/>
      <c r="L513" s="233"/>
      <c r="M513" s="233"/>
      <c r="P513" s="233"/>
      <c r="Q513" s="233"/>
      <c r="R513" s="233"/>
      <c r="S513" s="233"/>
      <c r="V513" s="233"/>
      <c r="W513" s="233"/>
      <c r="X513" s="233"/>
      <c r="Y513" s="233"/>
      <c r="Z513" s="233"/>
      <c r="AA513" s="233"/>
      <c r="AB513" s="233"/>
    </row>
    <row r="514" spans="1:28" s="215" customFormat="1">
      <c r="A514" s="608"/>
      <c r="B514" s="608"/>
      <c r="C514" s="608"/>
      <c r="D514" s="608"/>
      <c r="G514" s="216"/>
      <c r="H514" s="231"/>
      <c r="I514" s="236"/>
      <c r="J514" s="233"/>
      <c r="K514" s="233"/>
      <c r="L514" s="233"/>
      <c r="M514" s="233"/>
      <c r="P514" s="233"/>
      <c r="Q514" s="233"/>
      <c r="R514" s="233"/>
      <c r="S514" s="233"/>
      <c r="V514" s="233"/>
      <c r="W514" s="233"/>
      <c r="X514" s="233"/>
      <c r="Y514" s="233"/>
      <c r="Z514" s="233"/>
      <c r="AA514" s="233"/>
      <c r="AB514" s="233"/>
    </row>
    <row r="515" spans="1:28" s="215" customFormat="1">
      <c r="A515" s="608"/>
      <c r="B515" s="608"/>
      <c r="C515" s="608"/>
      <c r="D515" s="608"/>
      <c r="G515" s="216"/>
      <c r="H515" s="231"/>
      <c r="I515" s="236"/>
      <c r="J515" s="233"/>
      <c r="K515" s="233"/>
      <c r="L515" s="233"/>
      <c r="M515" s="233"/>
      <c r="P515" s="233"/>
      <c r="Q515" s="233"/>
      <c r="R515" s="233"/>
      <c r="S515" s="233"/>
      <c r="V515" s="233"/>
      <c r="W515" s="233"/>
      <c r="X515" s="233"/>
      <c r="Y515" s="233"/>
      <c r="Z515" s="233"/>
      <c r="AA515" s="233"/>
      <c r="AB515" s="233"/>
    </row>
    <row r="516" spans="1:28" s="215" customFormat="1">
      <c r="A516" s="608"/>
      <c r="B516" s="608"/>
      <c r="C516" s="608"/>
      <c r="D516" s="608"/>
      <c r="G516" s="216"/>
      <c r="H516" s="231"/>
      <c r="I516" s="236"/>
      <c r="J516" s="233"/>
      <c r="K516" s="233"/>
      <c r="L516" s="233"/>
      <c r="M516" s="233"/>
      <c r="P516" s="233"/>
      <c r="Q516" s="233"/>
      <c r="R516" s="233"/>
      <c r="S516" s="233"/>
      <c r="V516" s="233"/>
      <c r="W516" s="233"/>
      <c r="X516" s="233"/>
      <c r="Y516" s="233"/>
      <c r="Z516" s="233"/>
      <c r="AA516" s="233"/>
      <c r="AB516" s="233"/>
    </row>
    <row r="517" spans="1:28" s="215" customFormat="1">
      <c r="A517" s="608"/>
      <c r="B517" s="608"/>
      <c r="C517" s="608"/>
      <c r="D517" s="608"/>
      <c r="G517" s="216"/>
      <c r="H517" s="231"/>
      <c r="I517" s="236"/>
      <c r="J517" s="233"/>
      <c r="K517" s="233"/>
      <c r="L517" s="233"/>
      <c r="M517" s="233"/>
      <c r="P517" s="233"/>
      <c r="Q517" s="233"/>
      <c r="R517" s="233"/>
      <c r="S517" s="233"/>
      <c r="V517" s="233"/>
      <c r="W517" s="233"/>
      <c r="X517" s="233"/>
      <c r="Y517" s="233"/>
      <c r="Z517" s="233"/>
      <c r="AA517" s="233"/>
      <c r="AB517" s="233"/>
    </row>
    <row r="518" spans="1:28" s="215" customFormat="1">
      <c r="A518" s="608"/>
      <c r="B518" s="608"/>
      <c r="C518" s="608"/>
      <c r="D518" s="608"/>
      <c r="G518" s="216"/>
      <c r="H518" s="231"/>
      <c r="I518" s="236"/>
      <c r="J518" s="233"/>
      <c r="K518" s="233"/>
      <c r="L518" s="233"/>
      <c r="M518" s="233"/>
      <c r="P518" s="233"/>
      <c r="Q518" s="233"/>
      <c r="R518" s="233"/>
      <c r="S518" s="233"/>
      <c r="V518" s="233"/>
      <c r="W518" s="233"/>
      <c r="X518" s="233"/>
      <c r="Y518" s="233"/>
      <c r="Z518" s="233"/>
      <c r="AA518" s="233"/>
      <c r="AB518" s="233"/>
    </row>
    <row r="519" spans="1:28" s="215" customFormat="1">
      <c r="A519" s="608"/>
      <c r="B519" s="608"/>
      <c r="C519" s="608"/>
      <c r="D519" s="608"/>
      <c r="G519" s="216"/>
      <c r="H519" s="231"/>
      <c r="I519" s="236"/>
      <c r="J519" s="233"/>
      <c r="K519" s="233"/>
      <c r="L519" s="233"/>
      <c r="M519" s="233"/>
      <c r="P519" s="233"/>
      <c r="Q519" s="233"/>
      <c r="R519" s="233"/>
      <c r="S519" s="233"/>
      <c r="V519" s="233"/>
      <c r="W519" s="233"/>
      <c r="X519" s="233"/>
      <c r="Y519" s="233"/>
      <c r="Z519" s="233"/>
      <c r="AA519" s="233"/>
      <c r="AB519" s="233"/>
    </row>
    <row r="520" spans="1:28" s="215" customFormat="1">
      <c r="A520" s="608"/>
      <c r="B520" s="608"/>
      <c r="C520" s="608"/>
      <c r="D520" s="608"/>
      <c r="G520" s="216"/>
      <c r="H520" s="231"/>
      <c r="I520" s="236"/>
      <c r="J520" s="233"/>
      <c r="K520" s="233"/>
      <c r="L520" s="233"/>
      <c r="M520" s="233"/>
      <c r="P520" s="233"/>
      <c r="Q520" s="233"/>
      <c r="R520" s="233"/>
      <c r="S520" s="233"/>
      <c r="V520" s="233"/>
      <c r="W520" s="233"/>
      <c r="X520" s="233"/>
      <c r="Y520" s="233"/>
      <c r="Z520" s="233"/>
      <c r="AA520" s="233"/>
      <c r="AB520" s="233"/>
    </row>
    <row r="521" spans="1:28" s="215" customFormat="1">
      <c r="A521" s="608"/>
      <c r="B521" s="608"/>
      <c r="C521" s="608"/>
      <c r="D521" s="608"/>
      <c r="G521" s="216"/>
      <c r="H521" s="231"/>
      <c r="I521" s="236"/>
      <c r="J521" s="233"/>
      <c r="K521" s="233"/>
      <c r="L521" s="233"/>
      <c r="M521" s="233"/>
      <c r="P521" s="233"/>
      <c r="Q521" s="233"/>
      <c r="R521" s="233"/>
      <c r="S521" s="233"/>
      <c r="V521" s="233"/>
      <c r="W521" s="233"/>
      <c r="X521" s="233"/>
      <c r="Y521" s="233"/>
      <c r="Z521" s="233"/>
      <c r="AA521" s="233"/>
      <c r="AB521" s="233"/>
    </row>
    <row r="522" spans="1:28" s="215" customFormat="1">
      <c r="A522" s="608"/>
      <c r="B522" s="608"/>
      <c r="C522" s="608"/>
      <c r="D522" s="608"/>
      <c r="G522" s="216"/>
      <c r="H522" s="231"/>
      <c r="I522" s="236"/>
      <c r="J522" s="233"/>
      <c r="K522" s="233"/>
      <c r="L522" s="233"/>
      <c r="M522" s="233"/>
      <c r="P522" s="233"/>
      <c r="Q522" s="233"/>
      <c r="R522" s="233"/>
      <c r="S522" s="233"/>
      <c r="V522" s="233"/>
      <c r="W522" s="233"/>
      <c r="X522" s="233"/>
      <c r="Y522" s="233"/>
      <c r="Z522" s="233"/>
      <c r="AA522" s="233"/>
      <c r="AB522" s="233"/>
    </row>
    <row r="523" spans="1:28" s="215" customFormat="1">
      <c r="A523" s="608"/>
      <c r="B523" s="608"/>
      <c r="C523" s="608"/>
      <c r="D523" s="608"/>
      <c r="G523" s="216"/>
      <c r="H523" s="231"/>
      <c r="I523" s="236"/>
      <c r="J523" s="233"/>
      <c r="K523" s="233"/>
      <c r="L523" s="233"/>
      <c r="M523" s="233"/>
      <c r="P523" s="233"/>
      <c r="Q523" s="233"/>
      <c r="R523" s="233"/>
      <c r="S523" s="233"/>
      <c r="V523" s="233"/>
      <c r="W523" s="233"/>
      <c r="X523" s="233"/>
      <c r="Y523" s="233"/>
      <c r="Z523" s="233"/>
      <c r="AA523" s="233"/>
      <c r="AB523" s="233"/>
    </row>
    <row r="524" spans="1:28" s="215" customFormat="1">
      <c r="A524" s="608"/>
      <c r="B524" s="608"/>
      <c r="C524" s="608"/>
      <c r="D524" s="608"/>
      <c r="G524" s="216"/>
      <c r="H524" s="231"/>
      <c r="I524" s="236"/>
      <c r="J524" s="233"/>
      <c r="K524" s="233"/>
      <c r="L524" s="233"/>
      <c r="M524" s="233"/>
      <c r="P524" s="233"/>
      <c r="Q524" s="233"/>
      <c r="R524" s="233"/>
      <c r="S524" s="233"/>
      <c r="V524" s="233"/>
      <c r="W524" s="233"/>
      <c r="X524" s="233"/>
      <c r="Y524" s="233"/>
      <c r="Z524" s="233"/>
      <c r="AA524" s="233"/>
      <c r="AB524" s="233"/>
    </row>
    <row r="525" spans="1:28" s="215" customFormat="1">
      <c r="A525" s="608"/>
      <c r="B525" s="608"/>
      <c r="C525" s="608"/>
      <c r="D525" s="608"/>
      <c r="G525" s="216"/>
      <c r="H525" s="231"/>
      <c r="I525" s="236"/>
      <c r="J525" s="233"/>
      <c r="K525" s="233"/>
      <c r="L525" s="233"/>
      <c r="M525" s="233"/>
      <c r="P525" s="233"/>
      <c r="Q525" s="233"/>
      <c r="R525" s="233"/>
      <c r="S525" s="233"/>
      <c r="V525" s="233"/>
      <c r="W525" s="233"/>
      <c r="X525" s="233"/>
      <c r="Y525" s="233"/>
      <c r="Z525" s="233"/>
      <c r="AA525" s="233"/>
      <c r="AB525" s="233"/>
    </row>
    <row r="526" spans="1:28" s="215" customFormat="1">
      <c r="A526" s="608"/>
      <c r="B526" s="608"/>
      <c r="C526" s="608"/>
      <c r="D526" s="608"/>
      <c r="G526" s="216"/>
      <c r="H526" s="231"/>
      <c r="I526" s="236"/>
      <c r="J526" s="233"/>
      <c r="K526" s="233"/>
      <c r="L526" s="233"/>
      <c r="M526" s="233"/>
      <c r="P526" s="233"/>
      <c r="Q526" s="233"/>
      <c r="R526" s="233"/>
      <c r="S526" s="233"/>
      <c r="V526" s="233"/>
      <c r="W526" s="233"/>
      <c r="X526" s="233"/>
      <c r="Y526" s="233"/>
      <c r="Z526" s="233"/>
      <c r="AA526" s="233"/>
      <c r="AB526" s="233"/>
    </row>
    <row r="527" spans="1:28" s="215" customFormat="1">
      <c r="A527" s="608"/>
      <c r="B527" s="608"/>
      <c r="C527" s="608"/>
      <c r="D527" s="608"/>
      <c r="G527" s="216"/>
      <c r="H527" s="231"/>
      <c r="I527" s="236"/>
      <c r="J527" s="233"/>
      <c r="K527" s="233"/>
      <c r="L527" s="233"/>
      <c r="M527" s="233"/>
      <c r="P527" s="233"/>
      <c r="Q527" s="233"/>
      <c r="R527" s="233"/>
      <c r="S527" s="233"/>
      <c r="V527" s="233"/>
      <c r="W527" s="233"/>
      <c r="X527" s="233"/>
      <c r="Y527" s="233"/>
      <c r="Z527" s="233"/>
      <c r="AA527" s="233"/>
      <c r="AB527" s="233"/>
    </row>
    <row r="528" spans="1:28" s="215" customFormat="1">
      <c r="A528" s="608"/>
      <c r="B528" s="608"/>
      <c r="C528" s="608"/>
      <c r="D528" s="608"/>
      <c r="G528" s="216"/>
      <c r="H528" s="231"/>
      <c r="I528" s="236"/>
      <c r="J528" s="233"/>
      <c r="K528" s="233"/>
      <c r="L528" s="233"/>
      <c r="M528" s="233"/>
      <c r="P528" s="233"/>
      <c r="Q528" s="233"/>
      <c r="R528" s="233"/>
      <c r="S528" s="233"/>
      <c r="V528" s="233"/>
      <c r="W528" s="233"/>
      <c r="X528" s="233"/>
      <c r="Y528" s="233"/>
      <c r="Z528" s="233"/>
      <c r="AA528" s="233"/>
      <c r="AB528" s="233"/>
    </row>
    <row r="529" spans="1:28" s="215" customFormat="1">
      <c r="A529" s="608"/>
      <c r="B529" s="608"/>
      <c r="C529" s="608"/>
      <c r="D529" s="608"/>
      <c r="G529" s="216"/>
      <c r="H529" s="231"/>
      <c r="I529" s="236"/>
      <c r="J529" s="233"/>
      <c r="K529" s="233"/>
      <c r="L529" s="233"/>
      <c r="M529" s="233"/>
      <c r="P529" s="233"/>
      <c r="Q529" s="233"/>
      <c r="R529" s="233"/>
      <c r="S529" s="233"/>
      <c r="V529" s="233"/>
      <c r="W529" s="233"/>
      <c r="X529" s="233"/>
      <c r="Y529" s="233"/>
      <c r="Z529" s="233"/>
      <c r="AA529" s="233"/>
      <c r="AB529" s="233"/>
    </row>
    <row r="530" spans="1:28" s="215" customFormat="1">
      <c r="A530" s="608"/>
      <c r="B530" s="608"/>
      <c r="C530" s="608"/>
      <c r="D530" s="608"/>
      <c r="G530" s="216"/>
      <c r="H530" s="231"/>
      <c r="I530" s="236"/>
      <c r="J530" s="233"/>
      <c r="K530" s="233"/>
      <c r="L530" s="233"/>
      <c r="M530" s="233"/>
      <c r="P530" s="233"/>
      <c r="Q530" s="233"/>
      <c r="R530" s="233"/>
      <c r="S530" s="233"/>
      <c r="V530" s="233"/>
      <c r="W530" s="233"/>
      <c r="X530" s="233"/>
      <c r="Y530" s="233"/>
      <c r="Z530" s="233"/>
      <c r="AA530" s="233"/>
      <c r="AB530" s="233"/>
    </row>
    <row r="531" spans="1:28" s="215" customFormat="1">
      <c r="A531" s="608"/>
      <c r="B531" s="608"/>
      <c r="C531" s="608"/>
      <c r="D531" s="608"/>
      <c r="G531" s="216"/>
      <c r="H531" s="231"/>
      <c r="I531" s="236"/>
      <c r="J531" s="233"/>
      <c r="K531" s="233"/>
      <c r="L531" s="233"/>
      <c r="M531" s="233"/>
      <c r="P531" s="233"/>
      <c r="Q531" s="233"/>
      <c r="R531" s="233"/>
      <c r="S531" s="233"/>
      <c r="V531" s="233"/>
      <c r="W531" s="233"/>
      <c r="X531" s="233"/>
      <c r="Y531" s="233"/>
      <c r="Z531" s="233"/>
      <c r="AA531" s="233"/>
      <c r="AB531" s="233"/>
    </row>
    <row r="532" spans="1:28" s="215" customFormat="1">
      <c r="A532" s="608"/>
      <c r="B532" s="608"/>
      <c r="C532" s="608"/>
      <c r="D532" s="608"/>
      <c r="G532" s="216"/>
      <c r="H532" s="231"/>
      <c r="I532" s="236"/>
      <c r="J532" s="233"/>
      <c r="K532" s="233"/>
      <c r="L532" s="233"/>
      <c r="M532" s="233"/>
      <c r="P532" s="233"/>
      <c r="Q532" s="233"/>
      <c r="R532" s="233"/>
      <c r="S532" s="233"/>
      <c r="V532" s="233"/>
      <c r="W532" s="233"/>
      <c r="X532" s="233"/>
      <c r="Y532" s="233"/>
      <c r="Z532" s="233"/>
      <c r="AA532" s="233"/>
      <c r="AB532" s="233"/>
    </row>
    <row r="533" spans="1:28" s="215" customFormat="1">
      <c r="A533" s="608"/>
      <c r="B533" s="608"/>
      <c r="C533" s="608"/>
      <c r="D533" s="608"/>
      <c r="G533" s="216"/>
      <c r="H533" s="231"/>
      <c r="I533" s="236"/>
      <c r="J533" s="233"/>
      <c r="K533" s="233"/>
      <c r="L533" s="233"/>
      <c r="M533" s="233"/>
      <c r="P533" s="233"/>
      <c r="Q533" s="233"/>
      <c r="R533" s="233"/>
      <c r="S533" s="233"/>
      <c r="V533" s="233"/>
      <c r="W533" s="233"/>
      <c r="X533" s="233"/>
      <c r="Y533" s="233"/>
      <c r="Z533" s="233"/>
      <c r="AA533" s="233"/>
      <c r="AB533" s="233"/>
    </row>
    <row r="534" spans="1:28" s="215" customFormat="1">
      <c r="A534" s="608"/>
      <c r="B534" s="608"/>
      <c r="C534" s="608"/>
      <c r="D534" s="608"/>
      <c r="G534" s="216"/>
      <c r="H534" s="231"/>
      <c r="I534" s="236"/>
      <c r="J534" s="233"/>
      <c r="K534" s="233"/>
      <c r="L534" s="233"/>
      <c r="M534" s="233"/>
      <c r="P534" s="233"/>
      <c r="Q534" s="233"/>
      <c r="R534" s="233"/>
      <c r="S534" s="233"/>
      <c r="V534" s="233"/>
      <c r="W534" s="233"/>
      <c r="X534" s="233"/>
      <c r="Y534" s="233"/>
      <c r="Z534" s="233"/>
      <c r="AA534" s="233"/>
      <c r="AB534" s="233"/>
    </row>
    <row r="535" spans="1:28" s="215" customFormat="1">
      <c r="A535" s="608"/>
      <c r="B535" s="608"/>
      <c r="C535" s="608"/>
      <c r="D535" s="608"/>
      <c r="G535" s="216"/>
      <c r="H535" s="231"/>
      <c r="I535" s="236"/>
      <c r="J535" s="233"/>
      <c r="K535" s="233"/>
      <c r="L535" s="233"/>
      <c r="M535" s="233"/>
      <c r="P535" s="233"/>
      <c r="Q535" s="233"/>
      <c r="R535" s="233"/>
      <c r="S535" s="233"/>
      <c r="V535" s="233"/>
      <c r="W535" s="233"/>
      <c r="X535" s="233"/>
      <c r="Y535" s="233"/>
      <c r="Z535" s="233"/>
      <c r="AA535" s="233"/>
      <c r="AB535" s="233"/>
    </row>
    <row r="536" spans="1:28" s="215" customFormat="1">
      <c r="A536" s="608"/>
      <c r="B536" s="608"/>
      <c r="C536" s="608"/>
      <c r="D536" s="608"/>
      <c r="G536" s="216"/>
      <c r="H536" s="231"/>
      <c r="I536" s="236"/>
      <c r="J536" s="233"/>
      <c r="K536" s="233"/>
      <c r="L536" s="233"/>
      <c r="M536" s="233"/>
      <c r="P536" s="233"/>
      <c r="Q536" s="233"/>
      <c r="R536" s="233"/>
      <c r="S536" s="233"/>
      <c r="V536" s="233"/>
      <c r="W536" s="233"/>
      <c r="X536" s="233"/>
      <c r="Y536" s="233"/>
      <c r="Z536" s="233"/>
      <c r="AA536" s="233"/>
      <c r="AB536" s="233"/>
    </row>
    <row r="537" spans="1:28" s="215" customFormat="1">
      <c r="A537" s="608"/>
      <c r="B537" s="608"/>
      <c r="C537" s="608"/>
      <c r="D537" s="608"/>
      <c r="G537" s="216"/>
      <c r="H537" s="231"/>
      <c r="I537" s="236"/>
      <c r="J537" s="233"/>
      <c r="K537" s="233"/>
      <c r="L537" s="233"/>
      <c r="M537" s="233"/>
      <c r="P537" s="233"/>
      <c r="Q537" s="233"/>
      <c r="R537" s="233"/>
      <c r="S537" s="233"/>
      <c r="V537" s="233"/>
      <c r="W537" s="233"/>
      <c r="X537" s="233"/>
      <c r="Y537" s="233"/>
      <c r="Z537" s="233"/>
      <c r="AA537" s="233"/>
      <c r="AB537" s="233"/>
    </row>
    <row r="538" spans="1:28" s="215" customFormat="1">
      <c r="A538" s="608"/>
      <c r="B538" s="608"/>
      <c r="C538" s="608"/>
      <c r="D538" s="608"/>
      <c r="G538" s="216"/>
      <c r="H538" s="231"/>
      <c r="I538" s="236"/>
      <c r="J538" s="233"/>
      <c r="K538" s="233"/>
      <c r="L538" s="233"/>
      <c r="M538" s="233"/>
      <c r="P538" s="233"/>
      <c r="Q538" s="233"/>
      <c r="R538" s="233"/>
      <c r="S538" s="233"/>
      <c r="V538" s="233"/>
      <c r="W538" s="233"/>
      <c r="X538" s="233"/>
      <c r="Y538" s="233"/>
      <c r="Z538" s="233"/>
      <c r="AA538" s="233"/>
      <c r="AB538" s="233"/>
    </row>
    <row r="539" spans="1:28" s="215" customFormat="1">
      <c r="A539" s="608"/>
      <c r="B539" s="608"/>
      <c r="C539" s="608"/>
      <c r="D539" s="608"/>
      <c r="G539" s="216"/>
      <c r="H539" s="231"/>
      <c r="I539" s="236"/>
      <c r="J539" s="233"/>
      <c r="K539" s="233"/>
      <c r="L539" s="233"/>
      <c r="M539" s="233"/>
      <c r="P539" s="233"/>
      <c r="Q539" s="233"/>
      <c r="R539" s="233"/>
      <c r="S539" s="233"/>
      <c r="V539" s="233"/>
      <c r="W539" s="233"/>
      <c r="X539" s="233"/>
      <c r="Y539" s="233"/>
      <c r="Z539" s="233"/>
      <c r="AA539" s="233"/>
      <c r="AB539" s="233"/>
    </row>
    <row r="540" spans="1:28" s="215" customFormat="1">
      <c r="A540" s="608"/>
      <c r="B540" s="608"/>
      <c r="C540" s="608"/>
      <c r="D540" s="608"/>
      <c r="G540" s="216"/>
      <c r="H540" s="231"/>
      <c r="I540" s="236"/>
      <c r="J540" s="233"/>
      <c r="K540" s="233"/>
      <c r="L540" s="233"/>
      <c r="M540" s="233"/>
      <c r="P540" s="233"/>
      <c r="Q540" s="233"/>
      <c r="R540" s="233"/>
      <c r="S540" s="233"/>
      <c r="V540" s="233"/>
      <c r="W540" s="233"/>
      <c r="X540" s="233"/>
      <c r="Y540" s="233"/>
      <c r="Z540" s="233"/>
      <c r="AA540" s="233"/>
      <c r="AB540" s="233"/>
    </row>
    <row r="541" spans="1:28" s="215" customFormat="1">
      <c r="A541" s="608"/>
      <c r="B541" s="608"/>
      <c r="C541" s="608"/>
      <c r="D541" s="608"/>
      <c r="G541" s="216"/>
      <c r="H541" s="231"/>
      <c r="I541" s="236"/>
      <c r="J541" s="233"/>
      <c r="K541" s="233"/>
      <c r="L541" s="233"/>
      <c r="M541" s="233"/>
      <c r="P541" s="233"/>
      <c r="Q541" s="233"/>
      <c r="R541" s="233"/>
      <c r="S541" s="233"/>
      <c r="V541" s="233"/>
      <c r="W541" s="233"/>
      <c r="X541" s="233"/>
      <c r="Y541" s="233"/>
      <c r="Z541" s="233"/>
      <c r="AA541" s="233"/>
      <c r="AB541" s="233"/>
    </row>
    <row r="542" spans="1:28" s="215" customFormat="1">
      <c r="A542" s="608"/>
      <c r="B542" s="608"/>
      <c r="C542" s="608"/>
      <c r="D542" s="608"/>
      <c r="G542" s="216"/>
      <c r="H542" s="231"/>
      <c r="I542" s="236"/>
      <c r="J542" s="233"/>
      <c r="K542" s="233"/>
      <c r="L542" s="233"/>
      <c r="M542" s="233"/>
      <c r="P542" s="233"/>
      <c r="Q542" s="233"/>
      <c r="R542" s="233"/>
      <c r="S542" s="233"/>
      <c r="V542" s="233"/>
      <c r="W542" s="233"/>
      <c r="X542" s="233"/>
      <c r="Y542" s="233"/>
      <c r="Z542" s="233"/>
      <c r="AA542" s="233"/>
      <c r="AB542" s="233"/>
    </row>
    <row r="543" spans="1:28" s="215" customFormat="1">
      <c r="A543" s="608"/>
      <c r="B543" s="608"/>
      <c r="C543" s="608"/>
      <c r="D543" s="608"/>
      <c r="G543" s="216"/>
      <c r="H543" s="231"/>
      <c r="I543" s="236"/>
      <c r="J543" s="233"/>
      <c r="K543" s="233"/>
      <c r="L543" s="233"/>
      <c r="M543" s="233"/>
      <c r="P543" s="233"/>
      <c r="Q543" s="233"/>
      <c r="R543" s="233"/>
      <c r="S543" s="233"/>
      <c r="V543" s="233"/>
      <c r="W543" s="233"/>
      <c r="X543" s="233"/>
      <c r="Y543" s="233"/>
      <c r="Z543" s="233"/>
      <c r="AA543" s="233"/>
      <c r="AB543" s="233"/>
    </row>
    <row r="544" spans="1:28" s="215" customFormat="1">
      <c r="A544" s="608"/>
      <c r="B544" s="608"/>
      <c r="C544" s="608"/>
      <c r="D544" s="608"/>
      <c r="G544" s="216"/>
      <c r="H544" s="231"/>
      <c r="I544" s="236"/>
      <c r="J544" s="233"/>
      <c r="K544" s="233"/>
      <c r="L544" s="233"/>
      <c r="M544" s="233"/>
      <c r="P544" s="233"/>
      <c r="Q544" s="233"/>
      <c r="R544" s="233"/>
      <c r="S544" s="233"/>
      <c r="V544" s="233"/>
      <c r="W544" s="233"/>
      <c r="X544" s="233"/>
      <c r="Y544" s="233"/>
      <c r="Z544" s="233"/>
      <c r="AA544" s="233"/>
      <c r="AB544" s="233"/>
    </row>
    <row r="545" spans="1:28" s="215" customFormat="1">
      <c r="A545" s="608"/>
      <c r="B545" s="608"/>
      <c r="C545" s="608"/>
      <c r="D545" s="608"/>
      <c r="G545" s="216"/>
      <c r="H545" s="231"/>
      <c r="I545" s="236"/>
      <c r="J545" s="233"/>
      <c r="K545" s="233"/>
      <c r="L545" s="233"/>
      <c r="M545" s="233"/>
      <c r="P545" s="233"/>
      <c r="Q545" s="233"/>
      <c r="R545" s="233"/>
      <c r="S545" s="233"/>
      <c r="V545" s="233"/>
      <c r="W545" s="233"/>
      <c r="X545" s="233"/>
      <c r="Y545" s="233"/>
      <c r="Z545" s="233"/>
      <c r="AA545" s="233"/>
      <c r="AB545" s="233"/>
    </row>
    <row r="546" spans="1:28" s="215" customFormat="1">
      <c r="A546" s="608"/>
      <c r="B546" s="608"/>
      <c r="C546" s="608"/>
      <c r="D546" s="608"/>
      <c r="G546" s="216"/>
      <c r="H546" s="231"/>
      <c r="I546" s="236"/>
      <c r="J546" s="233"/>
      <c r="K546" s="233"/>
      <c r="L546" s="233"/>
      <c r="M546" s="233"/>
      <c r="P546" s="233"/>
      <c r="Q546" s="233"/>
      <c r="R546" s="233"/>
      <c r="S546" s="233"/>
      <c r="V546" s="233"/>
      <c r="W546" s="233"/>
      <c r="X546" s="233"/>
      <c r="Y546" s="233"/>
      <c r="Z546" s="233"/>
      <c r="AA546" s="233"/>
      <c r="AB546" s="233"/>
    </row>
    <row r="547" spans="1:28" s="215" customFormat="1">
      <c r="A547" s="608"/>
      <c r="B547" s="608"/>
      <c r="C547" s="608"/>
      <c r="D547" s="608"/>
      <c r="G547" s="216"/>
      <c r="H547" s="231"/>
      <c r="I547" s="236"/>
      <c r="J547" s="233"/>
      <c r="K547" s="233"/>
      <c r="L547" s="233"/>
      <c r="M547" s="233"/>
      <c r="P547" s="233"/>
      <c r="Q547" s="233"/>
      <c r="R547" s="233"/>
      <c r="S547" s="233"/>
      <c r="V547" s="233"/>
      <c r="W547" s="233"/>
      <c r="X547" s="233"/>
      <c r="Y547" s="233"/>
      <c r="Z547" s="233"/>
      <c r="AA547" s="233"/>
      <c r="AB547" s="233"/>
    </row>
    <row r="548" spans="1:28" s="215" customFormat="1">
      <c r="A548" s="608"/>
      <c r="B548" s="608"/>
      <c r="C548" s="608"/>
      <c r="D548" s="608"/>
      <c r="G548" s="216"/>
      <c r="H548" s="231"/>
      <c r="I548" s="236"/>
      <c r="J548" s="233"/>
      <c r="K548" s="233"/>
      <c r="L548" s="233"/>
      <c r="M548" s="233"/>
      <c r="P548" s="233"/>
      <c r="Q548" s="233"/>
      <c r="R548" s="233"/>
      <c r="S548" s="233"/>
      <c r="V548" s="233"/>
      <c r="W548" s="233"/>
      <c r="X548" s="233"/>
      <c r="Y548" s="233"/>
      <c r="Z548" s="233"/>
      <c r="AA548" s="233"/>
      <c r="AB548" s="233"/>
    </row>
    <row r="549" spans="1:28" s="215" customFormat="1">
      <c r="A549" s="608"/>
      <c r="B549" s="608"/>
      <c r="C549" s="608"/>
      <c r="D549" s="608"/>
      <c r="G549" s="216"/>
      <c r="H549" s="231"/>
      <c r="I549" s="236"/>
      <c r="J549" s="233"/>
      <c r="K549" s="233"/>
      <c r="L549" s="233"/>
      <c r="M549" s="233"/>
      <c r="P549" s="233"/>
      <c r="Q549" s="233"/>
      <c r="R549" s="233"/>
      <c r="S549" s="233"/>
      <c r="V549" s="233"/>
      <c r="W549" s="233"/>
      <c r="X549" s="233"/>
      <c r="Y549" s="233"/>
      <c r="Z549" s="233"/>
      <c r="AA549" s="233"/>
      <c r="AB549" s="233"/>
    </row>
    <row r="550" spans="1:28" s="215" customFormat="1">
      <c r="A550" s="608"/>
      <c r="B550" s="608"/>
      <c r="C550" s="608"/>
      <c r="D550" s="608"/>
      <c r="G550" s="216"/>
      <c r="H550" s="231"/>
      <c r="I550" s="236"/>
      <c r="J550" s="233"/>
      <c r="K550" s="233"/>
      <c r="L550" s="233"/>
      <c r="M550" s="233"/>
      <c r="P550" s="233"/>
      <c r="Q550" s="233"/>
      <c r="R550" s="233"/>
      <c r="S550" s="233"/>
      <c r="V550" s="233"/>
      <c r="W550" s="233"/>
      <c r="X550" s="233"/>
      <c r="Y550" s="233"/>
      <c r="Z550" s="233"/>
      <c r="AA550" s="233"/>
      <c r="AB550" s="233"/>
    </row>
    <row r="551" spans="1:28" s="215" customFormat="1">
      <c r="A551" s="608"/>
      <c r="B551" s="608"/>
      <c r="C551" s="608"/>
      <c r="D551" s="608"/>
      <c r="G551" s="216"/>
      <c r="H551" s="231"/>
      <c r="I551" s="236"/>
      <c r="J551" s="233"/>
      <c r="K551" s="233"/>
      <c r="L551" s="233"/>
      <c r="M551" s="233"/>
      <c r="P551" s="233"/>
      <c r="Q551" s="233"/>
      <c r="R551" s="233"/>
      <c r="S551" s="233"/>
      <c r="V551" s="233"/>
      <c r="W551" s="233"/>
      <c r="X551" s="233"/>
      <c r="Y551" s="233"/>
      <c r="Z551" s="233"/>
      <c r="AA551" s="233"/>
      <c r="AB551" s="233"/>
    </row>
    <row r="552" spans="1:28" s="215" customFormat="1">
      <c r="A552" s="608"/>
      <c r="B552" s="608"/>
      <c r="C552" s="608"/>
      <c r="D552" s="608"/>
      <c r="G552" s="216"/>
      <c r="H552" s="231"/>
      <c r="I552" s="236"/>
      <c r="J552" s="233"/>
      <c r="K552" s="233"/>
      <c r="L552" s="233"/>
      <c r="M552" s="233"/>
      <c r="P552" s="233"/>
      <c r="Q552" s="233"/>
      <c r="R552" s="233"/>
      <c r="S552" s="233"/>
      <c r="V552" s="233"/>
      <c r="W552" s="233"/>
      <c r="X552" s="233"/>
      <c r="Y552" s="233"/>
      <c r="Z552" s="233"/>
      <c r="AA552" s="233"/>
      <c r="AB552" s="233"/>
    </row>
    <row r="553" spans="1:28" s="215" customFormat="1">
      <c r="A553" s="608"/>
      <c r="B553" s="608"/>
      <c r="C553" s="608"/>
      <c r="D553" s="608"/>
      <c r="G553" s="216"/>
      <c r="H553" s="231"/>
      <c r="I553" s="236"/>
      <c r="J553" s="233"/>
      <c r="K553" s="233"/>
      <c r="L553" s="233"/>
      <c r="M553" s="233"/>
      <c r="P553" s="233"/>
      <c r="Q553" s="233"/>
      <c r="R553" s="233"/>
      <c r="S553" s="233"/>
      <c r="V553" s="233"/>
      <c r="W553" s="233"/>
      <c r="X553" s="233"/>
      <c r="Y553" s="233"/>
      <c r="Z553" s="233"/>
      <c r="AA553" s="233"/>
      <c r="AB553" s="233"/>
    </row>
    <row r="554" spans="1:28" s="215" customFormat="1">
      <c r="A554" s="608"/>
      <c r="B554" s="608"/>
      <c r="C554" s="608"/>
      <c r="D554" s="608"/>
      <c r="G554" s="216"/>
      <c r="H554" s="231"/>
      <c r="I554" s="236"/>
      <c r="J554" s="233"/>
      <c r="K554" s="233"/>
      <c r="L554" s="233"/>
      <c r="M554" s="233"/>
      <c r="P554" s="233"/>
      <c r="Q554" s="233"/>
      <c r="R554" s="233"/>
      <c r="S554" s="233"/>
      <c r="V554" s="233"/>
      <c r="W554" s="233"/>
      <c r="X554" s="233"/>
      <c r="Y554" s="233"/>
      <c r="Z554" s="233"/>
      <c r="AA554" s="233"/>
      <c r="AB554" s="233"/>
    </row>
    <row r="555" spans="1:28" s="215" customFormat="1">
      <c r="A555" s="608"/>
      <c r="B555" s="608"/>
      <c r="C555" s="608"/>
      <c r="D555" s="608"/>
      <c r="G555" s="216"/>
      <c r="H555" s="231"/>
      <c r="I555" s="236"/>
      <c r="J555" s="233"/>
      <c r="K555" s="233"/>
      <c r="L555" s="233"/>
      <c r="M555" s="233"/>
      <c r="P555" s="233"/>
      <c r="Q555" s="233"/>
      <c r="R555" s="233"/>
      <c r="S555" s="233"/>
      <c r="V555" s="233"/>
      <c r="W555" s="233"/>
      <c r="X555" s="233"/>
      <c r="Y555" s="233"/>
      <c r="Z555" s="233"/>
      <c r="AA555" s="233"/>
      <c r="AB555" s="233"/>
    </row>
    <row r="556" spans="1:28" s="215" customFormat="1">
      <c r="A556" s="608"/>
      <c r="B556" s="608"/>
      <c r="C556" s="608"/>
      <c r="D556" s="608"/>
      <c r="G556" s="216"/>
      <c r="H556" s="231"/>
      <c r="I556" s="236"/>
      <c r="J556" s="233"/>
      <c r="K556" s="233"/>
      <c r="L556" s="233"/>
      <c r="M556" s="233"/>
      <c r="P556" s="233"/>
      <c r="Q556" s="233"/>
      <c r="R556" s="233"/>
      <c r="S556" s="233"/>
      <c r="V556" s="233"/>
      <c r="W556" s="233"/>
      <c r="X556" s="233"/>
      <c r="Y556" s="233"/>
      <c r="Z556" s="233"/>
      <c r="AA556" s="233"/>
      <c r="AB556" s="233"/>
    </row>
    <row r="557" spans="1:28" s="215" customFormat="1">
      <c r="A557" s="608"/>
      <c r="B557" s="608"/>
      <c r="C557" s="608"/>
      <c r="D557" s="608"/>
      <c r="G557" s="216"/>
      <c r="H557" s="231"/>
      <c r="I557" s="236"/>
      <c r="J557" s="233"/>
      <c r="K557" s="233"/>
      <c r="L557" s="233"/>
      <c r="M557" s="233"/>
      <c r="P557" s="233"/>
      <c r="Q557" s="233"/>
      <c r="R557" s="233"/>
      <c r="S557" s="233"/>
      <c r="V557" s="233"/>
      <c r="W557" s="233"/>
      <c r="X557" s="233"/>
      <c r="Y557" s="233"/>
      <c r="Z557" s="233"/>
      <c r="AA557" s="233"/>
      <c r="AB557" s="233"/>
    </row>
    <row r="558" spans="1:28" s="215" customFormat="1">
      <c r="A558" s="608"/>
      <c r="B558" s="608"/>
      <c r="C558" s="608"/>
      <c r="D558" s="608"/>
      <c r="G558" s="216"/>
      <c r="H558" s="231"/>
      <c r="I558" s="236"/>
      <c r="J558" s="233"/>
      <c r="K558" s="233"/>
      <c r="L558" s="233"/>
      <c r="M558" s="233"/>
      <c r="P558" s="233"/>
      <c r="Q558" s="233"/>
      <c r="R558" s="233"/>
      <c r="S558" s="233"/>
      <c r="V558" s="233"/>
      <c r="W558" s="233"/>
      <c r="X558" s="233"/>
      <c r="Y558" s="233"/>
      <c r="Z558" s="233"/>
      <c r="AA558" s="233"/>
      <c r="AB558" s="233"/>
    </row>
    <row r="559" spans="1:28" s="215" customFormat="1">
      <c r="A559" s="608"/>
      <c r="B559" s="608"/>
      <c r="C559" s="608"/>
      <c r="D559" s="608"/>
      <c r="G559" s="216"/>
      <c r="H559" s="231"/>
      <c r="I559" s="236"/>
      <c r="J559" s="233"/>
      <c r="K559" s="233"/>
      <c r="L559" s="233"/>
      <c r="M559" s="233"/>
      <c r="P559" s="233"/>
      <c r="Q559" s="233"/>
      <c r="R559" s="233"/>
      <c r="S559" s="233"/>
      <c r="V559" s="233"/>
      <c r="W559" s="233"/>
      <c r="X559" s="233"/>
      <c r="Y559" s="233"/>
      <c r="Z559" s="233"/>
      <c r="AA559" s="233"/>
      <c r="AB559" s="233"/>
    </row>
    <row r="560" spans="1:28" s="215" customFormat="1">
      <c r="A560" s="608"/>
      <c r="B560" s="608"/>
      <c r="C560" s="608"/>
      <c r="D560" s="608"/>
      <c r="G560" s="216"/>
      <c r="H560" s="231"/>
      <c r="I560" s="236"/>
      <c r="J560" s="233"/>
      <c r="K560" s="233"/>
      <c r="L560" s="233"/>
      <c r="M560" s="233"/>
      <c r="P560" s="233"/>
      <c r="Q560" s="233"/>
      <c r="R560" s="233"/>
      <c r="S560" s="233"/>
      <c r="V560" s="233"/>
      <c r="W560" s="233"/>
      <c r="X560" s="233"/>
      <c r="Y560" s="233"/>
      <c r="Z560" s="233"/>
      <c r="AA560" s="233"/>
      <c r="AB560" s="233"/>
    </row>
    <row r="561" spans="1:28" s="215" customFormat="1">
      <c r="A561" s="608"/>
      <c r="B561" s="608"/>
      <c r="C561" s="608"/>
      <c r="D561" s="608"/>
      <c r="G561" s="216"/>
      <c r="H561" s="231"/>
      <c r="I561" s="236"/>
      <c r="J561" s="233"/>
      <c r="K561" s="233"/>
      <c r="L561" s="233"/>
      <c r="M561" s="233"/>
      <c r="P561" s="233"/>
      <c r="Q561" s="233"/>
      <c r="R561" s="233"/>
      <c r="S561" s="233"/>
      <c r="V561" s="233"/>
      <c r="W561" s="233"/>
      <c r="X561" s="233"/>
      <c r="Y561" s="233"/>
      <c r="Z561" s="233"/>
      <c r="AA561" s="233"/>
      <c r="AB561" s="233"/>
    </row>
    <row r="562" spans="1:28" s="215" customFormat="1">
      <c r="A562" s="608"/>
      <c r="B562" s="608"/>
      <c r="C562" s="608"/>
      <c r="D562" s="608"/>
      <c r="G562" s="216"/>
      <c r="H562" s="231"/>
      <c r="I562" s="236"/>
      <c r="J562" s="233"/>
      <c r="K562" s="233"/>
      <c r="L562" s="233"/>
      <c r="M562" s="233"/>
      <c r="P562" s="233"/>
      <c r="Q562" s="233"/>
      <c r="R562" s="233"/>
      <c r="S562" s="233"/>
      <c r="V562" s="233"/>
      <c r="W562" s="233"/>
      <c r="X562" s="233"/>
      <c r="Y562" s="233"/>
      <c r="Z562" s="233"/>
      <c r="AA562" s="233"/>
      <c r="AB562" s="233"/>
    </row>
    <row r="563" spans="1:28" s="215" customFormat="1">
      <c r="A563" s="608"/>
      <c r="B563" s="608"/>
      <c r="C563" s="608"/>
      <c r="D563" s="608"/>
      <c r="G563" s="216"/>
      <c r="H563" s="231"/>
      <c r="I563" s="236"/>
      <c r="J563" s="233"/>
      <c r="K563" s="233"/>
      <c r="L563" s="233"/>
      <c r="M563" s="233"/>
      <c r="P563" s="233"/>
      <c r="Q563" s="233"/>
      <c r="R563" s="233"/>
      <c r="S563" s="233"/>
      <c r="V563" s="233"/>
      <c r="W563" s="233"/>
      <c r="X563" s="233"/>
      <c r="Y563" s="233"/>
      <c r="Z563" s="233"/>
      <c r="AA563" s="233"/>
      <c r="AB563" s="233"/>
    </row>
    <row r="564" spans="1:28" s="215" customFormat="1">
      <c r="A564" s="608"/>
      <c r="B564" s="608"/>
      <c r="C564" s="608"/>
      <c r="D564" s="608"/>
      <c r="G564" s="216"/>
      <c r="H564" s="231"/>
      <c r="I564" s="236"/>
      <c r="J564" s="233"/>
      <c r="K564" s="233"/>
      <c r="L564" s="233"/>
      <c r="M564" s="233"/>
      <c r="P564" s="233"/>
      <c r="Q564" s="233"/>
      <c r="R564" s="233"/>
      <c r="S564" s="233"/>
      <c r="V564" s="233"/>
      <c r="W564" s="233"/>
      <c r="X564" s="233"/>
      <c r="Y564" s="233"/>
      <c r="Z564" s="233"/>
      <c r="AA564" s="233"/>
      <c r="AB564" s="233"/>
    </row>
    <row r="565" spans="1:28" s="215" customFormat="1">
      <c r="A565" s="608"/>
      <c r="B565" s="608"/>
      <c r="C565" s="608"/>
      <c r="D565" s="608"/>
      <c r="G565" s="216"/>
      <c r="H565" s="231"/>
      <c r="I565" s="236"/>
      <c r="J565" s="233"/>
      <c r="K565" s="233"/>
      <c r="L565" s="233"/>
      <c r="M565" s="233"/>
      <c r="P565" s="233"/>
      <c r="Q565" s="233"/>
      <c r="R565" s="233"/>
      <c r="S565" s="233"/>
      <c r="V565" s="233"/>
      <c r="W565" s="233"/>
      <c r="X565" s="233"/>
      <c r="Y565" s="233"/>
      <c r="Z565" s="233"/>
      <c r="AA565" s="233"/>
      <c r="AB565" s="233"/>
    </row>
    <row r="566" spans="1:28" s="215" customFormat="1">
      <c r="A566" s="608"/>
      <c r="B566" s="608"/>
      <c r="C566" s="608"/>
      <c r="D566" s="608"/>
      <c r="G566" s="216"/>
      <c r="H566" s="231"/>
      <c r="I566" s="236"/>
      <c r="J566" s="233"/>
      <c r="K566" s="233"/>
      <c r="L566" s="233"/>
      <c r="M566" s="233"/>
      <c r="P566" s="233"/>
      <c r="Q566" s="233"/>
      <c r="R566" s="233"/>
      <c r="S566" s="233"/>
      <c r="V566" s="233"/>
      <c r="W566" s="233"/>
      <c r="X566" s="233"/>
      <c r="Y566" s="233"/>
      <c r="Z566" s="233"/>
      <c r="AA566" s="233"/>
      <c r="AB566" s="233"/>
    </row>
    <row r="567" spans="1:28" s="215" customFormat="1">
      <c r="A567" s="608"/>
      <c r="B567" s="608"/>
      <c r="C567" s="608"/>
      <c r="D567" s="608"/>
      <c r="G567" s="216"/>
      <c r="H567" s="231"/>
      <c r="I567" s="236"/>
      <c r="J567" s="233"/>
      <c r="K567" s="233"/>
      <c r="L567" s="233"/>
      <c r="M567" s="233"/>
      <c r="P567" s="233"/>
      <c r="Q567" s="233"/>
      <c r="R567" s="233"/>
      <c r="S567" s="233"/>
      <c r="V567" s="233"/>
      <c r="W567" s="233"/>
      <c r="X567" s="233"/>
      <c r="Y567" s="233"/>
      <c r="Z567" s="233"/>
      <c r="AA567" s="233"/>
      <c r="AB567" s="233"/>
    </row>
    <row r="568" spans="1:28" s="215" customFormat="1">
      <c r="A568" s="608"/>
      <c r="B568" s="608"/>
      <c r="C568" s="608"/>
      <c r="D568" s="608"/>
      <c r="G568" s="216"/>
      <c r="H568" s="231"/>
      <c r="I568" s="236"/>
      <c r="J568" s="233"/>
      <c r="K568" s="233"/>
      <c r="L568" s="233"/>
      <c r="M568" s="233"/>
      <c r="P568" s="233"/>
      <c r="Q568" s="233"/>
      <c r="R568" s="233"/>
      <c r="S568" s="233"/>
      <c r="V568" s="233"/>
      <c r="W568" s="233"/>
      <c r="X568" s="233"/>
      <c r="Y568" s="233"/>
      <c r="Z568" s="233"/>
      <c r="AA568" s="233"/>
      <c r="AB568" s="233"/>
    </row>
    <row r="569" spans="1:28" s="215" customFormat="1">
      <c r="A569" s="608"/>
      <c r="B569" s="608"/>
      <c r="C569" s="608"/>
      <c r="D569" s="608"/>
      <c r="G569" s="216"/>
      <c r="H569" s="231"/>
      <c r="I569" s="236"/>
      <c r="J569" s="233"/>
      <c r="K569" s="233"/>
      <c r="L569" s="233"/>
      <c r="M569" s="233"/>
      <c r="P569" s="233"/>
      <c r="Q569" s="233"/>
      <c r="R569" s="233"/>
      <c r="S569" s="233"/>
      <c r="V569" s="233"/>
      <c r="W569" s="233"/>
      <c r="X569" s="233"/>
      <c r="Y569" s="233"/>
      <c r="Z569" s="233"/>
      <c r="AA569" s="233"/>
      <c r="AB569" s="233"/>
    </row>
    <row r="570" spans="1:28" s="215" customFormat="1">
      <c r="A570" s="608"/>
      <c r="B570" s="608"/>
      <c r="C570" s="608"/>
      <c r="D570" s="608"/>
      <c r="G570" s="216"/>
      <c r="H570" s="231"/>
      <c r="I570" s="236"/>
      <c r="J570" s="233"/>
      <c r="K570" s="233"/>
      <c r="L570" s="233"/>
      <c r="M570" s="233"/>
      <c r="P570" s="233"/>
      <c r="Q570" s="233"/>
      <c r="R570" s="233"/>
      <c r="S570" s="233"/>
      <c r="V570" s="233"/>
      <c r="W570" s="233"/>
      <c r="X570" s="233"/>
      <c r="Y570" s="233"/>
      <c r="Z570" s="233"/>
      <c r="AA570" s="233"/>
      <c r="AB570" s="233"/>
    </row>
    <row r="571" spans="1:28" s="215" customFormat="1">
      <c r="A571" s="608"/>
      <c r="B571" s="608"/>
      <c r="C571" s="608"/>
      <c r="D571" s="608"/>
      <c r="G571" s="216"/>
      <c r="H571" s="231"/>
      <c r="I571" s="236"/>
      <c r="J571" s="233"/>
      <c r="K571" s="233"/>
      <c r="L571" s="233"/>
      <c r="M571" s="233"/>
      <c r="P571" s="233"/>
      <c r="Q571" s="233"/>
      <c r="R571" s="233"/>
      <c r="S571" s="233"/>
      <c r="V571" s="233"/>
      <c r="W571" s="233"/>
      <c r="X571" s="233"/>
      <c r="Y571" s="233"/>
      <c r="Z571" s="233"/>
      <c r="AA571" s="233"/>
      <c r="AB571" s="233"/>
    </row>
    <row r="572" spans="1:28" s="215" customFormat="1">
      <c r="A572" s="608"/>
      <c r="B572" s="608"/>
      <c r="C572" s="608"/>
      <c r="D572" s="608"/>
      <c r="G572" s="216"/>
      <c r="H572" s="231"/>
      <c r="I572" s="236"/>
      <c r="J572" s="233"/>
      <c r="K572" s="233"/>
      <c r="L572" s="233"/>
      <c r="M572" s="233"/>
      <c r="P572" s="233"/>
      <c r="Q572" s="233"/>
      <c r="R572" s="233"/>
      <c r="S572" s="233"/>
      <c r="V572" s="233"/>
      <c r="W572" s="233"/>
      <c r="X572" s="233"/>
      <c r="Y572" s="233"/>
      <c r="Z572" s="233"/>
      <c r="AA572" s="233"/>
      <c r="AB572" s="233"/>
    </row>
    <row r="573" spans="1:28" s="215" customFormat="1">
      <c r="A573" s="608"/>
      <c r="B573" s="608"/>
      <c r="C573" s="608"/>
      <c r="D573" s="608"/>
      <c r="G573" s="216"/>
      <c r="H573" s="231"/>
      <c r="I573" s="236"/>
      <c r="J573" s="233"/>
      <c r="K573" s="233"/>
      <c r="L573" s="233"/>
      <c r="M573" s="233"/>
      <c r="P573" s="233"/>
      <c r="Q573" s="233"/>
      <c r="R573" s="233"/>
      <c r="S573" s="233"/>
      <c r="V573" s="233"/>
      <c r="W573" s="233"/>
      <c r="X573" s="233"/>
      <c r="Y573" s="233"/>
      <c r="Z573" s="233"/>
      <c r="AA573" s="233"/>
      <c r="AB573" s="233"/>
    </row>
    <row r="574" spans="1:28" s="215" customFormat="1">
      <c r="A574" s="608"/>
      <c r="B574" s="608"/>
      <c r="C574" s="608"/>
      <c r="D574" s="608"/>
      <c r="G574" s="216"/>
      <c r="H574" s="231"/>
      <c r="I574" s="236"/>
      <c r="J574" s="233"/>
      <c r="K574" s="233"/>
      <c r="L574" s="233"/>
      <c r="M574" s="233"/>
      <c r="P574" s="233"/>
      <c r="Q574" s="233"/>
      <c r="R574" s="233"/>
      <c r="S574" s="233"/>
      <c r="V574" s="233"/>
      <c r="W574" s="233"/>
      <c r="X574" s="233"/>
      <c r="Y574" s="233"/>
      <c r="Z574" s="233"/>
      <c r="AA574" s="233"/>
      <c r="AB574" s="233"/>
    </row>
    <row r="575" spans="1:28" s="215" customFormat="1">
      <c r="A575" s="608"/>
      <c r="B575" s="608"/>
      <c r="C575" s="608"/>
      <c r="D575" s="608"/>
      <c r="G575" s="216"/>
      <c r="H575" s="231"/>
      <c r="I575" s="236"/>
      <c r="J575" s="233"/>
      <c r="K575" s="233"/>
      <c r="L575" s="233"/>
      <c r="M575" s="233"/>
      <c r="P575" s="233"/>
      <c r="Q575" s="233"/>
      <c r="R575" s="233"/>
      <c r="S575" s="233"/>
      <c r="V575" s="233"/>
      <c r="W575" s="233"/>
      <c r="X575" s="233"/>
      <c r="Y575" s="233"/>
      <c r="Z575" s="233"/>
      <c r="AA575" s="233"/>
      <c r="AB575" s="233"/>
    </row>
    <row r="576" spans="1:28" s="215" customFormat="1">
      <c r="A576" s="608"/>
      <c r="B576" s="608"/>
      <c r="C576" s="608"/>
      <c r="D576" s="608"/>
      <c r="G576" s="216"/>
      <c r="H576" s="231"/>
      <c r="I576" s="236"/>
      <c r="J576" s="233"/>
      <c r="K576" s="233"/>
      <c r="L576" s="233"/>
      <c r="M576" s="233"/>
      <c r="P576" s="233"/>
      <c r="Q576" s="233"/>
      <c r="R576" s="233"/>
      <c r="S576" s="233"/>
      <c r="V576" s="233"/>
      <c r="W576" s="233"/>
      <c r="X576" s="233"/>
      <c r="Y576" s="233"/>
      <c r="Z576" s="233"/>
      <c r="AA576" s="233"/>
      <c r="AB576" s="233"/>
    </row>
    <row r="577" spans="1:28" s="215" customFormat="1">
      <c r="A577" s="608"/>
      <c r="B577" s="608"/>
      <c r="C577" s="608"/>
      <c r="D577" s="608"/>
      <c r="G577" s="216"/>
      <c r="H577" s="231"/>
      <c r="I577" s="236"/>
      <c r="J577" s="233"/>
      <c r="K577" s="233"/>
      <c r="L577" s="233"/>
      <c r="M577" s="233"/>
      <c r="P577" s="233"/>
      <c r="Q577" s="233"/>
      <c r="R577" s="233"/>
      <c r="S577" s="233"/>
      <c r="V577" s="233"/>
      <c r="W577" s="233"/>
      <c r="X577" s="233"/>
      <c r="Y577" s="233"/>
      <c r="Z577" s="233"/>
      <c r="AA577" s="233"/>
      <c r="AB577" s="233"/>
    </row>
    <row r="578" spans="1:28" s="215" customFormat="1">
      <c r="A578" s="608"/>
      <c r="B578" s="608"/>
      <c r="C578" s="608"/>
      <c r="D578" s="608"/>
      <c r="G578" s="216"/>
      <c r="H578" s="231"/>
      <c r="I578" s="236"/>
      <c r="J578" s="233"/>
      <c r="K578" s="233"/>
      <c r="L578" s="233"/>
      <c r="M578" s="233"/>
      <c r="P578" s="233"/>
      <c r="Q578" s="233"/>
      <c r="R578" s="233"/>
      <c r="S578" s="233"/>
      <c r="V578" s="233"/>
      <c r="W578" s="233"/>
      <c r="X578" s="233"/>
      <c r="Y578" s="233"/>
      <c r="Z578" s="233"/>
      <c r="AA578" s="233"/>
      <c r="AB578" s="233"/>
    </row>
    <row r="579" spans="1:28" s="215" customFormat="1">
      <c r="A579" s="608"/>
      <c r="B579" s="608"/>
      <c r="C579" s="608"/>
      <c r="D579" s="608"/>
      <c r="G579" s="216"/>
      <c r="H579" s="231"/>
      <c r="I579" s="236"/>
      <c r="J579" s="233"/>
      <c r="K579" s="233"/>
      <c r="L579" s="233"/>
      <c r="M579" s="233"/>
      <c r="P579" s="233"/>
      <c r="Q579" s="233"/>
      <c r="R579" s="233"/>
      <c r="S579" s="233"/>
      <c r="V579" s="233"/>
      <c r="W579" s="233"/>
      <c r="X579" s="233"/>
      <c r="Y579" s="233"/>
      <c r="Z579" s="233"/>
      <c r="AA579" s="233"/>
      <c r="AB579" s="233"/>
    </row>
    <row r="580" spans="1:28" s="215" customFormat="1">
      <c r="A580" s="608"/>
      <c r="B580" s="608"/>
      <c r="C580" s="608"/>
      <c r="D580" s="608"/>
      <c r="G580" s="216"/>
      <c r="H580" s="231"/>
      <c r="I580" s="236"/>
      <c r="J580" s="233"/>
      <c r="K580" s="233"/>
      <c r="L580" s="233"/>
      <c r="M580" s="233"/>
      <c r="P580" s="233"/>
      <c r="Q580" s="233"/>
      <c r="R580" s="233"/>
      <c r="S580" s="233"/>
      <c r="V580" s="233"/>
      <c r="W580" s="233"/>
      <c r="X580" s="233"/>
      <c r="Y580" s="233"/>
      <c r="Z580" s="233"/>
      <c r="AA580" s="233"/>
      <c r="AB580" s="233"/>
    </row>
    <row r="581" spans="1:28" s="215" customFormat="1">
      <c r="A581" s="608"/>
      <c r="B581" s="608"/>
      <c r="C581" s="608"/>
      <c r="D581" s="608"/>
      <c r="G581" s="216"/>
      <c r="H581" s="231"/>
      <c r="I581" s="236"/>
      <c r="J581" s="233"/>
      <c r="K581" s="233"/>
      <c r="L581" s="233"/>
      <c r="M581" s="233"/>
      <c r="P581" s="233"/>
      <c r="Q581" s="233"/>
      <c r="R581" s="233"/>
      <c r="S581" s="233"/>
      <c r="V581" s="233"/>
      <c r="W581" s="233"/>
      <c r="X581" s="233"/>
      <c r="Y581" s="233"/>
      <c r="Z581" s="233"/>
      <c r="AA581" s="233"/>
      <c r="AB581" s="233"/>
    </row>
    <row r="582" spans="1:28" s="215" customFormat="1">
      <c r="A582" s="608"/>
      <c r="B582" s="608"/>
      <c r="C582" s="608"/>
      <c r="D582" s="608"/>
      <c r="G582" s="216"/>
      <c r="H582" s="231"/>
      <c r="I582" s="236"/>
      <c r="J582" s="233"/>
      <c r="K582" s="233"/>
      <c r="L582" s="233"/>
      <c r="M582" s="233"/>
      <c r="P582" s="233"/>
      <c r="Q582" s="233"/>
      <c r="R582" s="233"/>
      <c r="S582" s="233"/>
      <c r="V582" s="233"/>
      <c r="W582" s="233"/>
      <c r="X582" s="233"/>
      <c r="Y582" s="233"/>
      <c r="Z582" s="233"/>
      <c r="AA582" s="233"/>
      <c r="AB582" s="233"/>
    </row>
    <row r="583" spans="1:28" s="215" customFormat="1">
      <c r="A583" s="608"/>
      <c r="B583" s="608"/>
      <c r="C583" s="608"/>
      <c r="D583" s="608"/>
      <c r="G583" s="216"/>
      <c r="H583" s="231"/>
      <c r="I583" s="236"/>
      <c r="J583" s="233"/>
      <c r="K583" s="233"/>
      <c r="L583" s="233"/>
      <c r="M583" s="233"/>
      <c r="P583" s="233"/>
      <c r="Q583" s="233"/>
      <c r="R583" s="233"/>
      <c r="S583" s="233"/>
      <c r="V583" s="233"/>
      <c r="W583" s="233"/>
      <c r="X583" s="233"/>
      <c r="Y583" s="233"/>
      <c r="Z583" s="233"/>
      <c r="AA583" s="233"/>
      <c r="AB583" s="233"/>
    </row>
    <row r="584" spans="1:28" s="215" customFormat="1">
      <c r="A584" s="608"/>
      <c r="B584" s="608"/>
      <c r="C584" s="608"/>
      <c r="D584" s="608"/>
      <c r="G584" s="216"/>
      <c r="H584" s="231"/>
      <c r="I584" s="236"/>
      <c r="J584" s="233"/>
      <c r="K584" s="233"/>
      <c r="L584" s="233"/>
      <c r="M584" s="233"/>
      <c r="P584" s="233"/>
      <c r="Q584" s="233"/>
      <c r="R584" s="233"/>
      <c r="S584" s="233"/>
      <c r="V584" s="233"/>
      <c r="W584" s="233"/>
      <c r="X584" s="233"/>
      <c r="Y584" s="233"/>
      <c r="Z584" s="233"/>
      <c r="AA584" s="233"/>
      <c r="AB584" s="233"/>
    </row>
    <row r="585" spans="1:28" s="215" customFormat="1">
      <c r="A585" s="608"/>
      <c r="B585" s="608"/>
      <c r="C585" s="608"/>
      <c r="D585" s="608"/>
      <c r="G585" s="216"/>
      <c r="H585" s="231"/>
      <c r="I585" s="236"/>
      <c r="J585" s="233"/>
      <c r="K585" s="233"/>
      <c r="L585" s="233"/>
      <c r="M585" s="233"/>
      <c r="P585" s="233"/>
      <c r="Q585" s="233"/>
      <c r="R585" s="233"/>
      <c r="S585" s="233"/>
      <c r="V585" s="233"/>
      <c r="W585" s="233"/>
      <c r="X585" s="233"/>
      <c r="Y585" s="233"/>
      <c r="Z585" s="233"/>
      <c r="AA585" s="233"/>
      <c r="AB585" s="233"/>
    </row>
    <row r="586" spans="1:28" s="215" customFormat="1">
      <c r="A586" s="608"/>
      <c r="B586" s="608"/>
      <c r="C586" s="608"/>
      <c r="D586" s="608"/>
      <c r="G586" s="216"/>
      <c r="H586" s="231"/>
      <c r="I586" s="236"/>
      <c r="J586" s="233"/>
      <c r="K586" s="233"/>
      <c r="L586" s="233"/>
      <c r="M586" s="233"/>
      <c r="P586" s="233"/>
      <c r="Q586" s="233"/>
      <c r="R586" s="233"/>
      <c r="S586" s="233"/>
      <c r="V586" s="233"/>
      <c r="W586" s="233"/>
      <c r="X586" s="233"/>
      <c r="Y586" s="233"/>
      <c r="Z586" s="233"/>
      <c r="AA586" s="233"/>
      <c r="AB586" s="233"/>
    </row>
    <row r="587" spans="1:28" s="215" customFormat="1">
      <c r="A587" s="608"/>
      <c r="B587" s="608"/>
      <c r="C587" s="608"/>
      <c r="D587" s="608"/>
      <c r="G587" s="216"/>
      <c r="H587" s="231"/>
      <c r="I587" s="236"/>
      <c r="J587" s="233"/>
      <c r="K587" s="233"/>
      <c r="L587" s="233"/>
      <c r="M587" s="233"/>
      <c r="P587" s="233"/>
      <c r="Q587" s="233"/>
      <c r="R587" s="233"/>
      <c r="S587" s="233"/>
      <c r="V587" s="233"/>
      <c r="W587" s="233"/>
      <c r="X587" s="233"/>
      <c r="Y587" s="233"/>
      <c r="Z587" s="233"/>
      <c r="AA587" s="233"/>
      <c r="AB587" s="233"/>
    </row>
    <row r="588" spans="1:28" s="215" customFormat="1">
      <c r="A588" s="608"/>
      <c r="B588" s="608"/>
      <c r="C588" s="608"/>
      <c r="D588" s="608"/>
      <c r="G588" s="216"/>
      <c r="H588" s="231"/>
      <c r="I588" s="236"/>
      <c r="J588" s="233"/>
      <c r="K588" s="233"/>
      <c r="L588" s="233"/>
      <c r="M588" s="233"/>
      <c r="P588" s="233"/>
      <c r="Q588" s="233"/>
      <c r="R588" s="233"/>
      <c r="S588" s="233"/>
      <c r="V588" s="233"/>
      <c r="W588" s="233"/>
      <c r="X588" s="233"/>
      <c r="Y588" s="233"/>
      <c r="Z588" s="233"/>
      <c r="AA588" s="233"/>
      <c r="AB588" s="233"/>
    </row>
    <row r="589" spans="1:28" s="215" customFormat="1">
      <c r="A589" s="608"/>
      <c r="B589" s="608"/>
      <c r="C589" s="608"/>
      <c r="D589" s="608"/>
      <c r="G589" s="216"/>
      <c r="H589" s="231"/>
      <c r="I589" s="236"/>
      <c r="J589" s="233"/>
      <c r="K589" s="233"/>
      <c r="L589" s="233"/>
      <c r="M589" s="233"/>
      <c r="P589" s="233"/>
      <c r="Q589" s="233"/>
      <c r="R589" s="233"/>
      <c r="S589" s="233"/>
      <c r="V589" s="233"/>
      <c r="W589" s="233"/>
      <c r="X589" s="233"/>
      <c r="Y589" s="233"/>
      <c r="Z589" s="233"/>
      <c r="AA589" s="233"/>
      <c r="AB589" s="233"/>
    </row>
    <row r="590" spans="1:28" s="215" customFormat="1">
      <c r="A590" s="608"/>
      <c r="B590" s="608"/>
      <c r="C590" s="608"/>
      <c r="D590" s="608"/>
      <c r="G590" s="216"/>
      <c r="H590" s="231"/>
      <c r="I590" s="236"/>
      <c r="J590" s="233"/>
      <c r="K590" s="233"/>
      <c r="L590" s="233"/>
      <c r="M590" s="233"/>
      <c r="P590" s="233"/>
      <c r="Q590" s="233"/>
      <c r="R590" s="233"/>
      <c r="S590" s="233"/>
      <c r="V590" s="233"/>
      <c r="W590" s="233"/>
      <c r="X590" s="233"/>
      <c r="Y590" s="233"/>
      <c r="Z590" s="233"/>
      <c r="AA590" s="233"/>
      <c r="AB590" s="233"/>
    </row>
    <row r="591" spans="1:28" s="215" customFormat="1">
      <c r="A591" s="608"/>
      <c r="B591" s="608"/>
      <c r="C591" s="608"/>
      <c r="D591" s="608"/>
      <c r="G591" s="216"/>
      <c r="H591" s="231"/>
      <c r="I591" s="236"/>
      <c r="J591" s="233"/>
      <c r="K591" s="233"/>
      <c r="L591" s="233"/>
      <c r="M591" s="233"/>
      <c r="P591" s="233"/>
      <c r="Q591" s="233"/>
      <c r="R591" s="233"/>
      <c r="S591" s="233"/>
      <c r="V591" s="233"/>
      <c r="W591" s="233"/>
      <c r="X591" s="233"/>
      <c r="Y591" s="233"/>
      <c r="Z591" s="233"/>
      <c r="AA591" s="233"/>
      <c r="AB591" s="233"/>
    </row>
    <row r="592" spans="1:28" s="215" customFormat="1">
      <c r="A592" s="608"/>
      <c r="B592" s="608"/>
      <c r="C592" s="608"/>
      <c r="D592" s="608"/>
      <c r="G592" s="216"/>
      <c r="H592" s="231"/>
      <c r="I592" s="236"/>
      <c r="J592" s="233"/>
      <c r="K592" s="233"/>
      <c r="L592" s="233"/>
      <c r="M592" s="233"/>
      <c r="P592" s="233"/>
      <c r="Q592" s="233"/>
      <c r="R592" s="233"/>
      <c r="S592" s="233"/>
      <c r="V592" s="233"/>
      <c r="W592" s="233"/>
      <c r="X592" s="233"/>
      <c r="Y592" s="233"/>
      <c r="Z592" s="233"/>
      <c r="AA592" s="233"/>
      <c r="AB592" s="233"/>
    </row>
    <row r="593" spans="1:28" s="215" customFormat="1">
      <c r="A593" s="608"/>
      <c r="B593" s="608"/>
      <c r="C593" s="608"/>
      <c r="D593" s="608"/>
      <c r="G593" s="216"/>
      <c r="H593" s="231"/>
      <c r="I593" s="236"/>
      <c r="J593" s="233"/>
      <c r="K593" s="233"/>
      <c r="L593" s="233"/>
      <c r="M593" s="233"/>
      <c r="P593" s="233"/>
      <c r="Q593" s="233"/>
      <c r="R593" s="233"/>
      <c r="S593" s="233"/>
      <c r="V593" s="233"/>
      <c r="W593" s="233"/>
      <c r="X593" s="233"/>
      <c r="Y593" s="233"/>
      <c r="Z593" s="233"/>
      <c r="AA593" s="233"/>
      <c r="AB593" s="233"/>
    </row>
    <row r="594" spans="1:28" s="215" customFormat="1">
      <c r="A594" s="608"/>
      <c r="B594" s="608"/>
      <c r="C594" s="608"/>
      <c r="D594" s="608"/>
      <c r="G594" s="216"/>
      <c r="H594" s="231"/>
      <c r="I594" s="236"/>
      <c r="J594" s="233"/>
      <c r="K594" s="233"/>
      <c r="L594" s="233"/>
      <c r="M594" s="233"/>
      <c r="P594" s="233"/>
      <c r="Q594" s="233"/>
      <c r="R594" s="233"/>
      <c r="S594" s="233"/>
      <c r="V594" s="233"/>
      <c r="W594" s="233"/>
      <c r="X594" s="233"/>
      <c r="Y594" s="233"/>
      <c r="Z594" s="233"/>
      <c r="AA594" s="233"/>
      <c r="AB594" s="233"/>
    </row>
    <row r="595" spans="1:28" s="215" customFormat="1">
      <c r="A595" s="608"/>
      <c r="B595" s="608"/>
      <c r="C595" s="608"/>
      <c r="D595" s="608"/>
      <c r="G595" s="216"/>
      <c r="H595" s="231"/>
      <c r="I595" s="236"/>
      <c r="J595" s="233"/>
      <c r="K595" s="233"/>
      <c r="L595" s="233"/>
      <c r="M595" s="233"/>
      <c r="P595" s="233"/>
      <c r="Q595" s="233"/>
      <c r="R595" s="233"/>
      <c r="S595" s="233"/>
      <c r="V595" s="233"/>
      <c r="W595" s="233"/>
      <c r="X595" s="233"/>
      <c r="Y595" s="233"/>
      <c r="Z595" s="233"/>
      <c r="AA595" s="233"/>
      <c r="AB595" s="233"/>
    </row>
    <row r="596" spans="1:28" s="215" customFormat="1">
      <c r="A596" s="608"/>
      <c r="B596" s="608"/>
      <c r="C596" s="608"/>
      <c r="D596" s="608"/>
      <c r="G596" s="216"/>
      <c r="H596" s="231"/>
      <c r="I596" s="236"/>
      <c r="J596" s="233"/>
      <c r="K596" s="233"/>
      <c r="L596" s="233"/>
      <c r="M596" s="233"/>
      <c r="P596" s="233"/>
      <c r="Q596" s="233"/>
      <c r="R596" s="233"/>
      <c r="S596" s="233"/>
      <c r="V596" s="233"/>
      <c r="W596" s="233"/>
      <c r="X596" s="233"/>
      <c r="Y596" s="233"/>
      <c r="Z596" s="233"/>
      <c r="AA596" s="233"/>
      <c r="AB596" s="233"/>
    </row>
    <row r="597" spans="1:28" s="215" customFormat="1">
      <c r="A597" s="608"/>
      <c r="B597" s="608"/>
      <c r="C597" s="608"/>
      <c r="D597" s="608"/>
      <c r="G597" s="216"/>
      <c r="H597" s="231"/>
      <c r="I597" s="236"/>
      <c r="J597" s="233"/>
      <c r="K597" s="233"/>
      <c r="L597" s="233"/>
      <c r="M597" s="233"/>
      <c r="P597" s="233"/>
      <c r="Q597" s="233"/>
      <c r="R597" s="233"/>
      <c r="S597" s="233"/>
      <c r="V597" s="233"/>
      <c r="W597" s="233"/>
      <c r="X597" s="233"/>
      <c r="Y597" s="233"/>
      <c r="Z597" s="233"/>
      <c r="AA597" s="233"/>
      <c r="AB597" s="233"/>
    </row>
    <row r="598" spans="1:28" s="215" customFormat="1">
      <c r="A598" s="608"/>
      <c r="B598" s="608"/>
      <c r="C598" s="608"/>
      <c r="D598" s="608"/>
      <c r="G598" s="216"/>
      <c r="H598" s="231"/>
      <c r="I598" s="236"/>
      <c r="J598" s="233"/>
      <c r="K598" s="233"/>
      <c r="L598" s="233"/>
      <c r="M598" s="233"/>
      <c r="P598" s="233"/>
      <c r="Q598" s="233"/>
      <c r="R598" s="233"/>
      <c r="S598" s="233"/>
      <c r="V598" s="233"/>
      <c r="W598" s="233"/>
      <c r="X598" s="233"/>
      <c r="Y598" s="233"/>
      <c r="Z598" s="233"/>
      <c r="AA598" s="233"/>
      <c r="AB598" s="233"/>
    </row>
    <row r="599" spans="1:28" s="215" customFormat="1">
      <c r="A599" s="608"/>
      <c r="B599" s="608"/>
      <c r="C599" s="608"/>
      <c r="D599" s="608"/>
      <c r="G599" s="216"/>
      <c r="H599" s="231"/>
      <c r="I599" s="236"/>
      <c r="J599" s="233"/>
      <c r="K599" s="233"/>
      <c r="L599" s="233"/>
      <c r="M599" s="233"/>
      <c r="P599" s="233"/>
      <c r="Q599" s="233"/>
      <c r="R599" s="233"/>
      <c r="S599" s="233"/>
      <c r="V599" s="233"/>
      <c r="W599" s="233"/>
      <c r="X599" s="233"/>
      <c r="Y599" s="233"/>
      <c r="Z599" s="233"/>
      <c r="AA599" s="233"/>
      <c r="AB599" s="233"/>
    </row>
    <row r="600" spans="1:28" s="215" customFormat="1">
      <c r="A600" s="608"/>
      <c r="B600" s="608"/>
      <c r="C600" s="608"/>
      <c r="D600" s="608"/>
      <c r="G600" s="216"/>
      <c r="H600" s="231"/>
      <c r="I600" s="236"/>
      <c r="J600" s="233"/>
      <c r="K600" s="233"/>
      <c r="L600" s="233"/>
      <c r="M600" s="233"/>
      <c r="P600" s="233"/>
      <c r="Q600" s="233"/>
      <c r="R600" s="233"/>
      <c r="S600" s="233"/>
      <c r="V600" s="233"/>
      <c r="W600" s="233"/>
      <c r="X600" s="233"/>
      <c r="Y600" s="233"/>
      <c r="Z600" s="233"/>
      <c r="AA600" s="233"/>
      <c r="AB600" s="233"/>
    </row>
    <row r="601" spans="1:28" s="215" customFormat="1">
      <c r="A601" s="608"/>
      <c r="B601" s="608"/>
      <c r="C601" s="608"/>
      <c r="D601" s="608"/>
      <c r="G601" s="216"/>
      <c r="H601" s="231"/>
      <c r="I601" s="236"/>
      <c r="J601" s="233"/>
      <c r="K601" s="233"/>
      <c r="L601" s="233"/>
      <c r="M601" s="233"/>
      <c r="P601" s="233"/>
      <c r="Q601" s="233"/>
      <c r="R601" s="233"/>
      <c r="S601" s="233"/>
      <c r="V601" s="233"/>
      <c r="W601" s="233"/>
      <c r="X601" s="233"/>
      <c r="Y601" s="233"/>
      <c r="Z601" s="233"/>
      <c r="AA601" s="233"/>
      <c r="AB601" s="233"/>
    </row>
    <row r="602" spans="1:28" s="215" customFormat="1">
      <c r="A602" s="608"/>
      <c r="B602" s="608"/>
      <c r="C602" s="608"/>
      <c r="D602" s="608"/>
      <c r="G602" s="216"/>
      <c r="H602" s="231"/>
      <c r="I602" s="236"/>
      <c r="J602" s="233"/>
      <c r="K602" s="233"/>
      <c r="L602" s="233"/>
      <c r="M602" s="233"/>
      <c r="P602" s="233"/>
      <c r="Q602" s="233"/>
      <c r="R602" s="233"/>
      <c r="S602" s="233"/>
      <c r="V602" s="233"/>
      <c r="W602" s="233"/>
      <c r="X602" s="233"/>
      <c r="Y602" s="233"/>
      <c r="Z602" s="233"/>
      <c r="AA602" s="233"/>
      <c r="AB602" s="233"/>
    </row>
    <row r="603" spans="1:28" s="215" customFormat="1">
      <c r="A603" s="608"/>
      <c r="B603" s="608"/>
      <c r="C603" s="608"/>
      <c r="D603" s="608"/>
      <c r="G603" s="216"/>
      <c r="H603" s="231"/>
      <c r="I603" s="236"/>
      <c r="J603" s="233"/>
      <c r="K603" s="233"/>
      <c r="L603" s="233"/>
      <c r="M603" s="233"/>
      <c r="P603" s="233"/>
      <c r="Q603" s="233"/>
      <c r="R603" s="233"/>
      <c r="S603" s="233"/>
      <c r="V603" s="233"/>
      <c r="W603" s="233"/>
      <c r="X603" s="233"/>
      <c r="Y603" s="233"/>
      <c r="Z603" s="233"/>
      <c r="AA603" s="233"/>
      <c r="AB603" s="233"/>
    </row>
    <row r="604" spans="1:28" s="215" customFormat="1">
      <c r="A604" s="608"/>
      <c r="B604" s="608"/>
      <c r="C604" s="608"/>
      <c r="D604" s="608"/>
      <c r="G604" s="216"/>
      <c r="H604" s="231"/>
      <c r="I604" s="236"/>
      <c r="J604" s="233"/>
      <c r="K604" s="233"/>
      <c r="L604" s="233"/>
      <c r="M604" s="233"/>
      <c r="P604" s="233"/>
      <c r="Q604" s="233"/>
      <c r="R604" s="233"/>
      <c r="S604" s="233"/>
      <c r="V604" s="233"/>
      <c r="W604" s="233"/>
      <c r="X604" s="233"/>
      <c r="Y604" s="233"/>
      <c r="Z604" s="233"/>
      <c r="AA604" s="233"/>
      <c r="AB604" s="233"/>
    </row>
    <row r="605" spans="1:28" s="215" customFormat="1">
      <c r="A605" s="608"/>
      <c r="B605" s="608"/>
      <c r="C605" s="608"/>
      <c r="D605" s="608"/>
      <c r="G605" s="216"/>
      <c r="H605" s="231"/>
      <c r="I605" s="236"/>
      <c r="J605" s="233"/>
      <c r="K605" s="233"/>
      <c r="L605" s="233"/>
      <c r="M605" s="233"/>
      <c r="P605" s="233"/>
      <c r="Q605" s="233"/>
      <c r="R605" s="233"/>
      <c r="S605" s="233"/>
      <c r="V605" s="233"/>
      <c r="W605" s="233"/>
      <c r="X605" s="233"/>
      <c r="Y605" s="233"/>
      <c r="Z605" s="233"/>
      <c r="AA605" s="233"/>
      <c r="AB605" s="233"/>
    </row>
    <row r="606" spans="1:28" s="215" customFormat="1">
      <c r="A606" s="608"/>
      <c r="B606" s="608"/>
      <c r="C606" s="608"/>
      <c r="D606" s="608"/>
      <c r="G606" s="216"/>
      <c r="H606" s="231"/>
      <c r="I606" s="236"/>
      <c r="J606" s="233"/>
      <c r="K606" s="233"/>
      <c r="L606" s="233"/>
      <c r="M606" s="233"/>
      <c r="P606" s="233"/>
      <c r="Q606" s="233"/>
      <c r="R606" s="233"/>
      <c r="S606" s="233"/>
      <c r="V606" s="233"/>
      <c r="W606" s="233"/>
      <c r="X606" s="233"/>
      <c r="Y606" s="233"/>
      <c r="Z606" s="233"/>
      <c r="AA606" s="233"/>
      <c r="AB606" s="233"/>
    </row>
    <row r="607" spans="1:28" s="215" customFormat="1">
      <c r="A607" s="608"/>
      <c r="B607" s="608"/>
      <c r="C607" s="608"/>
      <c r="D607" s="608"/>
      <c r="G607" s="216"/>
      <c r="H607" s="231"/>
      <c r="I607" s="236"/>
      <c r="J607" s="233"/>
      <c r="K607" s="233"/>
      <c r="L607" s="233"/>
      <c r="M607" s="233"/>
      <c r="P607" s="233"/>
      <c r="Q607" s="233"/>
      <c r="R607" s="233"/>
      <c r="S607" s="233"/>
      <c r="V607" s="233"/>
      <c r="W607" s="233"/>
      <c r="X607" s="233"/>
      <c r="Y607" s="233"/>
      <c r="Z607" s="233"/>
      <c r="AA607" s="233"/>
      <c r="AB607" s="233"/>
    </row>
    <row r="608" spans="1:28" s="215" customFormat="1">
      <c r="A608" s="608"/>
      <c r="B608" s="608"/>
      <c r="C608" s="608"/>
      <c r="D608" s="608"/>
      <c r="G608" s="216"/>
      <c r="H608" s="231"/>
      <c r="I608" s="236"/>
      <c r="J608" s="233"/>
      <c r="K608" s="233"/>
      <c r="L608" s="233"/>
      <c r="M608" s="233"/>
      <c r="P608" s="233"/>
      <c r="Q608" s="233"/>
      <c r="R608" s="233"/>
      <c r="S608" s="233"/>
      <c r="V608" s="233"/>
      <c r="W608" s="233"/>
      <c r="X608" s="233"/>
      <c r="Y608" s="233"/>
      <c r="Z608" s="233"/>
      <c r="AA608" s="233"/>
      <c r="AB608" s="233"/>
    </row>
    <row r="609" spans="1:28" s="215" customFormat="1">
      <c r="A609" s="608"/>
      <c r="B609" s="608"/>
      <c r="C609" s="608"/>
      <c r="D609" s="608"/>
      <c r="G609" s="216"/>
      <c r="H609" s="231"/>
      <c r="I609" s="236"/>
      <c r="J609" s="233"/>
      <c r="K609" s="233"/>
      <c r="L609" s="233"/>
      <c r="M609" s="233"/>
      <c r="P609" s="233"/>
      <c r="Q609" s="233"/>
      <c r="R609" s="233"/>
      <c r="S609" s="233"/>
      <c r="V609" s="233"/>
      <c r="W609" s="233"/>
      <c r="X609" s="233"/>
      <c r="Y609" s="233"/>
      <c r="Z609" s="233"/>
      <c r="AA609" s="233"/>
      <c r="AB609" s="233"/>
    </row>
    <row r="610" spans="1:28" s="215" customFormat="1">
      <c r="A610" s="608"/>
      <c r="B610" s="608"/>
      <c r="C610" s="608"/>
      <c r="D610" s="608"/>
      <c r="G610" s="216"/>
      <c r="H610" s="231"/>
      <c r="I610" s="236"/>
      <c r="J610" s="233"/>
      <c r="K610" s="233"/>
      <c r="L610" s="233"/>
      <c r="M610" s="233"/>
      <c r="P610" s="233"/>
      <c r="Q610" s="233"/>
      <c r="R610" s="233"/>
      <c r="S610" s="233"/>
      <c r="V610" s="233"/>
      <c r="W610" s="233"/>
      <c r="X610" s="233"/>
      <c r="Y610" s="233"/>
      <c r="Z610" s="233"/>
      <c r="AA610" s="233"/>
      <c r="AB610" s="233"/>
    </row>
    <row r="611" spans="1:28" s="215" customFormat="1">
      <c r="A611" s="608"/>
      <c r="B611" s="608"/>
      <c r="C611" s="608"/>
      <c r="D611" s="608"/>
      <c r="G611" s="216"/>
      <c r="H611" s="231"/>
      <c r="I611" s="236"/>
      <c r="J611" s="233"/>
      <c r="K611" s="233"/>
      <c r="L611" s="233"/>
      <c r="M611" s="233"/>
      <c r="P611" s="233"/>
      <c r="Q611" s="233"/>
      <c r="R611" s="233"/>
      <c r="S611" s="233"/>
      <c r="V611" s="233"/>
      <c r="W611" s="233"/>
      <c r="X611" s="233"/>
      <c r="Y611" s="233"/>
      <c r="Z611" s="233"/>
      <c r="AA611" s="233"/>
      <c r="AB611" s="233"/>
    </row>
    <row r="612" spans="1:28" s="215" customFormat="1">
      <c r="A612" s="608"/>
      <c r="B612" s="608"/>
      <c r="C612" s="608"/>
      <c r="D612" s="608"/>
      <c r="G612" s="216"/>
      <c r="H612" s="231"/>
      <c r="I612" s="236"/>
      <c r="J612" s="233"/>
      <c r="K612" s="233"/>
      <c r="L612" s="233"/>
      <c r="M612" s="233"/>
      <c r="P612" s="233"/>
      <c r="Q612" s="233"/>
      <c r="R612" s="233"/>
      <c r="S612" s="233"/>
      <c r="V612" s="233"/>
      <c r="W612" s="233"/>
      <c r="X612" s="233"/>
      <c r="Y612" s="233"/>
      <c r="Z612" s="233"/>
      <c r="AA612" s="233"/>
      <c r="AB612" s="233"/>
    </row>
    <row r="613" spans="1:28" s="215" customFormat="1">
      <c r="A613" s="608"/>
      <c r="B613" s="608"/>
      <c r="C613" s="608"/>
      <c r="D613" s="608"/>
      <c r="G613" s="216"/>
      <c r="H613" s="231"/>
      <c r="I613" s="236"/>
      <c r="J613" s="233"/>
      <c r="K613" s="233"/>
      <c r="L613" s="233"/>
      <c r="M613" s="233"/>
      <c r="P613" s="233"/>
      <c r="Q613" s="233"/>
      <c r="R613" s="233"/>
      <c r="S613" s="233"/>
      <c r="V613" s="233"/>
      <c r="W613" s="233"/>
      <c r="X613" s="233"/>
      <c r="Y613" s="233"/>
      <c r="Z613" s="233"/>
      <c r="AA613" s="233"/>
      <c r="AB613" s="233"/>
    </row>
    <row r="614" spans="1:28" s="215" customFormat="1">
      <c r="A614" s="608"/>
      <c r="B614" s="608"/>
      <c r="C614" s="608"/>
      <c r="D614" s="608"/>
      <c r="G614" s="216"/>
      <c r="H614" s="231"/>
      <c r="I614" s="236"/>
      <c r="J614" s="233"/>
      <c r="K614" s="233"/>
      <c r="L614" s="233"/>
      <c r="M614" s="233"/>
      <c r="P614" s="233"/>
      <c r="Q614" s="233"/>
      <c r="R614" s="233"/>
      <c r="S614" s="233"/>
      <c r="V614" s="233"/>
      <c r="W614" s="233"/>
      <c r="X614" s="233"/>
      <c r="Y614" s="233"/>
      <c r="Z614" s="233"/>
      <c r="AA614" s="233"/>
      <c r="AB614" s="233"/>
    </row>
    <row r="615" spans="1:28" s="215" customFormat="1">
      <c r="A615" s="608"/>
      <c r="B615" s="608"/>
      <c r="C615" s="608"/>
      <c r="D615" s="608"/>
      <c r="G615" s="216"/>
      <c r="H615" s="231"/>
      <c r="I615" s="236"/>
      <c r="J615" s="233"/>
      <c r="K615" s="233"/>
      <c r="L615" s="233"/>
      <c r="M615" s="233"/>
      <c r="P615" s="233"/>
      <c r="Q615" s="233"/>
      <c r="R615" s="233"/>
      <c r="S615" s="233"/>
      <c r="V615" s="233"/>
      <c r="W615" s="233"/>
      <c r="X615" s="233"/>
      <c r="Y615" s="233"/>
      <c r="Z615" s="233"/>
      <c r="AA615" s="233"/>
      <c r="AB615" s="233"/>
    </row>
    <row r="616" spans="1:28" s="215" customFormat="1">
      <c r="A616" s="608"/>
      <c r="B616" s="608"/>
      <c r="C616" s="608"/>
      <c r="D616" s="608"/>
      <c r="G616" s="216"/>
      <c r="H616" s="231"/>
      <c r="I616" s="236"/>
      <c r="J616" s="233"/>
      <c r="K616" s="233"/>
      <c r="L616" s="233"/>
      <c r="M616" s="233"/>
      <c r="P616" s="233"/>
      <c r="Q616" s="233"/>
      <c r="R616" s="233"/>
      <c r="S616" s="233"/>
      <c r="V616" s="233"/>
      <c r="W616" s="233"/>
      <c r="X616" s="233"/>
      <c r="Y616" s="233"/>
      <c r="Z616" s="233"/>
      <c r="AA616" s="233"/>
      <c r="AB616" s="233"/>
    </row>
    <row r="617" spans="1:28" s="215" customFormat="1">
      <c r="A617" s="608"/>
      <c r="B617" s="608"/>
      <c r="C617" s="608"/>
      <c r="D617" s="608"/>
      <c r="G617" s="216"/>
      <c r="H617" s="231"/>
      <c r="I617" s="236"/>
      <c r="J617" s="233"/>
      <c r="K617" s="233"/>
      <c r="L617" s="233"/>
      <c r="M617" s="233"/>
      <c r="P617" s="233"/>
      <c r="Q617" s="233"/>
      <c r="R617" s="233"/>
      <c r="S617" s="233"/>
      <c r="V617" s="233"/>
      <c r="W617" s="233"/>
      <c r="X617" s="233"/>
      <c r="Y617" s="233"/>
      <c r="Z617" s="233"/>
      <c r="AA617" s="233"/>
      <c r="AB617" s="233"/>
    </row>
    <row r="618" spans="1:28" s="215" customFormat="1">
      <c r="A618" s="608"/>
      <c r="B618" s="608"/>
      <c r="C618" s="608"/>
      <c r="D618" s="608"/>
      <c r="G618" s="216"/>
      <c r="H618" s="231"/>
      <c r="I618" s="236"/>
      <c r="J618" s="233"/>
      <c r="K618" s="233"/>
      <c r="L618" s="233"/>
      <c r="M618" s="233"/>
      <c r="P618" s="233"/>
      <c r="Q618" s="233"/>
      <c r="R618" s="233"/>
      <c r="S618" s="233"/>
      <c r="V618" s="233"/>
      <c r="W618" s="233"/>
      <c r="X618" s="233"/>
      <c r="Y618" s="233"/>
      <c r="Z618" s="233"/>
      <c r="AA618" s="233"/>
      <c r="AB618" s="233"/>
    </row>
    <row r="619" spans="1:28" s="215" customFormat="1">
      <c r="A619" s="608"/>
      <c r="B619" s="608"/>
      <c r="C619" s="608"/>
      <c r="D619" s="608"/>
      <c r="G619" s="216"/>
      <c r="H619" s="231"/>
      <c r="I619" s="236"/>
      <c r="J619" s="233"/>
      <c r="K619" s="233"/>
      <c r="L619" s="233"/>
      <c r="M619" s="233"/>
      <c r="P619" s="233"/>
      <c r="Q619" s="233"/>
      <c r="R619" s="233"/>
      <c r="S619" s="233"/>
      <c r="V619" s="233"/>
      <c r="W619" s="233"/>
      <c r="X619" s="233"/>
      <c r="Y619" s="233"/>
      <c r="Z619" s="233"/>
      <c r="AA619" s="233"/>
      <c r="AB619" s="233"/>
    </row>
    <row r="620" spans="1:28" s="215" customFormat="1">
      <c r="A620" s="608"/>
      <c r="B620" s="608"/>
      <c r="C620" s="608"/>
      <c r="D620" s="608"/>
      <c r="G620" s="216"/>
      <c r="H620" s="231"/>
      <c r="I620" s="236"/>
      <c r="J620" s="233"/>
      <c r="K620" s="233"/>
      <c r="L620" s="233"/>
      <c r="M620" s="233"/>
      <c r="P620" s="233"/>
      <c r="Q620" s="233"/>
      <c r="R620" s="233"/>
      <c r="S620" s="233"/>
      <c r="V620" s="233"/>
      <c r="W620" s="233"/>
      <c r="X620" s="233"/>
      <c r="Y620" s="233"/>
      <c r="Z620" s="233"/>
      <c r="AA620" s="233"/>
      <c r="AB620" s="233"/>
    </row>
    <row r="621" spans="1:28" s="215" customFormat="1">
      <c r="A621" s="608"/>
      <c r="B621" s="608"/>
      <c r="C621" s="608"/>
      <c r="D621" s="608"/>
      <c r="G621" s="216"/>
      <c r="H621" s="231"/>
      <c r="I621" s="236"/>
      <c r="J621" s="233"/>
      <c r="K621" s="233"/>
      <c r="L621" s="233"/>
      <c r="M621" s="233"/>
      <c r="P621" s="233"/>
      <c r="Q621" s="233"/>
      <c r="R621" s="233"/>
      <c r="S621" s="233"/>
      <c r="V621" s="233"/>
      <c r="W621" s="233"/>
      <c r="X621" s="233"/>
      <c r="Y621" s="233"/>
      <c r="Z621" s="233"/>
      <c r="AA621" s="233"/>
      <c r="AB621" s="233"/>
    </row>
    <row r="622" spans="1:28" s="215" customFormat="1">
      <c r="A622" s="608"/>
      <c r="B622" s="608"/>
      <c r="C622" s="608"/>
      <c r="D622" s="608"/>
      <c r="G622" s="216"/>
      <c r="H622" s="231"/>
      <c r="I622" s="236"/>
      <c r="J622" s="233"/>
      <c r="K622" s="233"/>
      <c r="L622" s="233"/>
      <c r="M622" s="233"/>
      <c r="P622" s="233"/>
      <c r="Q622" s="233"/>
      <c r="R622" s="233"/>
      <c r="S622" s="233"/>
      <c r="V622" s="233"/>
      <c r="W622" s="233"/>
      <c r="X622" s="233"/>
      <c r="Y622" s="233"/>
      <c r="Z622" s="233"/>
      <c r="AA622" s="233"/>
      <c r="AB622" s="233"/>
    </row>
    <row r="623" spans="1:28" s="215" customFormat="1">
      <c r="A623" s="608"/>
      <c r="B623" s="608"/>
      <c r="C623" s="608"/>
      <c r="D623" s="608"/>
      <c r="G623" s="216"/>
      <c r="H623" s="231"/>
      <c r="I623" s="236"/>
      <c r="J623" s="233"/>
      <c r="K623" s="233"/>
      <c r="L623" s="233"/>
      <c r="M623" s="233"/>
      <c r="P623" s="233"/>
      <c r="Q623" s="233"/>
      <c r="R623" s="233"/>
      <c r="S623" s="233"/>
      <c r="V623" s="233"/>
      <c r="W623" s="233"/>
      <c r="X623" s="233"/>
      <c r="Y623" s="233"/>
      <c r="Z623" s="233"/>
      <c r="AA623" s="233"/>
      <c r="AB623" s="233"/>
    </row>
    <row r="624" spans="1:28" s="215" customFormat="1">
      <c r="A624" s="608"/>
      <c r="B624" s="608"/>
      <c r="C624" s="608"/>
      <c r="D624" s="608"/>
      <c r="G624" s="216"/>
      <c r="H624" s="231"/>
      <c r="I624" s="236"/>
      <c r="J624" s="233"/>
      <c r="K624" s="233"/>
      <c r="L624" s="233"/>
      <c r="M624" s="233"/>
      <c r="P624" s="233"/>
      <c r="Q624" s="233"/>
      <c r="R624" s="233"/>
      <c r="S624" s="233"/>
      <c r="V624" s="233"/>
      <c r="W624" s="233"/>
      <c r="X624" s="233"/>
      <c r="Y624" s="233"/>
      <c r="Z624" s="233"/>
      <c r="AA624" s="233"/>
      <c r="AB624" s="233"/>
    </row>
    <row r="625" spans="1:28" s="215" customFormat="1">
      <c r="A625" s="608"/>
      <c r="B625" s="608"/>
      <c r="C625" s="608"/>
      <c r="D625" s="608"/>
      <c r="G625" s="216"/>
      <c r="H625" s="231"/>
      <c r="I625" s="236"/>
      <c r="J625" s="233"/>
      <c r="K625" s="233"/>
      <c r="L625" s="233"/>
      <c r="M625" s="233"/>
      <c r="P625" s="233"/>
      <c r="Q625" s="233"/>
      <c r="R625" s="233"/>
      <c r="S625" s="233"/>
      <c r="V625" s="233"/>
      <c r="W625" s="233"/>
      <c r="X625" s="233"/>
      <c r="Y625" s="233"/>
      <c r="Z625" s="233"/>
      <c r="AA625" s="233"/>
      <c r="AB625" s="233"/>
    </row>
    <row r="626" spans="1:28" s="215" customFormat="1">
      <c r="A626" s="608"/>
      <c r="B626" s="608"/>
      <c r="C626" s="608"/>
      <c r="D626" s="608"/>
      <c r="G626" s="216"/>
      <c r="H626" s="231"/>
      <c r="I626" s="236"/>
      <c r="J626" s="233"/>
      <c r="K626" s="233"/>
      <c r="L626" s="233"/>
      <c r="M626" s="233"/>
      <c r="P626" s="233"/>
      <c r="Q626" s="233"/>
      <c r="R626" s="233"/>
      <c r="S626" s="233"/>
      <c r="V626" s="233"/>
      <c r="W626" s="233"/>
      <c r="X626" s="233"/>
      <c r="Y626" s="233"/>
      <c r="Z626" s="233"/>
      <c r="AA626" s="233"/>
      <c r="AB626" s="233"/>
    </row>
    <row r="627" spans="1:28" s="215" customFormat="1">
      <c r="A627" s="608"/>
      <c r="B627" s="608"/>
      <c r="C627" s="608"/>
      <c r="D627" s="608"/>
      <c r="G627" s="216"/>
      <c r="H627" s="231"/>
      <c r="I627" s="236"/>
      <c r="J627" s="233"/>
      <c r="K627" s="233"/>
      <c r="L627" s="233"/>
      <c r="M627" s="233"/>
      <c r="P627" s="233"/>
      <c r="Q627" s="233"/>
      <c r="R627" s="233"/>
      <c r="S627" s="233"/>
      <c r="V627" s="233"/>
      <c r="W627" s="233"/>
      <c r="X627" s="233"/>
      <c r="Y627" s="233"/>
      <c r="Z627" s="233"/>
      <c r="AA627" s="233"/>
      <c r="AB627" s="233"/>
    </row>
    <row r="628" spans="1:28" s="215" customFormat="1">
      <c r="A628" s="608"/>
      <c r="B628" s="608"/>
      <c r="C628" s="608"/>
      <c r="D628" s="608"/>
      <c r="G628" s="216"/>
      <c r="H628" s="231"/>
      <c r="I628" s="236"/>
      <c r="J628" s="233"/>
      <c r="K628" s="233"/>
      <c r="L628" s="233"/>
      <c r="M628" s="233"/>
      <c r="P628" s="233"/>
      <c r="Q628" s="233"/>
      <c r="R628" s="233"/>
      <c r="S628" s="233"/>
      <c r="V628" s="233"/>
      <c r="W628" s="233"/>
      <c r="X628" s="233"/>
      <c r="Y628" s="233"/>
      <c r="Z628" s="233"/>
      <c r="AA628" s="233"/>
      <c r="AB628" s="233"/>
    </row>
    <row r="629" spans="1:28" s="215" customFormat="1">
      <c r="A629" s="608"/>
      <c r="B629" s="608"/>
      <c r="C629" s="608"/>
      <c r="D629" s="608"/>
      <c r="G629" s="216"/>
      <c r="H629" s="231"/>
      <c r="I629" s="236"/>
      <c r="J629" s="233"/>
      <c r="K629" s="233"/>
      <c r="L629" s="233"/>
      <c r="M629" s="233"/>
      <c r="P629" s="233"/>
      <c r="Q629" s="233"/>
      <c r="R629" s="233"/>
      <c r="S629" s="233"/>
      <c r="V629" s="233"/>
      <c r="W629" s="233"/>
      <c r="X629" s="233"/>
      <c r="Y629" s="233"/>
      <c r="Z629" s="233"/>
      <c r="AA629" s="233"/>
      <c r="AB629" s="233"/>
    </row>
    <row r="630" spans="1:28" s="215" customFormat="1">
      <c r="A630" s="608"/>
      <c r="B630" s="608"/>
      <c r="C630" s="608"/>
      <c r="D630" s="608"/>
      <c r="G630" s="216"/>
      <c r="H630" s="231"/>
      <c r="I630" s="236"/>
      <c r="J630" s="233"/>
      <c r="K630" s="233"/>
      <c r="L630" s="233"/>
      <c r="M630" s="233"/>
      <c r="P630" s="233"/>
      <c r="Q630" s="233"/>
      <c r="R630" s="233"/>
      <c r="S630" s="233"/>
      <c r="V630" s="233"/>
      <c r="W630" s="233"/>
      <c r="X630" s="233"/>
      <c r="Y630" s="233"/>
      <c r="Z630" s="233"/>
      <c r="AA630" s="233"/>
      <c r="AB630" s="233"/>
    </row>
    <row r="631" spans="1:28" s="215" customFormat="1">
      <c r="A631" s="608"/>
      <c r="B631" s="608"/>
      <c r="C631" s="608"/>
      <c r="D631" s="608"/>
      <c r="G631" s="216"/>
      <c r="H631" s="231"/>
      <c r="I631" s="236"/>
      <c r="J631" s="233"/>
      <c r="K631" s="233"/>
      <c r="L631" s="233"/>
      <c r="M631" s="233"/>
      <c r="P631" s="233"/>
      <c r="Q631" s="233"/>
      <c r="R631" s="233"/>
      <c r="S631" s="233"/>
      <c r="V631" s="233"/>
      <c r="W631" s="233"/>
      <c r="X631" s="233"/>
      <c r="Y631" s="233"/>
      <c r="Z631" s="233"/>
      <c r="AA631" s="233"/>
      <c r="AB631" s="233"/>
    </row>
    <row r="632" spans="1:28" s="215" customFormat="1">
      <c r="A632" s="608"/>
      <c r="B632" s="608"/>
      <c r="C632" s="608"/>
      <c r="D632" s="608"/>
      <c r="G632" s="216"/>
      <c r="H632" s="231"/>
      <c r="I632" s="236"/>
      <c r="J632" s="233"/>
      <c r="K632" s="233"/>
      <c r="L632" s="233"/>
      <c r="M632" s="233"/>
      <c r="P632" s="233"/>
      <c r="Q632" s="233"/>
      <c r="R632" s="233"/>
      <c r="S632" s="233"/>
      <c r="V632" s="233"/>
      <c r="W632" s="233"/>
      <c r="X632" s="233"/>
      <c r="Y632" s="233"/>
      <c r="Z632" s="233"/>
      <c r="AA632" s="233"/>
      <c r="AB632" s="233"/>
    </row>
    <row r="633" spans="1:28" s="215" customFormat="1">
      <c r="A633" s="608"/>
      <c r="B633" s="608"/>
      <c r="C633" s="608"/>
      <c r="D633" s="608"/>
      <c r="G633" s="216"/>
      <c r="H633" s="231"/>
      <c r="I633" s="236"/>
      <c r="J633" s="233"/>
      <c r="K633" s="233"/>
      <c r="L633" s="233"/>
      <c r="M633" s="233"/>
      <c r="P633" s="233"/>
      <c r="Q633" s="233"/>
      <c r="R633" s="233"/>
      <c r="S633" s="233"/>
      <c r="V633" s="233"/>
      <c r="W633" s="233"/>
      <c r="X633" s="233"/>
      <c r="Y633" s="233"/>
      <c r="Z633" s="233"/>
      <c r="AA633" s="233"/>
      <c r="AB633" s="233"/>
    </row>
    <row r="634" spans="1:28" s="215" customFormat="1">
      <c r="A634" s="608"/>
      <c r="B634" s="608"/>
      <c r="C634" s="608"/>
      <c r="D634" s="608"/>
      <c r="G634" s="216"/>
      <c r="H634" s="231"/>
      <c r="I634" s="236"/>
      <c r="J634" s="233"/>
      <c r="K634" s="233"/>
      <c r="L634" s="233"/>
      <c r="M634" s="233"/>
      <c r="P634" s="233"/>
      <c r="Q634" s="233"/>
      <c r="R634" s="233"/>
      <c r="S634" s="233"/>
      <c r="V634" s="233"/>
      <c r="W634" s="233"/>
      <c r="X634" s="233"/>
      <c r="Y634" s="233"/>
      <c r="Z634" s="233"/>
      <c r="AA634" s="233"/>
      <c r="AB634" s="233"/>
    </row>
    <row r="635" spans="1:28" s="215" customFormat="1">
      <c r="A635" s="608"/>
      <c r="B635" s="608"/>
      <c r="C635" s="608"/>
      <c r="D635" s="608"/>
      <c r="G635" s="216"/>
      <c r="H635" s="231"/>
      <c r="I635" s="236"/>
      <c r="J635" s="233"/>
      <c r="K635" s="233"/>
      <c r="L635" s="233"/>
      <c r="M635" s="233"/>
      <c r="P635" s="233"/>
      <c r="Q635" s="233"/>
      <c r="R635" s="233"/>
      <c r="S635" s="233"/>
      <c r="V635" s="233"/>
      <c r="W635" s="233"/>
      <c r="X635" s="233"/>
      <c r="Y635" s="233"/>
      <c r="Z635" s="233"/>
      <c r="AA635" s="233"/>
      <c r="AB635" s="233"/>
    </row>
    <row r="636" spans="1:28" s="215" customFormat="1">
      <c r="A636" s="608"/>
      <c r="B636" s="608"/>
      <c r="C636" s="608"/>
      <c r="D636" s="608"/>
      <c r="G636" s="216"/>
      <c r="H636" s="231"/>
      <c r="I636" s="236"/>
      <c r="J636" s="233"/>
      <c r="K636" s="233"/>
      <c r="L636" s="233"/>
      <c r="M636" s="233"/>
      <c r="P636" s="233"/>
      <c r="Q636" s="233"/>
      <c r="R636" s="233"/>
      <c r="S636" s="233"/>
      <c r="V636" s="233"/>
      <c r="W636" s="233"/>
      <c r="X636" s="233"/>
      <c r="Y636" s="233"/>
      <c r="Z636" s="233"/>
      <c r="AA636" s="233"/>
      <c r="AB636" s="233"/>
    </row>
    <row r="637" spans="1:28" s="215" customFormat="1">
      <c r="A637" s="608"/>
      <c r="B637" s="608"/>
      <c r="C637" s="608"/>
      <c r="D637" s="608"/>
      <c r="G637" s="216"/>
      <c r="H637" s="231"/>
      <c r="I637" s="236"/>
      <c r="J637" s="233"/>
      <c r="K637" s="233"/>
      <c r="L637" s="233"/>
      <c r="M637" s="233"/>
      <c r="P637" s="233"/>
      <c r="Q637" s="233"/>
      <c r="R637" s="233"/>
      <c r="S637" s="233"/>
      <c r="V637" s="233"/>
      <c r="W637" s="233"/>
      <c r="X637" s="233"/>
      <c r="Y637" s="233"/>
      <c r="Z637" s="233"/>
      <c r="AA637" s="233"/>
      <c r="AB637" s="233"/>
    </row>
    <row r="638" spans="1:28" s="215" customFormat="1">
      <c r="A638" s="608"/>
      <c r="B638" s="608"/>
      <c r="C638" s="608"/>
      <c r="D638" s="608"/>
      <c r="G638" s="216"/>
      <c r="H638" s="231"/>
      <c r="I638" s="236"/>
      <c r="J638" s="233"/>
      <c r="K638" s="233"/>
      <c r="L638" s="233"/>
      <c r="M638" s="233"/>
      <c r="P638" s="233"/>
      <c r="Q638" s="233"/>
      <c r="R638" s="233"/>
      <c r="S638" s="233"/>
      <c r="V638" s="233"/>
      <c r="W638" s="233"/>
      <c r="X638" s="233"/>
      <c r="Y638" s="233"/>
      <c r="Z638" s="233"/>
      <c r="AA638" s="233"/>
      <c r="AB638" s="233"/>
    </row>
    <row r="639" spans="1:28" s="215" customFormat="1">
      <c r="A639" s="608"/>
      <c r="B639" s="608"/>
      <c r="C639" s="608"/>
      <c r="D639" s="608"/>
      <c r="G639" s="216"/>
      <c r="H639" s="231"/>
      <c r="I639" s="236"/>
      <c r="J639" s="233"/>
      <c r="K639" s="233"/>
      <c r="L639" s="233"/>
      <c r="M639" s="233"/>
      <c r="P639" s="233"/>
      <c r="Q639" s="233"/>
      <c r="R639" s="233"/>
      <c r="S639" s="233"/>
      <c r="V639" s="233"/>
      <c r="W639" s="233"/>
      <c r="X639" s="233"/>
      <c r="Y639" s="233"/>
      <c r="Z639" s="233"/>
      <c r="AA639" s="233"/>
      <c r="AB639" s="233"/>
    </row>
    <row r="640" spans="1:28" s="215" customFormat="1">
      <c r="A640" s="608"/>
      <c r="B640" s="608"/>
      <c r="C640" s="608"/>
      <c r="D640" s="608"/>
      <c r="G640" s="216"/>
      <c r="H640" s="231"/>
      <c r="I640" s="236"/>
      <c r="J640" s="233"/>
      <c r="K640" s="233"/>
      <c r="L640" s="233"/>
      <c r="M640" s="233"/>
      <c r="P640" s="233"/>
      <c r="Q640" s="233"/>
      <c r="R640" s="233"/>
      <c r="S640" s="233"/>
      <c r="V640" s="233"/>
      <c r="W640" s="233"/>
      <c r="X640" s="233"/>
      <c r="Y640" s="233"/>
      <c r="Z640" s="233"/>
      <c r="AA640" s="233"/>
      <c r="AB640" s="233"/>
    </row>
    <row r="641" spans="1:28" s="215" customFormat="1">
      <c r="A641" s="608"/>
      <c r="B641" s="608"/>
      <c r="C641" s="608"/>
      <c r="D641" s="608"/>
      <c r="G641" s="216"/>
      <c r="H641" s="231"/>
      <c r="I641" s="236"/>
      <c r="J641" s="233"/>
      <c r="K641" s="233"/>
      <c r="L641" s="233"/>
      <c r="M641" s="233"/>
      <c r="P641" s="233"/>
      <c r="Q641" s="233"/>
      <c r="R641" s="233"/>
      <c r="S641" s="233"/>
      <c r="V641" s="233"/>
      <c r="W641" s="233"/>
      <c r="X641" s="233"/>
      <c r="Y641" s="233"/>
      <c r="Z641" s="233"/>
      <c r="AA641" s="233"/>
      <c r="AB641" s="233"/>
    </row>
    <row r="642" spans="1:28" s="215" customFormat="1">
      <c r="A642" s="608"/>
      <c r="B642" s="608"/>
      <c r="C642" s="608"/>
      <c r="D642" s="608"/>
      <c r="G642" s="216"/>
      <c r="H642" s="231"/>
      <c r="I642" s="236"/>
      <c r="J642" s="233"/>
      <c r="K642" s="233"/>
      <c r="L642" s="233"/>
      <c r="M642" s="233"/>
      <c r="P642" s="233"/>
      <c r="Q642" s="233"/>
      <c r="R642" s="233"/>
      <c r="S642" s="233"/>
      <c r="V642" s="233"/>
      <c r="W642" s="233"/>
      <c r="X642" s="233"/>
      <c r="Y642" s="233"/>
      <c r="Z642" s="233"/>
      <c r="AA642" s="233"/>
      <c r="AB642" s="233"/>
    </row>
    <row r="643" spans="1:28" s="215" customFormat="1">
      <c r="A643" s="608"/>
      <c r="B643" s="608"/>
      <c r="C643" s="608"/>
      <c r="D643" s="608"/>
      <c r="G643" s="216"/>
      <c r="H643" s="231"/>
      <c r="I643" s="236"/>
      <c r="J643" s="233"/>
      <c r="K643" s="233"/>
      <c r="L643" s="233"/>
      <c r="M643" s="233"/>
      <c r="P643" s="233"/>
      <c r="Q643" s="233"/>
      <c r="R643" s="233"/>
      <c r="S643" s="233"/>
      <c r="V643" s="233"/>
      <c r="W643" s="233"/>
      <c r="X643" s="233"/>
      <c r="Y643" s="233"/>
      <c r="Z643" s="233"/>
      <c r="AA643" s="233"/>
      <c r="AB643" s="233"/>
    </row>
    <row r="644" spans="1:28" s="215" customFormat="1">
      <c r="A644" s="608"/>
      <c r="B644" s="608"/>
      <c r="C644" s="608"/>
      <c r="D644" s="608"/>
      <c r="G644" s="216"/>
      <c r="H644" s="231"/>
      <c r="I644" s="236"/>
      <c r="J644" s="233"/>
      <c r="K644" s="233"/>
      <c r="L644" s="233"/>
      <c r="M644" s="233"/>
      <c r="P644" s="233"/>
      <c r="Q644" s="233"/>
      <c r="R644" s="233"/>
      <c r="S644" s="233"/>
      <c r="V644" s="233"/>
      <c r="W644" s="233"/>
      <c r="X644" s="233"/>
      <c r="Y644" s="233"/>
      <c r="Z644" s="233"/>
      <c r="AA644" s="233"/>
      <c r="AB644" s="233"/>
    </row>
    <row r="645" spans="1:28" s="215" customFormat="1">
      <c r="A645" s="608"/>
      <c r="B645" s="608"/>
      <c r="C645" s="608"/>
      <c r="D645" s="608"/>
      <c r="G645" s="216"/>
      <c r="H645" s="231"/>
      <c r="I645" s="236"/>
      <c r="J645" s="233"/>
      <c r="K645" s="233"/>
      <c r="L645" s="233"/>
      <c r="M645" s="233"/>
      <c r="P645" s="233"/>
      <c r="Q645" s="233"/>
      <c r="R645" s="233"/>
      <c r="S645" s="233"/>
      <c r="V645" s="233"/>
      <c r="W645" s="233"/>
      <c r="X645" s="233"/>
      <c r="Y645" s="233"/>
      <c r="Z645" s="233"/>
      <c r="AA645" s="233"/>
      <c r="AB645" s="233"/>
    </row>
    <row r="646" spans="1:28" s="215" customFormat="1">
      <c r="A646" s="608"/>
      <c r="B646" s="608"/>
      <c r="C646" s="608"/>
      <c r="D646" s="608"/>
      <c r="G646" s="216"/>
      <c r="H646" s="231"/>
      <c r="I646" s="236"/>
      <c r="J646" s="233"/>
      <c r="K646" s="233"/>
      <c r="L646" s="233"/>
      <c r="M646" s="233"/>
      <c r="P646" s="233"/>
      <c r="Q646" s="233"/>
      <c r="R646" s="233"/>
      <c r="S646" s="233"/>
      <c r="V646" s="233"/>
      <c r="W646" s="233"/>
      <c r="X646" s="233"/>
      <c r="Y646" s="233"/>
      <c r="Z646" s="233"/>
      <c r="AA646" s="233"/>
      <c r="AB646" s="233"/>
    </row>
    <row r="647" spans="1:28" s="215" customFormat="1">
      <c r="A647" s="608"/>
      <c r="B647" s="608"/>
      <c r="C647" s="608"/>
      <c r="D647" s="608"/>
      <c r="G647" s="216"/>
      <c r="H647" s="231"/>
      <c r="I647" s="236"/>
      <c r="J647" s="233"/>
      <c r="K647" s="233"/>
      <c r="L647" s="233"/>
      <c r="M647" s="233"/>
      <c r="P647" s="233"/>
      <c r="Q647" s="233"/>
      <c r="R647" s="233"/>
      <c r="S647" s="233"/>
      <c r="V647" s="233"/>
      <c r="W647" s="233"/>
      <c r="X647" s="233"/>
      <c r="Y647" s="233"/>
      <c r="Z647" s="233"/>
      <c r="AA647" s="233"/>
      <c r="AB647" s="233"/>
    </row>
    <row r="648" spans="1:28" s="215" customFormat="1">
      <c r="A648" s="608"/>
      <c r="B648" s="608"/>
      <c r="C648" s="608"/>
      <c r="D648" s="608"/>
      <c r="G648" s="216"/>
      <c r="H648" s="231"/>
      <c r="I648" s="236"/>
      <c r="J648" s="233"/>
      <c r="K648" s="233"/>
      <c r="L648" s="233"/>
      <c r="M648" s="233"/>
      <c r="P648" s="233"/>
      <c r="Q648" s="233"/>
      <c r="R648" s="233"/>
      <c r="S648" s="233"/>
      <c r="V648" s="233"/>
      <c r="W648" s="233"/>
      <c r="X648" s="233"/>
      <c r="Y648" s="233"/>
      <c r="Z648" s="233"/>
      <c r="AA648" s="233"/>
      <c r="AB648" s="233"/>
    </row>
    <row r="649" spans="1:28" s="215" customFormat="1">
      <c r="A649" s="608"/>
      <c r="B649" s="608"/>
      <c r="C649" s="608"/>
      <c r="D649" s="608"/>
      <c r="G649" s="216"/>
      <c r="H649" s="231"/>
      <c r="I649" s="236"/>
      <c r="J649" s="233"/>
      <c r="K649" s="233"/>
      <c r="L649" s="233"/>
      <c r="M649" s="233"/>
      <c r="P649" s="233"/>
      <c r="Q649" s="233"/>
      <c r="R649" s="233"/>
      <c r="S649" s="233"/>
      <c r="V649" s="233"/>
      <c r="W649" s="233"/>
      <c r="X649" s="233"/>
      <c r="Y649" s="233"/>
      <c r="Z649" s="233"/>
      <c r="AA649" s="233"/>
      <c r="AB649" s="233"/>
    </row>
    <row r="650" spans="1:28" s="215" customFormat="1">
      <c r="A650" s="608"/>
      <c r="B650" s="608"/>
      <c r="C650" s="608"/>
      <c r="D650" s="608"/>
      <c r="G650" s="216"/>
      <c r="H650" s="231"/>
      <c r="I650" s="236"/>
      <c r="J650" s="233"/>
      <c r="K650" s="233"/>
      <c r="L650" s="233"/>
      <c r="M650" s="233"/>
      <c r="P650" s="233"/>
      <c r="Q650" s="233"/>
      <c r="R650" s="233"/>
      <c r="S650" s="233"/>
      <c r="V650" s="233"/>
      <c r="W650" s="233"/>
      <c r="X650" s="233"/>
      <c r="Y650" s="233"/>
      <c r="Z650" s="233"/>
      <c r="AA650" s="233"/>
      <c r="AB650" s="233"/>
    </row>
    <row r="651" spans="1:28" s="215" customFormat="1">
      <c r="A651" s="608"/>
      <c r="B651" s="608"/>
      <c r="C651" s="608"/>
      <c r="D651" s="608"/>
      <c r="G651" s="216"/>
      <c r="H651" s="231"/>
      <c r="I651" s="236"/>
      <c r="J651" s="233"/>
      <c r="K651" s="233"/>
      <c r="L651" s="233"/>
      <c r="M651" s="233"/>
      <c r="P651" s="233"/>
      <c r="Q651" s="233"/>
      <c r="R651" s="233"/>
      <c r="S651" s="233"/>
      <c r="V651" s="233"/>
      <c r="W651" s="233"/>
      <c r="X651" s="233"/>
      <c r="Y651" s="233"/>
      <c r="Z651" s="233"/>
      <c r="AA651" s="233"/>
      <c r="AB651" s="233"/>
    </row>
    <row r="652" spans="1:28" s="215" customFormat="1">
      <c r="A652" s="608"/>
      <c r="B652" s="608"/>
      <c r="C652" s="608"/>
      <c r="D652" s="608"/>
      <c r="G652" s="216"/>
      <c r="H652" s="231"/>
      <c r="I652" s="236"/>
      <c r="J652" s="233"/>
      <c r="K652" s="233"/>
      <c r="L652" s="233"/>
      <c r="M652" s="233"/>
      <c r="P652" s="233"/>
      <c r="Q652" s="233"/>
      <c r="R652" s="233"/>
      <c r="S652" s="233"/>
      <c r="V652" s="233"/>
      <c r="W652" s="233"/>
      <c r="X652" s="233"/>
      <c r="Y652" s="233"/>
      <c r="Z652" s="233"/>
      <c r="AA652" s="233"/>
      <c r="AB652" s="233"/>
    </row>
    <row r="653" spans="1:28" s="215" customFormat="1">
      <c r="A653" s="608"/>
      <c r="B653" s="608"/>
      <c r="C653" s="608"/>
      <c r="D653" s="608"/>
      <c r="G653" s="216"/>
      <c r="H653" s="231"/>
      <c r="I653" s="236"/>
      <c r="J653" s="233"/>
      <c r="K653" s="233"/>
      <c r="L653" s="233"/>
      <c r="M653" s="233"/>
      <c r="P653" s="233"/>
      <c r="Q653" s="233"/>
      <c r="R653" s="233"/>
      <c r="S653" s="233"/>
      <c r="V653" s="233"/>
      <c r="W653" s="233"/>
      <c r="X653" s="233"/>
      <c r="Y653" s="233"/>
      <c r="Z653" s="233"/>
      <c r="AA653" s="233"/>
      <c r="AB653" s="233"/>
    </row>
    <row r="654" spans="1:28" s="215" customFormat="1">
      <c r="A654" s="608"/>
      <c r="B654" s="608"/>
      <c r="C654" s="608"/>
      <c r="D654" s="608"/>
      <c r="G654" s="216"/>
      <c r="H654" s="231"/>
      <c r="I654" s="236"/>
      <c r="J654" s="233"/>
      <c r="K654" s="233"/>
      <c r="L654" s="233"/>
      <c r="M654" s="233"/>
      <c r="P654" s="233"/>
      <c r="Q654" s="233"/>
      <c r="R654" s="233"/>
      <c r="S654" s="233"/>
      <c r="V654" s="233"/>
      <c r="W654" s="233"/>
      <c r="X654" s="233"/>
      <c r="Y654" s="233"/>
      <c r="Z654" s="233"/>
      <c r="AA654" s="233"/>
      <c r="AB654" s="233"/>
    </row>
    <row r="655" spans="1:28" s="215" customFormat="1">
      <c r="A655" s="608"/>
      <c r="B655" s="608"/>
      <c r="C655" s="608"/>
      <c r="D655" s="608"/>
      <c r="G655" s="216"/>
      <c r="H655" s="231"/>
      <c r="I655" s="236"/>
      <c r="J655" s="233"/>
      <c r="K655" s="233"/>
      <c r="L655" s="233"/>
      <c r="M655" s="233"/>
      <c r="P655" s="233"/>
      <c r="Q655" s="233"/>
      <c r="R655" s="233"/>
      <c r="S655" s="233"/>
      <c r="V655" s="233"/>
      <c r="W655" s="233"/>
      <c r="X655" s="233"/>
      <c r="Y655" s="233"/>
      <c r="Z655" s="233"/>
      <c r="AA655" s="233"/>
      <c r="AB655" s="233"/>
    </row>
    <row r="656" spans="1:28" s="215" customFormat="1">
      <c r="A656" s="608"/>
      <c r="B656" s="608"/>
      <c r="C656" s="608"/>
      <c r="D656" s="608"/>
      <c r="G656" s="216"/>
      <c r="H656" s="231"/>
      <c r="I656" s="236"/>
      <c r="J656" s="233"/>
      <c r="K656" s="233"/>
      <c r="L656" s="233"/>
      <c r="M656" s="233"/>
      <c r="P656" s="233"/>
      <c r="Q656" s="233"/>
      <c r="R656" s="233"/>
      <c r="S656" s="233"/>
      <c r="V656" s="233"/>
      <c r="W656" s="233"/>
      <c r="X656" s="233"/>
      <c r="Y656" s="233"/>
      <c r="Z656" s="233"/>
      <c r="AA656" s="233"/>
      <c r="AB656" s="233"/>
    </row>
    <row r="657" spans="1:28" s="215" customFormat="1">
      <c r="A657" s="608"/>
      <c r="B657" s="608"/>
      <c r="C657" s="608"/>
      <c r="D657" s="608"/>
      <c r="G657" s="216"/>
      <c r="H657" s="231"/>
      <c r="I657" s="236"/>
      <c r="J657" s="233"/>
      <c r="K657" s="233"/>
      <c r="L657" s="233"/>
      <c r="M657" s="233"/>
      <c r="P657" s="233"/>
      <c r="Q657" s="233"/>
      <c r="R657" s="233"/>
      <c r="S657" s="233"/>
      <c r="V657" s="233"/>
      <c r="W657" s="233"/>
      <c r="X657" s="233"/>
      <c r="Y657" s="233"/>
      <c r="Z657" s="233"/>
      <c r="AA657" s="233"/>
      <c r="AB657" s="233"/>
    </row>
    <row r="658" spans="1:28" s="215" customFormat="1">
      <c r="A658" s="608"/>
      <c r="B658" s="608"/>
      <c r="C658" s="608"/>
      <c r="D658" s="608"/>
      <c r="G658" s="216"/>
      <c r="H658" s="231"/>
      <c r="I658" s="236"/>
      <c r="J658" s="233"/>
      <c r="K658" s="233"/>
      <c r="L658" s="233"/>
      <c r="M658" s="233"/>
      <c r="P658" s="233"/>
      <c r="Q658" s="233"/>
      <c r="R658" s="233"/>
      <c r="S658" s="233"/>
      <c r="V658" s="233"/>
      <c r="W658" s="233"/>
      <c r="X658" s="233"/>
      <c r="Y658" s="233"/>
      <c r="Z658" s="233"/>
      <c r="AA658" s="233"/>
      <c r="AB658" s="233"/>
    </row>
    <row r="659" spans="1:28" s="215" customFormat="1">
      <c r="A659" s="608"/>
      <c r="B659" s="608"/>
      <c r="C659" s="608"/>
      <c r="D659" s="608"/>
      <c r="G659" s="216"/>
      <c r="H659" s="231"/>
      <c r="I659" s="236"/>
      <c r="J659" s="233"/>
      <c r="K659" s="233"/>
      <c r="L659" s="233"/>
      <c r="M659" s="233"/>
      <c r="P659" s="233"/>
      <c r="Q659" s="233"/>
      <c r="R659" s="233"/>
      <c r="S659" s="233"/>
      <c r="V659" s="233"/>
      <c r="W659" s="233"/>
      <c r="X659" s="233"/>
      <c r="Y659" s="233"/>
      <c r="Z659" s="233"/>
      <c r="AA659" s="233"/>
      <c r="AB659" s="233"/>
    </row>
    <row r="660" spans="1:28" s="215" customFormat="1">
      <c r="A660" s="608"/>
      <c r="B660" s="608"/>
      <c r="C660" s="608"/>
      <c r="D660" s="608"/>
      <c r="G660" s="216"/>
      <c r="H660" s="231"/>
      <c r="I660" s="236"/>
      <c r="J660" s="233"/>
      <c r="K660" s="233"/>
      <c r="L660" s="233"/>
      <c r="M660" s="233"/>
      <c r="P660" s="233"/>
      <c r="Q660" s="233"/>
      <c r="R660" s="233"/>
      <c r="S660" s="233"/>
      <c r="V660" s="233"/>
      <c r="W660" s="233"/>
      <c r="X660" s="233"/>
      <c r="Y660" s="233"/>
      <c r="Z660" s="233"/>
      <c r="AA660" s="233"/>
      <c r="AB660" s="233"/>
    </row>
    <row r="661" spans="1:28" s="215" customFormat="1">
      <c r="A661" s="608"/>
      <c r="B661" s="608"/>
      <c r="C661" s="608"/>
      <c r="D661" s="608"/>
      <c r="G661" s="216"/>
      <c r="H661" s="231"/>
      <c r="I661" s="236"/>
      <c r="J661" s="233"/>
      <c r="K661" s="233"/>
      <c r="L661" s="233"/>
      <c r="M661" s="233"/>
      <c r="P661" s="233"/>
      <c r="Q661" s="233"/>
      <c r="R661" s="233"/>
      <c r="S661" s="233"/>
      <c r="V661" s="233"/>
      <c r="W661" s="233"/>
      <c r="X661" s="233"/>
      <c r="Y661" s="233"/>
      <c r="Z661" s="233"/>
      <c r="AA661" s="233"/>
      <c r="AB661" s="233"/>
    </row>
    <row r="662" spans="1:28" s="215" customFormat="1">
      <c r="A662" s="608"/>
      <c r="B662" s="608"/>
      <c r="C662" s="608"/>
      <c r="D662" s="608"/>
      <c r="G662" s="216"/>
      <c r="H662" s="231"/>
      <c r="I662" s="236"/>
      <c r="J662" s="233"/>
      <c r="K662" s="233"/>
      <c r="L662" s="233"/>
      <c r="M662" s="233"/>
      <c r="P662" s="233"/>
      <c r="Q662" s="233"/>
      <c r="R662" s="233"/>
      <c r="S662" s="233"/>
      <c r="V662" s="233"/>
      <c r="W662" s="233"/>
      <c r="X662" s="233"/>
      <c r="Y662" s="233"/>
      <c r="Z662" s="233"/>
      <c r="AA662" s="233"/>
      <c r="AB662" s="233"/>
    </row>
    <row r="663" spans="1:28" s="215" customFormat="1">
      <c r="A663" s="608"/>
      <c r="B663" s="608"/>
      <c r="C663" s="608"/>
      <c r="D663" s="608"/>
      <c r="G663" s="216"/>
      <c r="H663" s="231"/>
      <c r="I663" s="236"/>
      <c r="J663" s="233"/>
      <c r="K663" s="233"/>
      <c r="L663" s="233"/>
      <c r="M663" s="233"/>
      <c r="P663" s="233"/>
      <c r="Q663" s="233"/>
      <c r="R663" s="233"/>
      <c r="S663" s="233"/>
      <c r="V663" s="233"/>
      <c r="W663" s="233"/>
      <c r="X663" s="233"/>
      <c r="Y663" s="233"/>
      <c r="Z663" s="233"/>
      <c r="AA663" s="233"/>
      <c r="AB663" s="233"/>
    </row>
    <row r="664" spans="1:28" s="215" customFormat="1">
      <c r="A664" s="608"/>
      <c r="B664" s="608"/>
      <c r="C664" s="608"/>
      <c r="D664" s="608"/>
      <c r="G664" s="216"/>
      <c r="H664" s="231"/>
      <c r="I664" s="236"/>
      <c r="J664" s="233"/>
      <c r="K664" s="233"/>
      <c r="L664" s="233"/>
      <c r="M664" s="233"/>
      <c r="P664" s="233"/>
      <c r="Q664" s="233"/>
      <c r="R664" s="233"/>
      <c r="S664" s="233"/>
      <c r="V664" s="233"/>
      <c r="W664" s="233"/>
      <c r="X664" s="233"/>
      <c r="Y664" s="233"/>
      <c r="Z664" s="233"/>
      <c r="AA664" s="233"/>
      <c r="AB664" s="233"/>
    </row>
    <row r="665" spans="1:28" s="215" customFormat="1">
      <c r="A665" s="608"/>
      <c r="B665" s="608"/>
      <c r="C665" s="608"/>
      <c r="D665" s="608"/>
      <c r="G665" s="216"/>
      <c r="H665" s="231"/>
      <c r="I665" s="236"/>
      <c r="J665" s="233"/>
      <c r="K665" s="233"/>
      <c r="L665" s="233"/>
      <c r="M665" s="233"/>
      <c r="P665" s="233"/>
      <c r="Q665" s="233"/>
      <c r="R665" s="233"/>
      <c r="S665" s="233"/>
      <c r="V665" s="233"/>
      <c r="W665" s="233"/>
      <c r="X665" s="233"/>
      <c r="Y665" s="233"/>
      <c r="Z665" s="233"/>
      <c r="AA665" s="233"/>
      <c r="AB665" s="233"/>
    </row>
    <row r="666" spans="1:28" s="215" customFormat="1">
      <c r="A666" s="608"/>
      <c r="B666" s="608"/>
      <c r="C666" s="608"/>
      <c r="D666" s="608"/>
      <c r="G666" s="216"/>
      <c r="H666" s="231"/>
      <c r="I666" s="236"/>
      <c r="J666" s="233"/>
      <c r="K666" s="233"/>
      <c r="L666" s="233"/>
      <c r="M666" s="233"/>
      <c r="P666" s="233"/>
      <c r="Q666" s="233"/>
      <c r="R666" s="233"/>
      <c r="S666" s="233"/>
      <c r="V666" s="233"/>
      <c r="W666" s="233"/>
      <c r="X666" s="233"/>
      <c r="Y666" s="233"/>
      <c r="Z666" s="233"/>
      <c r="AA666" s="233"/>
      <c r="AB666" s="233"/>
    </row>
    <row r="667" spans="1:28" s="215" customFormat="1">
      <c r="A667" s="608"/>
      <c r="B667" s="608"/>
      <c r="C667" s="608"/>
      <c r="D667" s="608"/>
      <c r="G667" s="216"/>
      <c r="H667" s="231"/>
      <c r="I667" s="236"/>
      <c r="J667" s="233"/>
      <c r="K667" s="233"/>
      <c r="L667" s="233"/>
      <c r="M667" s="233"/>
      <c r="P667" s="233"/>
      <c r="Q667" s="233"/>
      <c r="R667" s="233"/>
      <c r="S667" s="233"/>
      <c r="V667" s="233"/>
      <c r="W667" s="233"/>
      <c r="X667" s="233"/>
      <c r="Y667" s="233"/>
      <c r="Z667" s="233"/>
      <c r="AA667" s="233"/>
      <c r="AB667" s="233"/>
    </row>
    <row r="668" spans="1:28" s="215" customFormat="1">
      <c r="A668" s="608"/>
      <c r="B668" s="608"/>
      <c r="C668" s="608"/>
      <c r="D668" s="608"/>
      <c r="G668" s="216"/>
      <c r="H668" s="231"/>
      <c r="I668" s="236"/>
      <c r="J668" s="233"/>
      <c r="K668" s="233"/>
      <c r="L668" s="233"/>
      <c r="M668" s="233"/>
      <c r="P668" s="233"/>
      <c r="Q668" s="233"/>
      <c r="R668" s="233"/>
      <c r="S668" s="233"/>
      <c r="V668" s="233"/>
      <c r="W668" s="233"/>
      <c r="X668" s="233"/>
      <c r="Y668" s="233"/>
      <c r="Z668" s="233"/>
      <c r="AA668" s="233"/>
      <c r="AB668" s="233"/>
    </row>
    <row r="669" spans="1:28" s="215" customFormat="1">
      <c r="A669" s="608"/>
      <c r="B669" s="608"/>
      <c r="C669" s="608"/>
      <c r="D669" s="608"/>
      <c r="G669" s="216"/>
      <c r="H669" s="231"/>
      <c r="I669" s="236"/>
      <c r="J669" s="233"/>
      <c r="K669" s="233"/>
      <c r="L669" s="233"/>
      <c r="M669" s="233"/>
      <c r="P669" s="233"/>
      <c r="Q669" s="233"/>
      <c r="R669" s="233"/>
      <c r="S669" s="233"/>
      <c r="V669" s="233"/>
      <c r="W669" s="233"/>
      <c r="X669" s="233"/>
      <c r="Y669" s="233"/>
      <c r="Z669" s="233"/>
      <c r="AA669" s="233"/>
      <c r="AB669" s="233"/>
    </row>
    <row r="670" spans="1:28" s="215" customFormat="1">
      <c r="A670" s="608"/>
      <c r="B670" s="608"/>
      <c r="C670" s="608"/>
      <c r="D670" s="608"/>
      <c r="G670" s="216"/>
      <c r="H670" s="231"/>
      <c r="I670" s="236"/>
      <c r="J670" s="233"/>
      <c r="K670" s="233"/>
      <c r="L670" s="233"/>
      <c r="M670" s="233"/>
      <c r="P670" s="233"/>
      <c r="Q670" s="233"/>
      <c r="R670" s="233"/>
      <c r="S670" s="233"/>
      <c r="V670" s="233"/>
      <c r="W670" s="233"/>
      <c r="X670" s="233"/>
      <c r="Y670" s="233"/>
      <c r="Z670" s="233"/>
      <c r="AA670" s="233"/>
      <c r="AB670" s="233"/>
    </row>
    <row r="671" spans="1:28" s="215" customFormat="1">
      <c r="A671" s="608"/>
      <c r="B671" s="608"/>
      <c r="C671" s="608"/>
      <c r="D671" s="608"/>
      <c r="G671" s="216"/>
      <c r="H671" s="231"/>
      <c r="I671" s="236"/>
      <c r="J671" s="233"/>
      <c r="K671" s="233"/>
      <c r="L671" s="233"/>
      <c r="M671" s="233"/>
      <c r="P671" s="233"/>
      <c r="Q671" s="233"/>
      <c r="R671" s="233"/>
      <c r="S671" s="233"/>
      <c r="V671" s="233"/>
      <c r="W671" s="233"/>
      <c r="X671" s="233"/>
      <c r="Y671" s="233"/>
      <c r="Z671" s="233"/>
      <c r="AA671" s="233"/>
      <c r="AB671" s="233"/>
    </row>
    <row r="672" spans="1:28" s="215" customFormat="1">
      <c r="A672" s="608"/>
      <c r="B672" s="608"/>
      <c r="C672" s="608"/>
      <c r="D672" s="608"/>
      <c r="G672" s="216"/>
      <c r="H672" s="231"/>
      <c r="I672" s="236"/>
      <c r="J672" s="233"/>
      <c r="K672" s="233"/>
      <c r="L672" s="233"/>
      <c r="M672" s="233"/>
      <c r="P672" s="233"/>
      <c r="Q672" s="233"/>
      <c r="R672" s="233"/>
      <c r="S672" s="233"/>
      <c r="V672" s="233"/>
      <c r="W672" s="233"/>
      <c r="X672" s="233"/>
      <c r="Y672" s="233"/>
      <c r="Z672" s="233"/>
      <c r="AA672" s="233"/>
      <c r="AB672" s="233"/>
    </row>
    <row r="673" spans="1:28" s="215" customFormat="1">
      <c r="A673" s="608"/>
      <c r="B673" s="608"/>
      <c r="C673" s="608"/>
      <c r="D673" s="608"/>
      <c r="G673" s="216"/>
      <c r="H673" s="231"/>
      <c r="I673" s="236"/>
      <c r="J673" s="233"/>
      <c r="K673" s="233"/>
      <c r="L673" s="233"/>
      <c r="M673" s="233"/>
      <c r="P673" s="233"/>
      <c r="Q673" s="233"/>
      <c r="R673" s="233"/>
      <c r="S673" s="233"/>
      <c r="V673" s="233"/>
      <c r="W673" s="233"/>
      <c r="X673" s="233"/>
      <c r="Y673" s="233"/>
      <c r="Z673" s="233"/>
      <c r="AA673" s="233"/>
      <c r="AB673" s="233"/>
    </row>
    <row r="674" spans="1:28" s="215" customFormat="1">
      <c r="A674" s="608"/>
      <c r="B674" s="608"/>
      <c r="C674" s="608"/>
      <c r="D674" s="608"/>
      <c r="G674" s="216"/>
      <c r="H674" s="231"/>
      <c r="I674" s="236"/>
      <c r="J674" s="233"/>
      <c r="K674" s="233"/>
      <c r="L674" s="233"/>
      <c r="M674" s="233"/>
      <c r="P674" s="233"/>
      <c r="Q674" s="233"/>
      <c r="R674" s="233"/>
      <c r="S674" s="233"/>
      <c r="V674" s="233"/>
      <c r="W674" s="233"/>
      <c r="X674" s="233"/>
      <c r="Y674" s="233"/>
      <c r="Z674" s="233"/>
      <c r="AA674" s="233"/>
      <c r="AB674" s="233"/>
    </row>
    <row r="675" spans="1:28" s="215" customFormat="1">
      <c r="A675" s="608"/>
      <c r="B675" s="608"/>
      <c r="C675" s="608"/>
      <c r="D675" s="608"/>
      <c r="G675" s="216"/>
      <c r="H675" s="231"/>
      <c r="I675" s="236"/>
      <c r="J675" s="233"/>
      <c r="K675" s="233"/>
      <c r="L675" s="233"/>
      <c r="M675" s="233"/>
      <c r="P675" s="233"/>
      <c r="Q675" s="233"/>
      <c r="R675" s="233"/>
      <c r="S675" s="233"/>
      <c r="V675" s="233"/>
      <c r="W675" s="233"/>
      <c r="X675" s="233"/>
      <c r="Y675" s="233"/>
      <c r="Z675" s="233"/>
      <c r="AA675" s="233"/>
      <c r="AB675" s="233"/>
    </row>
    <row r="676" spans="1:28" s="215" customFormat="1">
      <c r="A676" s="608"/>
      <c r="B676" s="608"/>
      <c r="C676" s="608"/>
      <c r="D676" s="608"/>
      <c r="G676" s="216"/>
      <c r="H676" s="231"/>
      <c r="I676" s="236"/>
      <c r="J676" s="233"/>
      <c r="K676" s="233"/>
      <c r="L676" s="233"/>
      <c r="M676" s="233"/>
      <c r="P676" s="233"/>
      <c r="Q676" s="233"/>
      <c r="R676" s="233"/>
      <c r="S676" s="233"/>
      <c r="V676" s="233"/>
      <c r="W676" s="233"/>
      <c r="X676" s="233"/>
      <c r="Y676" s="233"/>
      <c r="Z676" s="233"/>
      <c r="AA676" s="233"/>
      <c r="AB676" s="233"/>
    </row>
    <row r="677" spans="1:28" s="215" customFormat="1">
      <c r="A677" s="608"/>
      <c r="B677" s="608"/>
      <c r="C677" s="608"/>
      <c r="D677" s="608"/>
      <c r="G677" s="216"/>
      <c r="H677" s="231"/>
      <c r="I677" s="236"/>
      <c r="J677" s="233"/>
      <c r="K677" s="233"/>
      <c r="L677" s="233"/>
      <c r="M677" s="233"/>
      <c r="P677" s="233"/>
      <c r="Q677" s="233"/>
      <c r="R677" s="233"/>
      <c r="S677" s="233"/>
      <c r="V677" s="233"/>
      <c r="W677" s="233"/>
      <c r="X677" s="233"/>
      <c r="Y677" s="233"/>
      <c r="Z677" s="233"/>
      <c r="AA677" s="233"/>
      <c r="AB677" s="233"/>
    </row>
    <row r="678" spans="1:28" s="215" customFormat="1">
      <c r="A678" s="608"/>
      <c r="B678" s="608"/>
      <c r="C678" s="608"/>
      <c r="D678" s="608"/>
      <c r="G678" s="216"/>
      <c r="H678" s="231"/>
      <c r="I678" s="236"/>
      <c r="J678" s="233"/>
      <c r="K678" s="233"/>
      <c r="L678" s="233"/>
      <c r="M678" s="233"/>
      <c r="P678" s="233"/>
      <c r="Q678" s="233"/>
      <c r="R678" s="233"/>
      <c r="S678" s="233"/>
      <c r="V678" s="233"/>
      <c r="W678" s="233"/>
      <c r="X678" s="233"/>
      <c r="Y678" s="233"/>
      <c r="Z678" s="233"/>
      <c r="AA678" s="233"/>
      <c r="AB678" s="233"/>
    </row>
    <row r="679" spans="1:28" s="215" customFormat="1">
      <c r="A679" s="608"/>
      <c r="B679" s="608"/>
      <c r="C679" s="608"/>
      <c r="D679" s="608"/>
      <c r="G679" s="216"/>
      <c r="H679" s="231"/>
      <c r="I679" s="236"/>
      <c r="J679" s="233"/>
      <c r="K679" s="233"/>
      <c r="L679" s="233"/>
      <c r="M679" s="233"/>
      <c r="P679" s="233"/>
      <c r="Q679" s="233"/>
      <c r="R679" s="233"/>
      <c r="S679" s="233"/>
      <c r="V679" s="233"/>
      <c r="W679" s="233"/>
      <c r="X679" s="233"/>
      <c r="Y679" s="233"/>
      <c r="Z679" s="233"/>
      <c r="AA679" s="233"/>
      <c r="AB679" s="233"/>
    </row>
    <row r="680" spans="1:28" s="215" customFormat="1">
      <c r="A680" s="608"/>
      <c r="B680" s="608"/>
      <c r="C680" s="608"/>
      <c r="D680" s="608"/>
      <c r="G680" s="216"/>
      <c r="H680" s="231"/>
      <c r="I680" s="236"/>
      <c r="J680" s="233"/>
      <c r="K680" s="233"/>
      <c r="L680" s="233"/>
      <c r="M680" s="233"/>
      <c r="P680" s="233"/>
      <c r="Q680" s="233"/>
      <c r="R680" s="233"/>
      <c r="S680" s="233"/>
      <c r="V680" s="233"/>
      <c r="W680" s="233"/>
      <c r="X680" s="233"/>
      <c r="Y680" s="233"/>
      <c r="Z680" s="233"/>
      <c r="AA680" s="233"/>
      <c r="AB680" s="233"/>
    </row>
    <row r="681" spans="1:28" s="215" customFormat="1">
      <c r="A681" s="608"/>
      <c r="B681" s="608"/>
      <c r="C681" s="608"/>
      <c r="D681" s="608"/>
      <c r="G681" s="216"/>
      <c r="H681" s="231"/>
      <c r="I681" s="236"/>
      <c r="J681" s="233"/>
      <c r="K681" s="233"/>
      <c r="L681" s="233"/>
      <c r="M681" s="233"/>
      <c r="P681" s="233"/>
      <c r="Q681" s="233"/>
      <c r="R681" s="233"/>
      <c r="S681" s="233"/>
      <c r="V681" s="233"/>
      <c r="W681" s="233"/>
      <c r="X681" s="233"/>
      <c r="Y681" s="233"/>
      <c r="Z681" s="233"/>
      <c r="AA681" s="233"/>
      <c r="AB681" s="233"/>
    </row>
    <row r="682" spans="1:28" s="215" customFormat="1">
      <c r="A682" s="608"/>
      <c r="B682" s="608"/>
      <c r="C682" s="608"/>
      <c r="D682" s="608"/>
      <c r="G682" s="216"/>
      <c r="H682" s="231"/>
      <c r="I682" s="236"/>
      <c r="J682" s="233"/>
      <c r="K682" s="233"/>
      <c r="L682" s="233"/>
      <c r="M682" s="233"/>
      <c r="P682" s="233"/>
      <c r="Q682" s="233"/>
      <c r="R682" s="233"/>
      <c r="S682" s="233"/>
      <c r="V682" s="233"/>
      <c r="W682" s="233"/>
      <c r="X682" s="233"/>
      <c r="Y682" s="233"/>
      <c r="Z682" s="233"/>
      <c r="AA682" s="233"/>
      <c r="AB682" s="233"/>
    </row>
    <row r="683" spans="1:28" s="215" customFormat="1">
      <c r="A683" s="608"/>
      <c r="B683" s="608"/>
      <c r="C683" s="608"/>
      <c r="D683" s="608"/>
      <c r="G683" s="216"/>
      <c r="H683" s="231"/>
      <c r="I683" s="236"/>
      <c r="J683" s="233"/>
      <c r="K683" s="233"/>
      <c r="L683" s="233"/>
      <c r="M683" s="233"/>
      <c r="P683" s="233"/>
      <c r="Q683" s="233"/>
      <c r="R683" s="233"/>
      <c r="S683" s="233"/>
      <c r="V683" s="233"/>
      <c r="W683" s="233"/>
      <c r="X683" s="233"/>
      <c r="Y683" s="233"/>
      <c r="Z683" s="233"/>
      <c r="AA683" s="233"/>
      <c r="AB683" s="233"/>
    </row>
    <row r="684" spans="1:28" s="215" customFormat="1">
      <c r="A684" s="608"/>
      <c r="B684" s="608"/>
      <c r="C684" s="608"/>
      <c r="D684" s="608"/>
      <c r="G684" s="216"/>
      <c r="H684" s="231"/>
      <c r="I684" s="236"/>
      <c r="J684" s="233"/>
      <c r="K684" s="233"/>
      <c r="L684" s="233"/>
      <c r="M684" s="233"/>
      <c r="P684" s="233"/>
      <c r="Q684" s="233"/>
      <c r="R684" s="233"/>
      <c r="S684" s="233"/>
      <c r="V684" s="233"/>
      <c r="W684" s="233"/>
      <c r="X684" s="233"/>
      <c r="Y684" s="233"/>
      <c r="Z684" s="233"/>
      <c r="AA684" s="233"/>
      <c r="AB684" s="233"/>
    </row>
    <row r="685" spans="1:28" s="215" customFormat="1">
      <c r="A685" s="608"/>
      <c r="B685" s="608"/>
      <c r="C685" s="608"/>
      <c r="D685" s="608"/>
      <c r="G685" s="216"/>
      <c r="H685" s="231"/>
      <c r="I685" s="236"/>
      <c r="J685" s="233"/>
      <c r="K685" s="233"/>
      <c r="L685" s="233"/>
      <c r="M685" s="233"/>
      <c r="P685" s="233"/>
      <c r="Q685" s="233"/>
      <c r="R685" s="233"/>
      <c r="S685" s="233"/>
      <c r="V685" s="233"/>
      <c r="W685" s="233"/>
      <c r="X685" s="233"/>
      <c r="Y685" s="233"/>
      <c r="Z685" s="233"/>
      <c r="AA685" s="233"/>
      <c r="AB685" s="233"/>
    </row>
    <row r="686" spans="1:28" s="215" customFormat="1">
      <c r="A686" s="608"/>
      <c r="B686" s="608"/>
      <c r="C686" s="608"/>
      <c r="D686" s="608"/>
      <c r="G686" s="216"/>
      <c r="H686" s="231"/>
      <c r="I686" s="236"/>
      <c r="J686" s="233"/>
      <c r="K686" s="233"/>
      <c r="L686" s="233"/>
      <c r="M686" s="233"/>
      <c r="P686" s="233"/>
      <c r="Q686" s="233"/>
      <c r="R686" s="233"/>
      <c r="S686" s="233"/>
      <c r="V686" s="233"/>
      <c r="W686" s="233"/>
      <c r="X686" s="233"/>
      <c r="Y686" s="233"/>
      <c r="Z686" s="233"/>
      <c r="AA686" s="233"/>
      <c r="AB686" s="233"/>
    </row>
    <row r="687" spans="1:28" s="215" customFormat="1">
      <c r="A687" s="608"/>
      <c r="B687" s="608"/>
      <c r="C687" s="608"/>
      <c r="D687" s="608"/>
      <c r="G687" s="216"/>
      <c r="H687" s="231"/>
      <c r="I687" s="236"/>
      <c r="J687" s="233"/>
      <c r="K687" s="233"/>
      <c r="L687" s="233"/>
      <c r="M687" s="233"/>
      <c r="P687" s="233"/>
      <c r="Q687" s="233"/>
      <c r="R687" s="233"/>
      <c r="S687" s="233"/>
      <c r="V687" s="233"/>
      <c r="W687" s="233"/>
      <c r="X687" s="233"/>
      <c r="Y687" s="233"/>
      <c r="Z687" s="233"/>
      <c r="AA687" s="233"/>
      <c r="AB687" s="233"/>
    </row>
    <row r="688" spans="1:28" s="215" customFormat="1">
      <c r="A688" s="608"/>
      <c r="B688" s="608"/>
      <c r="C688" s="608"/>
      <c r="D688" s="608"/>
      <c r="G688" s="216"/>
      <c r="H688" s="231"/>
      <c r="I688" s="236"/>
      <c r="J688" s="233"/>
      <c r="K688" s="233"/>
      <c r="L688" s="233"/>
      <c r="M688" s="233"/>
      <c r="P688" s="233"/>
      <c r="Q688" s="233"/>
      <c r="R688" s="233"/>
      <c r="S688" s="233"/>
      <c r="V688" s="233"/>
      <c r="W688" s="233"/>
      <c r="X688" s="233"/>
      <c r="Y688" s="233"/>
      <c r="Z688" s="233"/>
      <c r="AA688" s="233"/>
      <c r="AB688" s="233"/>
    </row>
    <row r="689" spans="1:28" s="215" customFormat="1">
      <c r="A689" s="608"/>
      <c r="B689" s="608"/>
      <c r="C689" s="608"/>
      <c r="D689" s="608"/>
      <c r="G689" s="216"/>
      <c r="H689" s="231"/>
      <c r="I689" s="236"/>
      <c r="J689" s="233"/>
      <c r="K689" s="233"/>
      <c r="L689" s="233"/>
      <c r="M689" s="233"/>
      <c r="P689" s="233"/>
      <c r="Q689" s="233"/>
      <c r="R689" s="233"/>
      <c r="S689" s="233"/>
      <c r="V689" s="233"/>
      <c r="W689" s="233"/>
      <c r="X689" s="233"/>
      <c r="Y689" s="233"/>
      <c r="Z689" s="233"/>
      <c r="AA689" s="233"/>
      <c r="AB689" s="233"/>
    </row>
    <row r="690" spans="1:28" s="215" customFormat="1">
      <c r="A690" s="608"/>
      <c r="B690" s="608"/>
      <c r="C690" s="608"/>
      <c r="D690" s="608"/>
      <c r="G690" s="216"/>
      <c r="H690" s="231"/>
      <c r="I690" s="236"/>
      <c r="J690" s="233"/>
      <c r="K690" s="233"/>
      <c r="L690" s="233"/>
      <c r="M690" s="233"/>
      <c r="P690" s="233"/>
      <c r="Q690" s="233"/>
      <c r="R690" s="233"/>
      <c r="S690" s="233"/>
      <c r="V690" s="233"/>
      <c r="W690" s="233"/>
      <c r="X690" s="233"/>
      <c r="Y690" s="233"/>
      <c r="Z690" s="233"/>
      <c r="AA690" s="233"/>
      <c r="AB690" s="233"/>
    </row>
    <row r="691" spans="1:28" s="215" customFormat="1">
      <c r="A691" s="608"/>
      <c r="B691" s="608"/>
      <c r="C691" s="608"/>
      <c r="D691" s="608"/>
      <c r="G691" s="216"/>
      <c r="H691" s="231"/>
      <c r="I691" s="236"/>
      <c r="J691" s="233"/>
      <c r="K691" s="233"/>
      <c r="L691" s="233"/>
      <c r="M691" s="233"/>
      <c r="P691" s="233"/>
      <c r="Q691" s="233"/>
      <c r="R691" s="233"/>
      <c r="S691" s="233"/>
      <c r="V691" s="233"/>
      <c r="W691" s="233"/>
      <c r="X691" s="233"/>
      <c r="Y691" s="233"/>
      <c r="Z691" s="233"/>
      <c r="AA691" s="233"/>
      <c r="AB691" s="233"/>
    </row>
    <row r="692" spans="1:28" s="215" customFormat="1">
      <c r="A692" s="608"/>
      <c r="B692" s="608"/>
      <c r="C692" s="608"/>
      <c r="D692" s="608"/>
      <c r="G692" s="216"/>
      <c r="H692" s="231"/>
      <c r="I692" s="236"/>
      <c r="J692" s="233"/>
      <c r="K692" s="233"/>
      <c r="L692" s="233"/>
      <c r="M692" s="233"/>
      <c r="P692" s="233"/>
      <c r="Q692" s="233"/>
      <c r="R692" s="233"/>
      <c r="S692" s="233"/>
      <c r="V692" s="233"/>
      <c r="W692" s="233"/>
      <c r="X692" s="233"/>
      <c r="Y692" s="233"/>
      <c r="Z692" s="233"/>
      <c r="AA692" s="233"/>
      <c r="AB692" s="233"/>
    </row>
    <row r="693" spans="1:28" s="215" customFormat="1">
      <c r="A693" s="608"/>
      <c r="B693" s="608"/>
      <c r="C693" s="608"/>
      <c r="D693" s="608"/>
      <c r="G693" s="216"/>
      <c r="H693" s="231"/>
      <c r="I693" s="236"/>
      <c r="J693" s="233"/>
      <c r="K693" s="233"/>
      <c r="L693" s="233"/>
      <c r="M693" s="233"/>
      <c r="P693" s="233"/>
      <c r="Q693" s="233"/>
      <c r="R693" s="233"/>
      <c r="S693" s="233"/>
      <c r="V693" s="233"/>
      <c r="W693" s="233"/>
      <c r="X693" s="233"/>
      <c r="Y693" s="233"/>
      <c r="Z693" s="233"/>
      <c r="AA693" s="233"/>
      <c r="AB693" s="233"/>
    </row>
    <row r="694" spans="1:28" s="215" customFormat="1">
      <c r="A694" s="608"/>
      <c r="B694" s="608"/>
      <c r="C694" s="608"/>
      <c r="D694" s="608"/>
      <c r="G694" s="216"/>
      <c r="H694" s="231"/>
      <c r="I694" s="236"/>
      <c r="J694" s="233"/>
      <c r="K694" s="233"/>
      <c r="L694" s="233"/>
      <c r="M694" s="233"/>
      <c r="P694" s="233"/>
      <c r="Q694" s="233"/>
      <c r="R694" s="233"/>
      <c r="S694" s="233"/>
      <c r="V694" s="233"/>
      <c r="W694" s="233"/>
      <c r="X694" s="233"/>
      <c r="Y694" s="233"/>
      <c r="Z694" s="233"/>
      <c r="AA694" s="233"/>
      <c r="AB694" s="233"/>
    </row>
    <row r="695" spans="1:28" s="215" customFormat="1">
      <c r="A695" s="608"/>
      <c r="B695" s="608"/>
      <c r="C695" s="608"/>
      <c r="D695" s="608"/>
      <c r="G695" s="216"/>
      <c r="H695" s="231"/>
      <c r="I695" s="236"/>
      <c r="J695" s="233"/>
      <c r="K695" s="233"/>
      <c r="L695" s="233"/>
      <c r="M695" s="233"/>
      <c r="P695" s="233"/>
      <c r="Q695" s="233"/>
      <c r="R695" s="233"/>
      <c r="S695" s="233"/>
      <c r="V695" s="233"/>
      <c r="W695" s="233"/>
      <c r="X695" s="233"/>
      <c r="Y695" s="233"/>
      <c r="Z695" s="233"/>
      <c r="AA695" s="233"/>
      <c r="AB695" s="233"/>
    </row>
    <row r="696" spans="1:28" s="215" customFormat="1">
      <c r="A696" s="608"/>
      <c r="B696" s="608"/>
      <c r="C696" s="608"/>
      <c r="D696" s="608"/>
      <c r="G696" s="216"/>
      <c r="H696" s="231"/>
      <c r="I696" s="236"/>
      <c r="J696" s="233"/>
      <c r="K696" s="233"/>
      <c r="L696" s="233"/>
      <c r="M696" s="233"/>
      <c r="P696" s="233"/>
      <c r="Q696" s="233"/>
      <c r="R696" s="233"/>
      <c r="S696" s="233"/>
      <c r="V696" s="233"/>
      <c r="W696" s="233"/>
      <c r="X696" s="233"/>
      <c r="Y696" s="233"/>
      <c r="Z696" s="233"/>
      <c r="AA696" s="233"/>
      <c r="AB696" s="233"/>
    </row>
    <row r="697" spans="1:28" s="215" customFormat="1">
      <c r="A697" s="608"/>
      <c r="B697" s="608"/>
      <c r="C697" s="608"/>
      <c r="D697" s="608"/>
      <c r="G697" s="216"/>
      <c r="H697" s="231"/>
      <c r="I697" s="236"/>
      <c r="J697" s="233"/>
      <c r="K697" s="233"/>
      <c r="L697" s="233"/>
      <c r="M697" s="233"/>
      <c r="P697" s="233"/>
      <c r="Q697" s="233"/>
      <c r="R697" s="233"/>
      <c r="S697" s="233"/>
      <c r="V697" s="233"/>
      <c r="W697" s="233"/>
      <c r="X697" s="233"/>
      <c r="Y697" s="233"/>
      <c r="Z697" s="233"/>
      <c r="AA697" s="233"/>
      <c r="AB697" s="233"/>
    </row>
    <row r="698" spans="1:28" s="215" customFormat="1">
      <c r="A698" s="608"/>
      <c r="B698" s="608"/>
      <c r="C698" s="608"/>
      <c r="D698" s="608"/>
      <c r="G698" s="216"/>
      <c r="H698" s="231"/>
      <c r="I698" s="236"/>
      <c r="J698" s="233"/>
      <c r="K698" s="233"/>
      <c r="L698" s="233"/>
      <c r="M698" s="233"/>
      <c r="P698" s="233"/>
      <c r="Q698" s="233"/>
      <c r="R698" s="233"/>
      <c r="S698" s="233"/>
      <c r="V698" s="233"/>
      <c r="W698" s="233"/>
      <c r="X698" s="233"/>
      <c r="Y698" s="233"/>
      <c r="Z698" s="233"/>
      <c r="AA698" s="233"/>
      <c r="AB698" s="233"/>
    </row>
    <row r="699" spans="1:28" s="215" customFormat="1">
      <c r="A699" s="608"/>
      <c r="B699" s="608"/>
      <c r="C699" s="608"/>
      <c r="D699" s="608"/>
      <c r="G699" s="216"/>
      <c r="H699" s="231"/>
      <c r="I699" s="236"/>
      <c r="J699" s="233"/>
      <c r="K699" s="233"/>
      <c r="L699" s="233"/>
      <c r="M699" s="233"/>
      <c r="P699" s="233"/>
      <c r="Q699" s="233"/>
      <c r="R699" s="233"/>
      <c r="S699" s="233"/>
      <c r="V699" s="233"/>
      <c r="W699" s="233"/>
      <c r="X699" s="233"/>
      <c r="Y699" s="233"/>
      <c r="Z699" s="233"/>
      <c r="AA699" s="233"/>
      <c r="AB699" s="233"/>
    </row>
    <row r="700" spans="1:28" s="215" customFormat="1">
      <c r="A700" s="608"/>
      <c r="B700" s="608"/>
      <c r="C700" s="608"/>
      <c r="D700" s="608"/>
      <c r="G700" s="216"/>
      <c r="H700" s="231"/>
      <c r="I700" s="236"/>
      <c r="J700" s="233"/>
      <c r="K700" s="233"/>
      <c r="L700" s="233"/>
      <c r="M700" s="233"/>
      <c r="P700" s="233"/>
      <c r="Q700" s="233"/>
      <c r="R700" s="233"/>
      <c r="S700" s="233"/>
      <c r="V700" s="233"/>
      <c r="W700" s="233"/>
      <c r="X700" s="233"/>
      <c r="Y700" s="233"/>
      <c r="Z700" s="233"/>
      <c r="AA700" s="233"/>
      <c r="AB700" s="233"/>
    </row>
    <row r="701" spans="1:28" s="215" customFormat="1">
      <c r="A701" s="608"/>
      <c r="B701" s="608"/>
      <c r="C701" s="608"/>
      <c r="D701" s="608"/>
      <c r="G701" s="216"/>
      <c r="H701" s="231"/>
      <c r="I701" s="236"/>
      <c r="J701" s="233"/>
      <c r="K701" s="233"/>
      <c r="L701" s="233"/>
      <c r="M701" s="233"/>
      <c r="P701" s="233"/>
      <c r="Q701" s="233"/>
      <c r="R701" s="233"/>
      <c r="S701" s="233"/>
      <c r="V701" s="233"/>
      <c r="W701" s="233"/>
      <c r="X701" s="233"/>
      <c r="Y701" s="233"/>
      <c r="Z701" s="233"/>
      <c r="AA701" s="233"/>
      <c r="AB701" s="233"/>
    </row>
    <row r="702" spans="1:28" s="215" customFormat="1">
      <c r="A702" s="608"/>
      <c r="B702" s="608"/>
      <c r="C702" s="608"/>
      <c r="D702" s="608"/>
      <c r="G702" s="216"/>
      <c r="H702" s="231"/>
      <c r="I702" s="236"/>
      <c r="J702" s="233"/>
      <c r="K702" s="233"/>
      <c r="L702" s="233"/>
      <c r="M702" s="233"/>
      <c r="P702" s="233"/>
      <c r="Q702" s="233"/>
      <c r="R702" s="233"/>
      <c r="S702" s="233"/>
      <c r="V702" s="233"/>
      <c r="W702" s="233"/>
      <c r="X702" s="233"/>
      <c r="Y702" s="233"/>
      <c r="Z702" s="233"/>
      <c r="AA702" s="233"/>
      <c r="AB702" s="233"/>
    </row>
    <row r="703" spans="1:28" s="215" customFormat="1">
      <c r="A703" s="608"/>
      <c r="B703" s="608"/>
      <c r="C703" s="608"/>
      <c r="D703" s="608"/>
      <c r="G703" s="216"/>
      <c r="H703" s="231"/>
      <c r="I703" s="236"/>
      <c r="J703" s="233"/>
      <c r="K703" s="233"/>
      <c r="L703" s="233"/>
      <c r="M703" s="233"/>
      <c r="P703" s="233"/>
      <c r="Q703" s="233"/>
      <c r="R703" s="233"/>
      <c r="S703" s="233"/>
      <c r="V703" s="233"/>
      <c r="W703" s="233"/>
      <c r="X703" s="233"/>
      <c r="Y703" s="233"/>
      <c r="Z703" s="233"/>
      <c r="AA703" s="233"/>
      <c r="AB703" s="233"/>
    </row>
    <row r="704" spans="1:28" s="215" customFormat="1">
      <c r="A704" s="608"/>
      <c r="B704" s="608"/>
      <c r="C704" s="608"/>
      <c r="D704" s="608"/>
      <c r="G704" s="216"/>
      <c r="H704" s="231"/>
      <c r="I704" s="236"/>
      <c r="J704" s="233"/>
      <c r="K704" s="233"/>
      <c r="L704" s="233"/>
      <c r="M704" s="233"/>
      <c r="P704" s="233"/>
      <c r="Q704" s="233"/>
      <c r="R704" s="233"/>
      <c r="S704" s="233"/>
      <c r="V704" s="233"/>
      <c r="W704" s="233"/>
      <c r="X704" s="233"/>
      <c r="Y704" s="233"/>
      <c r="Z704" s="233"/>
      <c r="AA704" s="233"/>
      <c r="AB704" s="233"/>
    </row>
    <row r="705" spans="1:28" s="215" customFormat="1">
      <c r="A705" s="608"/>
      <c r="B705" s="608"/>
      <c r="C705" s="608"/>
      <c r="D705" s="608"/>
      <c r="G705" s="216"/>
      <c r="H705" s="231"/>
      <c r="I705" s="236"/>
      <c r="J705" s="233"/>
      <c r="K705" s="233"/>
      <c r="L705" s="233"/>
      <c r="M705" s="233"/>
      <c r="P705" s="233"/>
      <c r="Q705" s="233"/>
      <c r="R705" s="233"/>
      <c r="S705" s="233"/>
      <c r="V705" s="233"/>
      <c r="W705" s="233"/>
      <c r="X705" s="233"/>
      <c r="Y705" s="233"/>
      <c r="Z705" s="233"/>
      <c r="AA705" s="233"/>
      <c r="AB705" s="233"/>
    </row>
    <row r="706" spans="1:28" s="215" customFormat="1">
      <c r="A706" s="608"/>
      <c r="B706" s="608"/>
      <c r="C706" s="608"/>
      <c r="D706" s="608"/>
      <c r="G706" s="216"/>
      <c r="H706" s="231"/>
      <c r="I706" s="236"/>
      <c r="J706" s="233"/>
      <c r="K706" s="233"/>
      <c r="L706" s="233"/>
      <c r="M706" s="233"/>
      <c r="P706" s="233"/>
      <c r="Q706" s="233"/>
      <c r="R706" s="233"/>
      <c r="S706" s="233"/>
      <c r="V706" s="233"/>
      <c r="W706" s="233"/>
      <c r="X706" s="233"/>
      <c r="Y706" s="233"/>
      <c r="Z706" s="233"/>
      <c r="AA706" s="233"/>
      <c r="AB706" s="233"/>
    </row>
    <row r="707" spans="1:28" s="215" customFormat="1">
      <c r="A707" s="608"/>
      <c r="B707" s="608"/>
      <c r="C707" s="608"/>
      <c r="D707" s="608"/>
      <c r="G707" s="216"/>
      <c r="H707" s="231"/>
      <c r="I707" s="236"/>
      <c r="J707" s="233"/>
      <c r="K707" s="233"/>
      <c r="L707" s="233"/>
      <c r="M707" s="233"/>
      <c r="P707" s="233"/>
      <c r="Q707" s="233"/>
      <c r="R707" s="233"/>
      <c r="S707" s="233"/>
      <c r="V707" s="233"/>
      <c r="W707" s="233"/>
      <c r="X707" s="233"/>
      <c r="Y707" s="233"/>
      <c r="Z707" s="233"/>
      <c r="AA707" s="233"/>
      <c r="AB707" s="233"/>
    </row>
    <row r="708" spans="1:28" s="215" customFormat="1">
      <c r="A708" s="608"/>
      <c r="B708" s="608"/>
      <c r="C708" s="608"/>
      <c r="D708" s="608"/>
      <c r="G708" s="216"/>
      <c r="H708" s="231"/>
      <c r="I708" s="236"/>
      <c r="J708" s="233"/>
      <c r="K708" s="233"/>
      <c r="L708" s="233"/>
      <c r="M708" s="233"/>
      <c r="P708" s="233"/>
      <c r="Q708" s="233"/>
      <c r="R708" s="233"/>
      <c r="S708" s="233"/>
      <c r="V708" s="233"/>
      <c r="W708" s="233"/>
      <c r="X708" s="233"/>
      <c r="Y708" s="233"/>
      <c r="Z708" s="233"/>
      <c r="AA708" s="233"/>
      <c r="AB708" s="233"/>
    </row>
    <row r="709" spans="1:28" s="215" customFormat="1">
      <c r="A709" s="608"/>
      <c r="B709" s="608"/>
      <c r="C709" s="608"/>
      <c r="D709" s="608"/>
      <c r="G709" s="216"/>
      <c r="H709" s="231"/>
      <c r="I709" s="236"/>
      <c r="J709" s="233"/>
      <c r="K709" s="233"/>
      <c r="L709" s="233"/>
      <c r="M709" s="233"/>
      <c r="P709" s="233"/>
      <c r="Q709" s="233"/>
      <c r="R709" s="233"/>
      <c r="S709" s="233"/>
      <c r="V709" s="233"/>
      <c r="W709" s="233"/>
      <c r="X709" s="233"/>
      <c r="Y709" s="233"/>
      <c r="Z709" s="233"/>
      <c r="AA709" s="233"/>
      <c r="AB709" s="233"/>
    </row>
    <row r="710" spans="1:28" s="215" customFormat="1">
      <c r="A710" s="608"/>
      <c r="B710" s="608"/>
      <c r="C710" s="608"/>
      <c r="D710" s="608"/>
      <c r="G710" s="216"/>
      <c r="H710" s="231"/>
      <c r="I710" s="236"/>
      <c r="J710" s="233"/>
      <c r="K710" s="233"/>
      <c r="L710" s="233"/>
      <c r="M710" s="233"/>
      <c r="P710" s="233"/>
      <c r="Q710" s="233"/>
      <c r="R710" s="233"/>
      <c r="S710" s="233"/>
      <c r="V710" s="233"/>
      <c r="W710" s="233"/>
      <c r="X710" s="233"/>
      <c r="Y710" s="233"/>
      <c r="Z710" s="233"/>
      <c r="AA710" s="233"/>
      <c r="AB710" s="233"/>
    </row>
    <row r="711" spans="1:28" s="215" customFormat="1">
      <c r="A711" s="608"/>
      <c r="B711" s="608"/>
      <c r="C711" s="608"/>
      <c r="D711" s="608"/>
      <c r="G711" s="216"/>
      <c r="H711" s="231"/>
      <c r="I711" s="236"/>
      <c r="J711" s="233"/>
      <c r="K711" s="233"/>
      <c r="L711" s="233"/>
      <c r="M711" s="233"/>
      <c r="P711" s="233"/>
      <c r="Q711" s="233"/>
      <c r="R711" s="233"/>
      <c r="S711" s="233"/>
      <c r="V711" s="233"/>
      <c r="W711" s="233"/>
      <c r="X711" s="233"/>
      <c r="Y711" s="233"/>
      <c r="Z711" s="233"/>
      <c r="AA711" s="233"/>
      <c r="AB711" s="233"/>
    </row>
    <row r="712" spans="1:28" s="215" customFormat="1">
      <c r="A712" s="608"/>
      <c r="B712" s="608"/>
      <c r="C712" s="608"/>
      <c r="D712" s="608"/>
      <c r="G712" s="216"/>
      <c r="H712" s="231"/>
      <c r="I712" s="236"/>
      <c r="J712" s="233"/>
      <c r="K712" s="233"/>
      <c r="L712" s="233"/>
      <c r="M712" s="233"/>
      <c r="P712" s="233"/>
      <c r="Q712" s="233"/>
      <c r="R712" s="233"/>
      <c r="S712" s="233"/>
      <c r="V712" s="233"/>
      <c r="W712" s="233"/>
      <c r="X712" s="233"/>
      <c r="Y712" s="233"/>
      <c r="Z712" s="233"/>
      <c r="AA712" s="233"/>
      <c r="AB712" s="233"/>
    </row>
    <row r="713" spans="1:28" s="215" customFormat="1">
      <c r="A713" s="608"/>
      <c r="B713" s="608"/>
      <c r="C713" s="608"/>
      <c r="D713" s="608"/>
      <c r="G713" s="216"/>
      <c r="H713" s="231"/>
      <c r="I713" s="236"/>
      <c r="J713" s="233"/>
      <c r="K713" s="233"/>
      <c r="L713" s="233"/>
      <c r="M713" s="233"/>
      <c r="P713" s="233"/>
      <c r="Q713" s="233"/>
      <c r="R713" s="233"/>
      <c r="S713" s="233"/>
      <c r="V713" s="233"/>
      <c r="W713" s="233"/>
      <c r="X713" s="233"/>
      <c r="Y713" s="233"/>
      <c r="Z713" s="233"/>
      <c r="AA713" s="233"/>
      <c r="AB713" s="233"/>
    </row>
    <row r="714" spans="1:28" s="215" customFormat="1">
      <c r="A714" s="608"/>
      <c r="B714" s="608"/>
      <c r="C714" s="608"/>
      <c r="D714" s="608"/>
      <c r="G714" s="216"/>
      <c r="H714" s="231"/>
      <c r="I714" s="236"/>
      <c r="J714" s="233"/>
      <c r="K714" s="233"/>
      <c r="L714" s="233"/>
      <c r="M714" s="233"/>
      <c r="P714" s="233"/>
      <c r="Q714" s="233"/>
      <c r="R714" s="233"/>
      <c r="S714" s="233"/>
      <c r="V714" s="233"/>
      <c r="W714" s="233"/>
      <c r="X714" s="233"/>
      <c r="Y714" s="233"/>
      <c r="Z714" s="233"/>
      <c r="AA714" s="233"/>
      <c r="AB714" s="233"/>
    </row>
    <row r="715" spans="1:28" s="215" customFormat="1">
      <c r="A715" s="608"/>
      <c r="B715" s="608"/>
      <c r="C715" s="608"/>
      <c r="D715" s="608"/>
      <c r="G715" s="216"/>
      <c r="H715" s="231"/>
      <c r="I715" s="236"/>
      <c r="J715" s="233"/>
      <c r="K715" s="233"/>
      <c r="L715" s="233"/>
      <c r="M715" s="233"/>
      <c r="P715" s="233"/>
      <c r="Q715" s="233"/>
      <c r="R715" s="233"/>
      <c r="S715" s="233"/>
      <c r="V715" s="233"/>
      <c r="W715" s="233"/>
      <c r="X715" s="233"/>
      <c r="Y715" s="233"/>
      <c r="Z715" s="233"/>
      <c r="AA715" s="233"/>
      <c r="AB715" s="233"/>
    </row>
    <row r="716" spans="1:28" s="215" customFormat="1">
      <c r="A716" s="608"/>
      <c r="B716" s="608"/>
      <c r="C716" s="608"/>
      <c r="D716" s="608"/>
      <c r="G716" s="216"/>
      <c r="H716" s="231"/>
      <c r="I716" s="236"/>
      <c r="J716" s="233"/>
      <c r="K716" s="233"/>
      <c r="L716" s="233"/>
      <c r="M716" s="233"/>
      <c r="P716" s="233"/>
      <c r="Q716" s="233"/>
      <c r="R716" s="233"/>
      <c r="S716" s="233"/>
      <c r="V716" s="233"/>
      <c r="W716" s="233"/>
      <c r="X716" s="233"/>
      <c r="Y716" s="233"/>
      <c r="Z716" s="233"/>
      <c r="AA716" s="233"/>
      <c r="AB716" s="233"/>
    </row>
    <row r="717" spans="1:28" s="215" customFormat="1">
      <c r="A717" s="608"/>
      <c r="B717" s="608"/>
      <c r="C717" s="608"/>
      <c r="D717" s="608"/>
      <c r="G717" s="216"/>
      <c r="H717" s="231"/>
      <c r="I717" s="236"/>
      <c r="J717" s="233"/>
      <c r="K717" s="233"/>
      <c r="L717" s="233"/>
      <c r="M717" s="233"/>
      <c r="P717" s="233"/>
      <c r="Q717" s="233"/>
      <c r="R717" s="233"/>
      <c r="S717" s="233"/>
      <c r="V717" s="233"/>
      <c r="W717" s="233"/>
      <c r="X717" s="233"/>
      <c r="Y717" s="233"/>
      <c r="Z717" s="233"/>
      <c r="AA717" s="233"/>
      <c r="AB717" s="233"/>
    </row>
    <row r="718" spans="1:28" s="215" customFormat="1">
      <c r="A718" s="608"/>
      <c r="B718" s="608"/>
      <c r="C718" s="608"/>
      <c r="D718" s="608"/>
      <c r="G718" s="216"/>
      <c r="H718" s="231"/>
      <c r="I718" s="236"/>
      <c r="J718" s="233"/>
      <c r="K718" s="233"/>
      <c r="L718" s="233"/>
      <c r="M718" s="233"/>
      <c r="P718" s="233"/>
      <c r="Q718" s="233"/>
      <c r="R718" s="233"/>
      <c r="S718" s="233"/>
      <c r="V718" s="233"/>
      <c r="W718" s="233"/>
      <c r="X718" s="233"/>
      <c r="Y718" s="233"/>
      <c r="Z718" s="233"/>
      <c r="AA718" s="233"/>
      <c r="AB718" s="233"/>
    </row>
    <row r="719" spans="1:28" s="215" customFormat="1">
      <c r="A719" s="608"/>
      <c r="B719" s="608"/>
      <c r="C719" s="608"/>
      <c r="D719" s="608"/>
      <c r="G719" s="216"/>
      <c r="H719" s="231"/>
      <c r="I719" s="236"/>
      <c r="J719" s="233"/>
      <c r="K719" s="233"/>
      <c r="L719" s="233"/>
      <c r="M719" s="233"/>
      <c r="P719" s="233"/>
      <c r="Q719" s="233"/>
      <c r="R719" s="233"/>
      <c r="S719" s="233"/>
      <c r="V719" s="233"/>
      <c r="W719" s="233"/>
      <c r="X719" s="233"/>
      <c r="Y719" s="233"/>
      <c r="Z719" s="233"/>
      <c r="AA719" s="233"/>
      <c r="AB719" s="233"/>
    </row>
    <row r="720" spans="1:28" s="215" customFormat="1">
      <c r="A720" s="608"/>
      <c r="B720" s="608"/>
      <c r="C720" s="608"/>
      <c r="D720" s="608"/>
      <c r="G720" s="216"/>
      <c r="H720" s="231"/>
      <c r="I720" s="236"/>
      <c r="J720" s="233"/>
      <c r="K720" s="233"/>
      <c r="L720" s="233"/>
      <c r="M720" s="233"/>
      <c r="P720" s="233"/>
      <c r="Q720" s="233"/>
      <c r="R720" s="233"/>
      <c r="S720" s="233"/>
      <c r="V720" s="233"/>
      <c r="W720" s="233"/>
      <c r="X720" s="233"/>
      <c r="Y720" s="233"/>
      <c r="Z720" s="233"/>
      <c r="AA720" s="233"/>
      <c r="AB720" s="233"/>
    </row>
    <row r="721" spans="1:28" s="215" customFormat="1">
      <c r="A721" s="608"/>
      <c r="B721" s="608"/>
      <c r="C721" s="608"/>
      <c r="D721" s="608"/>
      <c r="G721" s="216"/>
      <c r="H721" s="231"/>
      <c r="I721" s="236"/>
      <c r="J721" s="233"/>
      <c r="K721" s="233"/>
      <c r="L721" s="233"/>
      <c r="M721" s="233"/>
      <c r="P721" s="233"/>
      <c r="Q721" s="233"/>
      <c r="R721" s="233"/>
      <c r="S721" s="233"/>
      <c r="V721" s="233"/>
      <c r="W721" s="233"/>
      <c r="X721" s="233"/>
      <c r="Y721" s="233"/>
      <c r="Z721" s="233"/>
      <c r="AA721" s="233"/>
      <c r="AB721" s="233"/>
    </row>
    <row r="722" spans="1:28" s="215" customFormat="1">
      <c r="A722" s="608"/>
      <c r="B722" s="608"/>
      <c r="C722" s="608"/>
      <c r="D722" s="608"/>
      <c r="G722" s="216"/>
      <c r="H722" s="231"/>
      <c r="I722" s="236"/>
      <c r="J722" s="233"/>
      <c r="K722" s="233"/>
      <c r="L722" s="233"/>
      <c r="M722" s="233"/>
      <c r="P722" s="233"/>
      <c r="Q722" s="233"/>
      <c r="R722" s="233"/>
      <c r="S722" s="233"/>
      <c r="V722" s="233"/>
      <c r="W722" s="233"/>
      <c r="X722" s="233"/>
      <c r="Y722" s="233"/>
      <c r="Z722" s="233"/>
      <c r="AA722" s="233"/>
      <c r="AB722" s="233"/>
    </row>
    <row r="723" spans="1:28" s="215" customFormat="1">
      <c r="A723" s="608"/>
      <c r="B723" s="608"/>
      <c r="C723" s="608"/>
      <c r="D723" s="608"/>
      <c r="G723" s="216"/>
      <c r="H723" s="231"/>
      <c r="I723" s="236"/>
      <c r="J723" s="233"/>
      <c r="K723" s="233"/>
      <c r="L723" s="233"/>
      <c r="M723" s="233"/>
      <c r="P723" s="233"/>
      <c r="Q723" s="233"/>
      <c r="R723" s="233"/>
      <c r="S723" s="233"/>
      <c r="V723" s="233"/>
      <c r="W723" s="233"/>
      <c r="X723" s="233"/>
      <c r="Y723" s="233"/>
      <c r="Z723" s="233"/>
      <c r="AA723" s="233"/>
      <c r="AB723" s="233"/>
    </row>
    <row r="724" spans="1:28" s="215" customFormat="1">
      <c r="A724" s="608"/>
      <c r="B724" s="608"/>
      <c r="C724" s="608"/>
      <c r="D724" s="608"/>
      <c r="G724" s="216"/>
      <c r="H724" s="231"/>
      <c r="I724" s="236"/>
      <c r="J724" s="233"/>
      <c r="K724" s="233"/>
      <c r="L724" s="233"/>
      <c r="M724" s="233"/>
      <c r="P724" s="233"/>
      <c r="Q724" s="233"/>
      <c r="R724" s="233"/>
      <c r="S724" s="233"/>
      <c r="V724" s="233"/>
      <c r="W724" s="233"/>
      <c r="X724" s="233"/>
      <c r="Y724" s="233"/>
      <c r="Z724" s="233"/>
      <c r="AA724" s="233"/>
      <c r="AB724" s="233"/>
    </row>
    <row r="725" spans="1:28" s="215" customFormat="1">
      <c r="A725" s="608"/>
      <c r="B725" s="608"/>
      <c r="C725" s="608"/>
      <c r="D725" s="608"/>
      <c r="G725" s="216"/>
      <c r="H725" s="231"/>
      <c r="I725" s="236"/>
      <c r="J725" s="233"/>
      <c r="K725" s="233"/>
      <c r="L725" s="233"/>
      <c r="M725" s="233"/>
      <c r="P725" s="233"/>
      <c r="Q725" s="233"/>
      <c r="R725" s="233"/>
      <c r="S725" s="233"/>
      <c r="V725" s="233"/>
      <c r="W725" s="233"/>
      <c r="X725" s="233"/>
      <c r="Y725" s="233"/>
      <c r="Z725" s="233"/>
      <c r="AA725" s="233"/>
      <c r="AB725" s="233"/>
    </row>
    <row r="726" spans="1:28" s="215" customFormat="1">
      <c r="A726" s="608"/>
      <c r="B726" s="608"/>
      <c r="C726" s="608"/>
      <c r="D726" s="608"/>
      <c r="G726" s="216"/>
      <c r="H726" s="231"/>
      <c r="I726" s="236"/>
      <c r="J726" s="233"/>
      <c r="K726" s="233"/>
      <c r="L726" s="233"/>
      <c r="M726" s="233"/>
      <c r="P726" s="233"/>
      <c r="Q726" s="233"/>
      <c r="R726" s="233"/>
      <c r="S726" s="233"/>
      <c r="V726" s="233"/>
      <c r="W726" s="233"/>
      <c r="X726" s="233"/>
      <c r="Y726" s="233"/>
      <c r="Z726" s="233"/>
      <c r="AA726" s="233"/>
      <c r="AB726" s="233"/>
    </row>
    <row r="727" spans="1:28" s="215" customFormat="1">
      <c r="A727" s="608"/>
      <c r="B727" s="608"/>
      <c r="C727" s="608"/>
      <c r="D727" s="608"/>
      <c r="G727" s="216"/>
      <c r="H727" s="231"/>
      <c r="I727" s="236"/>
      <c r="J727" s="233"/>
      <c r="K727" s="233"/>
      <c r="L727" s="233"/>
      <c r="M727" s="233"/>
      <c r="P727" s="233"/>
      <c r="Q727" s="233"/>
      <c r="R727" s="233"/>
      <c r="S727" s="233"/>
      <c r="V727" s="233"/>
      <c r="W727" s="233"/>
      <c r="X727" s="233"/>
      <c r="Y727" s="233"/>
      <c r="Z727" s="233"/>
      <c r="AA727" s="233"/>
      <c r="AB727" s="233"/>
    </row>
    <row r="728" spans="1:28" s="215" customFormat="1">
      <c r="A728" s="608"/>
      <c r="B728" s="608"/>
      <c r="C728" s="608"/>
      <c r="D728" s="608"/>
      <c r="G728" s="216"/>
      <c r="H728" s="231"/>
      <c r="I728" s="236"/>
      <c r="J728" s="233"/>
      <c r="K728" s="233"/>
      <c r="L728" s="233"/>
      <c r="M728" s="233"/>
      <c r="P728" s="233"/>
      <c r="Q728" s="233"/>
      <c r="R728" s="233"/>
      <c r="S728" s="233"/>
      <c r="V728" s="233"/>
      <c r="W728" s="233"/>
      <c r="X728" s="233"/>
      <c r="Y728" s="233"/>
      <c r="Z728" s="233"/>
      <c r="AA728" s="233"/>
      <c r="AB728" s="233"/>
    </row>
    <row r="729" spans="1:28" s="215" customFormat="1">
      <c r="A729" s="608"/>
      <c r="B729" s="608"/>
      <c r="C729" s="608"/>
      <c r="D729" s="608"/>
      <c r="G729" s="216"/>
      <c r="H729" s="231"/>
      <c r="I729" s="236"/>
      <c r="J729" s="233"/>
      <c r="K729" s="233"/>
      <c r="L729" s="233"/>
      <c r="M729" s="233"/>
      <c r="P729" s="233"/>
      <c r="Q729" s="233"/>
      <c r="R729" s="233"/>
      <c r="S729" s="233"/>
      <c r="V729" s="233"/>
      <c r="W729" s="233"/>
      <c r="X729" s="233"/>
      <c r="Y729" s="233"/>
      <c r="Z729" s="233"/>
      <c r="AA729" s="233"/>
      <c r="AB729" s="233"/>
    </row>
    <row r="730" spans="1:28" s="215" customFormat="1">
      <c r="A730" s="608"/>
      <c r="B730" s="608"/>
      <c r="C730" s="608"/>
      <c r="D730" s="608"/>
      <c r="G730" s="216"/>
      <c r="H730" s="231"/>
      <c r="I730" s="236"/>
      <c r="J730" s="233"/>
      <c r="K730" s="233"/>
      <c r="L730" s="233"/>
      <c r="M730" s="233"/>
      <c r="P730" s="233"/>
      <c r="Q730" s="233"/>
      <c r="R730" s="233"/>
      <c r="S730" s="233"/>
      <c r="V730" s="233"/>
      <c r="W730" s="233"/>
      <c r="X730" s="233"/>
      <c r="Y730" s="233"/>
      <c r="Z730" s="233"/>
      <c r="AA730" s="233"/>
      <c r="AB730" s="233"/>
    </row>
    <row r="731" spans="1:28" s="215" customFormat="1">
      <c r="A731" s="608"/>
      <c r="B731" s="608"/>
      <c r="C731" s="608"/>
      <c r="D731" s="608"/>
      <c r="G731" s="216"/>
      <c r="H731" s="231"/>
      <c r="I731" s="236"/>
      <c r="J731" s="233"/>
      <c r="K731" s="233"/>
      <c r="L731" s="233"/>
      <c r="M731" s="233"/>
      <c r="P731" s="233"/>
      <c r="Q731" s="233"/>
      <c r="R731" s="233"/>
      <c r="S731" s="233"/>
      <c r="V731" s="233"/>
      <c r="W731" s="233"/>
      <c r="X731" s="233"/>
      <c r="Y731" s="233"/>
      <c r="Z731" s="233"/>
      <c r="AA731" s="233"/>
      <c r="AB731" s="233"/>
    </row>
    <row r="732" spans="1:28" s="215" customFormat="1">
      <c r="A732" s="608"/>
      <c r="B732" s="608"/>
      <c r="C732" s="608"/>
      <c r="D732" s="608"/>
      <c r="G732" s="216"/>
      <c r="H732" s="231"/>
      <c r="I732" s="236"/>
      <c r="J732" s="233"/>
      <c r="K732" s="233"/>
      <c r="L732" s="233"/>
      <c r="M732" s="233"/>
      <c r="P732" s="233"/>
      <c r="Q732" s="233"/>
      <c r="R732" s="233"/>
      <c r="S732" s="233"/>
      <c r="V732" s="233"/>
      <c r="W732" s="233"/>
      <c r="X732" s="233"/>
      <c r="Y732" s="233"/>
      <c r="Z732" s="233"/>
      <c r="AA732" s="233"/>
      <c r="AB732" s="233"/>
    </row>
    <row r="733" spans="1:28" s="215" customFormat="1">
      <c r="A733" s="608"/>
      <c r="B733" s="608"/>
      <c r="C733" s="608"/>
      <c r="D733" s="608"/>
      <c r="G733" s="216"/>
      <c r="H733" s="231"/>
      <c r="I733" s="236"/>
      <c r="J733" s="233"/>
      <c r="K733" s="233"/>
      <c r="L733" s="233"/>
      <c r="M733" s="233"/>
      <c r="P733" s="233"/>
      <c r="Q733" s="233"/>
      <c r="R733" s="233"/>
      <c r="S733" s="233"/>
      <c r="V733" s="233"/>
      <c r="W733" s="233"/>
      <c r="X733" s="233"/>
      <c r="Y733" s="233"/>
      <c r="Z733" s="233"/>
      <c r="AA733" s="233"/>
      <c r="AB733" s="233"/>
    </row>
    <row r="734" spans="1:28" s="215" customFormat="1">
      <c r="A734" s="608"/>
      <c r="B734" s="608"/>
      <c r="C734" s="608"/>
      <c r="D734" s="608"/>
      <c r="G734" s="216"/>
      <c r="H734" s="231"/>
      <c r="I734" s="236"/>
      <c r="J734" s="233"/>
      <c r="K734" s="233"/>
      <c r="L734" s="233"/>
      <c r="M734" s="233"/>
      <c r="P734" s="233"/>
      <c r="Q734" s="233"/>
      <c r="R734" s="233"/>
      <c r="S734" s="233"/>
      <c r="V734" s="233"/>
      <c r="W734" s="233"/>
      <c r="X734" s="233"/>
      <c r="Y734" s="233"/>
      <c r="Z734" s="233"/>
      <c r="AA734" s="233"/>
      <c r="AB734" s="233"/>
    </row>
    <row r="735" spans="1:28" s="215" customFormat="1">
      <c r="A735" s="608"/>
      <c r="B735" s="608"/>
      <c r="C735" s="608"/>
      <c r="D735" s="608"/>
      <c r="G735" s="216"/>
      <c r="H735" s="231"/>
      <c r="I735" s="236"/>
      <c r="J735" s="233"/>
      <c r="K735" s="233"/>
      <c r="L735" s="233"/>
      <c r="M735" s="233"/>
      <c r="P735" s="233"/>
      <c r="Q735" s="233"/>
      <c r="R735" s="233"/>
      <c r="S735" s="233"/>
      <c r="V735" s="233"/>
      <c r="W735" s="233"/>
      <c r="X735" s="233"/>
      <c r="Y735" s="233"/>
      <c r="Z735" s="233"/>
      <c r="AA735" s="233"/>
      <c r="AB735" s="233"/>
    </row>
    <row r="736" spans="1:28" s="215" customFormat="1">
      <c r="A736" s="608"/>
      <c r="B736" s="608"/>
      <c r="C736" s="608"/>
      <c r="D736" s="608"/>
      <c r="G736" s="216"/>
      <c r="H736" s="231"/>
      <c r="I736" s="236"/>
      <c r="J736" s="233"/>
      <c r="K736" s="233"/>
      <c r="L736" s="233"/>
      <c r="M736" s="233"/>
      <c r="P736" s="233"/>
      <c r="Q736" s="233"/>
      <c r="R736" s="233"/>
      <c r="S736" s="233"/>
      <c r="V736" s="233"/>
      <c r="W736" s="233"/>
      <c r="X736" s="233"/>
      <c r="Y736" s="233"/>
      <c r="Z736" s="233"/>
      <c r="AA736" s="233"/>
      <c r="AB736" s="233"/>
    </row>
    <row r="737" spans="1:28" s="215" customFormat="1">
      <c r="A737" s="608"/>
      <c r="B737" s="608"/>
      <c r="C737" s="608"/>
      <c r="D737" s="608"/>
      <c r="G737" s="216"/>
      <c r="H737" s="231"/>
      <c r="I737" s="236"/>
      <c r="J737" s="233"/>
      <c r="K737" s="233"/>
      <c r="L737" s="233"/>
      <c r="M737" s="233"/>
      <c r="P737" s="233"/>
      <c r="Q737" s="233"/>
      <c r="R737" s="233"/>
      <c r="S737" s="233"/>
      <c r="V737" s="233"/>
      <c r="W737" s="233"/>
      <c r="X737" s="233"/>
      <c r="Y737" s="233"/>
      <c r="Z737" s="233"/>
      <c r="AA737" s="233"/>
      <c r="AB737" s="233"/>
    </row>
    <row r="738" spans="1:28" s="215" customFormat="1">
      <c r="A738" s="608"/>
      <c r="B738" s="608"/>
      <c r="C738" s="608"/>
      <c r="D738" s="608"/>
      <c r="G738" s="216"/>
      <c r="H738" s="231"/>
      <c r="I738" s="236"/>
      <c r="J738" s="233"/>
      <c r="K738" s="233"/>
      <c r="L738" s="233"/>
      <c r="M738" s="233"/>
      <c r="P738" s="233"/>
      <c r="Q738" s="233"/>
      <c r="R738" s="233"/>
      <c r="S738" s="233"/>
      <c r="V738" s="233"/>
      <c r="W738" s="233"/>
      <c r="X738" s="233"/>
      <c r="Y738" s="233"/>
      <c r="Z738" s="233"/>
      <c r="AA738" s="233"/>
      <c r="AB738" s="233"/>
    </row>
    <row r="739" spans="1:28" s="215" customFormat="1">
      <c r="A739" s="608"/>
      <c r="B739" s="608"/>
      <c r="C739" s="608"/>
      <c r="D739" s="608"/>
      <c r="G739" s="216"/>
      <c r="H739" s="231"/>
      <c r="I739" s="236"/>
      <c r="J739" s="233"/>
      <c r="K739" s="233"/>
      <c r="L739" s="233"/>
      <c r="M739" s="233"/>
      <c r="P739" s="233"/>
      <c r="Q739" s="233"/>
      <c r="R739" s="233"/>
      <c r="S739" s="233"/>
      <c r="V739" s="233"/>
      <c r="W739" s="233"/>
      <c r="X739" s="233"/>
      <c r="Y739" s="233"/>
      <c r="Z739" s="233"/>
      <c r="AA739" s="233"/>
      <c r="AB739" s="233"/>
    </row>
    <row r="740" spans="1:28" s="215" customFormat="1">
      <c r="A740" s="608"/>
      <c r="B740" s="608"/>
      <c r="C740" s="608"/>
      <c r="D740" s="608"/>
      <c r="G740" s="216"/>
      <c r="H740" s="231"/>
      <c r="I740" s="236"/>
      <c r="J740" s="233"/>
      <c r="K740" s="233"/>
      <c r="L740" s="233"/>
      <c r="M740" s="233"/>
      <c r="P740" s="233"/>
      <c r="Q740" s="233"/>
      <c r="R740" s="233"/>
      <c r="S740" s="233"/>
      <c r="V740" s="233"/>
      <c r="W740" s="233"/>
      <c r="X740" s="233"/>
      <c r="Y740" s="233"/>
      <c r="Z740" s="233"/>
      <c r="AA740" s="233"/>
      <c r="AB740" s="233"/>
    </row>
    <row r="741" spans="1:28" s="215" customFormat="1">
      <c r="A741" s="608"/>
      <c r="B741" s="608"/>
      <c r="C741" s="608"/>
      <c r="D741" s="608"/>
      <c r="G741" s="216"/>
      <c r="H741" s="231"/>
      <c r="I741" s="236"/>
      <c r="J741" s="233"/>
      <c r="K741" s="233"/>
      <c r="L741" s="233"/>
      <c r="M741" s="233"/>
      <c r="P741" s="233"/>
      <c r="Q741" s="233"/>
      <c r="R741" s="233"/>
      <c r="S741" s="233"/>
      <c r="V741" s="233"/>
      <c r="W741" s="233"/>
      <c r="X741" s="233"/>
      <c r="Y741" s="233"/>
      <c r="Z741" s="233"/>
      <c r="AA741" s="233"/>
      <c r="AB741" s="233"/>
    </row>
    <row r="742" spans="1:28" s="215" customFormat="1">
      <c r="A742" s="608"/>
      <c r="B742" s="608"/>
      <c r="C742" s="608"/>
      <c r="D742" s="608"/>
      <c r="G742" s="216"/>
      <c r="H742" s="231"/>
      <c r="I742" s="236"/>
      <c r="J742" s="233"/>
      <c r="K742" s="233"/>
      <c r="L742" s="233"/>
      <c r="M742" s="233"/>
      <c r="P742" s="233"/>
      <c r="Q742" s="233"/>
      <c r="R742" s="233"/>
      <c r="S742" s="233"/>
      <c r="V742" s="233"/>
      <c r="W742" s="233"/>
      <c r="X742" s="233"/>
      <c r="Y742" s="233"/>
      <c r="Z742" s="233"/>
      <c r="AA742" s="233"/>
      <c r="AB742" s="233"/>
    </row>
    <row r="743" spans="1:28" s="215" customFormat="1">
      <c r="A743" s="608"/>
      <c r="B743" s="608"/>
      <c r="C743" s="608"/>
      <c r="D743" s="608"/>
      <c r="G743" s="216"/>
      <c r="H743" s="231"/>
      <c r="I743" s="236"/>
      <c r="J743" s="233"/>
      <c r="K743" s="233"/>
      <c r="L743" s="233"/>
      <c r="M743" s="233"/>
      <c r="P743" s="233"/>
      <c r="Q743" s="233"/>
      <c r="R743" s="233"/>
      <c r="S743" s="233"/>
      <c r="V743" s="233"/>
      <c r="W743" s="233"/>
      <c r="X743" s="233"/>
      <c r="Y743" s="233"/>
      <c r="Z743" s="233"/>
      <c r="AA743" s="233"/>
      <c r="AB743" s="233"/>
    </row>
    <row r="744" spans="1:28" s="215" customFormat="1">
      <c r="A744" s="608"/>
      <c r="B744" s="608"/>
      <c r="C744" s="608"/>
      <c r="D744" s="608"/>
      <c r="G744" s="216"/>
      <c r="H744" s="231"/>
      <c r="I744" s="236"/>
      <c r="J744" s="233"/>
      <c r="K744" s="233"/>
      <c r="L744" s="233"/>
      <c r="M744" s="233"/>
      <c r="P744" s="233"/>
      <c r="Q744" s="233"/>
      <c r="R744" s="233"/>
      <c r="S744" s="233"/>
      <c r="V744" s="233"/>
      <c r="W744" s="233"/>
      <c r="X744" s="233"/>
      <c r="Y744" s="233"/>
      <c r="Z744" s="233"/>
      <c r="AA744" s="233"/>
      <c r="AB744" s="233"/>
    </row>
    <row r="745" spans="1:28" s="215" customFormat="1">
      <c r="A745" s="608"/>
      <c r="B745" s="608"/>
      <c r="C745" s="608"/>
      <c r="D745" s="608"/>
      <c r="G745" s="216"/>
      <c r="H745" s="231"/>
      <c r="I745" s="236"/>
      <c r="J745" s="233"/>
      <c r="K745" s="233"/>
      <c r="L745" s="233"/>
      <c r="M745" s="233"/>
      <c r="P745" s="233"/>
      <c r="Q745" s="233"/>
      <c r="R745" s="233"/>
      <c r="S745" s="233"/>
      <c r="V745" s="233"/>
      <c r="W745" s="233"/>
      <c r="X745" s="233"/>
      <c r="Y745" s="233"/>
      <c r="Z745" s="233"/>
      <c r="AA745" s="233"/>
      <c r="AB745" s="233"/>
    </row>
    <row r="746" spans="1:28" s="215" customFormat="1">
      <c r="A746" s="608"/>
      <c r="B746" s="608"/>
      <c r="C746" s="608"/>
      <c r="D746" s="608"/>
      <c r="G746" s="216"/>
      <c r="H746" s="231"/>
      <c r="I746" s="236"/>
      <c r="J746" s="233"/>
      <c r="K746" s="233"/>
      <c r="L746" s="233"/>
      <c r="M746" s="233"/>
      <c r="P746" s="233"/>
      <c r="Q746" s="233"/>
      <c r="R746" s="233"/>
      <c r="S746" s="233"/>
      <c r="V746" s="233"/>
      <c r="W746" s="233"/>
      <c r="X746" s="233"/>
      <c r="Y746" s="233"/>
      <c r="Z746" s="233"/>
      <c r="AA746" s="233"/>
      <c r="AB746" s="233"/>
    </row>
    <row r="747" spans="1:28" s="215" customFormat="1">
      <c r="A747" s="608"/>
      <c r="B747" s="608"/>
      <c r="C747" s="608"/>
      <c r="D747" s="608"/>
      <c r="G747" s="216"/>
      <c r="H747" s="231"/>
      <c r="I747" s="236"/>
      <c r="J747" s="233"/>
      <c r="K747" s="233"/>
      <c r="L747" s="233"/>
      <c r="M747" s="233"/>
      <c r="P747" s="233"/>
      <c r="Q747" s="233"/>
      <c r="R747" s="233"/>
      <c r="S747" s="233"/>
      <c r="V747" s="233"/>
      <c r="W747" s="233"/>
      <c r="X747" s="233"/>
      <c r="Y747" s="233"/>
      <c r="Z747" s="233"/>
      <c r="AA747" s="233"/>
      <c r="AB747" s="233"/>
    </row>
    <row r="748" spans="1:28" s="215" customFormat="1">
      <c r="A748" s="608"/>
      <c r="B748" s="608"/>
      <c r="C748" s="608"/>
      <c r="D748" s="608"/>
      <c r="G748" s="216"/>
      <c r="H748" s="231"/>
      <c r="I748" s="236"/>
      <c r="J748" s="233"/>
      <c r="K748" s="233"/>
      <c r="L748" s="233"/>
      <c r="M748" s="233"/>
      <c r="P748" s="233"/>
      <c r="Q748" s="233"/>
      <c r="R748" s="233"/>
      <c r="S748" s="233"/>
      <c r="V748" s="233"/>
      <c r="W748" s="233"/>
      <c r="X748" s="233"/>
      <c r="Y748" s="233"/>
      <c r="Z748" s="233"/>
      <c r="AA748" s="233"/>
      <c r="AB748" s="233"/>
    </row>
    <row r="749" spans="1:28" s="215" customFormat="1">
      <c r="A749" s="608"/>
      <c r="B749" s="608"/>
      <c r="C749" s="608"/>
      <c r="D749" s="608"/>
      <c r="G749" s="216"/>
      <c r="H749" s="231"/>
      <c r="I749" s="236"/>
      <c r="J749" s="233"/>
      <c r="K749" s="233"/>
      <c r="L749" s="233"/>
      <c r="M749" s="233"/>
      <c r="P749" s="233"/>
      <c r="Q749" s="233"/>
      <c r="R749" s="233"/>
      <c r="S749" s="233"/>
      <c r="V749" s="233"/>
      <c r="W749" s="233"/>
      <c r="X749" s="233"/>
      <c r="Y749" s="233"/>
      <c r="Z749" s="233"/>
      <c r="AA749" s="233"/>
      <c r="AB749" s="233"/>
    </row>
    <row r="750" spans="1:28" s="215" customFormat="1">
      <c r="A750" s="608"/>
      <c r="B750" s="608"/>
      <c r="C750" s="608"/>
      <c r="D750" s="608"/>
      <c r="G750" s="216"/>
      <c r="H750" s="231"/>
      <c r="I750" s="236"/>
      <c r="J750" s="233"/>
      <c r="K750" s="233"/>
      <c r="L750" s="233"/>
      <c r="M750" s="233"/>
      <c r="P750" s="233"/>
      <c r="Q750" s="233"/>
      <c r="R750" s="233"/>
      <c r="S750" s="233"/>
      <c r="V750" s="233"/>
      <c r="W750" s="233"/>
      <c r="X750" s="233"/>
      <c r="Y750" s="233"/>
      <c r="Z750" s="233"/>
      <c r="AA750" s="233"/>
      <c r="AB750" s="233"/>
    </row>
    <row r="751" spans="1:28" s="215" customFormat="1">
      <c r="A751" s="608"/>
      <c r="B751" s="608"/>
      <c r="C751" s="608"/>
      <c r="D751" s="608"/>
      <c r="G751" s="216"/>
      <c r="H751" s="231"/>
      <c r="I751" s="236"/>
      <c r="J751" s="233"/>
      <c r="K751" s="233"/>
      <c r="L751" s="233"/>
      <c r="M751" s="233"/>
      <c r="P751" s="233"/>
      <c r="Q751" s="233"/>
      <c r="R751" s="233"/>
      <c r="S751" s="233"/>
      <c r="V751" s="233"/>
      <c r="W751" s="233"/>
      <c r="X751" s="233"/>
      <c r="Y751" s="233"/>
      <c r="Z751" s="233"/>
      <c r="AA751" s="233"/>
      <c r="AB751" s="233"/>
    </row>
    <row r="752" spans="1:28" s="215" customFormat="1">
      <c r="A752" s="608"/>
      <c r="B752" s="608"/>
      <c r="C752" s="608"/>
      <c r="D752" s="608"/>
      <c r="G752" s="216"/>
      <c r="H752" s="231"/>
      <c r="I752" s="236"/>
      <c r="J752" s="233"/>
      <c r="K752" s="233"/>
      <c r="L752" s="233"/>
      <c r="M752" s="233"/>
      <c r="P752" s="233"/>
      <c r="Q752" s="233"/>
      <c r="R752" s="233"/>
      <c r="S752" s="233"/>
      <c r="V752" s="233"/>
      <c r="W752" s="233"/>
      <c r="X752" s="233"/>
      <c r="Y752" s="233"/>
      <c r="Z752" s="233"/>
      <c r="AA752" s="233"/>
      <c r="AB752" s="233"/>
    </row>
    <row r="753" spans="1:28" s="215" customFormat="1">
      <c r="A753" s="608"/>
      <c r="B753" s="608"/>
      <c r="C753" s="608"/>
      <c r="D753" s="608"/>
      <c r="G753" s="216"/>
      <c r="H753" s="231"/>
      <c r="I753" s="236"/>
      <c r="J753" s="233"/>
      <c r="K753" s="233"/>
      <c r="L753" s="233"/>
      <c r="M753" s="233"/>
      <c r="P753" s="233"/>
      <c r="Q753" s="233"/>
      <c r="R753" s="233"/>
      <c r="S753" s="233"/>
      <c r="V753" s="233"/>
      <c r="W753" s="233"/>
      <c r="X753" s="233"/>
      <c r="Y753" s="233"/>
      <c r="Z753" s="233"/>
      <c r="AA753" s="233"/>
      <c r="AB753" s="233"/>
    </row>
    <row r="754" spans="1:28" s="215" customFormat="1">
      <c r="A754" s="608"/>
      <c r="B754" s="608"/>
      <c r="C754" s="608"/>
      <c r="D754" s="608"/>
      <c r="G754" s="216"/>
      <c r="H754" s="231"/>
      <c r="I754" s="236"/>
      <c r="J754" s="233"/>
      <c r="K754" s="233"/>
      <c r="L754" s="233"/>
      <c r="M754" s="233"/>
      <c r="P754" s="233"/>
      <c r="Q754" s="233"/>
      <c r="R754" s="233"/>
      <c r="S754" s="233"/>
      <c r="V754" s="233"/>
      <c r="W754" s="233"/>
      <c r="X754" s="233"/>
      <c r="Y754" s="233"/>
      <c r="Z754" s="233"/>
      <c r="AA754" s="233"/>
      <c r="AB754" s="233"/>
    </row>
    <row r="755" spans="1:28" s="215" customFormat="1">
      <c r="A755" s="608"/>
      <c r="B755" s="608"/>
      <c r="C755" s="608"/>
      <c r="D755" s="608"/>
      <c r="G755" s="216"/>
      <c r="H755" s="231"/>
      <c r="I755" s="236"/>
      <c r="J755" s="233"/>
      <c r="K755" s="233"/>
      <c r="L755" s="233"/>
      <c r="M755" s="233"/>
      <c r="P755" s="233"/>
      <c r="Q755" s="233"/>
      <c r="R755" s="233"/>
      <c r="S755" s="233"/>
      <c r="V755" s="233"/>
      <c r="W755" s="233"/>
      <c r="X755" s="233"/>
      <c r="Y755" s="233"/>
      <c r="Z755" s="233"/>
      <c r="AA755" s="233"/>
      <c r="AB755" s="233"/>
    </row>
    <row r="756" spans="1:28" s="215" customFormat="1">
      <c r="A756" s="608"/>
      <c r="B756" s="608"/>
      <c r="C756" s="608"/>
      <c r="D756" s="608"/>
      <c r="G756" s="216"/>
      <c r="H756" s="231"/>
      <c r="I756" s="236"/>
      <c r="J756" s="233"/>
      <c r="K756" s="233"/>
      <c r="L756" s="233"/>
      <c r="M756" s="233"/>
      <c r="P756" s="233"/>
      <c r="Q756" s="233"/>
      <c r="R756" s="233"/>
      <c r="S756" s="233"/>
      <c r="V756" s="233"/>
      <c r="W756" s="233"/>
      <c r="X756" s="233"/>
      <c r="Y756" s="233"/>
      <c r="Z756" s="233"/>
      <c r="AA756" s="233"/>
      <c r="AB756" s="233"/>
    </row>
    <row r="757" spans="1:28" s="215" customFormat="1">
      <c r="A757" s="608"/>
      <c r="B757" s="608"/>
      <c r="C757" s="608"/>
      <c r="D757" s="608"/>
      <c r="G757" s="216"/>
      <c r="H757" s="231"/>
      <c r="I757" s="236"/>
      <c r="J757" s="233"/>
      <c r="K757" s="233"/>
      <c r="L757" s="233"/>
      <c r="M757" s="233"/>
      <c r="P757" s="233"/>
      <c r="Q757" s="233"/>
      <c r="R757" s="233"/>
      <c r="S757" s="233"/>
      <c r="V757" s="233"/>
      <c r="W757" s="233"/>
      <c r="X757" s="233"/>
      <c r="Y757" s="233"/>
      <c r="Z757" s="233"/>
      <c r="AA757" s="233"/>
      <c r="AB757" s="233"/>
    </row>
    <row r="758" spans="1:28" s="215" customFormat="1">
      <c r="A758" s="608"/>
      <c r="B758" s="608"/>
      <c r="C758" s="608"/>
      <c r="D758" s="608"/>
      <c r="G758" s="216"/>
      <c r="H758" s="231"/>
      <c r="I758" s="236"/>
      <c r="J758" s="233"/>
      <c r="K758" s="233"/>
      <c r="L758" s="233"/>
      <c r="M758" s="233"/>
      <c r="P758" s="233"/>
      <c r="Q758" s="233"/>
      <c r="R758" s="233"/>
      <c r="S758" s="233"/>
      <c r="V758" s="233"/>
      <c r="W758" s="233"/>
      <c r="X758" s="233"/>
      <c r="Y758" s="233"/>
      <c r="Z758" s="233"/>
      <c r="AA758" s="233"/>
      <c r="AB758" s="233"/>
    </row>
    <row r="759" spans="1:28" s="215" customFormat="1">
      <c r="A759" s="608"/>
      <c r="B759" s="608"/>
      <c r="C759" s="608"/>
      <c r="D759" s="608"/>
      <c r="G759" s="216"/>
      <c r="H759" s="231"/>
      <c r="I759" s="236"/>
      <c r="J759" s="233"/>
      <c r="K759" s="233"/>
      <c r="L759" s="233"/>
      <c r="M759" s="233"/>
      <c r="P759" s="233"/>
      <c r="Q759" s="233"/>
      <c r="R759" s="233"/>
      <c r="S759" s="233"/>
      <c r="V759" s="233"/>
      <c r="W759" s="233"/>
      <c r="X759" s="233"/>
      <c r="Y759" s="233"/>
      <c r="Z759" s="233"/>
      <c r="AA759" s="233"/>
      <c r="AB759" s="233"/>
    </row>
    <row r="760" spans="1:28" s="215" customFormat="1">
      <c r="A760" s="608"/>
      <c r="B760" s="608"/>
      <c r="C760" s="608"/>
      <c r="D760" s="608"/>
      <c r="G760" s="216"/>
      <c r="H760" s="231"/>
      <c r="I760" s="236"/>
      <c r="J760" s="233"/>
      <c r="K760" s="233"/>
      <c r="L760" s="233"/>
      <c r="M760" s="233"/>
      <c r="P760" s="233"/>
      <c r="Q760" s="233"/>
      <c r="R760" s="233"/>
      <c r="S760" s="233"/>
      <c r="V760" s="233"/>
      <c r="W760" s="233"/>
      <c r="X760" s="233"/>
      <c r="Y760" s="233"/>
      <c r="Z760" s="233"/>
      <c r="AA760" s="233"/>
      <c r="AB760" s="233"/>
    </row>
    <row r="761" spans="1:28" s="215" customFormat="1">
      <c r="A761" s="608"/>
      <c r="B761" s="608"/>
      <c r="C761" s="608"/>
      <c r="D761" s="608"/>
      <c r="G761" s="216"/>
      <c r="H761" s="231"/>
      <c r="I761" s="236"/>
      <c r="J761" s="233"/>
      <c r="K761" s="233"/>
      <c r="L761" s="233"/>
      <c r="M761" s="233"/>
      <c r="P761" s="233"/>
      <c r="Q761" s="233"/>
      <c r="R761" s="233"/>
      <c r="S761" s="233"/>
      <c r="V761" s="233"/>
      <c r="W761" s="233"/>
      <c r="X761" s="233"/>
      <c r="Y761" s="233"/>
      <c r="Z761" s="233"/>
      <c r="AA761" s="233"/>
      <c r="AB761" s="233"/>
    </row>
    <row r="762" spans="1:28" s="215" customFormat="1">
      <c r="A762" s="608"/>
      <c r="B762" s="608"/>
      <c r="C762" s="608"/>
      <c r="D762" s="608"/>
      <c r="G762" s="216"/>
      <c r="H762" s="231"/>
      <c r="I762" s="236"/>
      <c r="J762" s="233"/>
      <c r="K762" s="233"/>
      <c r="L762" s="233"/>
      <c r="M762" s="233"/>
      <c r="P762" s="233"/>
      <c r="Q762" s="233"/>
      <c r="R762" s="233"/>
      <c r="S762" s="233"/>
      <c r="V762" s="233"/>
      <c r="W762" s="233"/>
      <c r="X762" s="233"/>
      <c r="Y762" s="233"/>
      <c r="Z762" s="233"/>
      <c r="AA762" s="233"/>
      <c r="AB762" s="233"/>
    </row>
    <row r="763" spans="1:28" s="215" customFormat="1">
      <c r="A763" s="608"/>
      <c r="B763" s="608"/>
      <c r="C763" s="608"/>
      <c r="D763" s="608"/>
      <c r="G763" s="216"/>
      <c r="H763" s="231"/>
      <c r="I763" s="236"/>
      <c r="J763" s="233"/>
      <c r="K763" s="233"/>
      <c r="L763" s="233"/>
      <c r="M763" s="233"/>
      <c r="P763" s="233"/>
      <c r="Q763" s="233"/>
      <c r="R763" s="233"/>
      <c r="S763" s="233"/>
      <c r="V763" s="233"/>
      <c r="W763" s="233"/>
      <c r="X763" s="233"/>
      <c r="Y763" s="233"/>
      <c r="Z763" s="233"/>
      <c r="AA763" s="233"/>
      <c r="AB763" s="233"/>
    </row>
    <row r="764" spans="1:28" s="215" customFormat="1">
      <c r="A764" s="608"/>
      <c r="B764" s="608"/>
      <c r="C764" s="608"/>
      <c r="D764" s="608"/>
      <c r="G764" s="216"/>
      <c r="H764" s="231"/>
      <c r="I764" s="236"/>
      <c r="J764" s="233"/>
      <c r="K764" s="233"/>
      <c r="L764" s="233"/>
      <c r="M764" s="233"/>
      <c r="P764" s="233"/>
      <c r="Q764" s="233"/>
      <c r="R764" s="233"/>
      <c r="S764" s="233"/>
      <c r="V764" s="233"/>
      <c r="W764" s="233"/>
      <c r="X764" s="233"/>
      <c r="Y764" s="233"/>
      <c r="Z764" s="233"/>
      <c r="AA764" s="233"/>
      <c r="AB764" s="233"/>
    </row>
    <row r="765" spans="1:28" s="215" customFormat="1">
      <c r="A765" s="608"/>
      <c r="B765" s="608"/>
      <c r="C765" s="608"/>
      <c r="D765" s="608"/>
      <c r="G765" s="216"/>
      <c r="H765" s="231"/>
      <c r="I765" s="236"/>
      <c r="J765" s="233"/>
      <c r="K765" s="233"/>
      <c r="L765" s="233"/>
      <c r="M765" s="233"/>
      <c r="P765" s="233"/>
      <c r="Q765" s="233"/>
      <c r="R765" s="233"/>
      <c r="S765" s="233"/>
      <c r="V765" s="233"/>
      <c r="W765" s="233"/>
      <c r="X765" s="233"/>
      <c r="Y765" s="233"/>
      <c r="Z765" s="233"/>
      <c r="AA765" s="233"/>
      <c r="AB765" s="233"/>
    </row>
    <row r="766" spans="1:28" s="215" customFormat="1">
      <c r="A766" s="608"/>
      <c r="B766" s="608"/>
      <c r="C766" s="608"/>
      <c r="D766" s="608"/>
      <c r="G766" s="216"/>
      <c r="H766" s="231"/>
      <c r="I766" s="236"/>
      <c r="J766" s="233"/>
      <c r="K766" s="233"/>
      <c r="L766" s="233"/>
      <c r="M766" s="233"/>
      <c r="P766" s="233"/>
      <c r="Q766" s="233"/>
      <c r="R766" s="233"/>
      <c r="S766" s="233"/>
      <c r="V766" s="233"/>
      <c r="W766" s="233"/>
      <c r="X766" s="233"/>
      <c r="Y766" s="233"/>
      <c r="Z766" s="233"/>
      <c r="AA766" s="233"/>
      <c r="AB766" s="233"/>
    </row>
    <row r="767" spans="1:28" s="215" customFormat="1">
      <c r="A767" s="608"/>
      <c r="B767" s="608"/>
      <c r="C767" s="608"/>
      <c r="D767" s="608"/>
      <c r="G767" s="216"/>
      <c r="H767" s="231"/>
      <c r="I767" s="236"/>
      <c r="J767" s="233"/>
      <c r="K767" s="233"/>
      <c r="L767" s="233"/>
      <c r="M767" s="233"/>
      <c r="P767" s="233"/>
      <c r="Q767" s="233"/>
      <c r="R767" s="233"/>
      <c r="S767" s="233"/>
      <c r="V767" s="233"/>
      <c r="W767" s="233"/>
      <c r="X767" s="233"/>
      <c r="Y767" s="233"/>
      <c r="Z767" s="233"/>
      <c r="AA767" s="233"/>
      <c r="AB767" s="233"/>
    </row>
    <row r="768" spans="1:28" s="215" customFormat="1">
      <c r="A768" s="608"/>
      <c r="B768" s="608"/>
      <c r="C768" s="608"/>
      <c r="D768" s="608"/>
      <c r="G768" s="216"/>
      <c r="H768" s="231"/>
      <c r="I768" s="236"/>
      <c r="J768" s="233"/>
      <c r="K768" s="233"/>
      <c r="L768" s="233"/>
      <c r="M768" s="233"/>
      <c r="P768" s="233"/>
      <c r="Q768" s="233"/>
      <c r="R768" s="233"/>
      <c r="S768" s="233"/>
      <c r="V768" s="233"/>
      <c r="W768" s="233"/>
      <c r="X768" s="233"/>
      <c r="Y768" s="233"/>
      <c r="Z768" s="233"/>
      <c r="AA768" s="233"/>
      <c r="AB768" s="233"/>
    </row>
    <row r="769" spans="1:28" s="215" customFormat="1">
      <c r="A769" s="608"/>
      <c r="B769" s="608"/>
      <c r="C769" s="608"/>
      <c r="D769" s="608"/>
      <c r="G769" s="216"/>
      <c r="H769" s="231"/>
      <c r="I769" s="236"/>
      <c r="J769" s="233"/>
      <c r="K769" s="233"/>
      <c r="L769" s="233"/>
      <c r="M769" s="233"/>
      <c r="P769" s="233"/>
      <c r="Q769" s="233"/>
      <c r="R769" s="233"/>
      <c r="S769" s="233"/>
      <c r="V769" s="233"/>
      <c r="W769" s="233"/>
      <c r="X769" s="233"/>
      <c r="Y769" s="233"/>
      <c r="Z769" s="233"/>
      <c r="AA769" s="233"/>
      <c r="AB769" s="233"/>
    </row>
    <row r="770" spans="1:28" s="215" customFormat="1">
      <c r="A770" s="608"/>
      <c r="B770" s="608"/>
      <c r="C770" s="608"/>
      <c r="D770" s="608"/>
      <c r="G770" s="216"/>
      <c r="H770" s="231"/>
      <c r="I770" s="236"/>
      <c r="J770" s="233"/>
      <c r="K770" s="233"/>
      <c r="L770" s="233"/>
      <c r="M770" s="233"/>
      <c r="P770" s="233"/>
      <c r="Q770" s="233"/>
      <c r="R770" s="233"/>
      <c r="S770" s="233"/>
      <c r="V770" s="233"/>
      <c r="W770" s="233"/>
      <c r="X770" s="233"/>
      <c r="Y770" s="233"/>
      <c r="Z770" s="233"/>
      <c r="AA770" s="233"/>
      <c r="AB770" s="233"/>
    </row>
    <row r="771" spans="1:28" s="215" customFormat="1">
      <c r="A771" s="608"/>
      <c r="B771" s="608"/>
      <c r="C771" s="608"/>
      <c r="D771" s="608"/>
      <c r="G771" s="216"/>
      <c r="H771" s="231"/>
      <c r="I771" s="236"/>
      <c r="J771" s="233"/>
      <c r="K771" s="233"/>
      <c r="L771" s="233"/>
      <c r="M771" s="233"/>
      <c r="P771" s="233"/>
      <c r="Q771" s="233"/>
      <c r="R771" s="233"/>
      <c r="S771" s="233"/>
      <c r="V771" s="233"/>
      <c r="W771" s="233"/>
      <c r="X771" s="233"/>
      <c r="Y771" s="233"/>
      <c r="Z771" s="233"/>
      <c r="AA771" s="233"/>
      <c r="AB771" s="233"/>
    </row>
    <row r="772" spans="1:28" s="215" customFormat="1">
      <c r="A772" s="608"/>
      <c r="B772" s="608"/>
      <c r="C772" s="608"/>
      <c r="D772" s="608"/>
      <c r="G772" s="216"/>
      <c r="H772" s="231"/>
      <c r="I772" s="236"/>
      <c r="J772" s="233"/>
      <c r="K772" s="233"/>
      <c r="L772" s="233"/>
      <c r="M772" s="233"/>
      <c r="P772" s="233"/>
      <c r="Q772" s="233"/>
      <c r="R772" s="233"/>
      <c r="S772" s="233"/>
      <c r="V772" s="233"/>
      <c r="W772" s="233"/>
      <c r="X772" s="233"/>
      <c r="Y772" s="233"/>
      <c r="Z772" s="233"/>
      <c r="AA772" s="233"/>
      <c r="AB772" s="233"/>
    </row>
    <row r="773" spans="1:28" s="215" customFormat="1">
      <c r="A773" s="608"/>
      <c r="B773" s="608"/>
      <c r="C773" s="608"/>
      <c r="D773" s="608"/>
      <c r="G773" s="216"/>
      <c r="H773" s="231"/>
      <c r="I773" s="236"/>
      <c r="J773" s="233"/>
      <c r="K773" s="233"/>
      <c r="L773" s="233"/>
      <c r="M773" s="233"/>
      <c r="P773" s="233"/>
      <c r="Q773" s="233"/>
      <c r="R773" s="233"/>
      <c r="S773" s="233"/>
      <c r="V773" s="233"/>
      <c r="W773" s="233"/>
      <c r="X773" s="233"/>
      <c r="Y773" s="233"/>
      <c r="Z773" s="233"/>
      <c r="AA773" s="233"/>
      <c r="AB773" s="233"/>
    </row>
    <row r="774" spans="1:28" s="215" customFormat="1">
      <c r="A774" s="608"/>
      <c r="B774" s="608"/>
      <c r="C774" s="608"/>
      <c r="D774" s="608"/>
      <c r="G774" s="216"/>
      <c r="H774" s="231"/>
      <c r="I774" s="236"/>
      <c r="J774" s="233"/>
      <c r="K774" s="233"/>
      <c r="L774" s="233"/>
      <c r="M774" s="233"/>
      <c r="P774" s="233"/>
      <c r="Q774" s="233"/>
      <c r="R774" s="233"/>
      <c r="S774" s="233"/>
      <c r="V774" s="233"/>
      <c r="W774" s="233"/>
      <c r="X774" s="233"/>
      <c r="Y774" s="233"/>
      <c r="Z774" s="233"/>
      <c r="AA774" s="233"/>
      <c r="AB774" s="233"/>
    </row>
    <row r="775" spans="1:28" s="215" customFormat="1">
      <c r="A775" s="608"/>
      <c r="B775" s="608"/>
      <c r="C775" s="608"/>
      <c r="D775" s="608"/>
      <c r="G775" s="216"/>
      <c r="H775" s="231"/>
      <c r="I775" s="236"/>
      <c r="J775" s="233"/>
      <c r="K775" s="233"/>
      <c r="L775" s="233"/>
      <c r="M775" s="233"/>
      <c r="P775" s="233"/>
      <c r="Q775" s="233"/>
      <c r="R775" s="233"/>
      <c r="S775" s="233"/>
      <c r="V775" s="233"/>
      <c r="W775" s="233"/>
      <c r="X775" s="233"/>
      <c r="Y775" s="233"/>
      <c r="Z775" s="233"/>
      <c r="AA775" s="233"/>
      <c r="AB775" s="233"/>
    </row>
    <row r="776" spans="1:28" s="215" customFormat="1">
      <c r="A776" s="608"/>
      <c r="B776" s="608"/>
      <c r="C776" s="608"/>
      <c r="D776" s="608"/>
      <c r="G776" s="216"/>
      <c r="H776" s="231"/>
      <c r="I776" s="236"/>
      <c r="J776" s="233"/>
      <c r="K776" s="233"/>
      <c r="L776" s="233"/>
      <c r="M776" s="233"/>
      <c r="P776" s="233"/>
      <c r="Q776" s="233"/>
      <c r="R776" s="233"/>
      <c r="S776" s="233"/>
      <c r="V776" s="233"/>
      <c r="W776" s="233"/>
      <c r="X776" s="233"/>
      <c r="Y776" s="233"/>
      <c r="Z776" s="233"/>
      <c r="AA776" s="233"/>
      <c r="AB776" s="233"/>
    </row>
    <row r="777" spans="1:28" s="215" customFormat="1">
      <c r="A777" s="608"/>
      <c r="B777" s="608"/>
      <c r="C777" s="608"/>
      <c r="D777" s="608"/>
      <c r="G777" s="216"/>
      <c r="H777" s="231"/>
      <c r="I777" s="236"/>
      <c r="J777" s="233"/>
      <c r="K777" s="233"/>
      <c r="L777" s="233"/>
      <c r="M777" s="233"/>
      <c r="P777" s="233"/>
      <c r="Q777" s="233"/>
      <c r="R777" s="233"/>
      <c r="S777" s="233"/>
      <c r="V777" s="233"/>
      <c r="W777" s="233"/>
      <c r="X777" s="233"/>
      <c r="Y777" s="233"/>
      <c r="Z777" s="233"/>
      <c r="AA777" s="233"/>
      <c r="AB777" s="233"/>
    </row>
    <row r="778" spans="1:28" s="215" customFormat="1">
      <c r="A778" s="608"/>
      <c r="B778" s="608"/>
      <c r="C778" s="608"/>
      <c r="D778" s="608"/>
      <c r="G778" s="216"/>
      <c r="H778" s="231"/>
      <c r="I778" s="236"/>
      <c r="J778" s="233"/>
      <c r="K778" s="233"/>
      <c r="L778" s="233"/>
      <c r="M778" s="233"/>
      <c r="P778" s="233"/>
      <c r="Q778" s="233"/>
      <c r="R778" s="233"/>
      <c r="S778" s="233"/>
      <c r="V778" s="233"/>
      <c r="W778" s="233"/>
      <c r="X778" s="233"/>
      <c r="Y778" s="233"/>
      <c r="Z778" s="233"/>
      <c r="AA778" s="233"/>
      <c r="AB778" s="233"/>
    </row>
    <row r="779" spans="1:28" s="215" customFormat="1">
      <c r="A779" s="608"/>
      <c r="B779" s="608"/>
      <c r="C779" s="608"/>
      <c r="D779" s="608"/>
      <c r="G779" s="216"/>
      <c r="H779" s="231"/>
      <c r="I779" s="236"/>
      <c r="J779" s="233"/>
      <c r="K779" s="233"/>
      <c r="L779" s="233"/>
      <c r="M779" s="233"/>
      <c r="P779" s="233"/>
      <c r="Q779" s="233"/>
      <c r="R779" s="233"/>
      <c r="S779" s="233"/>
      <c r="V779" s="233"/>
      <c r="W779" s="233"/>
      <c r="X779" s="233"/>
      <c r="Y779" s="233"/>
      <c r="Z779" s="233"/>
      <c r="AA779" s="233"/>
      <c r="AB779" s="233"/>
    </row>
    <row r="780" spans="1:28" s="215" customFormat="1">
      <c r="A780" s="608"/>
      <c r="B780" s="608"/>
      <c r="C780" s="608"/>
      <c r="D780" s="608"/>
      <c r="G780" s="216"/>
      <c r="H780" s="231"/>
      <c r="I780" s="236"/>
      <c r="J780" s="233"/>
      <c r="K780" s="233"/>
      <c r="L780" s="233"/>
      <c r="M780" s="233"/>
      <c r="P780" s="233"/>
      <c r="Q780" s="233"/>
      <c r="R780" s="233"/>
      <c r="S780" s="233"/>
      <c r="V780" s="233"/>
      <c r="W780" s="233"/>
      <c r="X780" s="233"/>
      <c r="Y780" s="233"/>
      <c r="Z780" s="233"/>
      <c r="AA780" s="233"/>
      <c r="AB780" s="233"/>
    </row>
    <row r="781" spans="1:28" s="215" customFormat="1">
      <c r="A781" s="608"/>
      <c r="B781" s="608"/>
      <c r="C781" s="608"/>
      <c r="D781" s="608"/>
      <c r="G781" s="216"/>
      <c r="H781" s="231"/>
      <c r="I781" s="236"/>
      <c r="J781" s="233"/>
      <c r="K781" s="233"/>
      <c r="L781" s="233"/>
      <c r="M781" s="233"/>
      <c r="P781" s="233"/>
      <c r="Q781" s="233"/>
      <c r="R781" s="233"/>
      <c r="S781" s="233"/>
      <c r="V781" s="233"/>
      <c r="W781" s="233"/>
      <c r="X781" s="233"/>
      <c r="Y781" s="233"/>
      <c r="Z781" s="233"/>
      <c r="AA781" s="233"/>
      <c r="AB781" s="233"/>
    </row>
    <row r="782" spans="1:28" s="215" customFormat="1">
      <c r="A782" s="608"/>
      <c r="B782" s="608"/>
      <c r="C782" s="608"/>
      <c r="D782" s="608"/>
      <c r="G782" s="216"/>
      <c r="H782" s="231"/>
      <c r="I782" s="236"/>
      <c r="J782" s="233"/>
      <c r="K782" s="233"/>
      <c r="L782" s="233"/>
      <c r="M782" s="233"/>
      <c r="P782" s="233"/>
      <c r="Q782" s="233"/>
      <c r="R782" s="233"/>
      <c r="S782" s="233"/>
      <c r="V782" s="233"/>
      <c r="W782" s="233"/>
      <c r="X782" s="233"/>
      <c r="Y782" s="233"/>
      <c r="Z782" s="233"/>
      <c r="AA782" s="233"/>
      <c r="AB782" s="233"/>
    </row>
    <row r="783" spans="1:28" s="215" customFormat="1">
      <c r="A783" s="608"/>
      <c r="B783" s="608"/>
      <c r="C783" s="608"/>
      <c r="D783" s="608"/>
      <c r="G783" s="216"/>
      <c r="H783" s="231"/>
      <c r="I783" s="236"/>
      <c r="J783" s="233"/>
      <c r="K783" s="233"/>
      <c r="L783" s="233"/>
      <c r="M783" s="233"/>
      <c r="P783" s="233"/>
      <c r="Q783" s="233"/>
      <c r="R783" s="233"/>
      <c r="S783" s="233"/>
      <c r="V783" s="233"/>
      <c r="W783" s="233"/>
      <c r="X783" s="233"/>
      <c r="Y783" s="233"/>
      <c r="Z783" s="233"/>
      <c r="AA783" s="233"/>
      <c r="AB783" s="233"/>
    </row>
    <row r="784" spans="1:28" s="215" customFormat="1">
      <c r="A784" s="608"/>
      <c r="B784" s="608"/>
      <c r="C784" s="608"/>
      <c r="D784" s="608"/>
      <c r="G784" s="216"/>
      <c r="H784" s="231"/>
      <c r="I784" s="236"/>
      <c r="J784" s="233"/>
      <c r="K784" s="233"/>
      <c r="L784" s="233"/>
      <c r="M784" s="233"/>
      <c r="P784" s="233"/>
      <c r="Q784" s="233"/>
      <c r="R784" s="233"/>
      <c r="S784" s="233"/>
      <c r="V784" s="233"/>
      <c r="W784" s="233"/>
      <c r="X784" s="233"/>
      <c r="Y784" s="233"/>
      <c r="Z784" s="233"/>
      <c r="AA784" s="233"/>
      <c r="AB784" s="233"/>
    </row>
    <row r="785" spans="1:28" s="215" customFormat="1">
      <c r="A785" s="608"/>
      <c r="B785" s="608"/>
      <c r="C785" s="608"/>
      <c r="D785" s="608"/>
      <c r="G785" s="216"/>
      <c r="H785" s="231"/>
      <c r="I785" s="236"/>
      <c r="J785" s="233"/>
      <c r="K785" s="233"/>
      <c r="L785" s="233"/>
      <c r="M785" s="233"/>
      <c r="P785" s="233"/>
      <c r="Q785" s="233"/>
      <c r="R785" s="233"/>
      <c r="S785" s="233"/>
      <c r="V785" s="233"/>
      <c r="W785" s="233"/>
      <c r="X785" s="233"/>
      <c r="Y785" s="233"/>
      <c r="Z785" s="233"/>
      <c r="AA785" s="233"/>
      <c r="AB785" s="233"/>
    </row>
    <row r="786" spans="1:28" s="215" customFormat="1">
      <c r="A786" s="608"/>
      <c r="B786" s="608"/>
      <c r="C786" s="608"/>
      <c r="D786" s="608"/>
      <c r="G786" s="216"/>
      <c r="H786" s="231"/>
      <c r="I786" s="236"/>
      <c r="J786" s="233"/>
      <c r="K786" s="233"/>
      <c r="L786" s="233"/>
      <c r="M786" s="233"/>
      <c r="P786" s="233"/>
      <c r="Q786" s="233"/>
      <c r="R786" s="233"/>
      <c r="S786" s="233"/>
      <c r="V786" s="233"/>
      <c r="W786" s="233"/>
      <c r="X786" s="233"/>
      <c r="Y786" s="233"/>
      <c r="Z786" s="233"/>
      <c r="AA786" s="233"/>
      <c r="AB786" s="233"/>
    </row>
    <row r="787" spans="1:28" s="215" customFormat="1">
      <c r="A787" s="608"/>
      <c r="B787" s="608"/>
      <c r="C787" s="608"/>
      <c r="D787" s="608"/>
      <c r="G787" s="216"/>
      <c r="H787" s="231"/>
      <c r="I787" s="236"/>
      <c r="J787" s="233"/>
      <c r="K787" s="233"/>
      <c r="L787" s="233"/>
      <c r="M787" s="233"/>
      <c r="P787" s="233"/>
      <c r="Q787" s="233"/>
      <c r="R787" s="233"/>
      <c r="S787" s="233"/>
      <c r="V787" s="233"/>
      <c r="W787" s="233"/>
      <c r="X787" s="233"/>
      <c r="Y787" s="233"/>
      <c r="Z787" s="233"/>
      <c r="AA787" s="233"/>
      <c r="AB787" s="233"/>
    </row>
    <row r="788" spans="1:28" s="215" customFormat="1">
      <c r="A788" s="608"/>
      <c r="B788" s="608"/>
      <c r="C788" s="608"/>
      <c r="D788" s="608"/>
      <c r="G788" s="216"/>
      <c r="H788" s="231"/>
      <c r="I788" s="236"/>
      <c r="J788" s="233"/>
      <c r="K788" s="233"/>
      <c r="L788" s="233"/>
      <c r="M788" s="233"/>
      <c r="P788" s="233"/>
      <c r="Q788" s="233"/>
      <c r="R788" s="233"/>
      <c r="S788" s="233"/>
      <c r="V788" s="233"/>
      <c r="W788" s="233"/>
      <c r="X788" s="233"/>
      <c r="Y788" s="233"/>
      <c r="Z788" s="233"/>
      <c r="AA788" s="233"/>
      <c r="AB788" s="233"/>
    </row>
    <row r="789" spans="1:28" s="215" customFormat="1">
      <c r="A789" s="608"/>
      <c r="B789" s="608"/>
      <c r="C789" s="608"/>
      <c r="D789" s="608"/>
      <c r="G789" s="216"/>
      <c r="H789" s="231"/>
      <c r="I789" s="236"/>
      <c r="J789" s="233"/>
      <c r="K789" s="233"/>
      <c r="L789" s="233"/>
      <c r="M789" s="233"/>
      <c r="P789" s="233"/>
      <c r="Q789" s="233"/>
      <c r="R789" s="233"/>
      <c r="S789" s="233"/>
      <c r="V789" s="233"/>
      <c r="W789" s="233"/>
      <c r="X789" s="233"/>
      <c r="Y789" s="233"/>
      <c r="Z789" s="233"/>
      <c r="AA789" s="233"/>
      <c r="AB789" s="233"/>
    </row>
    <row r="790" spans="1:28" s="215" customFormat="1">
      <c r="A790" s="608"/>
      <c r="B790" s="608"/>
      <c r="C790" s="608"/>
      <c r="D790" s="608"/>
      <c r="G790" s="216"/>
      <c r="H790" s="231"/>
      <c r="I790" s="236"/>
      <c r="J790" s="233"/>
      <c r="K790" s="233"/>
      <c r="L790" s="233"/>
      <c r="M790" s="233"/>
      <c r="P790" s="233"/>
      <c r="Q790" s="233"/>
      <c r="R790" s="233"/>
      <c r="S790" s="233"/>
      <c r="V790" s="233"/>
      <c r="W790" s="233"/>
      <c r="X790" s="233"/>
      <c r="Y790" s="233"/>
      <c r="Z790" s="233"/>
      <c r="AA790" s="233"/>
      <c r="AB790" s="233"/>
    </row>
    <row r="791" spans="1:28" s="215" customFormat="1">
      <c r="A791" s="608"/>
      <c r="B791" s="608"/>
      <c r="C791" s="608"/>
      <c r="D791" s="608"/>
      <c r="G791" s="216"/>
      <c r="H791" s="231"/>
      <c r="I791" s="236"/>
      <c r="J791" s="233"/>
      <c r="K791" s="233"/>
      <c r="L791" s="233"/>
      <c r="M791" s="233"/>
      <c r="P791" s="233"/>
      <c r="Q791" s="233"/>
      <c r="R791" s="233"/>
      <c r="S791" s="233"/>
      <c r="V791" s="233"/>
      <c r="W791" s="233"/>
      <c r="X791" s="233"/>
      <c r="Y791" s="233"/>
      <c r="Z791" s="233"/>
      <c r="AA791" s="233"/>
      <c r="AB791" s="233"/>
    </row>
    <row r="792" spans="1:28" s="215" customFormat="1">
      <c r="A792" s="608"/>
      <c r="B792" s="608"/>
      <c r="C792" s="608"/>
      <c r="D792" s="608"/>
      <c r="G792" s="216"/>
      <c r="H792" s="231"/>
      <c r="I792" s="236"/>
      <c r="J792" s="233"/>
      <c r="K792" s="233"/>
      <c r="L792" s="233"/>
      <c r="M792" s="233"/>
      <c r="P792" s="233"/>
      <c r="Q792" s="233"/>
      <c r="R792" s="233"/>
      <c r="S792" s="233"/>
      <c r="V792" s="233"/>
      <c r="W792" s="233"/>
      <c r="X792" s="233"/>
      <c r="Y792" s="233"/>
      <c r="Z792" s="233"/>
      <c r="AA792" s="233"/>
      <c r="AB792" s="233"/>
    </row>
    <row r="793" spans="1:28" s="215" customFormat="1">
      <c r="A793" s="608"/>
      <c r="B793" s="608"/>
      <c r="C793" s="608"/>
      <c r="D793" s="608"/>
      <c r="G793" s="216"/>
      <c r="H793" s="231"/>
      <c r="I793" s="236"/>
      <c r="J793" s="233"/>
      <c r="K793" s="233"/>
      <c r="L793" s="233"/>
      <c r="M793" s="233"/>
      <c r="P793" s="233"/>
      <c r="Q793" s="233"/>
      <c r="R793" s="233"/>
      <c r="S793" s="233"/>
      <c r="V793" s="233"/>
      <c r="W793" s="233"/>
      <c r="X793" s="233"/>
      <c r="Y793" s="233"/>
      <c r="Z793" s="233"/>
      <c r="AA793" s="233"/>
      <c r="AB793" s="233"/>
    </row>
    <row r="794" spans="1:28" s="215" customFormat="1">
      <c r="A794" s="608"/>
      <c r="B794" s="608"/>
      <c r="C794" s="608"/>
      <c r="D794" s="608"/>
      <c r="G794" s="216"/>
      <c r="H794" s="231"/>
      <c r="I794" s="236"/>
      <c r="J794" s="233"/>
      <c r="K794" s="233"/>
      <c r="L794" s="233"/>
      <c r="M794" s="233"/>
      <c r="P794" s="233"/>
      <c r="Q794" s="233"/>
      <c r="R794" s="233"/>
      <c r="S794" s="233"/>
      <c r="V794" s="233"/>
      <c r="W794" s="233"/>
      <c r="X794" s="233"/>
      <c r="Y794" s="233"/>
      <c r="Z794" s="233"/>
      <c r="AA794" s="233"/>
      <c r="AB794" s="233"/>
    </row>
    <row r="795" spans="1:28" s="215" customFormat="1">
      <c r="A795" s="608"/>
      <c r="B795" s="608"/>
      <c r="C795" s="608"/>
      <c r="D795" s="608"/>
      <c r="G795" s="216"/>
      <c r="H795" s="231"/>
      <c r="I795" s="236"/>
      <c r="J795" s="233"/>
      <c r="K795" s="233"/>
      <c r="L795" s="233"/>
      <c r="M795" s="233"/>
      <c r="P795" s="233"/>
      <c r="Q795" s="233"/>
      <c r="R795" s="233"/>
      <c r="S795" s="233"/>
      <c r="V795" s="233"/>
      <c r="W795" s="233"/>
      <c r="X795" s="233"/>
      <c r="Y795" s="233"/>
      <c r="Z795" s="233"/>
      <c r="AA795" s="233"/>
      <c r="AB795" s="233"/>
    </row>
    <row r="796" spans="1:28" s="215" customFormat="1">
      <c r="A796" s="608"/>
      <c r="B796" s="608"/>
      <c r="C796" s="608"/>
      <c r="D796" s="608"/>
      <c r="G796" s="216"/>
      <c r="H796" s="231"/>
      <c r="I796" s="236"/>
      <c r="J796" s="233"/>
      <c r="K796" s="233"/>
      <c r="L796" s="233"/>
      <c r="M796" s="233"/>
      <c r="P796" s="233"/>
      <c r="Q796" s="233"/>
      <c r="R796" s="233"/>
      <c r="S796" s="233"/>
      <c r="V796" s="233"/>
      <c r="W796" s="233"/>
      <c r="X796" s="233"/>
      <c r="Y796" s="233"/>
      <c r="Z796" s="233"/>
      <c r="AA796" s="233"/>
      <c r="AB796" s="233"/>
    </row>
    <row r="797" spans="1:28" s="215" customFormat="1">
      <c r="A797" s="608"/>
      <c r="B797" s="608"/>
      <c r="C797" s="608"/>
      <c r="D797" s="608"/>
      <c r="G797" s="216"/>
      <c r="H797" s="231"/>
      <c r="I797" s="236"/>
      <c r="J797" s="233"/>
      <c r="K797" s="233"/>
      <c r="L797" s="233"/>
      <c r="M797" s="233"/>
      <c r="P797" s="233"/>
      <c r="Q797" s="233"/>
      <c r="R797" s="233"/>
      <c r="S797" s="233"/>
      <c r="V797" s="233"/>
      <c r="W797" s="233"/>
      <c r="X797" s="233"/>
      <c r="Y797" s="233"/>
      <c r="Z797" s="233"/>
      <c r="AA797" s="233"/>
      <c r="AB797" s="233"/>
    </row>
    <row r="798" spans="1:28" s="215" customFormat="1">
      <c r="A798" s="608"/>
      <c r="B798" s="608"/>
      <c r="C798" s="608"/>
      <c r="D798" s="608"/>
      <c r="G798" s="216"/>
      <c r="H798" s="231"/>
      <c r="I798" s="236"/>
      <c r="J798" s="233"/>
      <c r="K798" s="233"/>
      <c r="L798" s="233"/>
      <c r="M798" s="233"/>
      <c r="P798" s="233"/>
      <c r="Q798" s="233"/>
      <c r="R798" s="233"/>
      <c r="S798" s="233"/>
      <c r="V798" s="233"/>
      <c r="W798" s="233"/>
      <c r="X798" s="233"/>
      <c r="Y798" s="233"/>
      <c r="Z798" s="233"/>
      <c r="AA798" s="233"/>
      <c r="AB798" s="233"/>
    </row>
    <row r="799" spans="1:28" s="215" customFormat="1">
      <c r="A799" s="608"/>
      <c r="B799" s="608"/>
      <c r="C799" s="608"/>
      <c r="D799" s="608"/>
      <c r="G799" s="216"/>
      <c r="H799" s="231"/>
      <c r="I799" s="236"/>
      <c r="J799" s="233"/>
      <c r="K799" s="233"/>
      <c r="L799" s="233"/>
      <c r="M799" s="233"/>
      <c r="P799" s="233"/>
      <c r="Q799" s="233"/>
      <c r="R799" s="233"/>
      <c r="S799" s="233"/>
      <c r="V799" s="233"/>
      <c r="W799" s="233"/>
      <c r="X799" s="233"/>
      <c r="Y799" s="233"/>
      <c r="Z799" s="233"/>
      <c r="AA799" s="233"/>
      <c r="AB799" s="233"/>
    </row>
    <row r="800" spans="1:28" s="215" customFormat="1">
      <c r="A800" s="608"/>
      <c r="B800" s="608"/>
      <c r="C800" s="608"/>
      <c r="D800" s="608"/>
      <c r="G800" s="216"/>
      <c r="H800" s="231"/>
      <c r="I800" s="236"/>
      <c r="J800" s="233"/>
      <c r="K800" s="233"/>
      <c r="L800" s="233"/>
      <c r="M800" s="233"/>
      <c r="P800" s="233"/>
      <c r="Q800" s="233"/>
      <c r="R800" s="233"/>
      <c r="S800" s="233"/>
      <c r="V800" s="233"/>
      <c r="W800" s="233"/>
      <c r="X800" s="233"/>
      <c r="Y800" s="233"/>
      <c r="Z800" s="233"/>
      <c r="AA800" s="233"/>
      <c r="AB800" s="233"/>
    </row>
    <row r="801" spans="1:28" s="215" customFormat="1">
      <c r="A801" s="608"/>
      <c r="B801" s="608"/>
      <c r="C801" s="608"/>
      <c r="D801" s="608"/>
      <c r="G801" s="216"/>
      <c r="H801" s="231"/>
      <c r="I801" s="236"/>
      <c r="J801" s="233"/>
      <c r="K801" s="233"/>
      <c r="L801" s="233"/>
      <c r="M801" s="233"/>
      <c r="P801" s="233"/>
      <c r="Q801" s="233"/>
      <c r="R801" s="233"/>
      <c r="S801" s="233"/>
      <c r="V801" s="233"/>
      <c r="W801" s="233"/>
      <c r="X801" s="233"/>
      <c r="Y801" s="233"/>
      <c r="Z801" s="233"/>
      <c r="AA801" s="233"/>
      <c r="AB801" s="233"/>
    </row>
    <row r="802" spans="1:28" s="215" customFormat="1">
      <c r="A802" s="608"/>
      <c r="B802" s="608"/>
      <c r="C802" s="608"/>
      <c r="D802" s="608"/>
      <c r="G802" s="216"/>
      <c r="H802" s="231"/>
      <c r="I802" s="236"/>
      <c r="J802" s="233"/>
      <c r="K802" s="233"/>
      <c r="L802" s="233"/>
      <c r="M802" s="233"/>
      <c r="P802" s="233"/>
      <c r="Q802" s="233"/>
      <c r="R802" s="233"/>
      <c r="S802" s="233"/>
      <c r="V802" s="233"/>
      <c r="W802" s="233"/>
      <c r="X802" s="233"/>
      <c r="Y802" s="233"/>
      <c r="Z802" s="233"/>
      <c r="AA802" s="233"/>
      <c r="AB802" s="233"/>
    </row>
    <row r="803" spans="1:28" s="215" customFormat="1">
      <c r="A803" s="608"/>
      <c r="B803" s="608"/>
      <c r="C803" s="608"/>
      <c r="D803" s="608"/>
      <c r="G803" s="216"/>
      <c r="H803" s="231"/>
      <c r="I803" s="236"/>
      <c r="J803" s="233"/>
      <c r="K803" s="233"/>
      <c r="L803" s="233"/>
      <c r="M803" s="233"/>
      <c r="P803" s="233"/>
      <c r="Q803" s="233"/>
      <c r="R803" s="233"/>
      <c r="S803" s="233"/>
      <c r="V803" s="233"/>
      <c r="W803" s="233"/>
      <c r="X803" s="233"/>
      <c r="Y803" s="233"/>
      <c r="Z803" s="233"/>
      <c r="AA803" s="233"/>
      <c r="AB803" s="233"/>
    </row>
    <row r="804" spans="1:28" s="215" customFormat="1">
      <c r="A804" s="608"/>
      <c r="B804" s="608"/>
      <c r="C804" s="608"/>
      <c r="D804" s="608"/>
      <c r="G804" s="216"/>
      <c r="H804" s="231"/>
      <c r="I804" s="236"/>
      <c r="J804" s="233"/>
      <c r="K804" s="233"/>
      <c r="L804" s="233"/>
      <c r="M804" s="233"/>
      <c r="P804" s="233"/>
      <c r="Q804" s="233"/>
      <c r="R804" s="233"/>
      <c r="S804" s="233"/>
      <c r="V804" s="233"/>
      <c r="W804" s="233"/>
      <c r="X804" s="233"/>
      <c r="Y804" s="233"/>
      <c r="Z804" s="233"/>
      <c r="AA804" s="233"/>
      <c r="AB804" s="233"/>
    </row>
    <row r="805" spans="1:28" s="215" customFormat="1">
      <c r="A805" s="608"/>
      <c r="B805" s="608"/>
      <c r="C805" s="608"/>
      <c r="D805" s="608"/>
      <c r="G805" s="216"/>
      <c r="H805" s="231"/>
      <c r="I805" s="236"/>
      <c r="J805" s="233"/>
      <c r="K805" s="233"/>
      <c r="L805" s="233"/>
      <c r="M805" s="233"/>
      <c r="P805" s="233"/>
      <c r="Q805" s="233"/>
      <c r="R805" s="233"/>
      <c r="S805" s="233"/>
      <c r="V805" s="233"/>
      <c r="W805" s="233"/>
      <c r="X805" s="233"/>
      <c r="Y805" s="233"/>
      <c r="Z805" s="233"/>
      <c r="AA805" s="233"/>
      <c r="AB805" s="233"/>
    </row>
    <row r="806" spans="1:28" s="215" customFormat="1">
      <c r="A806" s="608"/>
      <c r="B806" s="608"/>
      <c r="C806" s="608"/>
      <c r="D806" s="608"/>
      <c r="G806" s="216"/>
      <c r="H806" s="231"/>
      <c r="I806" s="236"/>
      <c r="J806" s="233"/>
      <c r="K806" s="233"/>
      <c r="L806" s="233"/>
      <c r="M806" s="233"/>
      <c r="P806" s="233"/>
      <c r="Q806" s="233"/>
      <c r="R806" s="233"/>
      <c r="S806" s="233"/>
      <c r="V806" s="233"/>
      <c r="W806" s="233"/>
      <c r="X806" s="233"/>
      <c r="Y806" s="233"/>
      <c r="Z806" s="233"/>
      <c r="AA806" s="233"/>
      <c r="AB806" s="233"/>
    </row>
    <row r="807" spans="1:28" s="215" customFormat="1">
      <c r="A807" s="608"/>
      <c r="B807" s="608"/>
      <c r="C807" s="608"/>
      <c r="D807" s="608"/>
      <c r="G807" s="216"/>
      <c r="H807" s="231"/>
      <c r="I807" s="236"/>
      <c r="J807" s="233"/>
      <c r="K807" s="233"/>
      <c r="L807" s="233"/>
      <c r="M807" s="233"/>
      <c r="P807" s="233"/>
      <c r="Q807" s="233"/>
      <c r="R807" s="233"/>
      <c r="S807" s="233"/>
      <c r="V807" s="233"/>
      <c r="W807" s="233"/>
      <c r="X807" s="233"/>
      <c r="Y807" s="233"/>
      <c r="Z807" s="233"/>
      <c r="AA807" s="233"/>
      <c r="AB807" s="233"/>
    </row>
    <row r="808" spans="1:28" s="215" customFormat="1">
      <c r="A808" s="608"/>
      <c r="B808" s="608"/>
      <c r="C808" s="608"/>
      <c r="D808" s="608"/>
      <c r="G808" s="216"/>
      <c r="H808" s="231"/>
      <c r="I808" s="236"/>
      <c r="J808" s="233"/>
      <c r="K808" s="233"/>
      <c r="L808" s="233"/>
      <c r="M808" s="233"/>
      <c r="P808" s="233"/>
      <c r="Q808" s="233"/>
      <c r="R808" s="233"/>
      <c r="S808" s="233"/>
      <c r="V808" s="233"/>
      <c r="W808" s="233"/>
      <c r="X808" s="233"/>
      <c r="Y808" s="233"/>
      <c r="Z808" s="233"/>
      <c r="AA808" s="233"/>
      <c r="AB808" s="233"/>
    </row>
    <row r="809" spans="1:28" s="215" customFormat="1">
      <c r="A809" s="608"/>
      <c r="B809" s="608"/>
      <c r="C809" s="608"/>
      <c r="D809" s="608"/>
      <c r="G809" s="216"/>
      <c r="H809" s="231"/>
      <c r="I809" s="236"/>
      <c r="J809" s="233"/>
      <c r="K809" s="233"/>
      <c r="L809" s="233"/>
      <c r="M809" s="233"/>
      <c r="P809" s="233"/>
      <c r="Q809" s="233"/>
      <c r="R809" s="233"/>
      <c r="S809" s="233"/>
      <c r="V809" s="233"/>
      <c r="W809" s="233"/>
      <c r="X809" s="233"/>
      <c r="Y809" s="233"/>
      <c r="Z809" s="233"/>
      <c r="AA809" s="233"/>
      <c r="AB809" s="233"/>
    </row>
    <row r="810" spans="1:28" s="215" customFormat="1">
      <c r="A810" s="608"/>
      <c r="B810" s="608"/>
      <c r="C810" s="608"/>
      <c r="D810" s="608"/>
      <c r="G810" s="216"/>
      <c r="H810" s="231"/>
      <c r="I810" s="236"/>
      <c r="J810" s="233"/>
      <c r="K810" s="233"/>
      <c r="L810" s="233"/>
      <c r="M810" s="233"/>
      <c r="P810" s="233"/>
      <c r="Q810" s="233"/>
      <c r="R810" s="233"/>
      <c r="S810" s="233"/>
      <c r="V810" s="233"/>
      <c r="W810" s="233"/>
      <c r="X810" s="233"/>
      <c r="Y810" s="233"/>
      <c r="Z810" s="233"/>
      <c r="AA810" s="233"/>
      <c r="AB810" s="233"/>
    </row>
    <row r="811" spans="1:28" s="215" customFormat="1">
      <c r="A811" s="608"/>
      <c r="B811" s="608"/>
      <c r="C811" s="608"/>
      <c r="D811" s="608"/>
      <c r="G811" s="216"/>
      <c r="H811" s="231"/>
      <c r="I811" s="236"/>
      <c r="J811" s="233"/>
      <c r="K811" s="233"/>
      <c r="L811" s="233"/>
      <c r="M811" s="233"/>
      <c r="P811" s="233"/>
      <c r="Q811" s="233"/>
      <c r="R811" s="233"/>
      <c r="S811" s="233"/>
      <c r="V811" s="233"/>
      <c r="W811" s="233"/>
      <c r="X811" s="233"/>
      <c r="Y811" s="233"/>
      <c r="Z811" s="233"/>
      <c r="AA811" s="233"/>
      <c r="AB811" s="233"/>
    </row>
    <row r="812" spans="1:28" s="215" customFormat="1">
      <c r="A812" s="608"/>
      <c r="B812" s="608"/>
      <c r="C812" s="608"/>
      <c r="D812" s="608"/>
      <c r="G812" s="216"/>
      <c r="H812" s="231"/>
      <c r="I812" s="236"/>
      <c r="J812" s="233"/>
      <c r="K812" s="233"/>
      <c r="L812" s="233"/>
      <c r="M812" s="233"/>
      <c r="P812" s="233"/>
      <c r="Q812" s="233"/>
      <c r="R812" s="233"/>
      <c r="S812" s="233"/>
      <c r="V812" s="233"/>
      <c r="W812" s="233"/>
      <c r="X812" s="233"/>
      <c r="Y812" s="233"/>
      <c r="Z812" s="233"/>
      <c r="AA812" s="233"/>
      <c r="AB812" s="233"/>
    </row>
    <row r="813" spans="1:28" s="215" customFormat="1">
      <c r="A813" s="608"/>
      <c r="B813" s="608"/>
      <c r="C813" s="608"/>
      <c r="D813" s="608"/>
      <c r="G813" s="216"/>
      <c r="H813" s="231"/>
      <c r="I813" s="236"/>
      <c r="J813" s="233"/>
      <c r="K813" s="233"/>
      <c r="L813" s="233"/>
      <c r="M813" s="233"/>
      <c r="P813" s="233"/>
      <c r="Q813" s="233"/>
      <c r="R813" s="233"/>
      <c r="S813" s="233"/>
      <c r="V813" s="233"/>
      <c r="W813" s="233"/>
      <c r="X813" s="233"/>
      <c r="Y813" s="233"/>
      <c r="Z813" s="233"/>
      <c r="AA813" s="233"/>
      <c r="AB813" s="233"/>
    </row>
    <row r="814" spans="1:28" s="215" customFormat="1">
      <c r="A814" s="608"/>
      <c r="B814" s="608"/>
      <c r="C814" s="608"/>
      <c r="D814" s="608"/>
      <c r="G814" s="216"/>
      <c r="H814" s="231"/>
      <c r="I814" s="236"/>
      <c r="J814" s="233"/>
      <c r="K814" s="233"/>
      <c r="L814" s="233"/>
      <c r="M814" s="233"/>
      <c r="P814" s="233"/>
      <c r="Q814" s="233"/>
      <c r="R814" s="233"/>
      <c r="S814" s="233"/>
      <c r="V814" s="233"/>
      <c r="W814" s="233"/>
      <c r="X814" s="233"/>
      <c r="Y814" s="233"/>
      <c r="Z814" s="233"/>
      <c r="AA814" s="233"/>
      <c r="AB814" s="233"/>
    </row>
    <row r="815" spans="1:28" s="215" customFormat="1">
      <c r="A815" s="608"/>
      <c r="B815" s="608"/>
      <c r="C815" s="608"/>
      <c r="D815" s="608"/>
      <c r="G815" s="216"/>
      <c r="H815" s="231"/>
      <c r="I815" s="236"/>
      <c r="J815" s="233"/>
      <c r="K815" s="233"/>
      <c r="L815" s="233"/>
      <c r="M815" s="233"/>
      <c r="P815" s="233"/>
      <c r="Q815" s="233"/>
      <c r="R815" s="233"/>
      <c r="S815" s="233"/>
      <c r="V815" s="233"/>
      <c r="W815" s="233"/>
      <c r="X815" s="233"/>
      <c r="Y815" s="233"/>
      <c r="Z815" s="233"/>
      <c r="AA815" s="233"/>
      <c r="AB815" s="233"/>
    </row>
    <row r="816" spans="1:28" s="215" customFormat="1">
      <c r="A816" s="608"/>
      <c r="B816" s="608"/>
      <c r="C816" s="608"/>
      <c r="D816" s="608"/>
      <c r="G816" s="216"/>
      <c r="H816" s="231"/>
      <c r="I816" s="236"/>
      <c r="J816" s="233"/>
      <c r="K816" s="233"/>
      <c r="L816" s="233"/>
      <c r="M816" s="233"/>
      <c r="P816" s="233"/>
      <c r="Q816" s="233"/>
      <c r="R816" s="233"/>
      <c r="S816" s="233"/>
      <c r="V816" s="233"/>
      <c r="W816" s="233"/>
      <c r="X816" s="233"/>
      <c r="Y816" s="233"/>
      <c r="Z816" s="233"/>
      <c r="AA816" s="233"/>
      <c r="AB816" s="233"/>
    </row>
    <row r="817" spans="1:28" s="215" customFormat="1">
      <c r="A817" s="608"/>
      <c r="B817" s="608"/>
      <c r="C817" s="608"/>
      <c r="D817" s="608"/>
      <c r="G817" s="216"/>
      <c r="H817" s="231"/>
      <c r="I817" s="236"/>
      <c r="J817" s="233"/>
      <c r="K817" s="233"/>
      <c r="L817" s="233"/>
      <c r="M817" s="233"/>
      <c r="P817" s="233"/>
      <c r="Q817" s="233"/>
      <c r="R817" s="233"/>
      <c r="S817" s="233"/>
      <c r="V817" s="233"/>
      <c r="W817" s="233"/>
      <c r="X817" s="233"/>
      <c r="Y817" s="233"/>
      <c r="Z817" s="233"/>
      <c r="AA817" s="233"/>
      <c r="AB817" s="233"/>
    </row>
    <row r="818" spans="1:28" s="215" customFormat="1">
      <c r="A818" s="608"/>
      <c r="B818" s="608"/>
      <c r="C818" s="608"/>
      <c r="D818" s="608"/>
      <c r="G818" s="216"/>
      <c r="H818" s="231"/>
      <c r="I818" s="236"/>
      <c r="J818" s="233"/>
      <c r="K818" s="233"/>
      <c r="L818" s="233"/>
      <c r="M818" s="233"/>
      <c r="P818" s="233"/>
      <c r="Q818" s="233"/>
      <c r="R818" s="233"/>
      <c r="S818" s="233"/>
      <c r="V818" s="233"/>
      <c r="W818" s="233"/>
      <c r="X818" s="233"/>
      <c r="Y818" s="233"/>
      <c r="Z818" s="233"/>
      <c r="AA818" s="233"/>
      <c r="AB818" s="233"/>
    </row>
    <row r="819" spans="1:28" s="215" customFormat="1">
      <c r="A819" s="608"/>
      <c r="B819" s="608"/>
      <c r="C819" s="608"/>
      <c r="D819" s="608"/>
      <c r="G819" s="216"/>
      <c r="H819" s="231"/>
      <c r="I819" s="236"/>
      <c r="J819" s="233"/>
      <c r="K819" s="233"/>
      <c r="L819" s="233"/>
      <c r="M819" s="233"/>
      <c r="P819" s="233"/>
      <c r="Q819" s="233"/>
      <c r="R819" s="233"/>
      <c r="S819" s="233"/>
      <c r="V819" s="233"/>
      <c r="W819" s="233"/>
      <c r="X819" s="233"/>
      <c r="Y819" s="233"/>
      <c r="Z819" s="233"/>
      <c r="AA819" s="233"/>
      <c r="AB819" s="233"/>
    </row>
    <row r="820" spans="1:28" s="215" customFormat="1">
      <c r="A820" s="608"/>
      <c r="B820" s="608"/>
      <c r="C820" s="608"/>
      <c r="D820" s="608"/>
      <c r="G820" s="216"/>
      <c r="H820" s="231"/>
      <c r="I820" s="236"/>
      <c r="J820" s="233"/>
      <c r="K820" s="233"/>
      <c r="L820" s="233"/>
      <c r="M820" s="233"/>
      <c r="P820" s="233"/>
      <c r="Q820" s="233"/>
      <c r="R820" s="233"/>
      <c r="S820" s="233"/>
      <c r="V820" s="233"/>
      <c r="W820" s="233"/>
      <c r="X820" s="233"/>
      <c r="Y820" s="233"/>
      <c r="Z820" s="233"/>
      <c r="AA820" s="233"/>
      <c r="AB820" s="233"/>
    </row>
    <row r="821" spans="1:28" s="215" customFormat="1">
      <c r="A821" s="608"/>
      <c r="B821" s="608"/>
      <c r="C821" s="608"/>
      <c r="D821" s="608"/>
      <c r="G821" s="216"/>
      <c r="H821" s="231"/>
      <c r="I821" s="236"/>
      <c r="J821" s="233"/>
      <c r="K821" s="233"/>
      <c r="L821" s="233"/>
      <c r="M821" s="233"/>
      <c r="P821" s="233"/>
      <c r="Q821" s="233"/>
      <c r="R821" s="233"/>
      <c r="S821" s="233"/>
      <c r="V821" s="233"/>
      <c r="W821" s="233"/>
      <c r="X821" s="233"/>
      <c r="Y821" s="233"/>
      <c r="Z821" s="233"/>
      <c r="AA821" s="233"/>
      <c r="AB821" s="233"/>
    </row>
    <row r="822" spans="1:28" s="215" customFormat="1">
      <c r="A822" s="608"/>
      <c r="B822" s="608"/>
      <c r="C822" s="608"/>
      <c r="D822" s="608"/>
      <c r="G822" s="216"/>
      <c r="H822" s="231"/>
      <c r="I822" s="236"/>
      <c r="J822" s="233"/>
      <c r="K822" s="233"/>
      <c r="L822" s="233"/>
      <c r="M822" s="233"/>
      <c r="P822" s="233"/>
      <c r="Q822" s="233"/>
      <c r="R822" s="233"/>
      <c r="S822" s="233"/>
      <c r="V822" s="233"/>
      <c r="W822" s="233"/>
      <c r="X822" s="233"/>
      <c r="Y822" s="233"/>
      <c r="Z822" s="233"/>
      <c r="AA822" s="233"/>
      <c r="AB822" s="233"/>
    </row>
    <row r="823" spans="1:28" s="215" customFormat="1">
      <c r="A823" s="608"/>
      <c r="B823" s="608"/>
      <c r="C823" s="608"/>
      <c r="D823" s="608"/>
      <c r="G823" s="216"/>
      <c r="H823" s="231"/>
      <c r="I823" s="236"/>
      <c r="J823" s="233"/>
      <c r="K823" s="233"/>
      <c r="L823" s="233"/>
      <c r="M823" s="233"/>
      <c r="P823" s="233"/>
      <c r="Q823" s="233"/>
      <c r="R823" s="233"/>
      <c r="S823" s="233"/>
      <c r="V823" s="233"/>
      <c r="W823" s="233"/>
      <c r="X823" s="233"/>
      <c r="Y823" s="233"/>
      <c r="Z823" s="233"/>
      <c r="AA823" s="233"/>
      <c r="AB823" s="233"/>
    </row>
    <row r="824" spans="1:28" s="215" customFormat="1">
      <c r="A824" s="608"/>
      <c r="B824" s="608"/>
      <c r="C824" s="608"/>
      <c r="D824" s="608"/>
      <c r="G824" s="216"/>
      <c r="H824" s="231"/>
      <c r="I824" s="236"/>
      <c r="J824" s="233"/>
      <c r="K824" s="233"/>
      <c r="L824" s="233"/>
      <c r="M824" s="233"/>
      <c r="P824" s="233"/>
      <c r="Q824" s="233"/>
      <c r="R824" s="233"/>
      <c r="S824" s="233"/>
      <c r="V824" s="233"/>
      <c r="W824" s="233"/>
      <c r="X824" s="233"/>
      <c r="Y824" s="233"/>
      <c r="Z824" s="233"/>
      <c r="AA824" s="233"/>
      <c r="AB824" s="233"/>
    </row>
    <row r="825" spans="1:28" s="215" customFormat="1">
      <c r="A825" s="608"/>
      <c r="B825" s="608"/>
      <c r="C825" s="608"/>
      <c r="D825" s="608"/>
      <c r="G825" s="216"/>
      <c r="H825" s="231"/>
      <c r="I825" s="236"/>
      <c r="J825" s="233"/>
      <c r="K825" s="233"/>
      <c r="L825" s="233"/>
      <c r="M825" s="233"/>
      <c r="P825" s="233"/>
      <c r="Q825" s="233"/>
      <c r="R825" s="233"/>
      <c r="S825" s="233"/>
      <c r="V825" s="233"/>
      <c r="W825" s="233"/>
      <c r="X825" s="233"/>
      <c r="Y825" s="233"/>
      <c r="Z825" s="233"/>
      <c r="AA825" s="233"/>
      <c r="AB825" s="233"/>
    </row>
    <row r="826" spans="1:28" s="215" customFormat="1">
      <c r="A826" s="608"/>
      <c r="B826" s="608"/>
      <c r="C826" s="608"/>
      <c r="D826" s="608"/>
      <c r="G826" s="216"/>
      <c r="H826" s="231"/>
      <c r="I826" s="236"/>
      <c r="J826" s="233"/>
      <c r="K826" s="233"/>
      <c r="L826" s="233"/>
      <c r="M826" s="233"/>
      <c r="P826" s="233"/>
      <c r="Q826" s="233"/>
      <c r="R826" s="233"/>
      <c r="S826" s="233"/>
      <c r="V826" s="233"/>
      <c r="W826" s="233"/>
      <c r="X826" s="233"/>
      <c r="Y826" s="233"/>
      <c r="Z826" s="233"/>
      <c r="AA826" s="233"/>
      <c r="AB826" s="233"/>
    </row>
    <row r="827" spans="1:28" s="215" customFormat="1">
      <c r="A827" s="608"/>
      <c r="B827" s="608"/>
      <c r="C827" s="608"/>
      <c r="D827" s="608"/>
      <c r="G827" s="216"/>
      <c r="H827" s="231"/>
      <c r="I827" s="236"/>
      <c r="J827" s="233"/>
      <c r="K827" s="233"/>
      <c r="L827" s="233"/>
      <c r="M827" s="233"/>
      <c r="P827" s="233"/>
      <c r="Q827" s="233"/>
      <c r="R827" s="233"/>
      <c r="S827" s="233"/>
      <c r="V827" s="233"/>
      <c r="W827" s="233"/>
      <c r="X827" s="233"/>
      <c r="Y827" s="233"/>
      <c r="Z827" s="233"/>
      <c r="AA827" s="233"/>
      <c r="AB827" s="233"/>
    </row>
    <row r="828" spans="1:28" s="215" customFormat="1">
      <c r="A828" s="608"/>
      <c r="B828" s="608"/>
      <c r="C828" s="608"/>
      <c r="D828" s="608"/>
      <c r="G828" s="216"/>
      <c r="H828" s="231"/>
      <c r="I828" s="236"/>
      <c r="J828" s="233"/>
      <c r="K828" s="233"/>
      <c r="L828" s="233"/>
      <c r="M828" s="233"/>
      <c r="P828" s="233"/>
      <c r="Q828" s="233"/>
      <c r="R828" s="233"/>
      <c r="S828" s="233"/>
      <c r="V828" s="233"/>
      <c r="W828" s="233"/>
      <c r="X828" s="233"/>
      <c r="Y828" s="233"/>
      <c r="Z828" s="233"/>
      <c r="AA828" s="233"/>
      <c r="AB828" s="233"/>
    </row>
    <row r="829" spans="1:28" s="215" customFormat="1">
      <c r="A829" s="608"/>
      <c r="B829" s="608"/>
      <c r="C829" s="608"/>
      <c r="D829" s="608"/>
      <c r="G829" s="216"/>
      <c r="H829" s="231"/>
      <c r="I829" s="236"/>
      <c r="J829" s="233"/>
      <c r="K829" s="233"/>
      <c r="L829" s="233"/>
      <c r="M829" s="233"/>
      <c r="P829" s="233"/>
      <c r="Q829" s="233"/>
      <c r="R829" s="233"/>
      <c r="S829" s="233"/>
      <c r="V829" s="233"/>
      <c r="W829" s="233"/>
      <c r="X829" s="233"/>
      <c r="Y829" s="233"/>
      <c r="Z829" s="233"/>
      <c r="AA829" s="233"/>
      <c r="AB829" s="233"/>
    </row>
    <row r="830" spans="1:28" s="215" customFormat="1">
      <c r="A830" s="608"/>
      <c r="B830" s="608"/>
      <c r="C830" s="608"/>
      <c r="D830" s="608"/>
      <c r="G830" s="216"/>
      <c r="H830" s="231"/>
      <c r="I830" s="236"/>
      <c r="J830" s="233"/>
      <c r="K830" s="233"/>
      <c r="L830" s="233"/>
      <c r="M830" s="233"/>
      <c r="P830" s="233"/>
      <c r="Q830" s="233"/>
      <c r="R830" s="233"/>
      <c r="S830" s="233"/>
      <c r="V830" s="233"/>
      <c r="W830" s="233"/>
      <c r="X830" s="233"/>
      <c r="Y830" s="233"/>
      <c r="Z830" s="233"/>
      <c r="AA830" s="233"/>
      <c r="AB830" s="233"/>
    </row>
    <row r="831" spans="1:28" s="215" customFormat="1">
      <c r="A831" s="608"/>
      <c r="B831" s="608"/>
      <c r="C831" s="608"/>
      <c r="D831" s="608"/>
      <c r="G831" s="216"/>
      <c r="H831" s="231"/>
      <c r="I831" s="236"/>
      <c r="J831" s="233"/>
      <c r="K831" s="233"/>
      <c r="L831" s="233"/>
      <c r="M831" s="233"/>
      <c r="P831" s="233"/>
      <c r="Q831" s="233"/>
      <c r="R831" s="233"/>
      <c r="S831" s="233"/>
      <c r="V831" s="233"/>
      <c r="W831" s="233"/>
      <c r="X831" s="233"/>
      <c r="Y831" s="233"/>
      <c r="Z831" s="233"/>
      <c r="AA831" s="233"/>
      <c r="AB831" s="233"/>
    </row>
    <row r="832" spans="1:28" s="215" customFormat="1">
      <c r="A832" s="608"/>
      <c r="B832" s="608"/>
      <c r="C832" s="608"/>
      <c r="D832" s="608"/>
      <c r="G832" s="216"/>
      <c r="H832" s="231"/>
      <c r="I832" s="236"/>
      <c r="J832" s="233"/>
      <c r="K832" s="233"/>
      <c r="L832" s="233"/>
      <c r="M832" s="233"/>
      <c r="P832" s="233"/>
      <c r="Q832" s="233"/>
      <c r="R832" s="233"/>
      <c r="S832" s="233"/>
      <c r="V832" s="233"/>
      <c r="W832" s="233"/>
      <c r="X832" s="233"/>
      <c r="Y832" s="233"/>
      <c r="Z832" s="233"/>
      <c r="AA832" s="233"/>
      <c r="AB832" s="233"/>
    </row>
    <row r="833" spans="1:28" s="215" customFormat="1">
      <c r="A833" s="608"/>
      <c r="B833" s="608"/>
      <c r="C833" s="608"/>
      <c r="D833" s="608"/>
      <c r="G833" s="216"/>
      <c r="H833" s="231"/>
      <c r="I833" s="236"/>
      <c r="J833" s="233"/>
      <c r="K833" s="233"/>
      <c r="L833" s="233"/>
      <c r="M833" s="233"/>
      <c r="P833" s="233"/>
      <c r="Q833" s="233"/>
      <c r="R833" s="233"/>
      <c r="S833" s="233"/>
      <c r="V833" s="233"/>
      <c r="W833" s="233"/>
      <c r="X833" s="233"/>
      <c r="Y833" s="233"/>
      <c r="Z833" s="233"/>
      <c r="AA833" s="233"/>
      <c r="AB833" s="233"/>
    </row>
    <row r="834" spans="1:28" s="215" customFormat="1">
      <c r="A834" s="608"/>
      <c r="B834" s="608"/>
      <c r="C834" s="608"/>
      <c r="D834" s="608"/>
      <c r="G834" s="216"/>
      <c r="H834" s="231"/>
      <c r="I834" s="236"/>
      <c r="J834" s="233"/>
      <c r="K834" s="233"/>
      <c r="L834" s="233"/>
      <c r="M834" s="233"/>
      <c r="P834" s="233"/>
      <c r="Q834" s="233"/>
      <c r="R834" s="233"/>
      <c r="S834" s="233"/>
      <c r="V834" s="233"/>
      <c r="W834" s="233"/>
      <c r="X834" s="233"/>
      <c r="Y834" s="233"/>
      <c r="Z834" s="233"/>
      <c r="AA834" s="233"/>
      <c r="AB834" s="233"/>
    </row>
    <row r="835" spans="1:28" s="215" customFormat="1">
      <c r="A835" s="608"/>
      <c r="B835" s="608"/>
      <c r="C835" s="608"/>
      <c r="D835" s="608"/>
      <c r="G835" s="216"/>
      <c r="H835" s="231"/>
      <c r="I835" s="236"/>
      <c r="J835" s="233"/>
      <c r="K835" s="233"/>
      <c r="L835" s="233"/>
      <c r="M835" s="233"/>
      <c r="P835" s="233"/>
      <c r="Q835" s="233"/>
      <c r="R835" s="233"/>
      <c r="S835" s="233"/>
      <c r="V835" s="233"/>
      <c r="W835" s="233"/>
      <c r="X835" s="233"/>
      <c r="Y835" s="233"/>
      <c r="Z835" s="233"/>
      <c r="AA835" s="233"/>
      <c r="AB835" s="233"/>
    </row>
    <row r="836" spans="1:28" s="215" customFormat="1">
      <c r="A836" s="608"/>
      <c r="B836" s="608"/>
      <c r="C836" s="608"/>
      <c r="D836" s="608"/>
      <c r="G836" s="216"/>
      <c r="H836" s="231"/>
      <c r="I836" s="236"/>
      <c r="J836" s="233"/>
      <c r="K836" s="233"/>
      <c r="L836" s="233"/>
      <c r="M836" s="233"/>
      <c r="P836" s="233"/>
      <c r="Q836" s="233"/>
      <c r="R836" s="233"/>
      <c r="S836" s="233"/>
      <c r="V836" s="233"/>
      <c r="W836" s="233"/>
      <c r="X836" s="233"/>
      <c r="Y836" s="233"/>
      <c r="Z836" s="233"/>
      <c r="AA836" s="233"/>
      <c r="AB836" s="233"/>
    </row>
    <row r="837" spans="1:28" s="215" customFormat="1">
      <c r="A837" s="608"/>
      <c r="B837" s="608"/>
      <c r="C837" s="608"/>
      <c r="D837" s="608"/>
      <c r="G837" s="216"/>
      <c r="H837" s="231"/>
      <c r="I837" s="236"/>
      <c r="J837" s="233"/>
      <c r="K837" s="233"/>
      <c r="L837" s="233"/>
      <c r="M837" s="233"/>
      <c r="P837" s="233"/>
      <c r="Q837" s="233"/>
      <c r="R837" s="233"/>
      <c r="S837" s="233"/>
      <c r="V837" s="233"/>
      <c r="W837" s="233"/>
      <c r="X837" s="233"/>
      <c r="Y837" s="233"/>
      <c r="Z837" s="233"/>
      <c r="AA837" s="233"/>
      <c r="AB837" s="233"/>
    </row>
    <row r="838" spans="1:28" s="215" customFormat="1">
      <c r="A838" s="608"/>
      <c r="B838" s="608"/>
      <c r="C838" s="608"/>
      <c r="D838" s="608"/>
      <c r="G838" s="216"/>
      <c r="H838" s="231"/>
      <c r="I838" s="236"/>
      <c r="J838" s="233"/>
      <c r="K838" s="233"/>
      <c r="L838" s="233"/>
      <c r="M838" s="233"/>
      <c r="P838" s="233"/>
      <c r="Q838" s="233"/>
      <c r="R838" s="233"/>
      <c r="S838" s="233"/>
      <c r="V838" s="233"/>
      <c r="W838" s="233"/>
      <c r="X838" s="233"/>
      <c r="Y838" s="233"/>
      <c r="Z838" s="233"/>
      <c r="AA838" s="233"/>
      <c r="AB838" s="233"/>
    </row>
    <row r="839" spans="1:28" s="215" customFormat="1">
      <c r="A839" s="608"/>
      <c r="B839" s="608"/>
      <c r="C839" s="608"/>
      <c r="D839" s="608"/>
      <c r="G839" s="216"/>
      <c r="H839" s="231"/>
      <c r="I839" s="236"/>
      <c r="J839" s="233"/>
      <c r="K839" s="233"/>
      <c r="L839" s="233"/>
      <c r="M839" s="233"/>
      <c r="P839" s="233"/>
      <c r="Q839" s="233"/>
      <c r="R839" s="233"/>
      <c r="S839" s="233"/>
      <c r="V839" s="233"/>
      <c r="W839" s="233"/>
      <c r="X839" s="233"/>
      <c r="Y839" s="233"/>
      <c r="Z839" s="233"/>
      <c r="AA839" s="233"/>
      <c r="AB839" s="233"/>
    </row>
    <row r="840" spans="1:28" s="215" customFormat="1">
      <c r="A840" s="608"/>
      <c r="B840" s="608"/>
      <c r="C840" s="608"/>
      <c r="D840" s="608"/>
      <c r="G840" s="216"/>
      <c r="H840" s="231"/>
      <c r="I840" s="236"/>
      <c r="J840" s="233"/>
      <c r="K840" s="233"/>
      <c r="L840" s="233"/>
      <c r="M840" s="233"/>
      <c r="P840" s="233"/>
      <c r="Q840" s="233"/>
      <c r="R840" s="233"/>
      <c r="S840" s="233"/>
      <c r="V840" s="233"/>
      <c r="W840" s="233"/>
      <c r="X840" s="233"/>
      <c r="Y840" s="233"/>
      <c r="Z840" s="233"/>
      <c r="AA840" s="233"/>
      <c r="AB840" s="233"/>
    </row>
    <row r="841" spans="1:28" s="215" customFormat="1">
      <c r="A841" s="608"/>
      <c r="B841" s="608"/>
      <c r="C841" s="608"/>
      <c r="D841" s="608"/>
      <c r="G841" s="216"/>
      <c r="H841" s="231"/>
      <c r="I841" s="236"/>
      <c r="J841" s="233"/>
      <c r="K841" s="233"/>
      <c r="L841" s="233"/>
      <c r="M841" s="233"/>
      <c r="P841" s="233"/>
      <c r="Q841" s="233"/>
      <c r="R841" s="233"/>
      <c r="S841" s="233"/>
      <c r="V841" s="233"/>
      <c r="W841" s="233"/>
      <c r="X841" s="233"/>
      <c r="Y841" s="233"/>
      <c r="Z841" s="233"/>
      <c r="AA841" s="233"/>
      <c r="AB841" s="233"/>
    </row>
    <row r="842" spans="1:28" s="215" customFormat="1">
      <c r="A842" s="608"/>
      <c r="B842" s="608"/>
      <c r="C842" s="608"/>
      <c r="D842" s="608"/>
      <c r="G842" s="216"/>
      <c r="H842" s="231"/>
      <c r="I842" s="236"/>
      <c r="J842" s="233"/>
      <c r="K842" s="233"/>
      <c r="L842" s="233"/>
      <c r="M842" s="233"/>
      <c r="P842" s="233"/>
      <c r="Q842" s="233"/>
      <c r="R842" s="233"/>
      <c r="S842" s="233"/>
      <c r="V842" s="233"/>
      <c r="W842" s="233"/>
      <c r="X842" s="233"/>
      <c r="Y842" s="233"/>
      <c r="Z842" s="233"/>
      <c r="AA842" s="233"/>
      <c r="AB842" s="233"/>
    </row>
    <row r="843" spans="1:28" s="215" customFormat="1">
      <c r="A843" s="608"/>
      <c r="B843" s="608"/>
      <c r="C843" s="608"/>
      <c r="D843" s="608"/>
      <c r="G843" s="216"/>
      <c r="H843" s="231"/>
      <c r="I843" s="236"/>
      <c r="J843" s="233"/>
      <c r="K843" s="233"/>
      <c r="L843" s="233"/>
      <c r="M843" s="233"/>
      <c r="P843" s="233"/>
      <c r="Q843" s="233"/>
      <c r="R843" s="233"/>
      <c r="S843" s="233"/>
      <c r="V843" s="233"/>
      <c r="W843" s="233"/>
      <c r="X843" s="233"/>
      <c r="Y843" s="233"/>
      <c r="Z843" s="233"/>
      <c r="AA843" s="233"/>
      <c r="AB843" s="233"/>
    </row>
    <row r="844" spans="1:28" s="215" customFormat="1">
      <c r="A844" s="608"/>
      <c r="B844" s="608"/>
      <c r="C844" s="608"/>
      <c r="D844" s="608"/>
      <c r="G844" s="216"/>
      <c r="H844" s="231"/>
      <c r="I844" s="236"/>
      <c r="J844" s="233"/>
      <c r="K844" s="233"/>
      <c r="L844" s="233"/>
      <c r="M844" s="233"/>
      <c r="P844" s="233"/>
      <c r="Q844" s="233"/>
      <c r="R844" s="233"/>
      <c r="S844" s="233"/>
      <c r="V844" s="233"/>
      <c r="W844" s="233"/>
      <c r="X844" s="233"/>
      <c r="Y844" s="233"/>
      <c r="Z844" s="233"/>
      <c r="AA844" s="233"/>
      <c r="AB844" s="233"/>
    </row>
    <row r="845" spans="1:28" s="215" customFormat="1">
      <c r="A845" s="608"/>
      <c r="B845" s="608"/>
      <c r="C845" s="608"/>
      <c r="D845" s="608"/>
      <c r="G845" s="216"/>
      <c r="H845" s="231"/>
      <c r="I845" s="236"/>
      <c r="J845" s="233"/>
      <c r="K845" s="233"/>
      <c r="L845" s="233"/>
      <c r="M845" s="233"/>
      <c r="P845" s="233"/>
      <c r="Q845" s="233"/>
      <c r="R845" s="233"/>
      <c r="S845" s="233"/>
      <c r="V845" s="233"/>
      <c r="W845" s="233"/>
      <c r="X845" s="233"/>
      <c r="Y845" s="233"/>
      <c r="Z845" s="233"/>
      <c r="AA845" s="233"/>
      <c r="AB845" s="233"/>
    </row>
    <row r="846" spans="1:28" s="215" customFormat="1">
      <c r="A846" s="608"/>
      <c r="B846" s="608"/>
      <c r="C846" s="608"/>
      <c r="D846" s="608"/>
      <c r="G846" s="216"/>
      <c r="H846" s="231"/>
      <c r="I846" s="236"/>
      <c r="J846" s="233"/>
      <c r="K846" s="233"/>
      <c r="L846" s="233"/>
      <c r="M846" s="233"/>
      <c r="P846" s="233"/>
      <c r="Q846" s="233"/>
      <c r="R846" s="233"/>
      <c r="S846" s="233"/>
      <c r="V846" s="233"/>
      <c r="W846" s="233"/>
      <c r="X846" s="233"/>
      <c r="Y846" s="233"/>
      <c r="Z846" s="233"/>
      <c r="AA846" s="233"/>
      <c r="AB846" s="233"/>
    </row>
    <row r="847" spans="1:28" s="215" customFormat="1">
      <c r="A847" s="608"/>
      <c r="B847" s="608"/>
      <c r="C847" s="608"/>
      <c r="D847" s="608"/>
      <c r="G847" s="216"/>
      <c r="H847" s="231"/>
      <c r="I847" s="236"/>
      <c r="J847" s="233"/>
      <c r="K847" s="233"/>
      <c r="L847" s="233"/>
      <c r="M847" s="233"/>
      <c r="P847" s="233"/>
      <c r="Q847" s="233"/>
      <c r="R847" s="233"/>
      <c r="S847" s="233"/>
      <c r="V847" s="233"/>
      <c r="W847" s="233"/>
      <c r="X847" s="233"/>
      <c r="Y847" s="233"/>
      <c r="Z847" s="233"/>
      <c r="AA847" s="233"/>
      <c r="AB847" s="233"/>
    </row>
    <row r="848" spans="1:28" s="215" customFormat="1">
      <c r="A848" s="608"/>
      <c r="B848" s="608"/>
      <c r="C848" s="608"/>
      <c r="D848" s="608"/>
      <c r="G848" s="216"/>
      <c r="H848" s="231"/>
      <c r="I848" s="236"/>
      <c r="J848" s="233"/>
      <c r="K848" s="233"/>
      <c r="L848" s="233"/>
      <c r="M848" s="233"/>
      <c r="P848" s="233"/>
      <c r="Q848" s="233"/>
      <c r="R848" s="233"/>
      <c r="S848" s="233"/>
      <c r="V848" s="233"/>
      <c r="W848" s="233"/>
      <c r="X848" s="233"/>
      <c r="Y848" s="233"/>
      <c r="Z848" s="233"/>
      <c r="AA848" s="233"/>
      <c r="AB848" s="233"/>
    </row>
    <row r="849" spans="1:28" s="215" customFormat="1">
      <c r="A849" s="608"/>
      <c r="B849" s="608"/>
      <c r="C849" s="608"/>
      <c r="D849" s="608"/>
      <c r="G849" s="216"/>
      <c r="H849" s="231"/>
      <c r="I849" s="236"/>
      <c r="J849" s="233"/>
      <c r="K849" s="233"/>
      <c r="L849" s="233"/>
      <c r="M849" s="233"/>
      <c r="P849" s="233"/>
      <c r="Q849" s="233"/>
      <c r="R849" s="233"/>
      <c r="S849" s="233"/>
      <c r="V849" s="233"/>
      <c r="W849" s="233"/>
      <c r="X849" s="233"/>
      <c r="Y849" s="233"/>
      <c r="Z849" s="233"/>
      <c r="AA849" s="233"/>
      <c r="AB849" s="233"/>
    </row>
    <row r="850" spans="1:28" s="215" customFormat="1">
      <c r="A850" s="608"/>
      <c r="B850" s="608"/>
      <c r="C850" s="608"/>
      <c r="D850" s="608"/>
      <c r="G850" s="216"/>
      <c r="H850" s="231"/>
      <c r="I850" s="236"/>
      <c r="J850" s="233"/>
      <c r="K850" s="233"/>
      <c r="L850" s="233"/>
      <c r="M850" s="233"/>
      <c r="P850" s="233"/>
      <c r="Q850" s="233"/>
      <c r="R850" s="233"/>
      <c r="S850" s="233"/>
      <c r="V850" s="233"/>
      <c r="W850" s="233"/>
      <c r="X850" s="233"/>
      <c r="Y850" s="233"/>
      <c r="Z850" s="233"/>
      <c r="AA850" s="233"/>
      <c r="AB850" s="233"/>
    </row>
    <row r="851" spans="1:28" s="215" customFormat="1">
      <c r="A851" s="608"/>
      <c r="B851" s="608"/>
      <c r="C851" s="608"/>
      <c r="D851" s="608"/>
      <c r="G851" s="216"/>
      <c r="H851" s="231"/>
      <c r="I851" s="236"/>
      <c r="J851" s="233"/>
      <c r="K851" s="233"/>
      <c r="L851" s="233"/>
      <c r="M851" s="233"/>
      <c r="P851" s="233"/>
      <c r="Q851" s="233"/>
      <c r="R851" s="233"/>
      <c r="S851" s="233"/>
      <c r="V851" s="233"/>
      <c r="W851" s="233"/>
      <c r="X851" s="233"/>
      <c r="Y851" s="233"/>
      <c r="Z851" s="233"/>
      <c r="AA851" s="233"/>
      <c r="AB851" s="233"/>
    </row>
    <row r="852" spans="1:28" s="215" customFormat="1">
      <c r="A852" s="608"/>
      <c r="B852" s="608"/>
      <c r="C852" s="608"/>
      <c r="D852" s="608"/>
      <c r="G852" s="216"/>
      <c r="H852" s="231"/>
      <c r="I852" s="236"/>
      <c r="J852" s="233"/>
      <c r="K852" s="233"/>
      <c r="L852" s="233"/>
      <c r="M852" s="233"/>
      <c r="P852" s="233"/>
      <c r="Q852" s="233"/>
      <c r="R852" s="233"/>
      <c r="S852" s="233"/>
      <c r="V852" s="233"/>
      <c r="W852" s="233"/>
      <c r="X852" s="233"/>
      <c r="Y852" s="233"/>
      <c r="Z852" s="233"/>
      <c r="AA852" s="233"/>
      <c r="AB852" s="233"/>
    </row>
    <row r="853" spans="1:28" s="215" customFormat="1">
      <c r="A853" s="608"/>
      <c r="B853" s="608"/>
      <c r="C853" s="608"/>
      <c r="D853" s="608"/>
      <c r="G853" s="216"/>
      <c r="H853" s="231"/>
      <c r="I853" s="236"/>
      <c r="J853" s="233"/>
      <c r="K853" s="233"/>
      <c r="L853" s="233"/>
      <c r="M853" s="233"/>
      <c r="P853" s="233"/>
      <c r="Q853" s="233"/>
      <c r="R853" s="233"/>
      <c r="S853" s="233"/>
      <c r="V853" s="233"/>
      <c r="W853" s="233"/>
      <c r="X853" s="233"/>
      <c r="Y853" s="233"/>
      <c r="Z853" s="233"/>
      <c r="AA853" s="233"/>
      <c r="AB853" s="233"/>
    </row>
    <row r="854" spans="1:28" s="215" customFormat="1">
      <c r="A854" s="608"/>
      <c r="B854" s="608"/>
      <c r="C854" s="608"/>
      <c r="D854" s="608"/>
      <c r="G854" s="216"/>
      <c r="H854" s="231"/>
      <c r="I854" s="236"/>
      <c r="J854" s="233"/>
      <c r="K854" s="233"/>
      <c r="L854" s="233"/>
      <c r="M854" s="233"/>
      <c r="P854" s="233"/>
      <c r="Q854" s="233"/>
      <c r="R854" s="233"/>
      <c r="S854" s="233"/>
      <c r="V854" s="233"/>
      <c r="W854" s="233"/>
      <c r="X854" s="233"/>
      <c r="Y854" s="233"/>
      <c r="Z854" s="233"/>
      <c r="AA854" s="233"/>
      <c r="AB854" s="233"/>
    </row>
    <row r="855" spans="1:28" s="215" customFormat="1">
      <c r="A855" s="608"/>
      <c r="B855" s="608"/>
      <c r="C855" s="608"/>
      <c r="D855" s="608"/>
      <c r="G855" s="216"/>
      <c r="H855" s="231"/>
      <c r="I855" s="236"/>
      <c r="J855" s="233"/>
      <c r="K855" s="233"/>
      <c r="L855" s="233"/>
      <c r="M855" s="233"/>
      <c r="P855" s="233"/>
      <c r="Q855" s="233"/>
      <c r="R855" s="233"/>
      <c r="S855" s="233"/>
      <c r="V855" s="233"/>
      <c r="W855" s="233"/>
      <c r="X855" s="233"/>
      <c r="Y855" s="233"/>
      <c r="Z855" s="233"/>
      <c r="AA855" s="233"/>
      <c r="AB855" s="233"/>
    </row>
    <row r="856" spans="1:28" s="215" customFormat="1">
      <c r="A856" s="608"/>
      <c r="B856" s="608"/>
      <c r="C856" s="608"/>
      <c r="D856" s="608"/>
      <c r="G856" s="216"/>
      <c r="H856" s="231"/>
      <c r="I856" s="236"/>
      <c r="J856" s="233"/>
      <c r="K856" s="233"/>
      <c r="L856" s="233"/>
      <c r="M856" s="233"/>
      <c r="P856" s="233"/>
      <c r="Q856" s="233"/>
      <c r="R856" s="233"/>
      <c r="S856" s="233"/>
      <c r="V856" s="233"/>
      <c r="W856" s="233"/>
      <c r="X856" s="233"/>
      <c r="Y856" s="233"/>
      <c r="Z856" s="233"/>
      <c r="AA856" s="233"/>
      <c r="AB856" s="233"/>
    </row>
    <row r="857" spans="1:28" s="215" customFormat="1">
      <c r="A857" s="608"/>
      <c r="B857" s="608"/>
      <c r="C857" s="608"/>
      <c r="D857" s="608"/>
      <c r="G857" s="216"/>
      <c r="H857" s="231"/>
      <c r="I857" s="236"/>
      <c r="J857" s="233"/>
      <c r="K857" s="233"/>
      <c r="L857" s="233"/>
      <c r="M857" s="233"/>
      <c r="P857" s="233"/>
      <c r="Q857" s="233"/>
      <c r="R857" s="233"/>
      <c r="S857" s="233"/>
      <c r="V857" s="233"/>
      <c r="W857" s="233"/>
      <c r="X857" s="233"/>
      <c r="Y857" s="233"/>
      <c r="Z857" s="233"/>
      <c r="AA857" s="233"/>
      <c r="AB857" s="233"/>
    </row>
    <row r="858" spans="1:28" s="215" customFormat="1">
      <c r="A858" s="608"/>
      <c r="B858" s="608"/>
      <c r="C858" s="608"/>
      <c r="D858" s="608"/>
      <c r="G858" s="216"/>
      <c r="H858" s="231"/>
      <c r="I858" s="236"/>
      <c r="J858" s="233"/>
      <c r="K858" s="233"/>
      <c r="L858" s="233"/>
      <c r="M858" s="233"/>
      <c r="P858" s="233"/>
      <c r="Q858" s="233"/>
      <c r="R858" s="233"/>
      <c r="S858" s="233"/>
      <c r="V858" s="233"/>
      <c r="W858" s="233"/>
      <c r="X858" s="233"/>
      <c r="Y858" s="233"/>
      <c r="Z858" s="233"/>
      <c r="AA858" s="233"/>
      <c r="AB858" s="233"/>
    </row>
    <row r="859" spans="1:28" s="215" customFormat="1">
      <c r="A859" s="608"/>
      <c r="B859" s="608"/>
      <c r="C859" s="608"/>
      <c r="D859" s="608"/>
      <c r="G859" s="216"/>
      <c r="H859" s="231"/>
      <c r="I859" s="236"/>
      <c r="J859" s="233"/>
      <c r="K859" s="233"/>
      <c r="L859" s="233"/>
      <c r="M859" s="233"/>
      <c r="P859" s="233"/>
      <c r="Q859" s="233"/>
      <c r="R859" s="233"/>
      <c r="S859" s="233"/>
      <c r="V859" s="233"/>
      <c r="W859" s="233"/>
      <c r="X859" s="233"/>
      <c r="Y859" s="233"/>
      <c r="Z859" s="233"/>
      <c r="AA859" s="233"/>
      <c r="AB859" s="233"/>
    </row>
    <row r="860" spans="1:28" s="215" customFormat="1">
      <c r="A860" s="608"/>
      <c r="B860" s="608"/>
      <c r="C860" s="608"/>
      <c r="D860" s="608"/>
      <c r="G860" s="216"/>
      <c r="H860" s="231"/>
      <c r="I860" s="236"/>
      <c r="J860" s="233"/>
      <c r="K860" s="233"/>
      <c r="L860" s="233"/>
      <c r="M860" s="233"/>
      <c r="P860" s="233"/>
      <c r="Q860" s="233"/>
      <c r="R860" s="233"/>
      <c r="S860" s="233"/>
      <c r="V860" s="233"/>
      <c r="W860" s="233"/>
      <c r="X860" s="233"/>
      <c r="Y860" s="233"/>
      <c r="Z860" s="233"/>
      <c r="AA860" s="233"/>
      <c r="AB860" s="233"/>
    </row>
    <row r="861" spans="1:28" s="215" customFormat="1">
      <c r="A861" s="608"/>
      <c r="B861" s="608"/>
      <c r="C861" s="608"/>
      <c r="D861" s="608"/>
      <c r="G861" s="216"/>
      <c r="H861" s="231"/>
      <c r="I861" s="236"/>
      <c r="J861" s="233"/>
      <c r="K861" s="233"/>
      <c r="L861" s="233"/>
      <c r="M861" s="233"/>
      <c r="P861" s="233"/>
      <c r="Q861" s="233"/>
      <c r="R861" s="233"/>
      <c r="S861" s="233"/>
      <c r="V861" s="233"/>
      <c r="W861" s="233"/>
      <c r="X861" s="233"/>
      <c r="Y861" s="233"/>
      <c r="Z861" s="233"/>
      <c r="AA861" s="233"/>
      <c r="AB861" s="233"/>
    </row>
    <row r="862" spans="1:28" s="215" customFormat="1">
      <c r="A862" s="608"/>
      <c r="B862" s="608"/>
      <c r="C862" s="608"/>
      <c r="D862" s="608"/>
      <c r="G862" s="216"/>
      <c r="H862" s="231"/>
      <c r="I862" s="236"/>
      <c r="J862" s="233"/>
      <c r="K862" s="233"/>
      <c r="L862" s="233"/>
      <c r="M862" s="233"/>
      <c r="P862" s="233"/>
      <c r="Q862" s="233"/>
      <c r="R862" s="233"/>
      <c r="S862" s="233"/>
      <c r="V862" s="233"/>
      <c r="W862" s="233"/>
      <c r="X862" s="233"/>
      <c r="Y862" s="233"/>
      <c r="Z862" s="233"/>
      <c r="AA862" s="233"/>
      <c r="AB862" s="233"/>
    </row>
    <row r="863" spans="1:28" s="215" customFormat="1">
      <c r="A863" s="608"/>
      <c r="B863" s="608"/>
      <c r="C863" s="608"/>
      <c r="D863" s="608"/>
      <c r="G863" s="216"/>
      <c r="H863" s="231"/>
      <c r="I863" s="236"/>
      <c r="J863" s="233"/>
      <c r="K863" s="233"/>
      <c r="L863" s="233"/>
      <c r="M863" s="233"/>
      <c r="P863" s="233"/>
      <c r="Q863" s="233"/>
      <c r="R863" s="233"/>
      <c r="S863" s="233"/>
      <c r="V863" s="233"/>
      <c r="W863" s="233"/>
      <c r="X863" s="233"/>
      <c r="Y863" s="233"/>
      <c r="Z863" s="233"/>
      <c r="AA863" s="233"/>
      <c r="AB863" s="233"/>
    </row>
    <row r="864" spans="1:28" s="215" customFormat="1">
      <c r="A864" s="608"/>
      <c r="B864" s="608"/>
      <c r="C864" s="608"/>
      <c r="D864" s="608"/>
      <c r="G864" s="216"/>
      <c r="H864" s="231"/>
      <c r="I864" s="236"/>
      <c r="J864" s="233"/>
      <c r="K864" s="233"/>
      <c r="L864" s="233"/>
      <c r="M864" s="233"/>
      <c r="P864" s="233"/>
      <c r="Q864" s="233"/>
      <c r="R864" s="233"/>
      <c r="S864" s="233"/>
      <c r="V864" s="233"/>
      <c r="W864" s="233"/>
      <c r="X864" s="233"/>
      <c r="Y864" s="233"/>
      <c r="Z864" s="233"/>
      <c r="AA864" s="233"/>
      <c r="AB864" s="233"/>
    </row>
    <row r="865" spans="1:28" s="215" customFormat="1">
      <c r="A865" s="608"/>
      <c r="B865" s="608"/>
      <c r="C865" s="608"/>
      <c r="D865" s="608"/>
      <c r="G865" s="216"/>
      <c r="H865" s="231"/>
      <c r="I865" s="236"/>
      <c r="J865" s="233"/>
      <c r="K865" s="233"/>
      <c r="L865" s="233"/>
      <c r="M865" s="233"/>
      <c r="P865" s="233"/>
      <c r="Q865" s="233"/>
      <c r="R865" s="233"/>
      <c r="S865" s="233"/>
      <c r="V865" s="233"/>
      <c r="W865" s="233"/>
      <c r="X865" s="233"/>
      <c r="Y865" s="233"/>
      <c r="Z865" s="233"/>
      <c r="AA865" s="233"/>
      <c r="AB865" s="233"/>
    </row>
    <row r="866" spans="1:28" s="215" customFormat="1">
      <c r="A866" s="608"/>
      <c r="B866" s="608"/>
      <c r="C866" s="608"/>
      <c r="D866" s="608"/>
      <c r="G866" s="216"/>
      <c r="H866" s="231"/>
      <c r="I866" s="236"/>
      <c r="J866" s="233"/>
      <c r="K866" s="233"/>
      <c r="L866" s="233"/>
      <c r="M866" s="233"/>
      <c r="P866" s="233"/>
      <c r="Q866" s="233"/>
      <c r="R866" s="233"/>
      <c r="S866" s="233"/>
      <c r="V866" s="233"/>
      <c r="W866" s="233"/>
      <c r="X866" s="233"/>
      <c r="Y866" s="233"/>
      <c r="Z866" s="233"/>
      <c r="AA866" s="233"/>
      <c r="AB866" s="233"/>
    </row>
    <row r="867" spans="1:28" s="215" customFormat="1">
      <c r="A867" s="608"/>
      <c r="B867" s="608"/>
      <c r="C867" s="608"/>
      <c r="D867" s="608"/>
      <c r="G867" s="216"/>
      <c r="H867" s="231"/>
      <c r="I867" s="236"/>
      <c r="J867" s="233"/>
      <c r="K867" s="233"/>
      <c r="L867" s="233"/>
      <c r="M867" s="233"/>
      <c r="P867" s="233"/>
      <c r="Q867" s="233"/>
      <c r="R867" s="233"/>
      <c r="S867" s="233"/>
      <c r="V867" s="233"/>
      <c r="W867" s="233"/>
      <c r="X867" s="233"/>
      <c r="Y867" s="233"/>
      <c r="Z867" s="233"/>
      <c r="AA867" s="233"/>
      <c r="AB867" s="233"/>
    </row>
    <row r="868" spans="1:28" s="215" customFormat="1">
      <c r="A868" s="608"/>
      <c r="B868" s="608"/>
      <c r="C868" s="608"/>
      <c r="D868" s="608"/>
      <c r="G868" s="216"/>
      <c r="H868" s="231"/>
      <c r="I868" s="236"/>
      <c r="J868" s="233"/>
      <c r="K868" s="233"/>
      <c r="L868" s="233"/>
      <c r="M868" s="233"/>
      <c r="P868" s="233"/>
      <c r="Q868" s="233"/>
      <c r="R868" s="233"/>
      <c r="S868" s="233"/>
      <c r="V868" s="233"/>
      <c r="W868" s="233"/>
      <c r="X868" s="233"/>
      <c r="Y868" s="233"/>
      <c r="Z868" s="233"/>
      <c r="AA868" s="233"/>
      <c r="AB868" s="233"/>
    </row>
    <row r="869" spans="1:28" s="215" customFormat="1">
      <c r="A869" s="608"/>
      <c r="B869" s="608"/>
      <c r="C869" s="608"/>
      <c r="D869" s="608"/>
      <c r="G869" s="216"/>
      <c r="H869" s="231"/>
      <c r="I869" s="236"/>
      <c r="J869" s="233"/>
      <c r="K869" s="233"/>
      <c r="L869" s="233"/>
      <c r="M869" s="233"/>
      <c r="P869" s="233"/>
      <c r="Q869" s="233"/>
      <c r="R869" s="233"/>
      <c r="S869" s="233"/>
      <c r="V869" s="233"/>
      <c r="W869" s="233"/>
      <c r="X869" s="233"/>
      <c r="Y869" s="233"/>
      <c r="Z869" s="233"/>
      <c r="AA869" s="233"/>
      <c r="AB869" s="233"/>
    </row>
    <row r="870" spans="1:28" s="215" customFormat="1">
      <c r="A870" s="608"/>
      <c r="B870" s="608"/>
      <c r="C870" s="608"/>
      <c r="D870" s="608"/>
      <c r="G870" s="216"/>
      <c r="H870" s="231"/>
      <c r="I870" s="236"/>
      <c r="J870" s="233"/>
      <c r="K870" s="233"/>
      <c r="L870" s="233"/>
      <c r="M870" s="233"/>
      <c r="P870" s="233"/>
      <c r="Q870" s="233"/>
      <c r="R870" s="233"/>
      <c r="S870" s="233"/>
      <c r="V870" s="233"/>
      <c r="W870" s="233"/>
      <c r="X870" s="233"/>
      <c r="Y870" s="233"/>
      <c r="Z870" s="233"/>
      <c r="AA870" s="233"/>
      <c r="AB870" s="233"/>
    </row>
    <row r="871" spans="1:28" s="215" customFormat="1">
      <c r="A871" s="608"/>
      <c r="B871" s="608"/>
      <c r="C871" s="608"/>
      <c r="D871" s="608"/>
      <c r="G871" s="216"/>
      <c r="H871" s="231"/>
      <c r="I871" s="236"/>
      <c r="J871" s="233"/>
      <c r="K871" s="233"/>
      <c r="L871" s="233"/>
      <c r="M871" s="233"/>
      <c r="P871" s="233"/>
      <c r="Q871" s="233"/>
      <c r="R871" s="233"/>
      <c r="S871" s="233"/>
      <c r="V871" s="233"/>
      <c r="W871" s="233"/>
      <c r="X871" s="233"/>
      <c r="Y871" s="233"/>
      <c r="Z871" s="233"/>
      <c r="AA871" s="233"/>
      <c r="AB871" s="233"/>
    </row>
    <row r="872" spans="1:28" s="215" customFormat="1">
      <c r="A872" s="608"/>
      <c r="B872" s="608"/>
      <c r="C872" s="608"/>
      <c r="D872" s="608"/>
      <c r="G872" s="216"/>
      <c r="H872" s="231"/>
      <c r="I872" s="236"/>
      <c r="J872" s="233"/>
      <c r="K872" s="233"/>
      <c r="L872" s="233"/>
      <c r="M872" s="233"/>
      <c r="P872" s="233"/>
      <c r="Q872" s="233"/>
      <c r="R872" s="233"/>
      <c r="S872" s="233"/>
      <c r="V872" s="233"/>
      <c r="W872" s="233"/>
      <c r="X872" s="233"/>
      <c r="Y872" s="233"/>
      <c r="Z872" s="233"/>
      <c r="AA872" s="233"/>
      <c r="AB872" s="233"/>
    </row>
    <row r="873" spans="1:28" s="215" customFormat="1">
      <c r="A873" s="608"/>
      <c r="B873" s="608"/>
      <c r="C873" s="608"/>
      <c r="D873" s="608"/>
      <c r="G873" s="216"/>
      <c r="H873" s="231"/>
      <c r="I873" s="236"/>
      <c r="J873" s="233"/>
      <c r="K873" s="233"/>
      <c r="L873" s="233"/>
      <c r="M873" s="233"/>
      <c r="P873" s="233"/>
      <c r="Q873" s="233"/>
      <c r="R873" s="233"/>
      <c r="S873" s="233"/>
      <c r="V873" s="233"/>
      <c r="W873" s="233"/>
      <c r="X873" s="233"/>
      <c r="Y873" s="233"/>
      <c r="Z873" s="233"/>
      <c r="AA873" s="233"/>
      <c r="AB873" s="233"/>
    </row>
    <row r="874" spans="1:28" s="215" customFormat="1">
      <c r="A874" s="608"/>
      <c r="B874" s="608"/>
      <c r="C874" s="608"/>
      <c r="D874" s="608"/>
      <c r="G874" s="216"/>
      <c r="H874" s="231"/>
      <c r="I874" s="236"/>
      <c r="J874" s="233"/>
      <c r="K874" s="233"/>
      <c r="L874" s="233"/>
      <c r="M874" s="233"/>
      <c r="P874" s="233"/>
      <c r="Q874" s="233"/>
      <c r="R874" s="233"/>
      <c r="S874" s="233"/>
      <c r="V874" s="233"/>
      <c r="W874" s="233"/>
      <c r="X874" s="233"/>
      <c r="Y874" s="233"/>
      <c r="Z874" s="233"/>
      <c r="AA874" s="233"/>
      <c r="AB874" s="233"/>
    </row>
    <row r="875" spans="1:28" s="215" customFormat="1">
      <c r="A875" s="608"/>
      <c r="B875" s="608"/>
      <c r="C875" s="608"/>
      <c r="D875" s="608"/>
      <c r="G875" s="216"/>
      <c r="H875" s="231"/>
      <c r="I875" s="236"/>
      <c r="J875" s="233"/>
      <c r="K875" s="233"/>
      <c r="L875" s="233"/>
      <c r="M875" s="233"/>
      <c r="P875" s="233"/>
      <c r="Q875" s="233"/>
      <c r="R875" s="233"/>
      <c r="S875" s="233"/>
      <c r="V875" s="233"/>
      <c r="W875" s="233"/>
      <c r="X875" s="233"/>
      <c r="Y875" s="233"/>
      <c r="Z875" s="233"/>
      <c r="AA875" s="233"/>
      <c r="AB875" s="233"/>
    </row>
    <row r="876" spans="1:28" s="215" customFormat="1">
      <c r="A876" s="608"/>
      <c r="B876" s="608"/>
      <c r="C876" s="608"/>
      <c r="D876" s="608"/>
      <c r="G876" s="216"/>
      <c r="H876" s="231"/>
      <c r="I876" s="236"/>
      <c r="J876" s="233"/>
      <c r="K876" s="233"/>
      <c r="L876" s="233"/>
      <c r="M876" s="233"/>
      <c r="P876" s="233"/>
      <c r="Q876" s="233"/>
      <c r="R876" s="233"/>
      <c r="S876" s="233"/>
      <c r="V876" s="233"/>
      <c r="W876" s="233"/>
      <c r="X876" s="233"/>
      <c r="Y876" s="233"/>
      <c r="Z876" s="233"/>
      <c r="AA876" s="233"/>
      <c r="AB876" s="233"/>
    </row>
    <row r="877" spans="1:28" s="215" customFormat="1">
      <c r="A877" s="608"/>
      <c r="B877" s="608"/>
      <c r="C877" s="608"/>
      <c r="D877" s="608"/>
      <c r="G877" s="216"/>
      <c r="H877" s="231"/>
      <c r="I877" s="236"/>
      <c r="J877" s="233"/>
      <c r="K877" s="233"/>
      <c r="L877" s="233"/>
      <c r="M877" s="233"/>
      <c r="P877" s="233"/>
      <c r="Q877" s="233"/>
      <c r="R877" s="233"/>
      <c r="S877" s="233"/>
      <c r="V877" s="233"/>
      <c r="W877" s="233"/>
      <c r="X877" s="233"/>
      <c r="Y877" s="233"/>
      <c r="Z877" s="233"/>
      <c r="AA877" s="233"/>
      <c r="AB877" s="233"/>
    </row>
    <row r="878" spans="1:28" s="215" customFormat="1">
      <c r="A878" s="608"/>
      <c r="B878" s="608"/>
      <c r="C878" s="608"/>
      <c r="D878" s="608"/>
      <c r="G878" s="216"/>
      <c r="H878" s="231"/>
      <c r="I878" s="236"/>
      <c r="J878" s="233"/>
      <c r="K878" s="233"/>
      <c r="L878" s="233"/>
      <c r="M878" s="233"/>
      <c r="P878" s="233"/>
      <c r="Q878" s="233"/>
      <c r="R878" s="233"/>
      <c r="S878" s="233"/>
      <c r="V878" s="233"/>
      <c r="W878" s="233"/>
      <c r="X878" s="233"/>
      <c r="Y878" s="233"/>
      <c r="Z878" s="233"/>
      <c r="AA878" s="233"/>
      <c r="AB878" s="233"/>
    </row>
    <row r="879" spans="1:28" s="215" customFormat="1">
      <c r="A879" s="608"/>
      <c r="B879" s="608"/>
      <c r="C879" s="608"/>
      <c r="D879" s="608"/>
      <c r="G879" s="216"/>
      <c r="H879" s="231"/>
      <c r="I879" s="236"/>
      <c r="J879" s="233"/>
      <c r="K879" s="233"/>
      <c r="L879" s="233"/>
      <c r="M879" s="233"/>
      <c r="P879" s="233"/>
      <c r="Q879" s="233"/>
      <c r="R879" s="233"/>
      <c r="S879" s="233"/>
      <c r="V879" s="233"/>
      <c r="W879" s="233"/>
      <c r="X879" s="233"/>
      <c r="Y879" s="233"/>
      <c r="Z879" s="233"/>
      <c r="AA879" s="233"/>
      <c r="AB879" s="233"/>
    </row>
    <row r="880" spans="1:28" s="215" customFormat="1">
      <c r="A880" s="608"/>
      <c r="B880" s="608"/>
      <c r="C880" s="608"/>
      <c r="D880" s="608"/>
      <c r="G880" s="216"/>
      <c r="H880" s="231"/>
      <c r="I880" s="236"/>
      <c r="J880" s="233"/>
      <c r="K880" s="233"/>
      <c r="L880" s="233"/>
      <c r="M880" s="233"/>
      <c r="P880" s="233"/>
      <c r="Q880" s="233"/>
      <c r="R880" s="233"/>
      <c r="S880" s="233"/>
      <c r="V880" s="233"/>
      <c r="W880" s="233"/>
      <c r="X880" s="233"/>
      <c r="Y880" s="233"/>
      <c r="Z880" s="233"/>
      <c r="AA880" s="233"/>
      <c r="AB880" s="233"/>
    </row>
    <row r="881" spans="1:28" s="215" customFormat="1">
      <c r="A881" s="608"/>
      <c r="B881" s="608"/>
      <c r="C881" s="608"/>
      <c r="D881" s="608"/>
      <c r="G881" s="216"/>
      <c r="H881" s="231"/>
      <c r="I881" s="236"/>
      <c r="J881" s="233"/>
      <c r="K881" s="233"/>
      <c r="L881" s="233"/>
      <c r="M881" s="233"/>
      <c r="P881" s="233"/>
      <c r="Q881" s="233"/>
      <c r="R881" s="233"/>
      <c r="S881" s="233"/>
      <c r="V881" s="233"/>
      <c r="W881" s="233"/>
      <c r="X881" s="233"/>
      <c r="Y881" s="233"/>
      <c r="Z881" s="233"/>
      <c r="AA881" s="233"/>
      <c r="AB881" s="233"/>
    </row>
    <row r="882" spans="1:28" s="215" customFormat="1">
      <c r="A882" s="608"/>
      <c r="B882" s="608"/>
      <c r="C882" s="608"/>
      <c r="D882" s="608"/>
      <c r="G882" s="216"/>
      <c r="H882" s="231"/>
      <c r="I882" s="236"/>
      <c r="J882" s="233"/>
      <c r="K882" s="233"/>
      <c r="L882" s="233"/>
      <c r="M882" s="233"/>
      <c r="P882" s="233"/>
      <c r="Q882" s="233"/>
      <c r="R882" s="233"/>
      <c r="S882" s="233"/>
      <c r="V882" s="233"/>
      <c r="W882" s="233"/>
      <c r="X882" s="233"/>
      <c r="Y882" s="233"/>
      <c r="Z882" s="233"/>
      <c r="AA882" s="233"/>
      <c r="AB882" s="233"/>
    </row>
    <row r="883" spans="1:28">
      <c r="A883" s="608"/>
      <c r="B883" s="608"/>
      <c r="C883" s="608"/>
      <c r="D883" s="608"/>
      <c r="E883" s="215"/>
      <c r="F883" s="215"/>
      <c r="G883" s="216"/>
      <c r="H883" s="231"/>
      <c r="I883" s="236"/>
      <c r="J883" s="233"/>
      <c r="K883" s="233"/>
      <c r="L883" s="233"/>
      <c r="M883" s="233"/>
      <c r="N883" s="215"/>
      <c r="O883" s="215"/>
      <c r="P883" s="233"/>
      <c r="Q883" s="233"/>
      <c r="R883" s="233"/>
      <c r="S883" s="233"/>
      <c r="T883" s="215"/>
      <c r="U883" s="215"/>
      <c r="V883" s="233"/>
      <c r="W883" s="233"/>
      <c r="X883" s="233"/>
      <c r="Y883" s="233"/>
      <c r="Z883" s="233"/>
      <c r="AA883" s="233"/>
      <c r="AB883" s="233"/>
    </row>
    <row r="884" spans="1:28">
      <c r="A884" s="608"/>
      <c r="B884" s="608"/>
      <c r="C884" s="608"/>
      <c r="D884" s="608"/>
      <c r="E884" s="215"/>
      <c r="F884" s="215"/>
      <c r="G884" s="216"/>
      <c r="H884" s="231"/>
      <c r="I884" s="236"/>
      <c r="J884" s="233"/>
      <c r="K884" s="233"/>
      <c r="L884" s="233"/>
      <c r="M884" s="233"/>
      <c r="N884" s="215"/>
      <c r="O884" s="215"/>
      <c r="P884" s="233"/>
      <c r="Q884" s="233"/>
      <c r="R884" s="233"/>
      <c r="S884" s="233"/>
      <c r="T884" s="215"/>
      <c r="U884" s="215"/>
      <c r="V884" s="233"/>
      <c r="W884" s="233"/>
      <c r="X884" s="233"/>
      <c r="Y884" s="233"/>
      <c r="Z884" s="233"/>
      <c r="AA884" s="233"/>
      <c r="AB884" s="233"/>
    </row>
    <row r="885" spans="1:28">
      <c r="A885" s="608"/>
      <c r="B885" s="608"/>
      <c r="C885" s="608"/>
      <c r="D885" s="608"/>
      <c r="E885" s="215"/>
      <c r="F885" s="215"/>
      <c r="G885" s="216"/>
      <c r="H885" s="231"/>
      <c r="I885" s="236"/>
      <c r="J885" s="233"/>
      <c r="K885" s="233"/>
      <c r="L885" s="233"/>
      <c r="M885" s="233"/>
      <c r="N885" s="215"/>
      <c r="O885" s="215"/>
      <c r="P885" s="233"/>
      <c r="Q885" s="233"/>
      <c r="R885" s="233"/>
      <c r="S885" s="233"/>
      <c r="T885" s="215"/>
      <c r="U885" s="215"/>
      <c r="V885" s="233"/>
      <c r="W885" s="233"/>
      <c r="X885" s="233"/>
      <c r="Y885" s="233"/>
      <c r="Z885" s="233"/>
      <c r="AA885" s="233"/>
      <c r="AB885" s="233"/>
    </row>
    <row r="886" spans="1:28">
      <c r="A886" s="608"/>
      <c r="B886" s="608"/>
      <c r="C886" s="608"/>
      <c r="D886" s="608"/>
      <c r="E886" s="215"/>
      <c r="F886" s="215"/>
      <c r="G886" s="216"/>
      <c r="H886" s="231"/>
      <c r="I886" s="236"/>
      <c r="J886" s="233"/>
      <c r="K886" s="233"/>
      <c r="L886" s="233"/>
      <c r="M886" s="233"/>
      <c r="N886" s="215"/>
      <c r="O886" s="215"/>
      <c r="P886" s="233"/>
      <c r="Q886" s="233"/>
      <c r="R886" s="233"/>
      <c r="S886" s="233"/>
      <c r="T886" s="215"/>
      <c r="U886" s="215"/>
      <c r="V886" s="233"/>
      <c r="W886" s="233"/>
      <c r="X886" s="233"/>
      <c r="Y886" s="233"/>
      <c r="Z886" s="233"/>
      <c r="AA886" s="233"/>
      <c r="AB886" s="233"/>
    </row>
    <row r="887" spans="1:28">
      <c r="A887" s="608"/>
      <c r="B887" s="608"/>
      <c r="C887" s="608"/>
      <c r="D887" s="608"/>
      <c r="E887" s="215"/>
      <c r="F887" s="215"/>
      <c r="G887" s="216"/>
      <c r="H887" s="231"/>
      <c r="I887" s="236"/>
      <c r="J887" s="233"/>
      <c r="K887" s="233"/>
      <c r="L887" s="233"/>
      <c r="M887" s="233"/>
      <c r="N887" s="215"/>
      <c r="O887" s="215"/>
      <c r="P887" s="233"/>
      <c r="Q887" s="233"/>
      <c r="R887" s="233"/>
      <c r="S887" s="233"/>
      <c r="T887" s="215"/>
      <c r="U887" s="215"/>
      <c r="V887" s="233"/>
      <c r="W887" s="233"/>
      <c r="X887" s="233"/>
      <c r="Y887" s="233"/>
      <c r="Z887" s="233"/>
      <c r="AA887" s="233"/>
      <c r="AB887" s="233"/>
    </row>
  </sheetData>
  <mergeCells count="9">
    <mergeCell ref="Z5:AB5"/>
    <mergeCell ref="E4:AB4"/>
    <mergeCell ref="D5:D6"/>
    <mergeCell ref="A5:A6"/>
    <mergeCell ref="B5:B6"/>
    <mergeCell ref="C5:C6"/>
    <mergeCell ref="N5:S5"/>
    <mergeCell ref="T5:Y5"/>
    <mergeCell ref="F5:M5"/>
  </mergeCells>
  <phoneticPr fontId="2" type="noConversion"/>
  <printOptions horizontalCentered="1"/>
  <pageMargins left="1" right="1" top="1" bottom="1" header="0.5" footer="0.5"/>
  <pageSetup scale="26" fitToHeight="0" orientation="landscape" r:id="rId1"/>
  <headerFooter alignWithMargins="0">
    <oddHeader>&amp;C&amp;"Arial,Bold"&amp;12Partners of the Americas
Ñande Ko’ê</oddHeader>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S320"/>
  <sheetViews>
    <sheetView zoomScale="76" zoomScaleNormal="50" zoomScaleSheetLayoutView="106" workbookViewId="0">
      <selection activeCell="A42" sqref="A42"/>
    </sheetView>
  </sheetViews>
  <sheetFormatPr defaultColWidth="9.140625" defaultRowHeight="15.6"/>
  <cols>
    <col min="1" max="1" width="13.5703125" style="215" bestFit="1" customWidth="1"/>
    <col min="2" max="2" width="8.28515625" style="215" customWidth="1"/>
    <col min="3" max="3" width="119.42578125" style="215" customWidth="1"/>
    <col min="4" max="4" width="17.85546875" style="215" bestFit="1" customWidth="1"/>
    <col min="5" max="5" width="7" style="273" customWidth="1"/>
    <col min="6" max="6" width="9" style="356" bestFit="1" customWidth="1"/>
    <col min="7" max="7" width="20.42578125" style="273" bestFit="1" customWidth="1"/>
    <col min="8" max="8" width="16" style="273" bestFit="1" customWidth="1"/>
    <col min="9" max="9" width="8.42578125" style="273" bestFit="1" customWidth="1"/>
    <col min="10" max="11" width="13.5703125" style="355" bestFit="1" customWidth="1"/>
    <col min="12" max="12" width="17.42578125" style="355" bestFit="1" customWidth="1"/>
    <col min="13" max="14" width="13.140625" style="355" bestFit="1" customWidth="1"/>
    <col min="15" max="15" width="17.42578125" style="355" bestFit="1" customWidth="1"/>
    <col min="16" max="17" width="13.5703125" style="355" bestFit="1" customWidth="1"/>
    <col min="18" max="18" width="17.42578125" style="355" bestFit="1" customWidth="1"/>
    <col min="19" max="20" width="14.140625" style="355" bestFit="1" customWidth="1"/>
    <col min="21" max="21" width="17.42578125" style="355" bestFit="1" customWidth="1"/>
    <col min="22" max="22" width="11.42578125" style="215" bestFit="1" customWidth="1"/>
    <col min="23" max="24" width="9.140625" style="215"/>
    <col min="25" max="25" width="11.5703125" style="215" bestFit="1" customWidth="1"/>
    <col min="26" max="16384" width="9.140625" style="215"/>
  </cols>
  <sheetData>
    <row r="1" spans="1:253" ht="30.75" customHeight="1" thickBot="1">
      <c r="C1" s="669" t="s">
        <v>397</v>
      </c>
      <c r="D1" s="669"/>
      <c r="E1" s="669"/>
      <c r="F1" s="669"/>
      <c r="G1" s="669"/>
      <c r="H1" s="669"/>
      <c r="I1" s="669"/>
      <c r="J1" s="669"/>
      <c r="K1" s="669"/>
      <c r="L1" s="669"/>
      <c r="M1" s="669"/>
      <c r="N1" s="669"/>
      <c r="O1" s="669"/>
      <c r="P1" s="669"/>
      <c r="Q1" s="669"/>
      <c r="R1" s="669"/>
      <c r="S1" s="669"/>
      <c r="T1" s="669"/>
      <c r="U1" s="669"/>
      <c r="V1" s="216"/>
    </row>
    <row r="2" spans="1:253" s="226" customFormat="1" ht="15.95" thickBot="1">
      <c r="A2" s="682"/>
      <c r="B2" s="682"/>
      <c r="C2" s="682" t="s">
        <v>241</v>
      </c>
      <c r="D2" s="689" t="s">
        <v>398</v>
      </c>
      <c r="E2" s="683" t="s">
        <v>242</v>
      </c>
      <c r="F2" s="684" t="s">
        <v>246</v>
      </c>
      <c r="G2" s="685" t="s">
        <v>243</v>
      </c>
      <c r="H2" s="685" t="s">
        <v>399</v>
      </c>
      <c r="I2" s="686" t="s">
        <v>245</v>
      </c>
      <c r="J2" s="687" t="s">
        <v>400</v>
      </c>
      <c r="K2" s="687"/>
      <c r="L2" s="687"/>
      <c r="M2" s="687" t="s">
        <v>401</v>
      </c>
      <c r="N2" s="687"/>
      <c r="O2" s="687"/>
      <c r="P2" s="687" t="s">
        <v>402</v>
      </c>
      <c r="Q2" s="687"/>
      <c r="R2" s="687"/>
      <c r="S2" s="688" t="s">
        <v>130</v>
      </c>
      <c r="T2" s="688"/>
      <c r="U2" s="688"/>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c r="EX2" s="215"/>
      <c r="EY2" s="215"/>
      <c r="EZ2" s="215"/>
      <c r="FA2" s="215"/>
      <c r="FB2" s="215"/>
      <c r="FC2" s="215"/>
      <c r="FD2" s="215"/>
      <c r="FE2" s="215"/>
      <c r="FF2" s="215"/>
      <c r="FG2" s="215"/>
      <c r="FH2" s="215"/>
      <c r="FI2" s="215"/>
      <c r="FJ2" s="215"/>
      <c r="FK2" s="215"/>
      <c r="FL2" s="215"/>
      <c r="FM2" s="215"/>
      <c r="FN2" s="215"/>
      <c r="FO2" s="215"/>
      <c r="FP2" s="215"/>
      <c r="FQ2" s="215"/>
      <c r="FR2" s="215"/>
      <c r="FS2" s="215"/>
      <c r="FT2" s="215"/>
      <c r="FU2" s="215"/>
      <c r="FV2" s="215"/>
      <c r="FW2" s="215"/>
      <c r="FX2" s="215"/>
      <c r="FY2" s="215"/>
      <c r="FZ2" s="215"/>
      <c r="GA2" s="215"/>
      <c r="GB2" s="215"/>
      <c r="GC2" s="215"/>
      <c r="GD2" s="215"/>
      <c r="GE2" s="215"/>
      <c r="GF2" s="215"/>
      <c r="GG2" s="215"/>
      <c r="GH2" s="215"/>
      <c r="GI2" s="215"/>
      <c r="GJ2" s="215"/>
      <c r="GK2" s="215"/>
      <c r="GL2" s="215"/>
      <c r="GM2" s="215"/>
      <c r="GN2" s="215"/>
      <c r="GO2" s="215"/>
      <c r="GP2" s="215"/>
      <c r="GQ2" s="215"/>
      <c r="GR2" s="215"/>
      <c r="GS2" s="215"/>
      <c r="GT2" s="215"/>
      <c r="GU2" s="215"/>
      <c r="GV2" s="215"/>
      <c r="GW2" s="215"/>
      <c r="GX2" s="215"/>
      <c r="GY2" s="215"/>
      <c r="GZ2" s="215"/>
      <c r="HA2" s="215"/>
      <c r="HB2" s="215"/>
      <c r="HC2" s="215"/>
      <c r="HD2" s="215"/>
      <c r="HE2" s="215"/>
      <c r="HF2" s="215"/>
      <c r="HG2" s="215"/>
      <c r="HH2" s="215"/>
      <c r="HI2" s="215"/>
      <c r="HJ2" s="215"/>
      <c r="HK2" s="215"/>
      <c r="HL2" s="215"/>
      <c r="HM2" s="215"/>
      <c r="HN2" s="215"/>
      <c r="HO2" s="215"/>
      <c r="HP2" s="215"/>
      <c r="HQ2" s="215"/>
      <c r="HR2" s="215"/>
      <c r="HS2" s="215"/>
      <c r="HT2" s="215"/>
      <c r="HU2" s="215"/>
      <c r="HV2" s="215"/>
      <c r="HW2" s="215"/>
      <c r="HX2" s="215"/>
      <c r="HY2" s="215"/>
      <c r="HZ2" s="215"/>
      <c r="IA2" s="215"/>
      <c r="IB2" s="215"/>
      <c r="IC2" s="215"/>
      <c r="ID2" s="215"/>
      <c r="IE2" s="215"/>
      <c r="IF2" s="215"/>
      <c r="IG2" s="215"/>
      <c r="IH2" s="215"/>
      <c r="II2" s="215"/>
      <c r="IJ2" s="215"/>
      <c r="IK2" s="215"/>
      <c r="IL2" s="215"/>
      <c r="IM2" s="215"/>
      <c r="IN2" s="215"/>
      <c r="IO2" s="215"/>
      <c r="IP2" s="215"/>
      <c r="IQ2" s="215"/>
      <c r="IR2" s="215"/>
      <c r="IS2" s="215"/>
    </row>
    <row r="3" spans="1:253" s="218" customFormat="1">
      <c r="A3" s="682"/>
      <c r="B3" s="682"/>
      <c r="C3" s="682"/>
      <c r="D3" s="689"/>
      <c r="E3" s="683"/>
      <c r="F3" s="684"/>
      <c r="G3" s="685"/>
      <c r="H3" s="685"/>
      <c r="I3" s="686"/>
      <c r="J3" s="275" t="s">
        <v>130</v>
      </c>
      <c r="K3" s="276" t="s">
        <v>214</v>
      </c>
      <c r="L3" s="277" t="s">
        <v>215</v>
      </c>
      <c r="M3" s="275" t="s">
        <v>130</v>
      </c>
      <c r="N3" s="276" t="s">
        <v>214</v>
      </c>
      <c r="O3" s="277" t="s">
        <v>215</v>
      </c>
      <c r="P3" s="275" t="s">
        <v>130</v>
      </c>
      <c r="Q3" s="276" t="s">
        <v>214</v>
      </c>
      <c r="R3" s="277" t="s">
        <v>215</v>
      </c>
      <c r="S3" s="275" t="s">
        <v>130</v>
      </c>
      <c r="T3" s="276" t="s">
        <v>214</v>
      </c>
      <c r="U3" s="277" t="s">
        <v>215</v>
      </c>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c r="CY3" s="215"/>
      <c r="CZ3" s="215"/>
      <c r="DA3" s="215"/>
      <c r="DB3" s="215"/>
      <c r="DC3" s="215"/>
      <c r="DD3" s="215"/>
      <c r="DE3" s="215"/>
      <c r="DF3" s="215"/>
      <c r="DG3" s="215"/>
      <c r="DH3" s="215"/>
      <c r="DI3" s="215"/>
      <c r="DJ3" s="215"/>
      <c r="DK3" s="215"/>
      <c r="DL3" s="215"/>
      <c r="DM3" s="215"/>
      <c r="DN3" s="215"/>
      <c r="DO3" s="215"/>
      <c r="DP3" s="215"/>
      <c r="DQ3" s="215"/>
      <c r="DR3" s="215"/>
      <c r="DS3" s="215"/>
      <c r="DT3" s="215"/>
      <c r="DU3" s="215"/>
      <c r="DV3" s="215"/>
      <c r="DW3" s="215"/>
      <c r="DX3" s="215"/>
      <c r="DY3" s="215"/>
      <c r="DZ3" s="215"/>
      <c r="EA3" s="215"/>
      <c r="EB3" s="215"/>
      <c r="EC3" s="215"/>
      <c r="ED3" s="215"/>
      <c r="EE3" s="215"/>
      <c r="EF3" s="215"/>
      <c r="EG3" s="215"/>
      <c r="EH3" s="215"/>
      <c r="EI3" s="215"/>
      <c r="EJ3" s="215"/>
      <c r="EK3" s="215"/>
      <c r="EL3" s="215"/>
      <c r="EM3" s="215"/>
      <c r="EN3" s="215"/>
      <c r="EO3" s="215"/>
      <c r="EP3" s="215"/>
      <c r="EQ3" s="215"/>
      <c r="ER3" s="215"/>
      <c r="ES3" s="215"/>
      <c r="ET3" s="215"/>
      <c r="EU3" s="215"/>
      <c r="EV3" s="215"/>
      <c r="EW3" s="215"/>
      <c r="EX3" s="215"/>
      <c r="EY3" s="215"/>
      <c r="EZ3" s="215"/>
      <c r="FA3" s="215"/>
      <c r="FB3" s="215"/>
      <c r="FC3" s="215"/>
      <c r="FD3" s="215"/>
      <c r="FE3" s="215"/>
      <c r="FF3" s="215"/>
      <c r="FG3" s="215"/>
      <c r="FH3" s="215"/>
      <c r="FI3" s="215"/>
      <c r="FJ3" s="215"/>
      <c r="FK3" s="215"/>
      <c r="FL3" s="215"/>
      <c r="FM3" s="215"/>
      <c r="FN3" s="215"/>
      <c r="FO3" s="215"/>
      <c r="FP3" s="215"/>
      <c r="FQ3" s="215"/>
      <c r="FR3" s="215"/>
      <c r="FS3" s="215"/>
      <c r="FT3" s="215"/>
      <c r="FU3" s="215"/>
      <c r="FV3" s="215"/>
      <c r="FW3" s="215"/>
      <c r="FX3" s="215"/>
      <c r="FY3" s="215"/>
      <c r="FZ3" s="215"/>
      <c r="GA3" s="215"/>
      <c r="GB3" s="215"/>
      <c r="GC3" s="215"/>
      <c r="GD3" s="215"/>
      <c r="GE3" s="215"/>
      <c r="GF3" s="215"/>
      <c r="GG3" s="215"/>
      <c r="GH3" s="215"/>
      <c r="GI3" s="215"/>
      <c r="GJ3" s="215"/>
      <c r="GK3" s="215"/>
      <c r="GL3" s="215"/>
      <c r="GM3" s="215"/>
      <c r="GN3" s="215"/>
      <c r="GO3" s="215"/>
      <c r="GP3" s="215"/>
      <c r="GQ3" s="215"/>
      <c r="GR3" s="215"/>
      <c r="GS3" s="215"/>
      <c r="GT3" s="215"/>
      <c r="GU3" s="215"/>
      <c r="GV3" s="215"/>
      <c r="GW3" s="215"/>
      <c r="GX3" s="215"/>
      <c r="GY3" s="215"/>
      <c r="GZ3" s="215"/>
      <c r="HA3" s="215"/>
      <c r="HB3" s="215"/>
      <c r="HC3" s="215"/>
      <c r="HD3" s="215"/>
      <c r="HE3" s="215"/>
      <c r="HF3" s="215"/>
      <c r="HG3" s="215"/>
      <c r="HH3" s="215"/>
      <c r="HI3" s="215"/>
      <c r="HJ3" s="215"/>
      <c r="HK3" s="215"/>
      <c r="HL3" s="215"/>
      <c r="HM3" s="215"/>
      <c r="HN3" s="215"/>
      <c r="HO3" s="215"/>
      <c r="HP3" s="215"/>
      <c r="HQ3" s="215"/>
      <c r="HR3" s="215"/>
      <c r="HS3" s="215"/>
      <c r="HT3" s="215"/>
      <c r="HU3" s="215"/>
      <c r="HV3" s="215"/>
      <c r="HW3" s="215"/>
      <c r="HX3" s="215"/>
      <c r="HY3" s="215"/>
      <c r="HZ3" s="215"/>
      <c r="IA3" s="215"/>
      <c r="IB3" s="215"/>
      <c r="IC3" s="215"/>
      <c r="ID3" s="215"/>
      <c r="IE3" s="215"/>
      <c r="IF3" s="215"/>
      <c r="IG3" s="215"/>
      <c r="IH3" s="215"/>
      <c r="II3" s="215"/>
      <c r="IJ3" s="215"/>
      <c r="IK3" s="215"/>
      <c r="IL3" s="215"/>
      <c r="IM3" s="215"/>
      <c r="IN3" s="215"/>
      <c r="IO3" s="215"/>
      <c r="IP3" s="215"/>
      <c r="IQ3" s="215"/>
      <c r="IR3" s="215"/>
      <c r="IS3" s="215"/>
    </row>
    <row r="4" spans="1:253" ht="30">
      <c r="A4" s="278" t="s">
        <v>403</v>
      </c>
      <c r="B4" s="278" t="s">
        <v>236</v>
      </c>
      <c r="C4" s="278" t="s">
        <v>216</v>
      </c>
      <c r="D4" s="279"/>
      <c r="E4" s="280"/>
      <c r="F4" s="281"/>
      <c r="G4" s="282"/>
      <c r="H4" s="282"/>
      <c r="I4" s="283"/>
      <c r="J4" s="284"/>
      <c r="K4" s="285"/>
      <c r="L4" s="286"/>
      <c r="M4" s="284"/>
      <c r="N4" s="285"/>
      <c r="O4" s="286"/>
      <c r="P4" s="284"/>
      <c r="Q4" s="285"/>
      <c r="R4" s="286"/>
      <c r="S4" s="284"/>
      <c r="T4" s="285"/>
      <c r="U4" s="286"/>
    </row>
    <row r="5" spans="1:253" s="260" customFormat="1" hidden="1">
      <c r="A5" s="493"/>
      <c r="B5" s="493"/>
      <c r="C5" s="493"/>
      <c r="D5" s="287"/>
      <c r="E5" s="259"/>
      <c r="F5" s="288"/>
      <c r="G5" s="528"/>
      <c r="H5" s="242"/>
      <c r="I5" s="290"/>
      <c r="J5" s="291"/>
      <c r="K5" s="288"/>
      <c r="L5" s="292"/>
      <c r="M5" s="291"/>
      <c r="N5" s="288"/>
      <c r="O5" s="292"/>
      <c r="P5" s="291"/>
      <c r="Q5" s="288"/>
      <c r="R5" s="292"/>
      <c r="S5" s="291"/>
      <c r="T5" s="288"/>
      <c r="U5" s="292"/>
      <c r="V5" s="23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c r="FI5" s="215"/>
      <c r="FJ5" s="215"/>
      <c r="FK5" s="215"/>
      <c r="FL5" s="215"/>
      <c r="FM5" s="215"/>
      <c r="FN5" s="215"/>
      <c r="FO5" s="215"/>
      <c r="FP5" s="215"/>
      <c r="FQ5" s="215"/>
      <c r="FR5" s="215"/>
      <c r="FS5" s="215"/>
      <c r="FT5" s="215"/>
      <c r="FU5" s="215"/>
      <c r="FV5" s="215"/>
      <c r="FW5" s="215"/>
      <c r="FX5" s="215"/>
      <c r="FY5" s="215"/>
      <c r="FZ5" s="215"/>
      <c r="GA5" s="215"/>
      <c r="GB5" s="215"/>
      <c r="GC5" s="215"/>
      <c r="GD5" s="215"/>
      <c r="GE5" s="215"/>
      <c r="GF5" s="215"/>
      <c r="GG5" s="215"/>
      <c r="GH5" s="215"/>
      <c r="GI5" s="215"/>
      <c r="GJ5" s="215"/>
      <c r="GK5" s="215"/>
      <c r="GL5" s="215"/>
      <c r="GM5" s="215"/>
      <c r="GN5" s="215"/>
      <c r="GO5" s="215"/>
      <c r="GP5" s="215"/>
      <c r="GQ5" s="215"/>
      <c r="GR5" s="215"/>
      <c r="GS5" s="215"/>
      <c r="GT5" s="215"/>
      <c r="GU5" s="215"/>
      <c r="GV5" s="215"/>
      <c r="GW5" s="215"/>
      <c r="GX5" s="215"/>
      <c r="GY5" s="215"/>
      <c r="GZ5" s="215"/>
      <c r="HA5" s="215"/>
      <c r="HB5" s="215"/>
      <c r="HC5" s="215"/>
      <c r="HD5" s="215"/>
      <c r="HE5" s="215"/>
      <c r="HF5" s="215"/>
      <c r="HG5" s="215"/>
      <c r="HH5" s="215"/>
      <c r="HI5" s="215"/>
      <c r="HJ5" s="215"/>
      <c r="HK5" s="215"/>
      <c r="HL5" s="215"/>
      <c r="HM5" s="215"/>
      <c r="HN5" s="215"/>
      <c r="HO5" s="215"/>
      <c r="HP5" s="215"/>
      <c r="HQ5" s="215"/>
      <c r="HR5" s="215"/>
      <c r="HS5" s="215"/>
      <c r="HT5" s="215"/>
      <c r="HU5" s="215"/>
      <c r="HV5" s="215"/>
      <c r="HW5" s="215"/>
      <c r="HX5" s="215"/>
      <c r="HY5" s="215"/>
      <c r="HZ5" s="215"/>
      <c r="IA5" s="215"/>
      <c r="IB5" s="215"/>
      <c r="IC5" s="215"/>
      <c r="ID5" s="215"/>
      <c r="IE5" s="215"/>
      <c r="IF5" s="215"/>
      <c r="IG5" s="215"/>
      <c r="IH5" s="215"/>
      <c r="II5" s="215"/>
      <c r="IJ5" s="215"/>
      <c r="IK5" s="215"/>
      <c r="IL5" s="215"/>
      <c r="IM5" s="215"/>
      <c r="IN5" s="215"/>
      <c r="IO5" s="215"/>
      <c r="IP5" s="215"/>
      <c r="IQ5" s="215"/>
      <c r="IR5" s="215"/>
      <c r="IS5" s="215"/>
    </row>
    <row r="6" spans="1:253" s="260" customFormat="1">
      <c r="A6" s="493" t="s">
        <v>322</v>
      </c>
      <c r="B6" s="493">
        <v>7370</v>
      </c>
      <c r="C6" s="493" t="s">
        <v>404</v>
      </c>
      <c r="D6" s="287"/>
      <c r="E6" s="259">
        <v>1</v>
      </c>
      <c r="F6" s="288">
        <v>1100</v>
      </c>
      <c r="G6" s="376" t="s">
        <v>254</v>
      </c>
      <c r="H6" s="242">
        <v>8</v>
      </c>
      <c r="I6" s="290">
        <v>0.6</v>
      </c>
      <c r="J6" s="291">
        <f>(E6*F6*H6*I6)</f>
        <v>5280</v>
      </c>
      <c r="K6" s="288">
        <f>J6</f>
        <v>5280</v>
      </c>
      <c r="L6" s="292">
        <f>J6-K6</f>
        <v>0</v>
      </c>
      <c r="M6" s="291">
        <f>(E6*F6*12*I6)*1.025</f>
        <v>8117.9999999999991</v>
      </c>
      <c r="N6" s="288">
        <f>M6</f>
        <v>8117.9999999999991</v>
      </c>
      <c r="O6" s="292">
        <f>M6-N6</f>
        <v>0</v>
      </c>
      <c r="P6" s="291">
        <f>((F6*1.025)*1.025)*I6*3</f>
        <v>2080.2375000000002</v>
      </c>
      <c r="Q6" s="288">
        <f>P6</f>
        <v>2080.2375000000002</v>
      </c>
      <c r="R6" s="292">
        <f>P6-Q6</f>
        <v>0</v>
      </c>
      <c r="S6" s="291">
        <f t="shared" ref="S6:U7" si="0">J6+M6+P6</f>
        <v>15478.237499999999</v>
      </c>
      <c r="T6" s="288">
        <f t="shared" si="0"/>
        <v>15478.237499999999</v>
      </c>
      <c r="U6" s="292">
        <f t="shared" si="0"/>
        <v>0</v>
      </c>
      <c r="V6" s="235"/>
      <c r="W6" s="215"/>
      <c r="X6" s="215"/>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c r="CU6" s="215"/>
      <c r="CV6" s="215"/>
      <c r="CW6" s="215"/>
      <c r="CX6" s="215"/>
      <c r="CY6" s="215"/>
      <c r="CZ6" s="215"/>
      <c r="DA6" s="215"/>
      <c r="DB6" s="215"/>
      <c r="DC6" s="215"/>
      <c r="DD6" s="215"/>
      <c r="DE6" s="215"/>
      <c r="DF6" s="215"/>
      <c r="DG6" s="215"/>
      <c r="DH6" s="215"/>
      <c r="DI6" s="215"/>
      <c r="DJ6" s="215"/>
      <c r="DK6" s="215"/>
      <c r="DL6" s="215"/>
      <c r="DM6" s="215"/>
      <c r="DN6" s="215"/>
      <c r="DO6" s="215"/>
      <c r="DP6" s="215"/>
      <c r="DQ6" s="215"/>
      <c r="DR6" s="215"/>
      <c r="DS6" s="215"/>
      <c r="DT6" s="215"/>
      <c r="DU6" s="215"/>
      <c r="DV6" s="215"/>
      <c r="DW6" s="215"/>
      <c r="DX6" s="215"/>
      <c r="DY6" s="215"/>
      <c r="DZ6" s="215"/>
      <c r="EA6" s="215"/>
      <c r="EB6" s="215"/>
      <c r="EC6" s="215"/>
      <c r="ED6" s="215"/>
      <c r="EE6" s="215"/>
      <c r="EF6" s="215"/>
      <c r="EG6" s="215"/>
      <c r="EH6" s="215"/>
      <c r="EI6" s="215"/>
      <c r="EJ6" s="215"/>
      <c r="EK6" s="215"/>
      <c r="EL6" s="215"/>
      <c r="EM6" s="215"/>
      <c r="EN6" s="215"/>
      <c r="EO6" s="215"/>
      <c r="EP6" s="215"/>
      <c r="EQ6" s="215"/>
      <c r="ER6" s="215"/>
      <c r="ES6" s="215"/>
      <c r="ET6" s="215"/>
      <c r="EU6" s="215"/>
      <c r="EV6" s="215"/>
      <c r="EW6" s="215"/>
      <c r="EX6" s="215"/>
      <c r="EY6" s="215"/>
      <c r="EZ6" s="215"/>
      <c r="FA6" s="215"/>
      <c r="FB6" s="215"/>
      <c r="FC6" s="215"/>
      <c r="FD6" s="215"/>
      <c r="FE6" s="215"/>
      <c r="FF6" s="215"/>
      <c r="FG6" s="215"/>
      <c r="FH6" s="215"/>
      <c r="FI6" s="215"/>
      <c r="FJ6" s="215"/>
      <c r="FK6" s="215"/>
      <c r="FL6" s="215"/>
      <c r="FM6" s="215"/>
      <c r="FN6" s="215"/>
      <c r="FO6" s="215"/>
      <c r="FP6" s="215"/>
      <c r="FQ6" s="215"/>
      <c r="FR6" s="215"/>
      <c r="FS6" s="215"/>
      <c r="FT6" s="215"/>
      <c r="FU6" s="215"/>
      <c r="FV6" s="215"/>
      <c r="FW6" s="215"/>
      <c r="FX6" s="215"/>
      <c r="FY6" s="215"/>
      <c r="FZ6" s="215"/>
      <c r="GA6" s="215"/>
      <c r="GB6" s="215"/>
      <c r="GC6" s="215"/>
      <c r="GD6" s="215"/>
      <c r="GE6" s="215"/>
      <c r="GF6" s="215"/>
      <c r="GG6" s="215"/>
      <c r="GH6" s="215"/>
      <c r="GI6" s="215"/>
      <c r="GJ6" s="215"/>
      <c r="GK6" s="215"/>
      <c r="GL6" s="215"/>
      <c r="GM6" s="215"/>
      <c r="GN6" s="215"/>
      <c r="GO6" s="215"/>
      <c r="GP6" s="215"/>
      <c r="GQ6" s="215"/>
      <c r="GR6" s="215"/>
      <c r="GS6" s="215"/>
      <c r="GT6" s="215"/>
      <c r="GU6" s="215"/>
      <c r="GV6" s="215"/>
      <c r="GW6" s="215"/>
      <c r="GX6" s="215"/>
      <c r="GY6" s="215"/>
      <c r="GZ6" s="215"/>
      <c r="HA6" s="215"/>
      <c r="HB6" s="215"/>
      <c r="HC6" s="215"/>
      <c r="HD6" s="215"/>
      <c r="HE6" s="215"/>
      <c r="HF6" s="215"/>
      <c r="HG6" s="215"/>
      <c r="HH6" s="215"/>
      <c r="HI6" s="215"/>
      <c r="HJ6" s="215"/>
      <c r="HK6" s="215"/>
      <c r="HL6" s="215"/>
      <c r="HM6" s="215"/>
      <c r="HN6" s="215"/>
      <c r="HO6" s="215"/>
      <c r="HP6" s="215"/>
      <c r="HQ6" s="215"/>
      <c r="HR6" s="215"/>
      <c r="HS6" s="215"/>
      <c r="HT6" s="215"/>
      <c r="HU6" s="215"/>
      <c r="HV6" s="215"/>
      <c r="HW6" s="215"/>
      <c r="HX6" s="215"/>
      <c r="HY6" s="215"/>
      <c r="HZ6" s="215"/>
      <c r="IA6" s="215"/>
      <c r="IB6" s="215"/>
      <c r="IC6" s="215"/>
      <c r="ID6" s="215"/>
      <c r="IE6" s="215"/>
      <c r="IF6" s="215"/>
      <c r="IG6" s="215"/>
      <c r="IH6" s="215"/>
      <c r="II6" s="215"/>
      <c r="IJ6" s="215"/>
      <c r="IK6" s="215"/>
      <c r="IL6" s="215"/>
      <c r="IM6" s="215"/>
      <c r="IN6" s="215"/>
      <c r="IO6" s="215"/>
      <c r="IP6" s="215"/>
      <c r="IQ6" s="215"/>
      <c r="IR6" s="215"/>
      <c r="IS6" s="215"/>
    </row>
    <row r="7" spans="1:253" s="260" customFormat="1">
      <c r="A7" s="493" t="s">
        <v>322</v>
      </c>
      <c r="B7" s="493">
        <v>7370</v>
      </c>
      <c r="C7" s="493" t="s">
        <v>405</v>
      </c>
      <c r="D7" s="287"/>
      <c r="E7" s="259">
        <v>1</v>
      </c>
      <c r="F7" s="288">
        <v>1000</v>
      </c>
      <c r="G7" s="376" t="s">
        <v>254</v>
      </c>
      <c r="H7" s="242">
        <v>8</v>
      </c>
      <c r="I7" s="290">
        <v>0.2</v>
      </c>
      <c r="J7" s="291">
        <f>(E7*F7*H7*I7)</f>
        <v>1600</v>
      </c>
      <c r="K7" s="288">
        <f>J7</f>
        <v>1600</v>
      </c>
      <c r="L7" s="292">
        <f>J7-K7</f>
        <v>0</v>
      </c>
      <c r="M7" s="291">
        <f>(E7*F7*12*I7)*1.025</f>
        <v>2460</v>
      </c>
      <c r="N7" s="288">
        <f>M7</f>
        <v>2460</v>
      </c>
      <c r="O7" s="292">
        <f>M7-N7</f>
        <v>0</v>
      </c>
      <c r="P7" s="291">
        <f>((F7*1.025)*1.025)*I7*3</f>
        <v>630.375</v>
      </c>
      <c r="Q7" s="288">
        <f>P7</f>
        <v>630.375</v>
      </c>
      <c r="R7" s="292">
        <f>P7-Q7</f>
        <v>0</v>
      </c>
      <c r="S7" s="291">
        <f t="shared" si="0"/>
        <v>4690.375</v>
      </c>
      <c r="T7" s="288">
        <f t="shared" si="0"/>
        <v>4690.375</v>
      </c>
      <c r="U7" s="292">
        <f t="shared" si="0"/>
        <v>0</v>
      </c>
      <c r="V7" s="235"/>
      <c r="W7" s="215"/>
      <c r="X7" s="215"/>
      <c r="Y7" s="215"/>
      <c r="Z7" s="215"/>
      <c r="AA7" s="215"/>
      <c r="AB7" s="215"/>
      <c r="AC7" s="215"/>
      <c r="AD7" s="215"/>
      <c r="AE7" s="215"/>
      <c r="AF7" s="215"/>
      <c r="AG7" s="215"/>
      <c r="AH7" s="215"/>
      <c r="AI7" s="215"/>
      <c r="AJ7" s="215"/>
      <c r="AK7" s="215"/>
      <c r="AL7" s="215"/>
      <c r="AM7" s="215"/>
      <c r="AN7" s="215"/>
      <c r="AO7" s="215"/>
      <c r="AP7" s="215"/>
      <c r="AQ7" s="215"/>
      <c r="AR7" s="215"/>
      <c r="AS7" s="215"/>
      <c r="AT7" s="215"/>
      <c r="AU7" s="215"/>
      <c r="AV7" s="215"/>
      <c r="AW7" s="215"/>
      <c r="AX7" s="215"/>
      <c r="AY7" s="215"/>
      <c r="AZ7" s="215"/>
      <c r="BA7" s="215"/>
      <c r="BB7" s="215"/>
      <c r="BC7" s="215"/>
      <c r="BD7" s="215"/>
      <c r="BE7" s="215"/>
      <c r="BF7" s="215"/>
      <c r="BG7" s="215"/>
      <c r="BH7" s="215"/>
      <c r="BI7" s="215"/>
      <c r="BJ7" s="215"/>
      <c r="BK7" s="215"/>
      <c r="BL7" s="215"/>
      <c r="BM7" s="215"/>
      <c r="BN7" s="215"/>
      <c r="BO7" s="215"/>
      <c r="BP7" s="215"/>
      <c r="BQ7" s="215"/>
      <c r="BR7" s="215"/>
      <c r="BS7" s="215"/>
      <c r="BT7" s="215"/>
      <c r="BU7" s="215"/>
      <c r="BV7" s="215"/>
      <c r="BW7" s="215"/>
      <c r="BX7" s="215"/>
      <c r="BY7" s="215"/>
      <c r="BZ7" s="215"/>
      <c r="CA7" s="215"/>
      <c r="CB7" s="215"/>
      <c r="CC7" s="215"/>
      <c r="CD7" s="215"/>
      <c r="CE7" s="215"/>
      <c r="CF7" s="215"/>
      <c r="CG7" s="215"/>
      <c r="CH7" s="215"/>
      <c r="CI7" s="215"/>
      <c r="CJ7" s="215"/>
      <c r="CK7" s="215"/>
      <c r="CL7" s="215"/>
      <c r="CM7" s="215"/>
      <c r="CN7" s="215"/>
      <c r="CO7" s="215"/>
      <c r="CP7" s="215"/>
      <c r="CQ7" s="215"/>
      <c r="CR7" s="215"/>
      <c r="CS7" s="215"/>
      <c r="CT7" s="215"/>
      <c r="CU7" s="215"/>
      <c r="CV7" s="215"/>
      <c r="CW7" s="215"/>
      <c r="CX7" s="215"/>
      <c r="CY7" s="215"/>
      <c r="CZ7" s="215"/>
      <c r="DA7" s="215"/>
      <c r="DB7" s="215"/>
      <c r="DC7" s="215"/>
      <c r="DD7" s="215"/>
      <c r="DE7" s="215"/>
      <c r="DF7" s="215"/>
      <c r="DG7" s="215"/>
      <c r="DH7" s="215"/>
      <c r="DI7" s="215"/>
      <c r="DJ7" s="215"/>
      <c r="DK7" s="215"/>
      <c r="DL7" s="215"/>
      <c r="DM7" s="215"/>
      <c r="DN7" s="215"/>
      <c r="DO7" s="215"/>
      <c r="DP7" s="215"/>
      <c r="DQ7" s="215"/>
      <c r="DR7" s="215"/>
      <c r="DS7" s="215"/>
      <c r="DT7" s="215"/>
      <c r="DU7" s="215"/>
      <c r="DV7" s="215"/>
      <c r="DW7" s="215"/>
      <c r="DX7" s="215"/>
      <c r="DY7" s="215"/>
      <c r="DZ7" s="215"/>
      <c r="EA7" s="215"/>
      <c r="EB7" s="215"/>
      <c r="EC7" s="215"/>
      <c r="ED7" s="215"/>
      <c r="EE7" s="215"/>
      <c r="EF7" s="215"/>
      <c r="EG7" s="215"/>
      <c r="EH7" s="215"/>
      <c r="EI7" s="215"/>
      <c r="EJ7" s="215"/>
      <c r="EK7" s="215"/>
      <c r="EL7" s="215"/>
      <c r="EM7" s="215"/>
      <c r="EN7" s="215"/>
      <c r="EO7" s="215"/>
      <c r="EP7" s="215"/>
      <c r="EQ7" s="215"/>
      <c r="ER7" s="215"/>
      <c r="ES7" s="215"/>
      <c r="ET7" s="215"/>
      <c r="EU7" s="215"/>
      <c r="EV7" s="215"/>
      <c r="EW7" s="215"/>
      <c r="EX7" s="215"/>
      <c r="EY7" s="215"/>
      <c r="EZ7" s="215"/>
      <c r="FA7" s="215"/>
      <c r="FB7" s="215"/>
      <c r="FC7" s="215"/>
      <c r="FD7" s="215"/>
      <c r="FE7" s="215"/>
      <c r="FF7" s="215"/>
      <c r="FG7" s="215"/>
      <c r="FH7" s="215"/>
      <c r="FI7" s="215"/>
      <c r="FJ7" s="215"/>
      <c r="FK7" s="215"/>
      <c r="FL7" s="215"/>
      <c r="FM7" s="215"/>
      <c r="FN7" s="215"/>
      <c r="FO7" s="215"/>
      <c r="FP7" s="215"/>
      <c r="FQ7" s="215"/>
      <c r="FR7" s="215"/>
      <c r="FS7" s="215"/>
      <c r="FT7" s="215"/>
      <c r="FU7" s="215"/>
      <c r="FV7" s="215"/>
      <c r="FW7" s="215"/>
      <c r="FX7" s="215"/>
      <c r="FY7" s="215"/>
      <c r="FZ7" s="215"/>
      <c r="GA7" s="215"/>
      <c r="GB7" s="215"/>
      <c r="GC7" s="215"/>
      <c r="GD7" s="215"/>
      <c r="GE7" s="215"/>
      <c r="GF7" s="215"/>
      <c r="GG7" s="215"/>
      <c r="GH7" s="215"/>
      <c r="GI7" s="215"/>
      <c r="GJ7" s="215"/>
      <c r="GK7" s="215"/>
      <c r="GL7" s="215"/>
      <c r="GM7" s="215"/>
      <c r="GN7" s="215"/>
      <c r="GO7" s="215"/>
      <c r="GP7" s="215"/>
      <c r="GQ7" s="215"/>
      <c r="GR7" s="215"/>
      <c r="GS7" s="215"/>
      <c r="GT7" s="215"/>
      <c r="GU7" s="215"/>
      <c r="GV7" s="215"/>
      <c r="GW7" s="215"/>
      <c r="GX7" s="215"/>
      <c r="GY7" s="215"/>
      <c r="GZ7" s="215"/>
      <c r="HA7" s="215"/>
      <c r="HB7" s="215"/>
      <c r="HC7" s="215"/>
      <c r="HD7" s="215"/>
      <c r="HE7" s="215"/>
      <c r="HF7" s="215"/>
      <c r="HG7" s="215"/>
      <c r="HH7" s="215"/>
      <c r="HI7" s="215"/>
      <c r="HJ7" s="215"/>
      <c r="HK7" s="215"/>
      <c r="HL7" s="215"/>
      <c r="HM7" s="215"/>
      <c r="HN7" s="215"/>
      <c r="HO7" s="215"/>
      <c r="HP7" s="215"/>
      <c r="HQ7" s="215"/>
      <c r="HR7" s="215"/>
      <c r="HS7" s="215"/>
      <c r="HT7" s="215"/>
      <c r="HU7" s="215"/>
      <c r="HV7" s="215"/>
      <c r="HW7" s="215"/>
      <c r="HX7" s="215"/>
      <c r="HY7" s="215"/>
      <c r="HZ7" s="215"/>
      <c r="IA7" s="215"/>
      <c r="IB7" s="215"/>
      <c r="IC7" s="215"/>
      <c r="ID7" s="215"/>
      <c r="IE7" s="215"/>
      <c r="IF7" s="215"/>
      <c r="IG7" s="215"/>
      <c r="IH7" s="215"/>
      <c r="II7" s="215"/>
      <c r="IJ7" s="215"/>
      <c r="IK7" s="215"/>
      <c r="IL7" s="215"/>
      <c r="IM7" s="215"/>
      <c r="IN7" s="215"/>
      <c r="IO7" s="215"/>
      <c r="IP7" s="215"/>
      <c r="IQ7" s="215"/>
      <c r="IR7" s="215"/>
      <c r="IS7" s="215"/>
    </row>
    <row r="8" spans="1:253">
      <c r="A8" s="293"/>
      <c r="B8" s="293"/>
      <c r="C8" s="293" t="s">
        <v>265</v>
      </c>
      <c r="D8" s="294"/>
      <c r="E8" s="295"/>
      <c r="F8" s="296"/>
      <c r="G8" s="297"/>
      <c r="H8" s="297"/>
      <c r="I8" s="298"/>
      <c r="J8" s="299">
        <f t="shared" ref="J8:U8" si="1">SUM(J5:J7)</f>
        <v>6880</v>
      </c>
      <c r="K8" s="296">
        <f t="shared" si="1"/>
        <v>6880</v>
      </c>
      <c r="L8" s="300">
        <f t="shared" si="1"/>
        <v>0</v>
      </c>
      <c r="M8" s="299">
        <f t="shared" si="1"/>
        <v>10578</v>
      </c>
      <c r="N8" s="296">
        <f t="shared" si="1"/>
        <v>10578</v>
      </c>
      <c r="O8" s="300">
        <f t="shared" si="1"/>
        <v>0</v>
      </c>
      <c r="P8" s="299">
        <f t="shared" si="1"/>
        <v>2710.6125000000002</v>
      </c>
      <c r="Q8" s="296">
        <f t="shared" si="1"/>
        <v>2710.6125000000002</v>
      </c>
      <c r="R8" s="300">
        <f t="shared" si="1"/>
        <v>0</v>
      </c>
      <c r="S8" s="299">
        <f t="shared" si="1"/>
        <v>20168.612499999999</v>
      </c>
      <c r="T8" s="296">
        <f t="shared" si="1"/>
        <v>20168.612499999999</v>
      </c>
      <c r="U8" s="301">
        <f t="shared" si="1"/>
        <v>0</v>
      </c>
    </row>
    <row r="9" spans="1:253">
      <c r="A9" s="316"/>
      <c r="B9" s="316"/>
      <c r="C9" s="316" t="s">
        <v>217</v>
      </c>
      <c r="D9" s="317"/>
      <c r="E9" s="318"/>
      <c r="F9" s="319"/>
      <c r="G9" s="531"/>
      <c r="H9" s="531"/>
      <c r="I9" s="321"/>
      <c r="J9" s="322"/>
      <c r="K9" s="319"/>
      <c r="L9" s="532"/>
      <c r="M9" s="322"/>
      <c r="N9" s="319"/>
      <c r="O9" s="532"/>
      <c r="P9" s="322"/>
      <c r="Q9" s="319"/>
      <c r="R9" s="532"/>
      <c r="S9" s="322"/>
      <c r="T9" s="319"/>
      <c r="U9" s="325"/>
    </row>
    <row r="10" spans="1:253">
      <c r="A10" s="493" t="s">
        <v>322</v>
      </c>
      <c r="B10" s="493">
        <v>7370</v>
      </c>
      <c r="C10" s="315" t="s">
        <v>406</v>
      </c>
      <c r="D10" s="287"/>
      <c r="E10" s="259">
        <v>1</v>
      </c>
      <c r="F10" s="288">
        <v>1100</v>
      </c>
      <c r="G10" s="219" t="s">
        <v>269</v>
      </c>
      <c r="H10" s="242">
        <v>8</v>
      </c>
      <c r="I10" s="290">
        <v>0.3</v>
      </c>
      <c r="J10" s="291">
        <f>(J6*I10)</f>
        <v>1584</v>
      </c>
      <c r="K10" s="288">
        <f>J10</f>
        <v>1584</v>
      </c>
      <c r="L10" s="292">
        <f>J10-K10</f>
        <v>0</v>
      </c>
      <c r="M10" s="530">
        <f>(I10*M6)</f>
        <v>2435.3999999999996</v>
      </c>
      <c r="N10" s="288">
        <f>M10</f>
        <v>2435.3999999999996</v>
      </c>
      <c r="O10" s="292">
        <f>M10-N10</f>
        <v>0</v>
      </c>
      <c r="P10" s="530">
        <f>(I10*P6)</f>
        <v>624.07125000000008</v>
      </c>
      <c r="Q10" s="288">
        <f>P10</f>
        <v>624.07125000000008</v>
      </c>
      <c r="R10" s="292">
        <f>P10-Q10</f>
        <v>0</v>
      </c>
      <c r="S10" s="291">
        <f t="shared" ref="S10:S11" si="2">J10+M10+P10</f>
        <v>4643.4712499999996</v>
      </c>
      <c r="T10" s="288">
        <f t="shared" ref="T10:T11" si="3">K10+N10+Q10</f>
        <v>4643.4712499999996</v>
      </c>
      <c r="U10" s="292">
        <f t="shared" ref="U10:U11" si="4">L10+O10+R10</f>
        <v>0</v>
      </c>
    </row>
    <row r="11" spans="1:253">
      <c r="A11" s="493" t="s">
        <v>322</v>
      </c>
      <c r="B11" s="493">
        <v>7370</v>
      </c>
      <c r="C11" s="315" t="s">
        <v>407</v>
      </c>
      <c r="D11" s="287"/>
      <c r="E11" s="259">
        <v>1</v>
      </c>
      <c r="F11" s="288">
        <v>1000</v>
      </c>
      <c r="G11" s="219" t="s">
        <v>269</v>
      </c>
      <c r="H11" s="242">
        <v>8</v>
      </c>
      <c r="I11" s="290">
        <v>0.3</v>
      </c>
      <c r="J11" s="291">
        <f>(J7*I11)</f>
        <v>480</v>
      </c>
      <c r="K11" s="288">
        <f>J11</f>
        <v>480</v>
      </c>
      <c r="L11" s="292">
        <f>J11-K11</f>
        <v>0</v>
      </c>
      <c r="M11" s="291">
        <f>(I11*M7)</f>
        <v>738</v>
      </c>
      <c r="N11" s="288">
        <f>M11</f>
        <v>738</v>
      </c>
      <c r="O11" s="292">
        <f>M11-N11</f>
        <v>0</v>
      </c>
      <c r="P11" s="530">
        <f>(I11*P7)</f>
        <v>189.11249999999998</v>
      </c>
      <c r="Q11" s="288">
        <f>P11</f>
        <v>189.11249999999998</v>
      </c>
      <c r="R11" s="292">
        <f>P11-Q11</f>
        <v>0</v>
      </c>
      <c r="S11" s="291">
        <f t="shared" si="2"/>
        <v>1407.1125</v>
      </c>
      <c r="T11" s="288">
        <f t="shared" si="3"/>
        <v>1407.1125</v>
      </c>
      <c r="U11" s="292">
        <f t="shared" si="4"/>
        <v>0</v>
      </c>
    </row>
    <row r="12" spans="1:253">
      <c r="A12" s="293"/>
      <c r="B12" s="293"/>
      <c r="C12" s="293" t="s">
        <v>276</v>
      </c>
      <c r="D12" s="533"/>
      <c r="E12" s="307"/>
      <c r="F12" s="304"/>
      <c r="G12" s="534"/>
      <c r="H12" s="534"/>
      <c r="I12" s="535"/>
      <c r="J12" s="299">
        <f>SUM(J10:J11)</f>
        <v>2064</v>
      </c>
      <c r="K12" s="299">
        <f t="shared" ref="K12:U12" si="5">SUM(K10:K11)</f>
        <v>2064</v>
      </c>
      <c r="L12" s="299">
        <f t="shared" si="5"/>
        <v>0</v>
      </c>
      <c r="M12" s="299">
        <f t="shared" si="5"/>
        <v>3173.3999999999996</v>
      </c>
      <c r="N12" s="299">
        <f t="shared" si="5"/>
        <v>3173.3999999999996</v>
      </c>
      <c r="O12" s="299">
        <f t="shared" si="5"/>
        <v>0</v>
      </c>
      <c r="P12" s="299">
        <f t="shared" si="5"/>
        <v>813.18375000000003</v>
      </c>
      <c r="Q12" s="299">
        <f t="shared" si="5"/>
        <v>813.18375000000003</v>
      </c>
      <c r="R12" s="299">
        <f t="shared" si="5"/>
        <v>0</v>
      </c>
      <c r="S12" s="299">
        <f t="shared" si="5"/>
        <v>6050.5837499999998</v>
      </c>
      <c r="T12" s="299">
        <f t="shared" si="5"/>
        <v>6050.5837499999998</v>
      </c>
      <c r="U12" s="299">
        <f t="shared" si="5"/>
        <v>0</v>
      </c>
    </row>
    <row r="13" spans="1:253">
      <c r="A13" s="278"/>
      <c r="B13" s="278"/>
      <c r="C13" s="278" t="s">
        <v>218</v>
      </c>
      <c r="D13" s="279"/>
      <c r="E13" s="280"/>
      <c r="F13" s="285"/>
      <c r="G13" s="302"/>
      <c r="H13" s="302"/>
      <c r="I13" s="283"/>
      <c r="J13" s="284"/>
      <c r="K13" s="285"/>
      <c r="L13" s="286"/>
      <c r="M13" s="284"/>
      <c r="N13" s="285"/>
      <c r="O13" s="286"/>
      <c r="P13" s="284"/>
      <c r="Q13" s="285"/>
      <c r="R13" s="286"/>
      <c r="S13" s="284"/>
      <c r="T13" s="285"/>
      <c r="U13" s="286"/>
    </row>
    <row r="14" spans="1:253">
      <c r="A14" s="493" t="s">
        <v>322</v>
      </c>
      <c r="B14" s="493">
        <v>7370</v>
      </c>
      <c r="C14" s="305" t="s">
        <v>408</v>
      </c>
      <c r="D14" s="306"/>
      <c r="E14" s="259">
        <v>1</v>
      </c>
      <c r="F14" s="288">
        <v>150</v>
      </c>
      <c r="G14" s="289" t="s">
        <v>409</v>
      </c>
      <c r="H14" s="242">
        <v>5</v>
      </c>
      <c r="I14" s="290">
        <v>1</v>
      </c>
      <c r="J14" s="291">
        <f>(E14*F14*H14*I14)</f>
        <v>750</v>
      </c>
      <c r="K14" s="288">
        <f>J14</f>
        <v>750</v>
      </c>
      <c r="L14" s="292">
        <f>J14-K14</f>
        <v>0</v>
      </c>
      <c r="M14" s="291">
        <f>(E14*F14*8*I14)*1.025</f>
        <v>1230</v>
      </c>
      <c r="N14" s="288">
        <f>M14</f>
        <v>1230</v>
      </c>
      <c r="O14" s="292">
        <f>M14-N14</f>
        <v>0</v>
      </c>
      <c r="P14" s="291">
        <f>(E14*(F14*1.025)*2*I14)*1.025</f>
        <v>315.1875</v>
      </c>
      <c r="Q14" s="288">
        <f>P14</f>
        <v>315.1875</v>
      </c>
      <c r="R14" s="292">
        <f>P14-Q14</f>
        <v>0</v>
      </c>
      <c r="S14" s="291">
        <f t="shared" ref="S14:U16" si="6">J14+M14+P14</f>
        <v>2295.1875</v>
      </c>
      <c r="T14" s="288">
        <f t="shared" si="6"/>
        <v>2295.1875</v>
      </c>
      <c r="U14" s="292">
        <f t="shared" si="6"/>
        <v>0</v>
      </c>
    </row>
    <row r="15" spans="1:253">
      <c r="A15" s="493" t="s">
        <v>322</v>
      </c>
      <c r="B15" s="493">
        <v>7370</v>
      </c>
      <c r="C15" s="305" t="s">
        <v>410</v>
      </c>
      <c r="D15" s="306"/>
      <c r="E15" s="259">
        <f>E7</f>
        <v>1</v>
      </c>
      <c r="F15" s="288">
        <v>300</v>
      </c>
      <c r="G15" s="289" t="s">
        <v>409</v>
      </c>
      <c r="H15" s="242">
        <v>5</v>
      </c>
      <c r="I15" s="290">
        <v>1</v>
      </c>
      <c r="J15" s="291">
        <f>(E15*F15*H15*I15)</f>
        <v>1500</v>
      </c>
      <c r="K15" s="288">
        <f>J15</f>
        <v>1500</v>
      </c>
      <c r="L15" s="292">
        <f>J15-K15</f>
        <v>0</v>
      </c>
      <c r="M15" s="291">
        <f>(E15*F15*8*I15)*1.025</f>
        <v>2460</v>
      </c>
      <c r="N15" s="288">
        <f>M15</f>
        <v>2460</v>
      </c>
      <c r="O15" s="292">
        <f>M15-N15</f>
        <v>0</v>
      </c>
      <c r="P15" s="291">
        <f>(E15*(F15*1.025)*2*I15)*1.025</f>
        <v>630.375</v>
      </c>
      <c r="Q15" s="288">
        <f>P15</f>
        <v>630.375</v>
      </c>
      <c r="R15" s="292">
        <f>P15-Q15</f>
        <v>0</v>
      </c>
      <c r="S15" s="291">
        <f t="shared" si="6"/>
        <v>4590.375</v>
      </c>
      <c r="T15" s="288">
        <f t="shared" si="6"/>
        <v>4590.375</v>
      </c>
      <c r="U15" s="292">
        <f t="shared" si="6"/>
        <v>0</v>
      </c>
    </row>
    <row r="16" spans="1:253">
      <c r="A16" s="493" t="s">
        <v>322</v>
      </c>
      <c r="B16" s="493">
        <v>7370</v>
      </c>
      <c r="C16" s="305" t="s">
        <v>411</v>
      </c>
      <c r="D16" s="306"/>
      <c r="E16" s="259">
        <v>1</v>
      </c>
      <c r="F16" s="288">
        <v>300</v>
      </c>
      <c r="G16" s="289" t="s">
        <v>409</v>
      </c>
      <c r="H16" s="242">
        <v>5</v>
      </c>
      <c r="I16" s="290">
        <v>1</v>
      </c>
      <c r="J16" s="291">
        <f>(E16*F16*H16*I16)</f>
        <v>1500</v>
      </c>
      <c r="K16" s="288">
        <f>J16</f>
        <v>1500</v>
      </c>
      <c r="L16" s="292">
        <f>J16-K16</f>
        <v>0</v>
      </c>
      <c r="M16" s="291">
        <f>(E16*F16*8*I16)*1.025</f>
        <v>2460</v>
      </c>
      <c r="N16" s="288">
        <f>M16</f>
        <v>2460</v>
      </c>
      <c r="O16" s="292">
        <f>M16-N16</f>
        <v>0</v>
      </c>
      <c r="P16" s="291">
        <f>(E16*(F16*1.025)*2*I16)*1.025</f>
        <v>630.375</v>
      </c>
      <c r="Q16" s="288">
        <f>P16</f>
        <v>630.375</v>
      </c>
      <c r="R16" s="292">
        <f>P16-Q16</f>
        <v>0</v>
      </c>
      <c r="S16" s="291">
        <f t="shared" si="6"/>
        <v>4590.375</v>
      </c>
      <c r="T16" s="288">
        <f t="shared" si="6"/>
        <v>4590.375</v>
      </c>
      <c r="U16" s="292">
        <f t="shared" si="6"/>
        <v>0</v>
      </c>
    </row>
    <row r="17" spans="1:22">
      <c r="A17" s="293"/>
      <c r="B17" s="293"/>
      <c r="C17" s="293" t="s">
        <v>303</v>
      </c>
      <c r="D17" s="294"/>
      <c r="E17" s="295"/>
      <c r="F17" s="296"/>
      <c r="G17" s="314"/>
      <c r="H17" s="314"/>
      <c r="I17" s="298"/>
      <c r="J17" s="299">
        <f t="shared" ref="J17:U17" si="7">SUM(J14:J16)</f>
        <v>3750</v>
      </c>
      <c r="K17" s="296">
        <f t="shared" si="7"/>
        <v>3750</v>
      </c>
      <c r="L17" s="301">
        <f t="shared" si="7"/>
        <v>0</v>
      </c>
      <c r="M17" s="299">
        <f t="shared" si="7"/>
        <v>6150</v>
      </c>
      <c r="N17" s="296">
        <f t="shared" si="7"/>
        <v>6150</v>
      </c>
      <c r="O17" s="301">
        <f t="shared" si="7"/>
        <v>0</v>
      </c>
      <c r="P17" s="299">
        <f t="shared" si="7"/>
        <v>1575.9375</v>
      </c>
      <c r="Q17" s="296">
        <f t="shared" si="7"/>
        <v>1575.9375</v>
      </c>
      <c r="R17" s="301">
        <f t="shared" si="7"/>
        <v>0</v>
      </c>
      <c r="S17" s="299">
        <f t="shared" si="7"/>
        <v>11475.9375</v>
      </c>
      <c r="T17" s="296">
        <f t="shared" si="7"/>
        <v>11475.9375</v>
      </c>
      <c r="U17" s="301">
        <f t="shared" si="7"/>
        <v>0</v>
      </c>
    </row>
    <row r="18" spans="1:22">
      <c r="A18" s="316"/>
      <c r="B18" s="316"/>
      <c r="C18" s="316" t="s">
        <v>219</v>
      </c>
      <c r="D18" s="317"/>
      <c r="E18" s="318"/>
      <c r="F18" s="319"/>
      <c r="G18" s="320"/>
      <c r="H18" s="320"/>
      <c r="I18" s="321"/>
      <c r="J18" s="322"/>
      <c r="K18" s="323"/>
      <c r="L18" s="324"/>
      <c r="M18" s="322"/>
      <c r="N18" s="323"/>
      <c r="O18" s="324"/>
      <c r="P18" s="322"/>
      <c r="Q18" s="323"/>
      <c r="R18" s="324"/>
      <c r="S18" s="322"/>
      <c r="T18" s="319"/>
      <c r="U18" s="325"/>
    </row>
    <row r="19" spans="1:22">
      <c r="A19" s="316"/>
      <c r="B19" s="316"/>
      <c r="C19" s="316" t="s">
        <v>220</v>
      </c>
      <c r="D19" s="317"/>
      <c r="E19" s="318"/>
      <c r="F19" s="319"/>
      <c r="G19" s="320"/>
      <c r="H19" s="320"/>
      <c r="I19" s="321"/>
      <c r="J19" s="322"/>
      <c r="K19" s="323"/>
      <c r="L19" s="324"/>
      <c r="M19" s="322"/>
      <c r="N19" s="323"/>
      <c r="O19" s="324"/>
      <c r="P19" s="322"/>
      <c r="Q19" s="323"/>
      <c r="R19" s="324"/>
      <c r="S19" s="322"/>
      <c r="T19" s="319"/>
      <c r="U19" s="325"/>
    </row>
    <row r="20" spans="1:22">
      <c r="A20" s="316"/>
      <c r="B20" s="316"/>
      <c r="C20" s="316" t="s">
        <v>412</v>
      </c>
      <c r="D20" s="317"/>
      <c r="E20" s="318"/>
      <c r="F20" s="319"/>
      <c r="G20" s="320"/>
      <c r="H20" s="320"/>
      <c r="I20" s="321"/>
      <c r="J20" s="322"/>
      <c r="K20" s="323"/>
      <c r="L20" s="324"/>
      <c r="M20" s="322"/>
      <c r="N20" s="323"/>
      <c r="O20" s="324"/>
      <c r="P20" s="322"/>
      <c r="Q20" s="323"/>
      <c r="R20" s="324"/>
      <c r="S20" s="322"/>
      <c r="T20" s="319"/>
      <c r="U20" s="325"/>
    </row>
    <row r="21" spans="1:22">
      <c r="A21" s="316"/>
      <c r="B21" s="316"/>
      <c r="C21" s="316" t="s">
        <v>222</v>
      </c>
      <c r="D21" s="317"/>
      <c r="E21" s="318"/>
      <c r="F21" s="319"/>
      <c r="G21" s="320"/>
      <c r="H21" s="320"/>
      <c r="I21" s="321"/>
      <c r="J21" s="322"/>
      <c r="K21" s="323"/>
      <c r="L21" s="324"/>
      <c r="M21" s="322"/>
      <c r="N21" s="323"/>
      <c r="O21" s="324"/>
      <c r="P21" s="322"/>
      <c r="Q21" s="323"/>
      <c r="R21" s="324"/>
      <c r="S21" s="322"/>
      <c r="T21" s="319"/>
      <c r="U21" s="325"/>
    </row>
    <row r="22" spans="1:22">
      <c r="A22" s="316"/>
      <c r="B22" s="316"/>
      <c r="C22" s="316" t="s">
        <v>223</v>
      </c>
      <c r="D22" s="317"/>
      <c r="E22" s="318"/>
      <c r="F22" s="319"/>
      <c r="G22" s="320"/>
      <c r="H22" s="320"/>
      <c r="I22" s="321"/>
      <c r="J22" s="322"/>
      <c r="K22" s="323"/>
      <c r="L22" s="324"/>
      <c r="M22" s="322"/>
      <c r="N22" s="323"/>
      <c r="O22" s="324"/>
      <c r="P22" s="322"/>
      <c r="Q22" s="323"/>
      <c r="R22" s="324"/>
      <c r="S22" s="322"/>
      <c r="T22" s="319"/>
      <c r="U22" s="325"/>
    </row>
    <row r="23" spans="1:22">
      <c r="A23" s="424"/>
      <c r="B23" s="424"/>
      <c r="C23" s="424" t="s">
        <v>336</v>
      </c>
      <c r="D23" s="424"/>
      <c r="E23" s="424"/>
      <c r="F23" s="424"/>
      <c r="G23" s="424"/>
      <c r="H23" s="424"/>
      <c r="I23" s="424"/>
      <c r="J23" s="424"/>
      <c r="K23" s="424"/>
      <c r="L23" s="424"/>
      <c r="M23" s="424"/>
      <c r="N23" s="424"/>
      <c r="O23" s="424"/>
      <c r="P23" s="424"/>
      <c r="Q23" s="424"/>
      <c r="R23" s="424"/>
      <c r="S23" s="424"/>
      <c r="T23" s="424"/>
      <c r="U23" s="424"/>
    </row>
    <row r="24" spans="1:22" ht="30">
      <c r="A24" s="549"/>
      <c r="B24" s="549"/>
      <c r="C24" s="549" t="s">
        <v>337</v>
      </c>
      <c r="D24" s="327"/>
      <c r="E24" s="328"/>
      <c r="F24" s="329"/>
      <c r="G24" s="330"/>
      <c r="H24" s="331"/>
      <c r="I24" s="332"/>
      <c r="J24" s="333"/>
      <c r="K24" s="329"/>
      <c r="L24" s="334"/>
      <c r="M24" s="333"/>
      <c r="N24" s="329"/>
      <c r="O24" s="334"/>
      <c r="P24" s="333"/>
      <c r="Q24" s="335"/>
      <c r="R24" s="334"/>
      <c r="S24" s="333"/>
      <c r="T24" s="329"/>
      <c r="U24" s="334"/>
      <c r="V24" s="313"/>
    </row>
    <row r="25" spans="1:22" ht="46.5">
      <c r="A25" s="544"/>
      <c r="B25" s="544"/>
      <c r="C25" s="544" t="s">
        <v>338</v>
      </c>
      <c r="D25" s="308"/>
      <c r="E25" s="309"/>
      <c r="F25" s="288"/>
      <c r="G25" s="336"/>
      <c r="H25" s="310"/>
      <c r="I25" s="311"/>
      <c r="J25" s="291"/>
      <c r="K25" s="288"/>
      <c r="L25" s="292"/>
      <c r="M25" s="291"/>
      <c r="N25" s="288"/>
      <c r="O25" s="292"/>
      <c r="P25" s="291"/>
      <c r="Q25" s="312"/>
      <c r="R25" s="292"/>
      <c r="S25" s="291"/>
      <c r="T25" s="288"/>
      <c r="U25" s="292"/>
      <c r="V25" s="313"/>
    </row>
    <row r="26" spans="1:22">
      <c r="A26" s="493" t="s">
        <v>322</v>
      </c>
      <c r="B26" s="493">
        <v>7370</v>
      </c>
      <c r="C26" s="480" t="s">
        <v>413</v>
      </c>
      <c r="D26" s="308"/>
      <c r="E26" s="550">
        <v>1</v>
      </c>
      <c r="F26" s="288">
        <v>150</v>
      </c>
      <c r="G26" s="219" t="s">
        <v>414</v>
      </c>
      <c r="H26" s="310">
        <v>4</v>
      </c>
      <c r="I26" s="311">
        <v>1</v>
      </c>
      <c r="J26" s="291">
        <f>E26*F26*H26*I26</f>
        <v>600</v>
      </c>
      <c r="K26" s="288">
        <f>J26</f>
        <v>600</v>
      </c>
      <c r="L26" s="292">
        <f>J26-K26</f>
        <v>0</v>
      </c>
      <c r="M26" s="291">
        <f>E26*F26*H26*I26</f>
        <v>600</v>
      </c>
      <c r="N26" s="288">
        <f>M26</f>
        <v>600</v>
      </c>
      <c r="O26" s="292">
        <f>M26-N26</f>
        <v>0</v>
      </c>
      <c r="P26" s="291">
        <f>E26*F26*0*I26</f>
        <v>0</v>
      </c>
      <c r="Q26" s="312">
        <f>P26</f>
        <v>0</v>
      </c>
      <c r="R26" s="292">
        <f>P26-Q26</f>
        <v>0</v>
      </c>
      <c r="S26" s="291">
        <f t="shared" ref="S26:T29" si="8">J26+M26+P26</f>
        <v>1200</v>
      </c>
      <c r="T26" s="288">
        <f t="shared" si="8"/>
        <v>1200</v>
      </c>
      <c r="U26" s="292">
        <f>S26-T26</f>
        <v>0</v>
      </c>
      <c r="V26" s="313"/>
    </row>
    <row r="27" spans="1:22">
      <c r="A27" s="493" t="s">
        <v>322</v>
      </c>
      <c r="B27" s="493">
        <v>7370</v>
      </c>
      <c r="C27" s="480" t="s">
        <v>415</v>
      </c>
      <c r="D27" s="308"/>
      <c r="E27" s="550">
        <v>1</v>
      </c>
      <c r="F27" s="288">
        <v>60</v>
      </c>
      <c r="G27" s="219" t="s">
        <v>414</v>
      </c>
      <c r="H27" s="310">
        <v>4</v>
      </c>
      <c r="I27" s="311">
        <v>1</v>
      </c>
      <c r="J27" s="291">
        <f>F27*H27*I27</f>
        <v>240</v>
      </c>
      <c r="K27" s="288">
        <f>J27</f>
        <v>240</v>
      </c>
      <c r="L27" s="292">
        <f>J27-K27</f>
        <v>0</v>
      </c>
      <c r="M27" s="291">
        <f>F27*H27*I27</f>
        <v>240</v>
      </c>
      <c r="N27" s="288">
        <f>M27</f>
        <v>240</v>
      </c>
      <c r="O27" s="292">
        <f>M27-N27</f>
        <v>0</v>
      </c>
      <c r="P27" s="291">
        <f>E27*F27*0*I27</f>
        <v>0</v>
      </c>
      <c r="Q27" s="312">
        <f>P27</f>
        <v>0</v>
      </c>
      <c r="R27" s="292">
        <f>P27-Q27</f>
        <v>0</v>
      </c>
      <c r="S27" s="291">
        <f t="shared" si="8"/>
        <v>480</v>
      </c>
      <c r="T27" s="288">
        <f t="shared" si="8"/>
        <v>480</v>
      </c>
      <c r="U27" s="292">
        <f>S27-T27</f>
        <v>0</v>
      </c>
      <c r="V27" s="313"/>
    </row>
    <row r="28" spans="1:22">
      <c r="A28" s="493" t="s">
        <v>322</v>
      </c>
      <c r="B28" s="493">
        <v>7370</v>
      </c>
      <c r="C28" s="480" t="s">
        <v>416</v>
      </c>
      <c r="D28" s="308"/>
      <c r="E28" s="550">
        <v>1</v>
      </c>
      <c r="F28" s="288">
        <v>300</v>
      </c>
      <c r="G28" s="219" t="s">
        <v>414</v>
      </c>
      <c r="H28" s="310">
        <v>4</v>
      </c>
      <c r="I28" s="311">
        <v>1</v>
      </c>
      <c r="J28" s="291">
        <f>F28*H28*I28</f>
        <v>1200</v>
      </c>
      <c r="K28" s="288">
        <f>J28</f>
        <v>1200</v>
      </c>
      <c r="L28" s="292">
        <f>J28-K28</f>
        <v>0</v>
      </c>
      <c r="M28" s="291">
        <f>F28*H28*I28</f>
        <v>1200</v>
      </c>
      <c r="N28" s="288">
        <f>M28</f>
        <v>1200</v>
      </c>
      <c r="O28" s="292">
        <f>M28-N28</f>
        <v>0</v>
      </c>
      <c r="P28" s="291">
        <f>E28*F28*0*I28</f>
        <v>0</v>
      </c>
      <c r="Q28" s="312">
        <f>P28</f>
        <v>0</v>
      </c>
      <c r="R28" s="292">
        <f>P28-Q28</f>
        <v>0</v>
      </c>
      <c r="S28" s="291">
        <f t="shared" si="8"/>
        <v>2400</v>
      </c>
      <c r="T28" s="288">
        <f t="shared" si="8"/>
        <v>2400</v>
      </c>
      <c r="U28" s="292">
        <f>S28-T28</f>
        <v>0</v>
      </c>
      <c r="V28" s="313"/>
    </row>
    <row r="29" spans="1:22">
      <c r="A29" s="493" t="s">
        <v>322</v>
      </c>
      <c r="B29" s="493">
        <v>7370</v>
      </c>
      <c r="C29" s="480" t="s">
        <v>417</v>
      </c>
      <c r="D29" s="308"/>
      <c r="E29" s="550">
        <v>1</v>
      </c>
      <c r="F29" s="288">
        <v>80</v>
      </c>
      <c r="G29" s="219" t="s">
        <v>414</v>
      </c>
      <c r="H29" s="310">
        <v>4</v>
      </c>
      <c r="I29" s="311">
        <v>1</v>
      </c>
      <c r="J29" s="291">
        <f>F29*H29*I29</f>
        <v>320</v>
      </c>
      <c r="K29" s="288">
        <f>J29</f>
        <v>320</v>
      </c>
      <c r="L29" s="292">
        <f>J29-K29</f>
        <v>0</v>
      </c>
      <c r="M29" s="291">
        <f>F29*H29*I29</f>
        <v>320</v>
      </c>
      <c r="N29" s="288">
        <f>M29</f>
        <v>320</v>
      </c>
      <c r="O29" s="292">
        <f>M29-N29</f>
        <v>0</v>
      </c>
      <c r="P29" s="291">
        <f>E29*F29*0*I29</f>
        <v>0</v>
      </c>
      <c r="Q29" s="312">
        <f>P29</f>
        <v>0</v>
      </c>
      <c r="R29" s="292">
        <f>P29-Q29</f>
        <v>0</v>
      </c>
      <c r="S29" s="291">
        <f t="shared" si="8"/>
        <v>640</v>
      </c>
      <c r="T29" s="288">
        <f t="shared" si="8"/>
        <v>640</v>
      </c>
      <c r="U29" s="292">
        <f>S29-T29</f>
        <v>0</v>
      </c>
      <c r="V29" s="313"/>
    </row>
    <row r="30" spans="1:22">
      <c r="A30" s="493" t="s">
        <v>322</v>
      </c>
      <c r="B30" s="493">
        <v>7370</v>
      </c>
      <c r="C30" s="315" t="s">
        <v>418</v>
      </c>
      <c r="D30" s="308"/>
      <c r="E30" s="259">
        <v>1</v>
      </c>
      <c r="F30" s="288">
        <v>300</v>
      </c>
      <c r="G30" s="219" t="s">
        <v>382</v>
      </c>
      <c r="H30" s="310">
        <v>2</v>
      </c>
      <c r="I30" s="311">
        <v>1</v>
      </c>
      <c r="J30" s="291">
        <f>E30*F30*H30*I30</f>
        <v>600</v>
      </c>
      <c r="K30" s="288">
        <f>J30</f>
        <v>600</v>
      </c>
      <c r="L30" s="292">
        <v>0</v>
      </c>
      <c r="M30" s="291">
        <f>E30*F30*H30*I30</f>
        <v>600</v>
      </c>
      <c r="N30" s="288">
        <f>M30</f>
        <v>600</v>
      </c>
      <c r="O30" s="292">
        <f>M30-N30</f>
        <v>0</v>
      </c>
      <c r="P30" s="291">
        <f>E30*F30*0*I30</f>
        <v>0</v>
      </c>
      <c r="Q30" s="288">
        <f>P30</f>
        <v>0</v>
      </c>
      <c r="R30" s="292">
        <f>P30-Q30</f>
        <v>0</v>
      </c>
      <c r="S30" s="291">
        <f t="shared" ref="S30:T30" si="9">J30+M30+P30</f>
        <v>1200</v>
      </c>
      <c r="T30" s="288">
        <f t="shared" si="9"/>
        <v>1200</v>
      </c>
      <c r="U30" s="292">
        <f>S30-T30</f>
        <v>0</v>
      </c>
      <c r="V30" s="313"/>
    </row>
    <row r="31" spans="1:22" ht="60">
      <c r="A31" s="549"/>
      <c r="B31" s="549"/>
      <c r="C31" s="549" t="s">
        <v>347</v>
      </c>
      <c r="D31" s="327"/>
      <c r="E31" s="328"/>
      <c r="F31" s="329"/>
      <c r="G31" s="337"/>
      <c r="H31" s="338"/>
      <c r="I31" s="339"/>
      <c r="J31" s="333"/>
      <c r="K31" s="329"/>
      <c r="L31" s="334"/>
      <c r="M31" s="333"/>
      <c r="N31" s="329"/>
      <c r="O31" s="334"/>
      <c r="P31" s="333"/>
      <c r="Q31" s="335"/>
      <c r="R31" s="334"/>
      <c r="S31" s="333"/>
      <c r="T31" s="329"/>
      <c r="U31" s="334"/>
      <c r="V31" s="313"/>
    </row>
    <row r="32" spans="1:22">
      <c r="A32" s="551"/>
      <c r="B32" s="551"/>
      <c r="C32" s="551" t="s">
        <v>419</v>
      </c>
      <c r="D32" s="308"/>
      <c r="E32" s="550"/>
      <c r="F32" s="288"/>
      <c r="G32" s="214"/>
      <c r="H32" s="552"/>
      <c r="I32" s="553"/>
      <c r="J32" s="291"/>
      <c r="K32" s="288"/>
      <c r="L32" s="292"/>
      <c r="M32" s="291"/>
      <c r="N32" s="288"/>
      <c r="O32" s="292"/>
      <c r="P32" s="291"/>
      <c r="Q32" s="312"/>
      <c r="R32" s="292"/>
      <c r="S32" s="291"/>
      <c r="T32" s="288"/>
      <c r="U32" s="292"/>
      <c r="V32" s="313"/>
    </row>
    <row r="33" spans="1:26">
      <c r="A33" s="493" t="s">
        <v>322</v>
      </c>
      <c r="B33" s="493">
        <v>7370</v>
      </c>
      <c r="C33" s="218" t="s">
        <v>420</v>
      </c>
      <c r="D33" s="308"/>
      <c r="E33" s="550">
        <v>1</v>
      </c>
      <c r="F33" s="288">
        <v>100</v>
      </c>
      <c r="G33" s="219" t="s">
        <v>341</v>
      </c>
      <c r="H33" s="310">
        <v>3</v>
      </c>
      <c r="I33" s="311">
        <v>1</v>
      </c>
      <c r="J33" s="291">
        <f>E33*F33*H33*I33</f>
        <v>300</v>
      </c>
      <c r="K33" s="288">
        <f>J33</f>
        <v>300</v>
      </c>
      <c r="L33" s="292">
        <f>J33-K33</f>
        <v>0</v>
      </c>
      <c r="M33" s="291">
        <f>E33*F33*H33*I33</f>
        <v>300</v>
      </c>
      <c r="N33" s="288">
        <f>M33</f>
        <v>300</v>
      </c>
      <c r="O33" s="292">
        <f>M33-N33</f>
        <v>0</v>
      </c>
      <c r="P33" s="291">
        <f>E33*F33*2*I33</f>
        <v>200</v>
      </c>
      <c r="Q33" s="312">
        <f>P33</f>
        <v>200</v>
      </c>
      <c r="R33" s="292">
        <f>P33-Q33</f>
        <v>0</v>
      </c>
      <c r="S33" s="291">
        <f t="shared" ref="S33" si="10">J33+M33+P33</f>
        <v>800</v>
      </c>
      <c r="T33" s="288">
        <f t="shared" ref="T33" si="11">K33+N33+Q33</f>
        <v>800</v>
      </c>
      <c r="U33" s="292">
        <f>S33-T33</f>
        <v>0</v>
      </c>
      <c r="V33" s="313"/>
    </row>
    <row r="34" spans="1:26" ht="30">
      <c r="A34" s="505"/>
      <c r="B34" s="505"/>
      <c r="C34" s="505" t="s">
        <v>421</v>
      </c>
      <c r="D34" s="507"/>
      <c r="E34" s="508"/>
      <c r="F34" s="508"/>
      <c r="G34" s="509"/>
      <c r="H34" s="510"/>
      <c r="I34" s="510"/>
      <c r="J34" s="511"/>
      <c r="K34" s="512"/>
      <c r="L34" s="507"/>
      <c r="M34" s="508"/>
      <c r="N34" s="510"/>
      <c r="O34" s="510"/>
      <c r="P34" s="511"/>
      <c r="Q34" s="512"/>
      <c r="R34" s="507"/>
      <c r="S34" s="508"/>
      <c r="T34" s="510"/>
      <c r="U34" s="513"/>
      <c r="V34" s="506"/>
      <c r="W34" s="506"/>
      <c r="X34" s="506"/>
      <c r="Y34" s="234"/>
      <c r="Z34" s="234"/>
    </row>
    <row r="35" spans="1:26" ht="30.95">
      <c r="A35" s="527"/>
      <c r="B35" s="527"/>
      <c r="C35" s="527" t="s">
        <v>422</v>
      </c>
      <c r="D35" s="219"/>
      <c r="E35" s="219"/>
      <c r="F35" s="219"/>
      <c r="G35" s="243"/>
      <c r="H35" s="228"/>
      <c r="I35" s="228"/>
      <c r="J35" s="376"/>
      <c r="K35" s="376"/>
      <c r="L35" s="219"/>
      <c r="M35" s="219"/>
      <c r="N35" s="228"/>
      <c r="O35" s="228"/>
      <c r="P35" s="376"/>
      <c r="Q35" s="376"/>
      <c r="R35" s="219"/>
      <c r="S35" s="219"/>
      <c r="T35" s="228"/>
      <c r="U35" s="228"/>
      <c r="V35" s="506"/>
      <c r="W35" s="506"/>
      <c r="X35" s="506"/>
      <c r="Y35" s="234"/>
      <c r="Z35" s="234"/>
    </row>
    <row r="36" spans="1:26">
      <c r="A36" s="493" t="s">
        <v>322</v>
      </c>
      <c r="B36" s="493">
        <v>7370</v>
      </c>
      <c r="C36" s="480" t="s">
        <v>423</v>
      </c>
      <c r="D36" s="308"/>
      <c r="E36" s="550">
        <v>1</v>
      </c>
      <c r="F36" s="288">
        <v>650</v>
      </c>
      <c r="G36" s="219" t="s">
        <v>382</v>
      </c>
      <c r="H36" s="310">
        <v>1</v>
      </c>
      <c r="I36" s="311">
        <v>1</v>
      </c>
      <c r="J36" s="291">
        <f>E36*F36*H36*I36</f>
        <v>650</v>
      </c>
      <c r="K36" s="288">
        <f>J36</f>
        <v>650</v>
      </c>
      <c r="L36" s="292">
        <v>0</v>
      </c>
      <c r="M36" s="291">
        <f>E36*F36*H36*I36</f>
        <v>650</v>
      </c>
      <c r="N36" s="288">
        <f>M36</f>
        <v>650</v>
      </c>
      <c r="O36" s="292">
        <f>M36-N36</f>
        <v>0</v>
      </c>
      <c r="P36" s="291">
        <f>E36*F36*H36*I36</f>
        <v>650</v>
      </c>
      <c r="Q36" s="312">
        <f>P36</f>
        <v>650</v>
      </c>
      <c r="R36" s="292">
        <f>P36-Q36</f>
        <v>0</v>
      </c>
      <c r="S36" s="291">
        <f t="shared" ref="S36" si="12">J36+M36+P36</f>
        <v>1950</v>
      </c>
      <c r="T36" s="288">
        <f t="shared" ref="T36" si="13">K36+N36+Q36</f>
        <v>1950</v>
      </c>
      <c r="U36" s="554">
        <f>S36-T36</f>
        <v>0</v>
      </c>
      <c r="V36" s="313"/>
    </row>
    <row r="37" spans="1:26">
      <c r="A37" s="293"/>
      <c r="B37" s="293"/>
      <c r="C37" s="293" t="s">
        <v>391</v>
      </c>
      <c r="D37" s="294"/>
      <c r="E37" s="295"/>
      <c r="F37" s="296"/>
      <c r="G37" s="303"/>
      <c r="H37" s="303"/>
      <c r="I37" s="340"/>
      <c r="J37" s="299">
        <f>SUM(J26:J36)</f>
        <v>3910</v>
      </c>
      <c r="K37" s="296">
        <f>SUM(K26:K36)</f>
        <v>3910</v>
      </c>
      <c r="L37" s="301">
        <f>SUM(L24:L36)</f>
        <v>0</v>
      </c>
      <c r="M37" s="299">
        <f>SUM(M26:M36)</f>
        <v>3910</v>
      </c>
      <c r="N37" s="296">
        <f>SUM(N26:N36)</f>
        <v>3910</v>
      </c>
      <c r="O37" s="301">
        <f>SUM(O24:O36)</f>
        <v>0</v>
      </c>
      <c r="P37" s="299">
        <f>SUM(P26:P36)</f>
        <v>850</v>
      </c>
      <c r="Q37" s="296">
        <f>SUM(Q26:Q36)</f>
        <v>850</v>
      </c>
      <c r="R37" s="301">
        <f>SUM(R24:R36)</f>
        <v>0</v>
      </c>
      <c r="S37" s="299">
        <f>SUM(S26:S36)</f>
        <v>8670</v>
      </c>
      <c r="T37" s="296">
        <f>SUM(T26:T36)</f>
        <v>8670</v>
      </c>
      <c r="U37" s="301">
        <f>SUM(U26:U36)</f>
        <v>0</v>
      </c>
      <c r="V37" s="529"/>
    </row>
    <row r="38" spans="1:26">
      <c r="A38" s="278"/>
      <c r="B38" s="278"/>
      <c r="C38" s="278" t="s">
        <v>224</v>
      </c>
      <c r="D38" s="279"/>
      <c r="E38" s="280"/>
      <c r="F38" s="285"/>
      <c r="G38" s="302"/>
      <c r="H38" s="302"/>
      <c r="I38" s="283"/>
      <c r="J38" s="284">
        <f>J8+J12+J17+J37</f>
        <v>16604</v>
      </c>
      <c r="K38" s="285">
        <f>J38</f>
        <v>16604</v>
      </c>
      <c r="L38" s="286">
        <f>J38-K38</f>
        <v>0</v>
      </c>
      <c r="M38" s="341">
        <f>M8+M12+M17+M37</f>
        <v>23811.4</v>
      </c>
      <c r="N38" s="285">
        <f>M38</f>
        <v>23811.4</v>
      </c>
      <c r="O38" s="342">
        <f>M38-N38</f>
        <v>0</v>
      </c>
      <c r="P38" s="341">
        <f>P8+P12+P17+P37</f>
        <v>5949.7337500000003</v>
      </c>
      <c r="Q38" s="285">
        <f>P38</f>
        <v>5949.7337500000003</v>
      </c>
      <c r="R38" s="342">
        <f>P38-Q38</f>
        <v>0</v>
      </c>
      <c r="S38" s="341">
        <f>S8+S12+S17+S37</f>
        <v>46365.133750000001</v>
      </c>
      <c r="T38" s="285">
        <f>S38</f>
        <v>46365.133750000001</v>
      </c>
      <c r="U38" s="342">
        <f>SUM(U8+U17+U37)</f>
        <v>0</v>
      </c>
    </row>
    <row r="39" spans="1:26">
      <c r="A39" s="278"/>
      <c r="B39" s="278"/>
      <c r="C39" s="278" t="s">
        <v>424</v>
      </c>
      <c r="D39" s="279"/>
      <c r="E39" s="280"/>
      <c r="F39" s="285"/>
      <c r="G39" s="302"/>
      <c r="H39" s="302"/>
      <c r="I39" s="283"/>
      <c r="J39" s="284"/>
      <c r="K39" s="285"/>
      <c r="L39" s="286"/>
      <c r="M39" s="284"/>
      <c r="N39" s="285"/>
      <c r="O39" s="286"/>
      <c r="P39" s="284"/>
      <c r="Q39" s="285"/>
      <c r="R39" s="286"/>
      <c r="S39" s="284"/>
      <c r="T39" s="285"/>
      <c r="U39" s="286"/>
    </row>
    <row r="40" spans="1:26">
      <c r="A40" s="493" t="s">
        <v>322</v>
      </c>
      <c r="B40" s="493">
        <v>7370</v>
      </c>
      <c r="C40" s="555" t="s">
        <v>425</v>
      </c>
      <c r="D40" s="556"/>
      <c r="E40" s="557"/>
      <c r="F40" s="558">
        <v>0.08</v>
      </c>
      <c r="G40" s="559"/>
      <c r="H40" s="559"/>
      <c r="I40" s="560">
        <v>1</v>
      </c>
      <c r="J40" s="561">
        <f>J38*F40*I40</f>
        <v>1328.32</v>
      </c>
      <c r="K40" s="562">
        <f>J40</f>
        <v>1328.32</v>
      </c>
      <c r="L40" s="563">
        <f>SUM(L38:L39)</f>
        <v>0</v>
      </c>
      <c r="M40" s="561">
        <f>M38*F40*I40</f>
        <v>1904.9120000000003</v>
      </c>
      <c r="N40" s="562">
        <f>M40</f>
        <v>1904.9120000000003</v>
      </c>
      <c r="O40" s="563">
        <f>SUM(O38:O39)</f>
        <v>0</v>
      </c>
      <c r="P40" s="561">
        <f>P38*F40*I40</f>
        <v>475.97870000000006</v>
      </c>
      <c r="Q40" s="562">
        <f>P40</f>
        <v>475.97870000000006</v>
      </c>
      <c r="R40" s="563">
        <f>SUM(R38:R39)</f>
        <v>0</v>
      </c>
      <c r="S40" s="561">
        <f>J40+M40+P40</f>
        <v>3709.2107000000001</v>
      </c>
      <c r="T40" s="562">
        <f>S40</f>
        <v>3709.2107000000001</v>
      </c>
      <c r="U40" s="563">
        <f>S40-T40</f>
        <v>0</v>
      </c>
    </row>
    <row r="41" spans="1:26">
      <c r="A41" s="343"/>
      <c r="B41" s="343"/>
      <c r="C41" s="343" t="s">
        <v>395</v>
      </c>
      <c r="D41" s="344"/>
      <c r="E41" s="345"/>
      <c r="F41" s="346"/>
      <c r="G41" s="347"/>
      <c r="H41" s="347"/>
      <c r="I41" s="348"/>
      <c r="J41" s="284">
        <f>J40</f>
        <v>1328.32</v>
      </c>
      <c r="K41" s="285">
        <f>K40</f>
        <v>1328.32</v>
      </c>
      <c r="L41" s="286">
        <f t="shared" ref="L41:U41" si="14">L40</f>
        <v>0</v>
      </c>
      <c r="M41" s="284">
        <f t="shared" si="14"/>
        <v>1904.9120000000003</v>
      </c>
      <c r="N41" s="285">
        <f t="shared" si="14"/>
        <v>1904.9120000000003</v>
      </c>
      <c r="O41" s="286">
        <f t="shared" si="14"/>
        <v>0</v>
      </c>
      <c r="P41" s="284">
        <f t="shared" si="14"/>
        <v>475.97870000000006</v>
      </c>
      <c r="Q41" s="285">
        <f t="shared" si="14"/>
        <v>475.97870000000006</v>
      </c>
      <c r="R41" s="286">
        <f t="shared" si="14"/>
        <v>0</v>
      </c>
      <c r="S41" s="284">
        <f t="shared" si="14"/>
        <v>3709.2107000000001</v>
      </c>
      <c r="T41" s="285">
        <f t="shared" si="14"/>
        <v>3709.2107000000001</v>
      </c>
      <c r="U41" s="286">
        <f t="shared" si="14"/>
        <v>0</v>
      </c>
    </row>
    <row r="42" spans="1:26" ht="15.95" thickBot="1">
      <c r="A42" s="349"/>
      <c r="B42" s="349"/>
      <c r="C42" s="349" t="s">
        <v>396</v>
      </c>
      <c r="D42" s="350"/>
      <c r="E42" s="262"/>
      <c r="F42" s="351"/>
      <c r="G42" s="264"/>
      <c r="H42" s="264"/>
      <c r="I42" s="352"/>
      <c r="J42" s="353">
        <f>J38+J41</f>
        <v>17932.32</v>
      </c>
      <c r="K42" s="351">
        <f>K38+K41</f>
        <v>17932.32</v>
      </c>
      <c r="L42" s="354">
        <f t="shared" ref="L42:U42" si="15">L38+L41</f>
        <v>0</v>
      </c>
      <c r="M42" s="353">
        <f t="shared" si="15"/>
        <v>25716.312000000002</v>
      </c>
      <c r="N42" s="351">
        <f t="shared" si="15"/>
        <v>25716.312000000002</v>
      </c>
      <c r="O42" s="354">
        <f t="shared" si="15"/>
        <v>0</v>
      </c>
      <c r="P42" s="353">
        <f t="shared" si="15"/>
        <v>6425.71245</v>
      </c>
      <c r="Q42" s="351">
        <f t="shared" si="15"/>
        <v>6425.71245</v>
      </c>
      <c r="R42" s="354">
        <f t="shared" si="15"/>
        <v>0</v>
      </c>
      <c r="S42" s="353">
        <f t="shared" si="15"/>
        <v>50074.344450000004</v>
      </c>
      <c r="T42" s="351">
        <f>T38+T41</f>
        <v>50074.344450000004</v>
      </c>
      <c r="U42" s="354">
        <f t="shared" si="15"/>
        <v>0</v>
      </c>
      <c r="W42" s="270"/>
    </row>
    <row r="43" spans="1:26">
      <c r="E43" s="215"/>
      <c r="F43" s="355"/>
      <c r="G43" s="216"/>
      <c r="H43" s="215"/>
      <c r="I43" s="215"/>
    </row>
    <row r="44" spans="1:26">
      <c r="E44" s="215"/>
      <c r="F44" s="355"/>
      <c r="G44" s="216"/>
      <c r="H44" s="215"/>
      <c r="I44" s="215"/>
    </row>
    <row r="45" spans="1:26">
      <c r="E45" s="215"/>
      <c r="F45" s="355"/>
      <c r="G45" s="216"/>
      <c r="H45" s="215"/>
      <c r="I45" s="215"/>
    </row>
    <row r="46" spans="1:26">
      <c r="E46" s="215"/>
      <c r="F46" s="355"/>
      <c r="G46" s="216"/>
      <c r="H46" s="215"/>
      <c r="I46" s="215"/>
    </row>
    <row r="47" spans="1:26">
      <c r="E47" s="215"/>
      <c r="F47" s="355"/>
      <c r="G47" s="216"/>
      <c r="H47" s="215"/>
      <c r="I47" s="215"/>
    </row>
    <row r="48" spans="1:26">
      <c r="E48" s="215"/>
      <c r="F48" s="355"/>
      <c r="G48" s="216"/>
      <c r="H48" s="215"/>
      <c r="I48" s="215"/>
    </row>
    <row r="49" spans="5:9">
      <c r="E49" s="215"/>
      <c r="F49" s="355"/>
      <c r="G49" s="216"/>
      <c r="H49" s="215"/>
      <c r="I49" s="215"/>
    </row>
    <row r="50" spans="5:9">
      <c r="E50" s="215"/>
      <c r="F50" s="355"/>
      <c r="G50" s="216"/>
      <c r="H50" s="215"/>
      <c r="I50" s="215"/>
    </row>
    <row r="51" spans="5:9">
      <c r="E51" s="215"/>
      <c r="F51" s="355"/>
      <c r="G51" s="216"/>
      <c r="H51" s="215"/>
      <c r="I51" s="215"/>
    </row>
    <row r="52" spans="5:9">
      <c r="E52" s="215"/>
      <c r="F52" s="355"/>
      <c r="G52" s="216"/>
      <c r="H52" s="215"/>
      <c r="I52" s="215"/>
    </row>
    <row r="53" spans="5:9">
      <c r="E53" s="215"/>
      <c r="F53" s="355"/>
      <c r="G53" s="216"/>
      <c r="H53" s="215"/>
      <c r="I53" s="215"/>
    </row>
    <row r="54" spans="5:9">
      <c r="E54" s="215"/>
      <c r="F54" s="355"/>
      <c r="G54" s="216"/>
      <c r="H54" s="215"/>
      <c r="I54" s="215"/>
    </row>
    <row r="55" spans="5:9">
      <c r="E55" s="215"/>
      <c r="F55" s="355"/>
      <c r="G55" s="216"/>
      <c r="H55" s="215"/>
      <c r="I55" s="215"/>
    </row>
    <row r="56" spans="5:9">
      <c r="E56" s="215"/>
      <c r="F56" s="355"/>
      <c r="G56" s="216"/>
      <c r="H56" s="215"/>
      <c r="I56" s="215"/>
    </row>
    <row r="57" spans="5:9">
      <c r="E57" s="215"/>
      <c r="F57" s="355"/>
      <c r="G57" s="216"/>
      <c r="H57" s="215"/>
      <c r="I57" s="215"/>
    </row>
    <row r="58" spans="5:9">
      <c r="E58" s="215"/>
      <c r="F58" s="355"/>
      <c r="G58" s="216"/>
      <c r="H58" s="215"/>
      <c r="I58" s="215"/>
    </row>
    <row r="59" spans="5:9">
      <c r="E59" s="215"/>
      <c r="F59" s="355"/>
      <c r="G59" s="216"/>
      <c r="H59" s="215"/>
      <c r="I59" s="215"/>
    </row>
    <row r="60" spans="5:9">
      <c r="E60" s="215"/>
      <c r="F60" s="355"/>
      <c r="G60" s="216"/>
      <c r="H60" s="215"/>
      <c r="I60" s="215"/>
    </row>
    <row r="61" spans="5:9">
      <c r="E61" s="215"/>
      <c r="F61" s="355"/>
      <c r="G61" s="216"/>
      <c r="H61" s="215"/>
      <c r="I61" s="215"/>
    </row>
    <row r="62" spans="5:9">
      <c r="E62" s="215"/>
      <c r="F62" s="355"/>
      <c r="G62" s="216"/>
      <c r="H62" s="215"/>
      <c r="I62" s="215"/>
    </row>
    <row r="63" spans="5:9">
      <c r="E63" s="215"/>
      <c r="F63" s="355"/>
      <c r="G63" s="216"/>
      <c r="H63" s="215"/>
      <c r="I63" s="215"/>
    </row>
    <row r="64" spans="5:9">
      <c r="E64" s="215"/>
      <c r="F64" s="355"/>
      <c r="G64" s="216"/>
      <c r="H64" s="215"/>
      <c r="I64" s="215"/>
    </row>
    <row r="65" spans="5:9">
      <c r="E65" s="215"/>
      <c r="F65" s="355"/>
      <c r="G65" s="216"/>
      <c r="H65" s="215"/>
      <c r="I65" s="215"/>
    </row>
    <row r="66" spans="5:9">
      <c r="E66" s="215"/>
      <c r="F66" s="355"/>
      <c r="G66" s="216"/>
      <c r="H66" s="215"/>
      <c r="I66" s="215"/>
    </row>
    <row r="67" spans="5:9">
      <c r="E67" s="215"/>
      <c r="F67" s="355"/>
      <c r="G67" s="216"/>
      <c r="H67" s="215"/>
      <c r="I67" s="215"/>
    </row>
    <row r="68" spans="5:9">
      <c r="E68" s="215"/>
      <c r="F68" s="355"/>
      <c r="G68" s="216"/>
      <c r="H68" s="215"/>
      <c r="I68" s="215"/>
    </row>
    <row r="69" spans="5:9">
      <c r="E69" s="215"/>
      <c r="F69" s="355"/>
      <c r="G69" s="216"/>
      <c r="H69" s="215"/>
      <c r="I69" s="215"/>
    </row>
    <row r="70" spans="5:9">
      <c r="E70" s="215"/>
      <c r="F70" s="355"/>
      <c r="G70" s="216"/>
      <c r="H70" s="215"/>
      <c r="I70" s="215"/>
    </row>
    <row r="71" spans="5:9">
      <c r="E71" s="215"/>
      <c r="F71" s="355"/>
      <c r="G71" s="216"/>
      <c r="H71" s="215"/>
      <c r="I71" s="215"/>
    </row>
    <row r="72" spans="5:9">
      <c r="E72" s="215"/>
      <c r="F72" s="355"/>
      <c r="G72" s="216"/>
      <c r="H72" s="215"/>
      <c r="I72" s="215"/>
    </row>
    <row r="73" spans="5:9">
      <c r="E73" s="215"/>
      <c r="F73" s="355"/>
      <c r="G73" s="216"/>
      <c r="H73" s="215"/>
      <c r="I73" s="215"/>
    </row>
    <row r="74" spans="5:9">
      <c r="E74" s="215"/>
      <c r="F74" s="355"/>
      <c r="G74" s="216"/>
      <c r="H74" s="215"/>
      <c r="I74" s="215"/>
    </row>
    <row r="75" spans="5:9">
      <c r="E75" s="215"/>
      <c r="F75" s="355"/>
      <c r="G75" s="216"/>
      <c r="H75" s="215"/>
      <c r="I75" s="215"/>
    </row>
    <row r="76" spans="5:9">
      <c r="E76" s="215"/>
      <c r="F76" s="355"/>
      <c r="G76" s="216"/>
      <c r="H76" s="215"/>
      <c r="I76" s="215"/>
    </row>
    <row r="77" spans="5:9">
      <c r="E77" s="215"/>
      <c r="F77" s="355"/>
      <c r="G77" s="216"/>
      <c r="H77" s="215"/>
      <c r="I77" s="215"/>
    </row>
    <row r="78" spans="5:9">
      <c r="E78" s="215"/>
      <c r="F78" s="355"/>
      <c r="G78" s="216"/>
      <c r="H78" s="215"/>
      <c r="I78" s="215"/>
    </row>
    <row r="79" spans="5:9">
      <c r="E79" s="215"/>
      <c r="F79" s="355"/>
      <c r="G79" s="216"/>
      <c r="H79" s="215"/>
      <c r="I79" s="215"/>
    </row>
    <row r="80" spans="5:9">
      <c r="E80" s="215"/>
      <c r="F80" s="355"/>
      <c r="G80" s="216"/>
      <c r="H80" s="215"/>
      <c r="I80" s="215"/>
    </row>
    <row r="81" spans="5:9">
      <c r="E81" s="215"/>
      <c r="F81" s="355"/>
      <c r="G81" s="216"/>
      <c r="H81" s="215"/>
      <c r="I81" s="215"/>
    </row>
    <row r="82" spans="5:9">
      <c r="E82" s="215"/>
      <c r="F82" s="355"/>
      <c r="G82" s="216"/>
      <c r="H82" s="215"/>
      <c r="I82" s="215"/>
    </row>
    <row r="83" spans="5:9">
      <c r="E83" s="215"/>
      <c r="F83" s="355"/>
      <c r="G83" s="216"/>
      <c r="H83" s="215"/>
      <c r="I83" s="215"/>
    </row>
    <row r="84" spans="5:9">
      <c r="E84" s="215"/>
      <c r="F84" s="355"/>
      <c r="G84" s="216"/>
      <c r="H84" s="215"/>
      <c r="I84" s="215"/>
    </row>
    <row r="85" spans="5:9">
      <c r="E85" s="215"/>
      <c r="F85" s="355"/>
      <c r="G85" s="216"/>
      <c r="H85" s="215"/>
      <c r="I85" s="215"/>
    </row>
    <row r="86" spans="5:9">
      <c r="E86" s="215"/>
      <c r="F86" s="355"/>
      <c r="G86" s="216"/>
      <c r="H86" s="215"/>
      <c r="I86" s="215"/>
    </row>
    <row r="87" spans="5:9">
      <c r="E87" s="215"/>
      <c r="F87" s="355"/>
      <c r="G87" s="216"/>
      <c r="H87" s="215"/>
      <c r="I87" s="215"/>
    </row>
    <row r="88" spans="5:9">
      <c r="E88" s="215"/>
      <c r="F88" s="355"/>
      <c r="G88" s="216"/>
      <c r="H88" s="215"/>
      <c r="I88" s="215"/>
    </row>
    <row r="89" spans="5:9">
      <c r="E89" s="215"/>
      <c r="F89" s="355"/>
      <c r="G89" s="216"/>
      <c r="H89" s="215"/>
      <c r="I89" s="215"/>
    </row>
    <row r="90" spans="5:9">
      <c r="E90" s="215"/>
      <c r="F90" s="355"/>
      <c r="G90" s="216"/>
      <c r="H90" s="215"/>
      <c r="I90" s="215"/>
    </row>
    <row r="91" spans="5:9">
      <c r="E91" s="215"/>
      <c r="F91" s="355"/>
      <c r="G91" s="216"/>
      <c r="H91" s="215"/>
      <c r="I91" s="215"/>
    </row>
    <row r="92" spans="5:9">
      <c r="E92" s="215"/>
      <c r="F92" s="355"/>
      <c r="G92" s="216"/>
      <c r="H92" s="215"/>
      <c r="I92" s="215"/>
    </row>
    <row r="93" spans="5:9">
      <c r="E93" s="215"/>
      <c r="F93" s="355"/>
      <c r="G93" s="216"/>
      <c r="H93" s="215"/>
      <c r="I93" s="215"/>
    </row>
    <row r="94" spans="5:9">
      <c r="E94" s="215"/>
      <c r="F94" s="355"/>
      <c r="G94" s="216"/>
      <c r="H94" s="215"/>
      <c r="I94" s="215"/>
    </row>
    <row r="95" spans="5:9">
      <c r="E95" s="215"/>
      <c r="F95" s="355"/>
      <c r="G95" s="216"/>
      <c r="H95" s="215"/>
      <c r="I95" s="215"/>
    </row>
    <row r="96" spans="5:9">
      <c r="E96" s="215"/>
      <c r="F96" s="355"/>
      <c r="G96" s="216"/>
      <c r="H96" s="215"/>
      <c r="I96" s="215"/>
    </row>
    <row r="97" spans="5:9">
      <c r="E97" s="215"/>
      <c r="F97" s="355"/>
      <c r="G97" s="216"/>
      <c r="H97" s="215"/>
      <c r="I97" s="215"/>
    </row>
    <row r="98" spans="5:9">
      <c r="E98" s="215"/>
      <c r="F98" s="355"/>
      <c r="G98" s="216"/>
      <c r="H98" s="215"/>
      <c r="I98" s="215"/>
    </row>
    <row r="99" spans="5:9">
      <c r="E99" s="215"/>
      <c r="F99" s="355"/>
      <c r="G99" s="216"/>
      <c r="H99" s="215"/>
      <c r="I99" s="215"/>
    </row>
    <row r="100" spans="5:9">
      <c r="E100" s="215"/>
      <c r="F100" s="355"/>
      <c r="G100" s="216"/>
      <c r="H100" s="215"/>
      <c r="I100" s="215"/>
    </row>
    <row r="101" spans="5:9">
      <c r="E101" s="215"/>
      <c r="F101" s="355"/>
      <c r="G101" s="216"/>
      <c r="H101" s="215"/>
      <c r="I101" s="215"/>
    </row>
    <row r="102" spans="5:9">
      <c r="E102" s="215"/>
      <c r="F102" s="355"/>
      <c r="G102" s="216"/>
      <c r="H102" s="215"/>
      <c r="I102" s="215"/>
    </row>
    <row r="103" spans="5:9">
      <c r="E103" s="215"/>
      <c r="F103" s="355"/>
      <c r="G103" s="216"/>
      <c r="H103" s="215"/>
      <c r="I103" s="215"/>
    </row>
    <row r="104" spans="5:9">
      <c r="E104" s="215"/>
      <c r="F104" s="355"/>
      <c r="G104" s="216"/>
      <c r="H104" s="215"/>
      <c r="I104" s="215"/>
    </row>
    <row r="105" spans="5:9">
      <c r="E105" s="215"/>
      <c r="F105" s="355"/>
      <c r="G105" s="216"/>
      <c r="H105" s="215"/>
      <c r="I105" s="215"/>
    </row>
    <row r="106" spans="5:9">
      <c r="E106" s="215"/>
      <c r="F106" s="355"/>
      <c r="G106" s="216"/>
      <c r="H106" s="215"/>
      <c r="I106" s="215"/>
    </row>
    <row r="107" spans="5:9">
      <c r="E107" s="215"/>
      <c r="F107" s="355"/>
      <c r="G107" s="216"/>
      <c r="H107" s="215"/>
      <c r="I107" s="215"/>
    </row>
    <row r="108" spans="5:9">
      <c r="E108" s="215"/>
      <c r="F108" s="355"/>
      <c r="G108" s="216"/>
      <c r="H108" s="215"/>
      <c r="I108" s="215"/>
    </row>
    <row r="109" spans="5:9">
      <c r="E109" s="215"/>
      <c r="F109" s="355"/>
      <c r="G109" s="216"/>
      <c r="H109" s="215"/>
      <c r="I109" s="215"/>
    </row>
    <row r="110" spans="5:9">
      <c r="E110" s="215"/>
      <c r="F110" s="355"/>
      <c r="G110" s="216"/>
      <c r="H110" s="215"/>
      <c r="I110" s="215"/>
    </row>
    <row r="111" spans="5:9">
      <c r="E111" s="215"/>
      <c r="F111" s="355"/>
      <c r="G111" s="216"/>
      <c r="H111" s="215"/>
      <c r="I111" s="215"/>
    </row>
    <row r="112" spans="5:9">
      <c r="E112" s="215"/>
      <c r="F112" s="355"/>
      <c r="G112" s="216"/>
      <c r="H112" s="215"/>
      <c r="I112" s="215"/>
    </row>
    <row r="113" spans="5:9">
      <c r="E113" s="215"/>
      <c r="F113" s="355"/>
      <c r="G113" s="216"/>
      <c r="H113" s="215"/>
      <c r="I113" s="215"/>
    </row>
    <row r="114" spans="5:9">
      <c r="E114" s="215"/>
      <c r="F114" s="355"/>
      <c r="G114" s="216"/>
      <c r="H114" s="215"/>
      <c r="I114" s="215"/>
    </row>
    <row r="115" spans="5:9">
      <c r="E115" s="215"/>
      <c r="F115" s="355"/>
      <c r="G115" s="216"/>
      <c r="H115" s="215"/>
      <c r="I115" s="215"/>
    </row>
    <row r="116" spans="5:9">
      <c r="E116" s="215"/>
      <c r="F116" s="355"/>
      <c r="G116" s="216"/>
      <c r="H116" s="215"/>
      <c r="I116" s="215"/>
    </row>
    <row r="117" spans="5:9">
      <c r="E117" s="215"/>
      <c r="F117" s="355"/>
      <c r="G117" s="216"/>
      <c r="H117" s="215"/>
      <c r="I117" s="215"/>
    </row>
    <row r="118" spans="5:9">
      <c r="E118" s="215"/>
      <c r="F118" s="355"/>
      <c r="G118" s="216"/>
      <c r="H118" s="215"/>
      <c r="I118" s="215"/>
    </row>
    <row r="119" spans="5:9">
      <c r="E119" s="215"/>
      <c r="F119" s="355"/>
      <c r="G119" s="216"/>
      <c r="H119" s="215"/>
      <c r="I119" s="215"/>
    </row>
    <row r="120" spans="5:9">
      <c r="E120" s="215"/>
      <c r="F120" s="355"/>
      <c r="G120" s="216"/>
      <c r="H120" s="215"/>
      <c r="I120" s="215"/>
    </row>
    <row r="121" spans="5:9">
      <c r="E121" s="215"/>
      <c r="F121" s="355"/>
      <c r="G121" s="216"/>
      <c r="H121" s="215"/>
      <c r="I121" s="215"/>
    </row>
    <row r="122" spans="5:9">
      <c r="E122" s="215"/>
      <c r="F122" s="355"/>
      <c r="G122" s="216"/>
      <c r="H122" s="215"/>
      <c r="I122" s="215"/>
    </row>
    <row r="123" spans="5:9">
      <c r="E123" s="215"/>
      <c r="F123" s="355"/>
      <c r="G123" s="216"/>
      <c r="H123" s="215"/>
      <c r="I123" s="215"/>
    </row>
    <row r="124" spans="5:9">
      <c r="E124" s="215"/>
      <c r="F124" s="355"/>
      <c r="G124" s="216"/>
      <c r="H124" s="215"/>
      <c r="I124" s="215"/>
    </row>
    <row r="125" spans="5:9">
      <c r="E125" s="215"/>
      <c r="F125" s="355"/>
      <c r="G125" s="216"/>
      <c r="H125" s="215"/>
      <c r="I125" s="215"/>
    </row>
    <row r="126" spans="5:9">
      <c r="E126" s="215"/>
      <c r="F126" s="355"/>
      <c r="G126" s="216"/>
      <c r="H126" s="215"/>
      <c r="I126" s="215"/>
    </row>
    <row r="127" spans="5:9">
      <c r="E127" s="215"/>
      <c r="F127" s="355"/>
      <c r="G127" s="216"/>
      <c r="H127" s="215"/>
      <c r="I127" s="215"/>
    </row>
    <row r="128" spans="5:9">
      <c r="E128" s="215"/>
      <c r="F128" s="355"/>
      <c r="G128" s="216"/>
      <c r="H128" s="215"/>
      <c r="I128" s="215"/>
    </row>
    <row r="129" spans="5:9">
      <c r="E129" s="215"/>
      <c r="F129" s="355"/>
      <c r="G129" s="216"/>
      <c r="H129" s="215"/>
      <c r="I129" s="215"/>
    </row>
    <row r="130" spans="5:9">
      <c r="E130" s="215"/>
      <c r="F130" s="355"/>
      <c r="G130" s="216"/>
      <c r="H130" s="215"/>
      <c r="I130" s="215"/>
    </row>
    <row r="131" spans="5:9">
      <c r="E131" s="215"/>
      <c r="F131" s="355"/>
      <c r="G131" s="216"/>
      <c r="H131" s="215"/>
      <c r="I131" s="215"/>
    </row>
    <row r="132" spans="5:9">
      <c r="E132" s="215"/>
      <c r="F132" s="355"/>
      <c r="G132" s="216"/>
      <c r="H132" s="215"/>
      <c r="I132" s="215"/>
    </row>
    <row r="133" spans="5:9">
      <c r="E133" s="215"/>
      <c r="F133" s="355"/>
      <c r="G133" s="216"/>
      <c r="H133" s="215"/>
      <c r="I133" s="215"/>
    </row>
    <row r="134" spans="5:9">
      <c r="E134" s="215"/>
      <c r="F134" s="355"/>
      <c r="G134" s="216"/>
      <c r="H134" s="215"/>
      <c r="I134" s="215"/>
    </row>
    <row r="135" spans="5:9">
      <c r="E135" s="215"/>
      <c r="F135" s="355"/>
      <c r="G135" s="216"/>
      <c r="H135" s="215"/>
      <c r="I135" s="215"/>
    </row>
    <row r="136" spans="5:9">
      <c r="E136" s="215"/>
      <c r="F136" s="355"/>
      <c r="G136" s="216"/>
      <c r="H136" s="215"/>
      <c r="I136" s="215"/>
    </row>
    <row r="137" spans="5:9">
      <c r="E137" s="215"/>
      <c r="F137" s="355"/>
      <c r="G137" s="216"/>
      <c r="H137" s="215"/>
      <c r="I137" s="215"/>
    </row>
    <row r="138" spans="5:9">
      <c r="E138" s="215"/>
      <c r="F138" s="355"/>
      <c r="G138" s="216"/>
      <c r="H138" s="215"/>
      <c r="I138" s="215"/>
    </row>
    <row r="139" spans="5:9">
      <c r="E139" s="215"/>
      <c r="F139" s="355"/>
      <c r="G139" s="216"/>
      <c r="H139" s="215"/>
      <c r="I139" s="215"/>
    </row>
    <row r="140" spans="5:9">
      <c r="E140" s="215"/>
      <c r="F140" s="355"/>
      <c r="G140" s="216"/>
      <c r="H140" s="215"/>
      <c r="I140" s="215"/>
    </row>
    <row r="141" spans="5:9">
      <c r="E141" s="215"/>
      <c r="F141" s="355"/>
      <c r="G141" s="216"/>
      <c r="H141" s="215"/>
      <c r="I141" s="215"/>
    </row>
    <row r="142" spans="5:9">
      <c r="E142" s="215"/>
      <c r="F142" s="355"/>
      <c r="G142" s="216"/>
      <c r="H142" s="215"/>
      <c r="I142" s="215"/>
    </row>
    <row r="143" spans="5:9">
      <c r="E143" s="215"/>
      <c r="F143" s="355"/>
      <c r="G143" s="216"/>
      <c r="H143" s="215"/>
      <c r="I143" s="215"/>
    </row>
    <row r="144" spans="5:9">
      <c r="E144" s="215"/>
      <c r="F144" s="355"/>
      <c r="G144" s="216"/>
      <c r="H144" s="215"/>
      <c r="I144" s="215"/>
    </row>
    <row r="145" spans="5:9">
      <c r="E145" s="215"/>
      <c r="F145" s="355"/>
      <c r="G145" s="216"/>
      <c r="H145" s="215"/>
      <c r="I145" s="215"/>
    </row>
    <row r="146" spans="5:9">
      <c r="E146" s="215"/>
      <c r="F146" s="355"/>
      <c r="G146" s="216"/>
      <c r="H146" s="215"/>
      <c r="I146" s="215"/>
    </row>
    <row r="147" spans="5:9">
      <c r="E147" s="215"/>
      <c r="F147" s="355"/>
      <c r="G147" s="216"/>
      <c r="H147" s="215"/>
      <c r="I147" s="215"/>
    </row>
    <row r="148" spans="5:9">
      <c r="E148" s="215"/>
      <c r="F148" s="355"/>
      <c r="G148" s="216"/>
      <c r="H148" s="215"/>
      <c r="I148" s="215"/>
    </row>
    <row r="149" spans="5:9">
      <c r="E149" s="215"/>
      <c r="F149" s="355"/>
      <c r="G149" s="216"/>
      <c r="H149" s="215"/>
      <c r="I149" s="215"/>
    </row>
    <row r="150" spans="5:9">
      <c r="E150" s="215"/>
      <c r="F150" s="355"/>
      <c r="G150" s="216"/>
      <c r="H150" s="215"/>
      <c r="I150" s="215"/>
    </row>
    <row r="151" spans="5:9">
      <c r="E151" s="215"/>
      <c r="F151" s="355"/>
      <c r="G151" s="216"/>
      <c r="H151" s="215"/>
      <c r="I151" s="215"/>
    </row>
    <row r="152" spans="5:9">
      <c r="E152" s="215"/>
      <c r="F152" s="355"/>
      <c r="G152" s="216"/>
      <c r="H152" s="215"/>
      <c r="I152" s="215"/>
    </row>
    <row r="153" spans="5:9">
      <c r="E153" s="215"/>
      <c r="F153" s="355"/>
      <c r="G153" s="216"/>
      <c r="H153" s="215"/>
      <c r="I153" s="215"/>
    </row>
    <row r="154" spans="5:9">
      <c r="E154" s="215"/>
      <c r="F154" s="355"/>
      <c r="G154" s="216"/>
      <c r="H154" s="215"/>
      <c r="I154" s="215"/>
    </row>
    <row r="155" spans="5:9">
      <c r="E155" s="215"/>
      <c r="F155" s="355"/>
      <c r="G155" s="216"/>
      <c r="H155" s="215"/>
      <c r="I155" s="215"/>
    </row>
    <row r="156" spans="5:9">
      <c r="E156" s="215"/>
      <c r="F156" s="355"/>
      <c r="G156" s="216"/>
      <c r="H156" s="215"/>
      <c r="I156" s="215"/>
    </row>
    <row r="157" spans="5:9">
      <c r="E157" s="215"/>
      <c r="F157" s="355"/>
      <c r="G157" s="216"/>
      <c r="H157" s="215"/>
      <c r="I157" s="215"/>
    </row>
    <row r="158" spans="5:9">
      <c r="E158" s="215"/>
      <c r="F158" s="355"/>
      <c r="G158" s="216"/>
      <c r="H158" s="215"/>
      <c r="I158" s="215"/>
    </row>
    <row r="159" spans="5:9">
      <c r="E159" s="215"/>
      <c r="F159" s="355"/>
      <c r="G159" s="216"/>
      <c r="H159" s="215"/>
      <c r="I159" s="215"/>
    </row>
    <row r="160" spans="5:9">
      <c r="E160" s="215"/>
      <c r="F160" s="355"/>
      <c r="G160" s="216"/>
      <c r="H160" s="215"/>
      <c r="I160" s="215"/>
    </row>
    <row r="161" spans="5:9">
      <c r="E161" s="215"/>
      <c r="F161" s="355"/>
      <c r="G161" s="216"/>
      <c r="H161" s="215"/>
      <c r="I161" s="215"/>
    </row>
    <row r="162" spans="5:9">
      <c r="E162" s="215"/>
      <c r="F162" s="355"/>
      <c r="G162" s="216"/>
      <c r="H162" s="215"/>
      <c r="I162" s="215"/>
    </row>
    <row r="163" spans="5:9">
      <c r="E163" s="215"/>
      <c r="F163" s="355"/>
      <c r="G163" s="216"/>
      <c r="H163" s="215"/>
      <c r="I163" s="215"/>
    </row>
    <row r="164" spans="5:9">
      <c r="E164" s="215"/>
      <c r="F164" s="355"/>
      <c r="G164" s="216"/>
      <c r="H164" s="215"/>
      <c r="I164" s="215"/>
    </row>
    <row r="165" spans="5:9">
      <c r="E165" s="215"/>
      <c r="F165" s="355"/>
      <c r="G165" s="216"/>
      <c r="H165" s="215"/>
      <c r="I165" s="215"/>
    </row>
    <row r="166" spans="5:9">
      <c r="E166" s="215"/>
      <c r="F166" s="355"/>
      <c r="G166" s="216"/>
      <c r="H166" s="215"/>
      <c r="I166" s="215"/>
    </row>
    <row r="167" spans="5:9">
      <c r="E167" s="215"/>
      <c r="F167" s="355"/>
      <c r="G167" s="216"/>
      <c r="H167" s="215"/>
      <c r="I167" s="215"/>
    </row>
    <row r="168" spans="5:9">
      <c r="E168" s="215"/>
      <c r="F168" s="355"/>
      <c r="G168" s="216"/>
      <c r="H168" s="215"/>
      <c r="I168" s="215"/>
    </row>
    <row r="169" spans="5:9">
      <c r="E169" s="215"/>
      <c r="F169" s="355"/>
      <c r="G169" s="216"/>
      <c r="H169" s="215"/>
      <c r="I169" s="215"/>
    </row>
    <row r="170" spans="5:9">
      <c r="E170" s="215"/>
      <c r="F170" s="355"/>
      <c r="G170" s="216"/>
      <c r="H170" s="215"/>
      <c r="I170" s="215"/>
    </row>
    <row r="171" spans="5:9">
      <c r="E171" s="215"/>
      <c r="F171" s="355"/>
      <c r="G171" s="216"/>
      <c r="H171" s="215"/>
      <c r="I171" s="215"/>
    </row>
    <row r="172" spans="5:9">
      <c r="E172" s="215"/>
      <c r="F172" s="355"/>
      <c r="G172" s="216"/>
      <c r="H172" s="215"/>
      <c r="I172" s="215"/>
    </row>
    <row r="173" spans="5:9">
      <c r="E173" s="215"/>
      <c r="F173" s="355"/>
      <c r="G173" s="216"/>
      <c r="H173" s="215"/>
      <c r="I173" s="215"/>
    </row>
    <row r="174" spans="5:9">
      <c r="E174" s="215"/>
      <c r="F174" s="355"/>
      <c r="G174" s="216"/>
      <c r="H174" s="215"/>
      <c r="I174" s="215"/>
    </row>
    <row r="175" spans="5:9">
      <c r="E175" s="215"/>
      <c r="F175" s="355"/>
      <c r="G175" s="216"/>
      <c r="H175" s="215"/>
      <c r="I175" s="215"/>
    </row>
    <row r="176" spans="5:9">
      <c r="E176" s="215"/>
      <c r="F176" s="355"/>
      <c r="G176" s="216"/>
      <c r="H176" s="215"/>
      <c r="I176" s="215"/>
    </row>
    <row r="177" spans="5:9">
      <c r="E177" s="215"/>
      <c r="F177" s="355"/>
      <c r="G177" s="216"/>
      <c r="H177" s="215"/>
      <c r="I177" s="215"/>
    </row>
    <row r="178" spans="5:9">
      <c r="E178" s="215"/>
      <c r="F178" s="355"/>
      <c r="G178" s="216"/>
      <c r="H178" s="215"/>
      <c r="I178" s="215"/>
    </row>
    <row r="179" spans="5:9">
      <c r="E179" s="215"/>
      <c r="F179" s="355"/>
      <c r="G179" s="216"/>
      <c r="H179" s="215"/>
      <c r="I179" s="215"/>
    </row>
    <row r="180" spans="5:9">
      <c r="E180" s="215"/>
      <c r="F180" s="355"/>
      <c r="G180" s="216"/>
      <c r="H180" s="215"/>
      <c r="I180" s="215"/>
    </row>
    <row r="181" spans="5:9">
      <c r="E181" s="215"/>
      <c r="F181" s="355"/>
      <c r="G181" s="216"/>
      <c r="H181" s="215"/>
      <c r="I181" s="215"/>
    </row>
    <row r="182" spans="5:9">
      <c r="E182" s="215"/>
      <c r="F182" s="355"/>
      <c r="G182" s="216"/>
      <c r="H182" s="215"/>
      <c r="I182" s="215"/>
    </row>
    <row r="183" spans="5:9">
      <c r="E183" s="215"/>
      <c r="F183" s="355"/>
      <c r="G183" s="216"/>
      <c r="H183" s="215"/>
      <c r="I183" s="215"/>
    </row>
    <row r="184" spans="5:9">
      <c r="E184" s="215"/>
      <c r="F184" s="355"/>
      <c r="G184" s="216"/>
      <c r="H184" s="215"/>
      <c r="I184" s="215"/>
    </row>
    <row r="185" spans="5:9">
      <c r="E185" s="215"/>
      <c r="F185" s="355"/>
      <c r="G185" s="216"/>
      <c r="H185" s="215"/>
      <c r="I185" s="215"/>
    </row>
    <row r="186" spans="5:9">
      <c r="E186" s="215"/>
      <c r="F186" s="355"/>
      <c r="G186" s="216"/>
      <c r="H186" s="215"/>
      <c r="I186" s="215"/>
    </row>
    <row r="187" spans="5:9">
      <c r="E187" s="215"/>
      <c r="F187" s="355"/>
      <c r="G187" s="216"/>
      <c r="H187" s="215"/>
      <c r="I187" s="215"/>
    </row>
    <row r="188" spans="5:9">
      <c r="E188" s="215"/>
      <c r="F188" s="355"/>
      <c r="G188" s="216"/>
      <c r="H188" s="215"/>
      <c r="I188" s="215"/>
    </row>
    <row r="189" spans="5:9">
      <c r="E189" s="215"/>
      <c r="F189" s="355"/>
      <c r="G189" s="216"/>
      <c r="H189" s="215"/>
      <c r="I189" s="215"/>
    </row>
    <row r="190" spans="5:9">
      <c r="E190" s="215"/>
      <c r="F190" s="355"/>
      <c r="G190" s="216"/>
      <c r="H190" s="215"/>
      <c r="I190" s="215"/>
    </row>
    <row r="191" spans="5:9">
      <c r="E191" s="215"/>
      <c r="F191" s="355"/>
      <c r="G191" s="216"/>
      <c r="H191" s="215"/>
      <c r="I191" s="215"/>
    </row>
    <row r="192" spans="5:9">
      <c r="E192" s="215"/>
      <c r="F192" s="355"/>
      <c r="G192" s="216"/>
      <c r="H192" s="215"/>
      <c r="I192" s="215"/>
    </row>
    <row r="193" spans="5:9">
      <c r="E193" s="215"/>
      <c r="F193" s="355"/>
      <c r="G193" s="216"/>
      <c r="H193" s="215"/>
      <c r="I193" s="215"/>
    </row>
    <row r="194" spans="5:9">
      <c r="E194" s="215"/>
      <c r="F194" s="355"/>
      <c r="G194" s="216"/>
      <c r="H194" s="215"/>
      <c r="I194" s="215"/>
    </row>
    <row r="195" spans="5:9">
      <c r="E195" s="215"/>
      <c r="F195" s="355"/>
      <c r="G195" s="216"/>
      <c r="H195" s="215"/>
      <c r="I195" s="215"/>
    </row>
    <row r="196" spans="5:9">
      <c r="E196" s="215"/>
      <c r="F196" s="355"/>
      <c r="G196" s="216"/>
      <c r="H196" s="215"/>
      <c r="I196" s="215"/>
    </row>
    <row r="197" spans="5:9">
      <c r="E197" s="215"/>
      <c r="F197" s="355"/>
      <c r="G197" s="216"/>
      <c r="H197" s="215"/>
      <c r="I197" s="215"/>
    </row>
    <row r="198" spans="5:9">
      <c r="E198" s="215"/>
      <c r="F198" s="355"/>
      <c r="G198" s="216"/>
      <c r="H198" s="215"/>
      <c r="I198" s="215"/>
    </row>
    <row r="199" spans="5:9">
      <c r="E199" s="215"/>
      <c r="F199" s="355"/>
      <c r="G199" s="216"/>
      <c r="H199" s="215"/>
      <c r="I199" s="215"/>
    </row>
    <row r="200" spans="5:9">
      <c r="E200" s="215"/>
      <c r="F200" s="355"/>
      <c r="G200" s="216"/>
      <c r="H200" s="215"/>
      <c r="I200" s="215"/>
    </row>
    <row r="201" spans="5:9">
      <c r="E201" s="215"/>
      <c r="F201" s="355"/>
      <c r="G201" s="216"/>
      <c r="H201" s="215"/>
      <c r="I201" s="215"/>
    </row>
    <row r="202" spans="5:9">
      <c r="E202" s="215"/>
      <c r="F202" s="355"/>
      <c r="G202" s="216"/>
      <c r="H202" s="215"/>
      <c r="I202" s="215"/>
    </row>
    <row r="203" spans="5:9">
      <c r="E203" s="215"/>
      <c r="F203" s="355"/>
      <c r="G203" s="216"/>
      <c r="H203" s="215"/>
      <c r="I203" s="215"/>
    </row>
    <row r="204" spans="5:9">
      <c r="E204" s="215"/>
      <c r="F204" s="355"/>
      <c r="G204" s="216"/>
      <c r="H204" s="215"/>
      <c r="I204" s="215"/>
    </row>
    <row r="205" spans="5:9">
      <c r="E205" s="215"/>
      <c r="F205" s="355"/>
      <c r="G205" s="216"/>
      <c r="H205" s="215"/>
      <c r="I205" s="215"/>
    </row>
    <row r="206" spans="5:9">
      <c r="E206" s="215"/>
      <c r="F206" s="355"/>
      <c r="G206" s="216"/>
      <c r="H206" s="215"/>
      <c r="I206" s="215"/>
    </row>
    <row r="207" spans="5:9">
      <c r="E207" s="215"/>
      <c r="F207" s="355"/>
      <c r="G207" s="216"/>
      <c r="H207" s="215"/>
      <c r="I207" s="215"/>
    </row>
    <row r="208" spans="5:9">
      <c r="E208" s="215"/>
      <c r="F208" s="355"/>
      <c r="G208" s="216"/>
      <c r="H208" s="215"/>
      <c r="I208" s="215"/>
    </row>
    <row r="209" spans="5:9">
      <c r="E209" s="215"/>
      <c r="F209" s="355"/>
      <c r="G209" s="216"/>
      <c r="H209" s="215"/>
      <c r="I209" s="215"/>
    </row>
    <row r="210" spans="5:9">
      <c r="E210" s="215"/>
      <c r="F210" s="355"/>
      <c r="G210" s="216"/>
      <c r="H210" s="215"/>
      <c r="I210" s="215"/>
    </row>
    <row r="211" spans="5:9">
      <c r="E211" s="215"/>
      <c r="F211" s="355"/>
      <c r="G211" s="216"/>
      <c r="H211" s="215"/>
      <c r="I211" s="215"/>
    </row>
    <row r="212" spans="5:9">
      <c r="E212" s="215"/>
      <c r="F212" s="355"/>
      <c r="G212" s="216"/>
      <c r="H212" s="215"/>
      <c r="I212" s="215"/>
    </row>
    <row r="213" spans="5:9">
      <c r="E213" s="215"/>
      <c r="F213" s="355"/>
      <c r="G213" s="216"/>
      <c r="H213" s="215"/>
      <c r="I213" s="215"/>
    </row>
    <row r="214" spans="5:9">
      <c r="E214" s="215"/>
      <c r="F214" s="355"/>
      <c r="G214" s="216"/>
      <c r="H214" s="215"/>
      <c r="I214" s="215"/>
    </row>
    <row r="215" spans="5:9">
      <c r="E215" s="215"/>
      <c r="F215" s="355"/>
      <c r="G215" s="216"/>
      <c r="H215" s="215"/>
      <c r="I215" s="215"/>
    </row>
    <row r="216" spans="5:9">
      <c r="E216" s="215"/>
      <c r="F216" s="355"/>
      <c r="G216" s="216"/>
      <c r="H216" s="215"/>
      <c r="I216" s="215"/>
    </row>
    <row r="217" spans="5:9">
      <c r="E217" s="215"/>
      <c r="F217" s="355"/>
      <c r="G217" s="216"/>
      <c r="H217" s="215"/>
      <c r="I217" s="215"/>
    </row>
    <row r="218" spans="5:9">
      <c r="E218" s="215"/>
      <c r="F218" s="355"/>
      <c r="G218" s="216"/>
      <c r="H218" s="215"/>
      <c r="I218" s="215"/>
    </row>
    <row r="219" spans="5:9">
      <c r="E219" s="215"/>
      <c r="F219" s="355"/>
      <c r="G219" s="216"/>
      <c r="H219" s="215"/>
      <c r="I219" s="215"/>
    </row>
    <row r="220" spans="5:9">
      <c r="E220" s="215"/>
      <c r="F220" s="355"/>
      <c r="G220" s="216"/>
      <c r="H220" s="215"/>
      <c r="I220" s="215"/>
    </row>
    <row r="221" spans="5:9">
      <c r="E221" s="215"/>
      <c r="F221" s="355"/>
      <c r="G221" s="216"/>
      <c r="H221" s="215"/>
      <c r="I221" s="215"/>
    </row>
    <row r="222" spans="5:9">
      <c r="E222" s="215"/>
      <c r="F222" s="355"/>
      <c r="G222" s="216"/>
      <c r="H222" s="215"/>
      <c r="I222" s="215"/>
    </row>
    <row r="223" spans="5:9">
      <c r="E223" s="215"/>
      <c r="F223" s="355"/>
      <c r="G223" s="216"/>
      <c r="H223" s="215"/>
      <c r="I223" s="215"/>
    </row>
    <row r="224" spans="5:9">
      <c r="E224" s="215"/>
      <c r="F224" s="355"/>
      <c r="G224" s="216"/>
      <c r="H224" s="215"/>
      <c r="I224" s="215"/>
    </row>
    <row r="225" spans="5:9">
      <c r="E225" s="215"/>
      <c r="F225" s="355"/>
      <c r="G225" s="216"/>
      <c r="H225" s="215"/>
      <c r="I225" s="215"/>
    </row>
    <row r="226" spans="5:9">
      <c r="E226" s="215"/>
      <c r="F226" s="355"/>
      <c r="G226" s="216"/>
      <c r="H226" s="215"/>
      <c r="I226" s="215"/>
    </row>
    <row r="227" spans="5:9">
      <c r="E227" s="215"/>
      <c r="F227" s="355"/>
      <c r="G227" s="216"/>
      <c r="H227" s="215"/>
      <c r="I227" s="215"/>
    </row>
    <row r="228" spans="5:9">
      <c r="E228" s="215"/>
      <c r="F228" s="355"/>
      <c r="G228" s="216"/>
      <c r="H228" s="215"/>
      <c r="I228" s="215"/>
    </row>
    <row r="229" spans="5:9">
      <c r="E229" s="215"/>
      <c r="F229" s="355"/>
      <c r="G229" s="216"/>
      <c r="H229" s="215"/>
      <c r="I229" s="215"/>
    </row>
    <row r="230" spans="5:9">
      <c r="E230" s="215"/>
      <c r="F230" s="355"/>
      <c r="G230" s="216"/>
      <c r="H230" s="215"/>
      <c r="I230" s="215"/>
    </row>
    <row r="231" spans="5:9">
      <c r="E231" s="215"/>
      <c r="F231" s="355"/>
      <c r="G231" s="216"/>
      <c r="H231" s="215"/>
      <c r="I231" s="215"/>
    </row>
    <row r="232" spans="5:9">
      <c r="E232" s="215"/>
      <c r="F232" s="355"/>
      <c r="G232" s="216"/>
      <c r="H232" s="215"/>
      <c r="I232" s="215"/>
    </row>
    <row r="233" spans="5:9">
      <c r="E233" s="215"/>
      <c r="F233" s="355"/>
      <c r="G233" s="216"/>
      <c r="H233" s="215"/>
      <c r="I233" s="215"/>
    </row>
    <row r="234" spans="5:9">
      <c r="E234" s="215"/>
      <c r="F234" s="355"/>
      <c r="G234" s="216"/>
      <c r="H234" s="215"/>
      <c r="I234" s="215"/>
    </row>
    <row r="235" spans="5:9">
      <c r="E235" s="215"/>
      <c r="F235" s="355"/>
      <c r="G235" s="216"/>
      <c r="H235" s="215"/>
      <c r="I235" s="215"/>
    </row>
    <row r="236" spans="5:9">
      <c r="E236" s="215"/>
      <c r="F236" s="355"/>
      <c r="G236" s="216"/>
      <c r="H236" s="215"/>
      <c r="I236" s="215"/>
    </row>
    <row r="237" spans="5:9">
      <c r="E237" s="215"/>
      <c r="F237" s="355"/>
      <c r="G237" s="216"/>
      <c r="H237" s="215"/>
      <c r="I237" s="215"/>
    </row>
    <row r="238" spans="5:9">
      <c r="E238" s="215"/>
      <c r="F238" s="355"/>
      <c r="G238" s="216"/>
      <c r="H238" s="215"/>
      <c r="I238" s="215"/>
    </row>
    <row r="239" spans="5:9">
      <c r="E239" s="215"/>
      <c r="F239" s="355"/>
      <c r="G239" s="216"/>
      <c r="H239" s="215"/>
      <c r="I239" s="215"/>
    </row>
    <row r="240" spans="5:9">
      <c r="E240" s="215"/>
      <c r="F240" s="355"/>
      <c r="G240" s="216"/>
      <c r="H240" s="215"/>
      <c r="I240" s="215"/>
    </row>
    <row r="241" spans="5:9">
      <c r="E241" s="215"/>
      <c r="F241" s="355"/>
      <c r="G241" s="216"/>
      <c r="H241" s="215"/>
      <c r="I241" s="215"/>
    </row>
    <row r="242" spans="5:9">
      <c r="E242" s="215"/>
      <c r="F242" s="355"/>
      <c r="G242" s="216"/>
      <c r="H242" s="215"/>
      <c r="I242" s="215"/>
    </row>
    <row r="243" spans="5:9">
      <c r="E243" s="215"/>
      <c r="F243" s="355"/>
      <c r="G243" s="216"/>
      <c r="H243" s="215"/>
      <c r="I243" s="215"/>
    </row>
    <row r="244" spans="5:9">
      <c r="E244" s="215"/>
      <c r="F244" s="355"/>
      <c r="G244" s="216"/>
      <c r="H244" s="215"/>
      <c r="I244" s="215"/>
    </row>
    <row r="245" spans="5:9">
      <c r="E245" s="215"/>
      <c r="F245" s="355"/>
      <c r="G245" s="216"/>
      <c r="H245" s="215"/>
      <c r="I245" s="215"/>
    </row>
    <row r="246" spans="5:9">
      <c r="E246" s="215"/>
      <c r="F246" s="355"/>
      <c r="G246" s="216"/>
      <c r="H246" s="215"/>
      <c r="I246" s="215"/>
    </row>
    <row r="247" spans="5:9">
      <c r="E247" s="215"/>
      <c r="F247" s="355"/>
      <c r="G247" s="216"/>
      <c r="H247" s="215"/>
      <c r="I247" s="215"/>
    </row>
    <row r="248" spans="5:9">
      <c r="E248" s="215"/>
      <c r="F248" s="355"/>
      <c r="G248" s="216"/>
      <c r="H248" s="215"/>
      <c r="I248" s="215"/>
    </row>
    <row r="249" spans="5:9">
      <c r="E249" s="215"/>
      <c r="F249" s="355"/>
      <c r="G249" s="216"/>
      <c r="H249" s="215"/>
      <c r="I249" s="215"/>
    </row>
    <row r="250" spans="5:9">
      <c r="E250" s="215"/>
      <c r="F250" s="355"/>
      <c r="G250" s="216"/>
      <c r="H250" s="215"/>
      <c r="I250" s="215"/>
    </row>
    <row r="251" spans="5:9">
      <c r="E251" s="215"/>
      <c r="F251" s="355"/>
      <c r="G251" s="216"/>
      <c r="H251" s="215"/>
      <c r="I251" s="215"/>
    </row>
    <row r="252" spans="5:9">
      <c r="E252" s="215"/>
      <c r="F252" s="355"/>
      <c r="G252" s="216"/>
      <c r="H252" s="215"/>
      <c r="I252" s="215"/>
    </row>
    <row r="253" spans="5:9">
      <c r="E253" s="215"/>
      <c r="F253" s="355"/>
      <c r="G253" s="216"/>
      <c r="H253" s="215"/>
      <c r="I253" s="215"/>
    </row>
    <row r="254" spans="5:9">
      <c r="E254" s="215"/>
      <c r="F254" s="355"/>
      <c r="G254" s="216"/>
      <c r="H254" s="215"/>
      <c r="I254" s="215"/>
    </row>
    <row r="255" spans="5:9">
      <c r="E255" s="215"/>
      <c r="F255" s="355"/>
      <c r="G255" s="216"/>
      <c r="H255" s="215"/>
      <c r="I255" s="215"/>
    </row>
    <row r="256" spans="5:9">
      <c r="E256" s="215"/>
      <c r="F256" s="355"/>
      <c r="G256" s="216"/>
      <c r="H256" s="215"/>
      <c r="I256" s="215"/>
    </row>
    <row r="257" spans="5:9">
      <c r="E257" s="215"/>
      <c r="F257" s="355"/>
      <c r="G257" s="216"/>
      <c r="H257" s="215"/>
      <c r="I257" s="215"/>
    </row>
    <row r="258" spans="5:9">
      <c r="E258" s="215"/>
      <c r="F258" s="355"/>
      <c r="G258" s="216"/>
      <c r="H258" s="215"/>
      <c r="I258" s="215"/>
    </row>
    <row r="259" spans="5:9">
      <c r="E259" s="215"/>
      <c r="F259" s="355"/>
      <c r="G259" s="216"/>
      <c r="H259" s="215"/>
      <c r="I259" s="215"/>
    </row>
    <row r="260" spans="5:9">
      <c r="E260" s="215"/>
      <c r="F260" s="355"/>
      <c r="G260" s="216"/>
      <c r="H260" s="215"/>
      <c r="I260" s="215"/>
    </row>
    <row r="261" spans="5:9">
      <c r="E261" s="215"/>
      <c r="F261" s="355"/>
      <c r="G261" s="216"/>
      <c r="H261" s="215"/>
      <c r="I261" s="215"/>
    </row>
    <row r="262" spans="5:9">
      <c r="E262" s="215"/>
      <c r="F262" s="355"/>
      <c r="G262" s="216"/>
      <c r="H262" s="215"/>
      <c r="I262" s="215"/>
    </row>
    <row r="263" spans="5:9">
      <c r="E263" s="215"/>
      <c r="F263" s="355"/>
      <c r="G263" s="216"/>
      <c r="H263" s="215"/>
      <c r="I263" s="215"/>
    </row>
    <row r="264" spans="5:9">
      <c r="E264" s="215"/>
      <c r="F264" s="355"/>
      <c r="G264" s="216"/>
      <c r="H264" s="215"/>
      <c r="I264" s="215"/>
    </row>
    <row r="265" spans="5:9">
      <c r="E265" s="215"/>
      <c r="F265" s="355"/>
      <c r="G265" s="216"/>
      <c r="H265" s="215"/>
      <c r="I265" s="215"/>
    </row>
    <row r="266" spans="5:9">
      <c r="E266" s="215"/>
      <c r="F266" s="355"/>
      <c r="G266" s="216"/>
      <c r="H266" s="215"/>
      <c r="I266" s="215"/>
    </row>
    <row r="267" spans="5:9">
      <c r="E267" s="215"/>
      <c r="F267" s="355"/>
      <c r="G267" s="216"/>
      <c r="H267" s="215"/>
      <c r="I267" s="215"/>
    </row>
    <row r="268" spans="5:9">
      <c r="E268" s="215"/>
      <c r="F268" s="355"/>
      <c r="G268" s="216"/>
      <c r="H268" s="215"/>
      <c r="I268" s="215"/>
    </row>
    <row r="269" spans="5:9">
      <c r="E269" s="215"/>
      <c r="F269" s="355"/>
      <c r="G269" s="216"/>
      <c r="H269" s="215"/>
      <c r="I269" s="215"/>
    </row>
    <row r="270" spans="5:9">
      <c r="E270" s="215"/>
      <c r="F270" s="355"/>
      <c r="G270" s="216"/>
      <c r="H270" s="215"/>
      <c r="I270" s="215"/>
    </row>
    <row r="271" spans="5:9">
      <c r="E271" s="215"/>
      <c r="F271" s="355"/>
      <c r="G271" s="216"/>
      <c r="H271" s="215"/>
      <c r="I271" s="215"/>
    </row>
    <row r="272" spans="5:9">
      <c r="E272" s="215"/>
      <c r="F272" s="355"/>
      <c r="G272" s="216"/>
      <c r="H272" s="215"/>
      <c r="I272" s="215"/>
    </row>
    <row r="273" spans="5:9">
      <c r="E273" s="215"/>
      <c r="F273" s="355"/>
      <c r="G273" s="216"/>
      <c r="H273" s="215"/>
      <c r="I273" s="215"/>
    </row>
    <row r="274" spans="5:9">
      <c r="E274" s="215"/>
      <c r="F274" s="355"/>
      <c r="G274" s="216"/>
      <c r="H274" s="215"/>
      <c r="I274" s="215"/>
    </row>
    <row r="275" spans="5:9">
      <c r="E275" s="215"/>
      <c r="F275" s="355"/>
      <c r="G275" s="216"/>
      <c r="H275" s="215"/>
      <c r="I275" s="215"/>
    </row>
    <row r="276" spans="5:9">
      <c r="E276" s="215"/>
      <c r="F276" s="355"/>
      <c r="G276" s="216"/>
      <c r="H276" s="215"/>
      <c r="I276" s="215"/>
    </row>
    <row r="277" spans="5:9">
      <c r="E277" s="215"/>
      <c r="F277" s="355"/>
      <c r="G277" s="216"/>
      <c r="H277" s="215"/>
      <c r="I277" s="215"/>
    </row>
    <row r="278" spans="5:9">
      <c r="E278" s="215"/>
      <c r="F278" s="355"/>
      <c r="G278" s="216"/>
      <c r="H278" s="215"/>
      <c r="I278" s="215"/>
    </row>
    <row r="279" spans="5:9">
      <c r="E279" s="215"/>
      <c r="F279" s="355"/>
      <c r="G279" s="216"/>
      <c r="H279" s="215"/>
      <c r="I279" s="215"/>
    </row>
    <row r="280" spans="5:9">
      <c r="E280" s="215"/>
      <c r="F280" s="355"/>
      <c r="G280" s="216"/>
      <c r="H280" s="215"/>
      <c r="I280" s="215"/>
    </row>
    <row r="281" spans="5:9">
      <c r="E281" s="215"/>
      <c r="F281" s="355"/>
      <c r="G281" s="216"/>
      <c r="H281" s="215"/>
      <c r="I281" s="215"/>
    </row>
    <row r="282" spans="5:9">
      <c r="E282" s="215"/>
      <c r="F282" s="355"/>
      <c r="G282" s="216"/>
      <c r="H282" s="215"/>
      <c r="I282" s="215"/>
    </row>
    <row r="283" spans="5:9">
      <c r="E283" s="215"/>
      <c r="F283" s="355"/>
      <c r="G283" s="216"/>
      <c r="H283" s="215"/>
      <c r="I283" s="215"/>
    </row>
    <row r="284" spans="5:9">
      <c r="E284" s="215"/>
      <c r="F284" s="355"/>
      <c r="G284" s="216"/>
      <c r="H284" s="215"/>
      <c r="I284" s="215"/>
    </row>
    <row r="285" spans="5:9">
      <c r="E285" s="215"/>
      <c r="F285" s="355"/>
      <c r="G285" s="216"/>
      <c r="H285" s="215"/>
      <c r="I285" s="215"/>
    </row>
    <row r="286" spans="5:9">
      <c r="E286" s="215"/>
      <c r="F286" s="355"/>
      <c r="G286" s="216"/>
      <c r="H286" s="215"/>
      <c r="I286" s="215"/>
    </row>
    <row r="287" spans="5:9">
      <c r="E287" s="215"/>
      <c r="F287" s="355"/>
      <c r="G287" s="216"/>
      <c r="H287" s="215"/>
      <c r="I287" s="215"/>
    </row>
    <row r="288" spans="5:9">
      <c r="E288" s="215"/>
      <c r="F288" s="355"/>
      <c r="G288" s="216"/>
      <c r="H288" s="215"/>
      <c r="I288" s="215"/>
    </row>
    <row r="289" spans="5:9">
      <c r="E289" s="215"/>
      <c r="F289" s="355"/>
      <c r="G289" s="216"/>
      <c r="H289" s="215"/>
      <c r="I289" s="215"/>
    </row>
    <row r="290" spans="5:9">
      <c r="E290" s="215"/>
      <c r="F290" s="355"/>
      <c r="G290" s="216"/>
      <c r="H290" s="215"/>
      <c r="I290" s="215"/>
    </row>
    <row r="291" spans="5:9">
      <c r="E291" s="215"/>
      <c r="F291" s="355"/>
      <c r="G291" s="216"/>
      <c r="H291" s="215"/>
      <c r="I291" s="215"/>
    </row>
    <row r="292" spans="5:9">
      <c r="E292" s="215"/>
      <c r="F292" s="355"/>
      <c r="G292" s="216"/>
      <c r="H292" s="215"/>
      <c r="I292" s="215"/>
    </row>
    <row r="293" spans="5:9">
      <c r="E293" s="215"/>
      <c r="F293" s="355"/>
      <c r="G293" s="216"/>
      <c r="H293" s="215"/>
      <c r="I293" s="215"/>
    </row>
    <row r="294" spans="5:9">
      <c r="E294" s="215"/>
      <c r="F294" s="355"/>
      <c r="G294" s="216"/>
      <c r="H294" s="215"/>
      <c r="I294" s="215"/>
    </row>
    <row r="295" spans="5:9">
      <c r="E295" s="215"/>
      <c r="F295" s="355"/>
      <c r="G295" s="216"/>
      <c r="H295" s="215"/>
      <c r="I295" s="215"/>
    </row>
    <row r="296" spans="5:9">
      <c r="E296" s="215"/>
      <c r="F296" s="355"/>
      <c r="G296" s="216"/>
      <c r="H296" s="215"/>
      <c r="I296" s="215"/>
    </row>
    <row r="297" spans="5:9">
      <c r="E297" s="215"/>
      <c r="F297" s="355"/>
      <c r="G297" s="216"/>
      <c r="H297" s="215"/>
      <c r="I297" s="215"/>
    </row>
    <row r="298" spans="5:9">
      <c r="E298" s="215"/>
      <c r="F298" s="355"/>
      <c r="G298" s="216"/>
      <c r="H298" s="215"/>
      <c r="I298" s="215"/>
    </row>
    <row r="299" spans="5:9">
      <c r="E299" s="215"/>
      <c r="F299" s="355"/>
      <c r="G299" s="216"/>
      <c r="H299" s="215"/>
      <c r="I299" s="215"/>
    </row>
    <row r="300" spans="5:9">
      <c r="E300" s="215"/>
      <c r="F300" s="355"/>
      <c r="G300" s="216"/>
      <c r="H300" s="215"/>
      <c r="I300" s="215"/>
    </row>
    <row r="301" spans="5:9">
      <c r="E301" s="215"/>
      <c r="F301" s="355"/>
      <c r="G301" s="216"/>
      <c r="H301" s="215"/>
      <c r="I301" s="215"/>
    </row>
    <row r="302" spans="5:9">
      <c r="E302" s="215"/>
      <c r="F302" s="355"/>
      <c r="G302" s="216"/>
      <c r="H302" s="215"/>
      <c r="I302" s="215"/>
    </row>
    <row r="303" spans="5:9">
      <c r="E303" s="215"/>
      <c r="F303" s="355"/>
      <c r="G303" s="216"/>
      <c r="H303" s="215"/>
      <c r="I303" s="215"/>
    </row>
    <row r="304" spans="5:9">
      <c r="E304" s="215"/>
      <c r="F304" s="355"/>
      <c r="G304" s="216"/>
      <c r="H304" s="215"/>
      <c r="I304" s="215"/>
    </row>
    <row r="305" spans="5:9">
      <c r="E305" s="215"/>
      <c r="F305" s="355"/>
      <c r="G305" s="216"/>
      <c r="H305" s="215"/>
      <c r="I305" s="215"/>
    </row>
    <row r="306" spans="5:9">
      <c r="E306" s="215"/>
      <c r="F306" s="355"/>
      <c r="G306" s="216"/>
      <c r="H306" s="215"/>
      <c r="I306" s="215"/>
    </row>
    <row r="307" spans="5:9">
      <c r="E307" s="215"/>
      <c r="F307" s="355"/>
      <c r="G307" s="216"/>
      <c r="H307" s="215"/>
      <c r="I307" s="215"/>
    </row>
    <row r="308" spans="5:9">
      <c r="E308" s="215"/>
      <c r="F308" s="355"/>
      <c r="G308" s="216"/>
      <c r="H308" s="215"/>
      <c r="I308" s="215"/>
    </row>
    <row r="309" spans="5:9">
      <c r="E309" s="215"/>
      <c r="F309" s="355"/>
      <c r="G309" s="216"/>
      <c r="H309" s="215"/>
      <c r="I309" s="215"/>
    </row>
    <row r="310" spans="5:9">
      <c r="E310" s="215"/>
      <c r="F310" s="355"/>
      <c r="G310" s="216"/>
      <c r="H310" s="215"/>
      <c r="I310" s="215"/>
    </row>
    <row r="311" spans="5:9">
      <c r="E311" s="215"/>
      <c r="F311" s="355"/>
      <c r="G311" s="216"/>
      <c r="H311" s="215"/>
      <c r="I311" s="215"/>
    </row>
    <row r="312" spans="5:9">
      <c r="E312" s="215"/>
      <c r="F312" s="355"/>
      <c r="G312" s="216"/>
      <c r="H312" s="215"/>
      <c r="I312" s="215"/>
    </row>
    <row r="313" spans="5:9">
      <c r="E313" s="215"/>
      <c r="F313" s="355"/>
      <c r="G313" s="216"/>
      <c r="H313" s="215"/>
      <c r="I313" s="215"/>
    </row>
    <row r="314" spans="5:9">
      <c r="E314" s="215"/>
      <c r="F314" s="355"/>
      <c r="G314" s="216"/>
      <c r="H314" s="215"/>
      <c r="I314" s="215"/>
    </row>
    <row r="315" spans="5:9">
      <c r="E315" s="215"/>
      <c r="F315" s="355"/>
      <c r="G315" s="216"/>
      <c r="H315" s="215"/>
      <c r="I315" s="215"/>
    </row>
    <row r="316" spans="5:9">
      <c r="E316" s="215"/>
      <c r="F316" s="355"/>
      <c r="G316" s="216"/>
      <c r="H316" s="215"/>
      <c r="I316" s="215"/>
    </row>
    <row r="317" spans="5:9">
      <c r="E317" s="215"/>
      <c r="F317" s="355"/>
      <c r="G317" s="216"/>
      <c r="H317" s="215"/>
      <c r="I317" s="215"/>
    </row>
    <row r="318" spans="5:9">
      <c r="E318" s="215"/>
      <c r="F318" s="355"/>
      <c r="G318" s="216"/>
      <c r="H318" s="215"/>
      <c r="I318" s="215"/>
    </row>
    <row r="319" spans="5:9">
      <c r="E319" s="215"/>
      <c r="F319" s="355"/>
      <c r="G319" s="216"/>
      <c r="H319" s="215"/>
      <c r="I319" s="215"/>
    </row>
    <row r="320" spans="5:9">
      <c r="E320" s="215"/>
      <c r="F320" s="355"/>
      <c r="G320" s="216"/>
      <c r="H320" s="215"/>
      <c r="I320" s="215"/>
    </row>
  </sheetData>
  <mergeCells count="14">
    <mergeCell ref="B2:B3"/>
    <mergeCell ref="A2:A3"/>
    <mergeCell ref="C1:U1"/>
    <mergeCell ref="C2:C3"/>
    <mergeCell ref="E2:E3"/>
    <mergeCell ref="F2:F3"/>
    <mergeCell ref="G2:G3"/>
    <mergeCell ref="H2:H3"/>
    <mergeCell ref="I2:I3"/>
    <mergeCell ref="J2:L2"/>
    <mergeCell ref="M2:O2"/>
    <mergeCell ref="P2:R2"/>
    <mergeCell ref="S2:U2"/>
    <mergeCell ref="D2:D3"/>
  </mergeCells>
  <pageMargins left="1" right="1" top="1" bottom="1" header="0.5" footer="0.5"/>
  <pageSetup scale="31" orientation="landscape" r:id="rId1"/>
  <headerFooter>
    <oddHeader>&amp;CPartners of the Americas
Ñande Ko’ê</oddHeader>
  </headerFooter>
  <ignoredErrors>
    <ignoredError sqref="K41 N41 Q41 T4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63A67-7903-4893-A7E3-AE04C55952BE}">
  <sheetPr>
    <pageSetUpPr fitToPage="1"/>
  </sheetPr>
  <dimension ref="A1:IS323"/>
  <sheetViews>
    <sheetView topLeftCell="A18" zoomScale="54" zoomScaleNormal="50" zoomScaleSheetLayoutView="106" workbookViewId="0">
      <selection activeCell="A48" sqref="A48"/>
    </sheetView>
  </sheetViews>
  <sheetFormatPr defaultColWidth="9.140625" defaultRowHeight="15.6"/>
  <cols>
    <col min="1" max="2" width="13" style="215" bestFit="1" customWidth="1"/>
    <col min="3" max="3" width="119.42578125" style="215" customWidth="1"/>
    <col min="4" max="4" width="17.85546875" style="215" bestFit="1" customWidth="1"/>
    <col min="5" max="5" width="7" style="273" customWidth="1"/>
    <col min="6" max="6" width="9" style="356" bestFit="1" customWidth="1"/>
    <col min="7" max="7" width="20.42578125" style="273" bestFit="1" customWidth="1"/>
    <col min="8" max="8" width="16" style="273" bestFit="1" customWidth="1"/>
    <col min="9" max="9" width="8.42578125" style="273" bestFit="1" customWidth="1"/>
    <col min="10" max="11" width="13.5703125" style="355" bestFit="1" customWidth="1"/>
    <col min="12" max="12" width="17.42578125" style="355" bestFit="1" customWidth="1"/>
    <col min="13" max="14" width="13.140625" style="355" bestFit="1" customWidth="1"/>
    <col min="15" max="15" width="17.42578125" style="355" bestFit="1" customWidth="1"/>
    <col min="16" max="17" width="13.5703125" style="355" bestFit="1" customWidth="1"/>
    <col min="18" max="18" width="17.42578125" style="355" bestFit="1" customWidth="1"/>
    <col min="19" max="20" width="14.140625" style="355" bestFit="1" customWidth="1"/>
    <col min="21" max="21" width="17.42578125" style="355" bestFit="1" customWidth="1"/>
    <col min="22" max="22" width="11.42578125" style="215" bestFit="1" customWidth="1"/>
    <col min="23" max="24" width="9.140625" style="215"/>
    <col min="25" max="25" width="11.5703125" style="215" bestFit="1" customWidth="1"/>
    <col min="26" max="16384" width="9.140625" style="215"/>
  </cols>
  <sheetData>
    <row r="1" spans="1:253" ht="30.75" customHeight="1" thickBot="1">
      <c r="C1" s="669" t="s">
        <v>426</v>
      </c>
      <c r="D1" s="670"/>
      <c r="E1" s="670"/>
      <c r="F1" s="670"/>
      <c r="G1" s="670"/>
      <c r="H1" s="670"/>
      <c r="I1" s="670"/>
      <c r="J1" s="670"/>
      <c r="K1" s="670"/>
      <c r="L1" s="670"/>
      <c r="M1" s="670"/>
      <c r="N1" s="670"/>
      <c r="O1" s="670"/>
      <c r="P1" s="670"/>
      <c r="Q1" s="670"/>
      <c r="R1" s="670"/>
      <c r="S1" s="670"/>
      <c r="T1" s="670"/>
      <c r="U1" s="670"/>
      <c r="V1" s="216"/>
    </row>
    <row r="2" spans="1:253" s="226" customFormat="1">
      <c r="A2" s="682" t="s">
        <v>235</v>
      </c>
      <c r="B2" s="682" t="s">
        <v>236</v>
      </c>
      <c r="C2" s="682" t="s">
        <v>241</v>
      </c>
      <c r="D2" s="689" t="s">
        <v>398</v>
      </c>
      <c r="E2" s="683" t="s">
        <v>242</v>
      </c>
      <c r="F2" s="684" t="s">
        <v>246</v>
      </c>
      <c r="G2" s="685" t="s">
        <v>243</v>
      </c>
      <c r="H2" s="685" t="s">
        <v>399</v>
      </c>
      <c r="I2" s="686" t="s">
        <v>245</v>
      </c>
      <c r="J2" s="687" t="s">
        <v>400</v>
      </c>
      <c r="K2" s="691"/>
      <c r="L2" s="692"/>
      <c r="M2" s="687" t="s">
        <v>401</v>
      </c>
      <c r="N2" s="691"/>
      <c r="O2" s="692"/>
      <c r="P2" s="687" t="s">
        <v>402</v>
      </c>
      <c r="Q2" s="691"/>
      <c r="R2" s="692"/>
      <c r="S2" s="688" t="s">
        <v>130</v>
      </c>
      <c r="T2" s="693"/>
      <c r="U2" s="694"/>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c r="EX2" s="215"/>
      <c r="EY2" s="215"/>
      <c r="EZ2" s="215"/>
      <c r="FA2" s="215"/>
      <c r="FB2" s="215"/>
      <c r="FC2" s="215"/>
      <c r="FD2" s="215"/>
      <c r="FE2" s="215"/>
      <c r="FF2" s="215"/>
      <c r="FG2" s="215"/>
      <c r="FH2" s="215"/>
      <c r="FI2" s="215"/>
      <c r="FJ2" s="215"/>
      <c r="FK2" s="215"/>
      <c r="FL2" s="215"/>
      <c r="FM2" s="215"/>
      <c r="FN2" s="215"/>
      <c r="FO2" s="215"/>
      <c r="FP2" s="215"/>
      <c r="FQ2" s="215"/>
      <c r="FR2" s="215"/>
      <c r="FS2" s="215"/>
      <c r="FT2" s="215"/>
      <c r="FU2" s="215"/>
      <c r="FV2" s="215"/>
      <c r="FW2" s="215"/>
      <c r="FX2" s="215"/>
      <c r="FY2" s="215"/>
      <c r="FZ2" s="215"/>
      <c r="GA2" s="215"/>
      <c r="GB2" s="215"/>
      <c r="GC2" s="215"/>
      <c r="GD2" s="215"/>
      <c r="GE2" s="215"/>
      <c r="GF2" s="215"/>
      <c r="GG2" s="215"/>
      <c r="GH2" s="215"/>
      <c r="GI2" s="215"/>
      <c r="GJ2" s="215"/>
      <c r="GK2" s="215"/>
      <c r="GL2" s="215"/>
      <c r="GM2" s="215"/>
      <c r="GN2" s="215"/>
      <c r="GO2" s="215"/>
      <c r="GP2" s="215"/>
      <c r="GQ2" s="215"/>
      <c r="GR2" s="215"/>
      <c r="GS2" s="215"/>
      <c r="GT2" s="215"/>
      <c r="GU2" s="215"/>
      <c r="GV2" s="215"/>
      <c r="GW2" s="215"/>
      <c r="GX2" s="215"/>
      <c r="GY2" s="215"/>
      <c r="GZ2" s="215"/>
      <c r="HA2" s="215"/>
      <c r="HB2" s="215"/>
      <c r="HC2" s="215"/>
      <c r="HD2" s="215"/>
      <c r="HE2" s="215"/>
      <c r="HF2" s="215"/>
      <c r="HG2" s="215"/>
      <c r="HH2" s="215"/>
      <c r="HI2" s="215"/>
      <c r="HJ2" s="215"/>
      <c r="HK2" s="215"/>
      <c r="HL2" s="215"/>
      <c r="HM2" s="215"/>
      <c r="HN2" s="215"/>
      <c r="HO2" s="215"/>
      <c r="HP2" s="215"/>
      <c r="HQ2" s="215"/>
      <c r="HR2" s="215"/>
      <c r="HS2" s="215"/>
      <c r="HT2" s="215"/>
      <c r="HU2" s="215"/>
      <c r="HV2" s="215"/>
      <c r="HW2" s="215"/>
      <c r="HX2" s="215"/>
      <c r="HY2" s="215"/>
      <c r="HZ2" s="215"/>
      <c r="IA2" s="215"/>
      <c r="IB2" s="215"/>
      <c r="IC2" s="215"/>
      <c r="ID2" s="215"/>
      <c r="IE2" s="215"/>
      <c r="IF2" s="215"/>
      <c r="IG2" s="215"/>
      <c r="IH2" s="215"/>
      <c r="II2" s="215"/>
      <c r="IJ2" s="215"/>
      <c r="IK2" s="215"/>
      <c r="IL2" s="215"/>
      <c r="IM2" s="215"/>
      <c r="IN2" s="215"/>
      <c r="IO2" s="215"/>
      <c r="IP2" s="215"/>
      <c r="IQ2" s="215"/>
      <c r="IR2" s="215"/>
      <c r="IS2" s="215"/>
    </row>
    <row r="3" spans="1:253" s="218" customFormat="1">
      <c r="A3" s="690"/>
      <c r="B3" s="690"/>
      <c r="C3" s="690"/>
      <c r="D3" s="695"/>
      <c r="E3" s="696"/>
      <c r="F3" s="697"/>
      <c r="G3" s="698"/>
      <c r="H3" s="698"/>
      <c r="I3" s="699"/>
      <c r="J3" s="275" t="s">
        <v>130</v>
      </c>
      <c r="K3" s="276" t="s">
        <v>214</v>
      </c>
      <c r="L3" s="277" t="s">
        <v>215</v>
      </c>
      <c r="M3" s="275" t="s">
        <v>130</v>
      </c>
      <c r="N3" s="276" t="s">
        <v>214</v>
      </c>
      <c r="O3" s="277" t="s">
        <v>215</v>
      </c>
      <c r="P3" s="275" t="s">
        <v>130</v>
      </c>
      <c r="Q3" s="276" t="s">
        <v>214</v>
      </c>
      <c r="R3" s="277" t="s">
        <v>215</v>
      </c>
      <c r="S3" s="275" t="s">
        <v>130</v>
      </c>
      <c r="T3" s="276" t="s">
        <v>214</v>
      </c>
      <c r="U3" s="277" t="s">
        <v>215</v>
      </c>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c r="CY3" s="215"/>
      <c r="CZ3" s="215"/>
      <c r="DA3" s="215"/>
      <c r="DB3" s="215"/>
      <c r="DC3" s="215"/>
      <c r="DD3" s="215"/>
      <c r="DE3" s="215"/>
      <c r="DF3" s="215"/>
      <c r="DG3" s="215"/>
      <c r="DH3" s="215"/>
      <c r="DI3" s="215"/>
      <c r="DJ3" s="215"/>
      <c r="DK3" s="215"/>
      <c r="DL3" s="215"/>
      <c r="DM3" s="215"/>
      <c r="DN3" s="215"/>
      <c r="DO3" s="215"/>
      <c r="DP3" s="215"/>
      <c r="DQ3" s="215"/>
      <c r="DR3" s="215"/>
      <c r="DS3" s="215"/>
      <c r="DT3" s="215"/>
      <c r="DU3" s="215"/>
      <c r="DV3" s="215"/>
      <c r="DW3" s="215"/>
      <c r="DX3" s="215"/>
      <c r="DY3" s="215"/>
      <c r="DZ3" s="215"/>
      <c r="EA3" s="215"/>
      <c r="EB3" s="215"/>
      <c r="EC3" s="215"/>
      <c r="ED3" s="215"/>
      <c r="EE3" s="215"/>
      <c r="EF3" s="215"/>
      <c r="EG3" s="215"/>
      <c r="EH3" s="215"/>
      <c r="EI3" s="215"/>
      <c r="EJ3" s="215"/>
      <c r="EK3" s="215"/>
      <c r="EL3" s="215"/>
      <c r="EM3" s="215"/>
      <c r="EN3" s="215"/>
      <c r="EO3" s="215"/>
      <c r="EP3" s="215"/>
      <c r="EQ3" s="215"/>
      <c r="ER3" s="215"/>
      <c r="ES3" s="215"/>
      <c r="ET3" s="215"/>
      <c r="EU3" s="215"/>
      <c r="EV3" s="215"/>
      <c r="EW3" s="215"/>
      <c r="EX3" s="215"/>
      <c r="EY3" s="215"/>
      <c r="EZ3" s="215"/>
      <c r="FA3" s="215"/>
      <c r="FB3" s="215"/>
      <c r="FC3" s="215"/>
      <c r="FD3" s="215"/>
      <c r="FE3" s="215"/>
      <c r="FF3" s="215"/>
      <c r="FG3" s="215"/>
      <c r="FH3" s="215"/>
      <c r="FI3" s="215"/>
      <c r="FJ3" s="215"/>
      <c r="FK3" s="215"/>
      <c r="FL3" s="215"/>
      <c r="FM3" s="215"/>
      <c r="FN3" s="215"/>
      <c r="FO3" s="215"/>
      <c r="FP3" s="215"/>
      <c r="FQ3" s="215"/>
      <c r="FR3" s="215"/>
      <c r="FS3" s="215"/>
      <c r="FT3" s="215"/>
      <c r="FU3" s="215"/>
      <c r="FV3" s="215"/>
      <c r="FW3" s="215"/>
      <c r="FX3" s="215"/>
      <c r="FY3" s="215"/>
      <c r="FZ3" s="215"/>
      <c r="GA3" s="215"/>
      <c r="GB3" s="215"/>
      <c r="GC3" s="215"/>
      <c r="GD3" s="215"/>
      <c r="GE3" s="215"/>
      <c r="GF3" s="215"/>
      <c r="GG3" s="215"/>
      <c r="GH3" s="215"/>
      <c r="GI3" s="215"/>
      <c r="GJ3" s="215"/>
      <c r="GK3" s="215"/>
      <c r="GL3" s="215"/>
      <c r="GM3" s="215"/>
      <c r="GN3" s="215"/>
      <c r="GO3" s="215"/>
      <c r="GP3" s="215"/>
      <c r="GQ3" s="215"/>
      <c r="GR3" s="215"/>
      <c r="GS3" s="215"/>
      <c r="GT3" s="215"/>
      <c r="GU3" s="215"/>
      <c r="GV3" s="215"/>
      <c r="GW3" s="215"/>
      <c r="GX3" s="215"/>
      <c r="GY3" s="215"/>
      <c r="GZ3" s="215"/>
      <c r="HA3" s="215"/>
      <c r="HB3" s="215"/>
      <c r="HC3" s="215"/>
      <c r="HD3" s="215"/>
      <c r="HE3" s="215"/>
      <c r="HF3" s="215"/>
      <c r="HG3" s="215"/>
      <c r="HH3" s="215"/>
      <c r="HI3" s="215"/>
      <c r="HJ3" s="215"/>
      <c r="HK3" s="215"/>
      <c r="HL3" s="215"/>
      <c r="HM3" s="215"/>
      <c r="HN3" s="215"/>
      <c r="HO3" s="215"/>
      <c r="HP3" s="215"/>
      <c r="HQ3" s="215"/>
      <c r="HR3" s="215"/>
      <c r="HS3" s="215"/>
      <c r="HT3" s="215"/>
      <c r="HU3" s="215"/>
      <c r="HV3" s="215"/>
      <c r="HW3" s="215"/>
      <c r="HX3" s="215"/>
      <c r="HY3" s="215"/>
      <c r="HZ3" s="215"/>
      <c r="IA3" s="215"/>
      <c r="IB3" s="215"/>
      <c r="IC3" s="215"/>
      <c r="ID3" s="215"/>
      <c r="IE3" s="215"/>
      <c r="IF3" s="215"/>
      <c r="IG3" s="215"/>
      <c r="IH3" s="215"/>
      <c r="II3" s="215"/>
      <c r="IJ3" s="215"/>
      <c r="IK3" s="215"/>
      <c r="IL3" s="215"/>
      <c r="IM3" s="215"/>
      <c r="IN3" s="215"/>
      <c r="IO3" s="215"/>
      <c r="IP3" s="215"/>
      <c r="IQ3" s="215"/>
      <c r="IR3" s="215"/>
      <c r="IS3" s="215"/>
    </row>
    <row r="4" spans="1:253">
      <c r="A4" s="278"/>
      <c r="B4" s="278"/>
      <c r="C4" s="278" t="s">
        <v>216</v>
      </c>
      <c r="D4" s="279"/>
      <c r="E4" s="280"/>
      <c r="F4" s="281"/>
      <c r="G4" s="282"/>
      <c r="H4" s="282"/>
      <c r="I4" s="283"/>
      <c r="J4" s="284"/>
      <c r="K4" s="285"/>
      <c r="L4" s="286"/>
      <c r="M4" s="284"/>
      <c r="N4" s="285"/>
      <c r="O4" s="286"/>
      <c r="P4" s="284"/>
      <c r="Q4" s="285"/>
      <c r="R4" s="286"/>
      <c r="S4" s="284"/>
      <c r="T4" s="285"/>
      <c r="U4" s="286"/>
    </row>
    <row r="5" spans="1:253" s="260" customFormat="1" hidden="1">
      <c r="A5" s="493"/>
      <c r="B5" s="493"/>
      <c r="C5" s="493"/>
      <c r="D5" s="287"/>
      <c r="E5" s="259"/>
      <c r="F5" s="288"/>
      <c r="G5" s="289"/>
      <c r="H5" s="242"/>
      <c r="I5" s="290"/>
      <c r="J5" s="291"/>
      <c r="K5" s="288"/>
      <c r="L5" s="292"/>
      <c r="M5" s="291"/>
      <c r="N5" s="288"/>
      <c r="O5" s="292"/>
      <c r="P5" s="291"/>
      <c r="Q5" s="288"/>
      <c r="R5" s="292"/>
      <c r="S5" s="291"/>
      <c r="T5" s="288"/>
      <c r="U5" s="292"/>
      <c r="V5" s="23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c r="FI5" s="215"/>
      <c r="FJ5" s="215"/>
      <c r="FK5" s="215"/>
      <c r="FL5" s="215"/>
      <c r="FM5" s="215"/>
      <c r="FN5" s="215"/>
      <c r="FO5" s="215"/>
      <c r="FP5" s="215"/>
      <c r="FQ5" s="215"/>
      <c r="FR5" s="215"/>
      <c r="FS5" s="215"/>
      <c r="FT5" s="215"/>
      <c r="FU5" s="215"/>
      <c r="FV5" s="215"/>
      <c r="FW5" s="215"/>
      <c r="FX5" s="215"/>
      <c r="FY5" s="215"/>
      <c r="FZ5" s="215"/>
      <c r="GA5" s="215"/>
      <c r="GB5" s="215"/>
      <c r="GC5" s="215"/>
      <c r="GD5" s="215"/>
      <c r="GE5" s="215"/>
      <c r="GF5" s="215"/>
      <c r="GG5" s="215"/>
      <c r="GH5" s="215"/>
      <c r="GI5" s="215"/>
      <c r="GJ5" s="215"/>
      <c r="GK5" s="215"/>
      <c r="GL5" s="215"/>
      <c r="GM5" s="215"/>
      <c r="GN5" s="215"/>
      <c r="GO5" s="215"/>
      <c r="GP5" s="215"/>
      <c r="GQ5" s="215"/>
      <c r="GR5" s="215"/>
      <c r="GS5" s="215"/>
      <c r="GT5" s="215"/>
      <c r="GU5" s="215"/>
      <c r="GV5" s="215"/>
      <c r="GW5" s="215"/>
      <c r="GX5" s="215"/>
      <c r="GY5" s="215"/>
      <c r="GZ5" s="215"/>
      <c r="HA5" s="215"/>
      <c r="HB5" s="215"/>
      <c r="HC5" s="215"/>
      <c r="HD5" s="215"/>
      <c r="HE5" s="215"/>
      <c r="HF5" s="215"/>
      <c r="HG5" s="215"/>
      <c r="HH5" s="215"/>
      <c r="HI5" s="215"/>
      <c r="HJ5" s="215"/>
      <c r="HK5" s="215"/>
      <c r="HL5" s="215"/>
      <c r="HM5" s="215"/>
      <c r="HN5" s="215"/>
      <c r="HO5" s="215"/>
      <c r="HP5" s="215"/>
      <c r="HQ5" s="215"/>
      <c r="HR5" s="215"/>
      <c r="HS5" s="215"/>
      <c r="HT5" s="215"/>
      <c r="HU5" s="215"/>
      <c r="HV5" s="215"/>
      <c r="HW5" s="215"/>
      <c r="HX5" s="215"/>
      <c r="HY5" s="215"/>
      <c r="HZ5" s="215"/>
      <c r="IA5" s="215"/>
      <c r="IB5" s="215"/>
      <c r="IC5" s="215"/>
      <c r="ID5" s="215"/>
      <c r="IE5" s="215"/>
      <c r="IF5" s="215"/>
      <c r="IG5" s="215"/>
      <c r="IH5" s="215"/>
      <c r="II5" s="215"/>
      <c r="IJ5" s="215"/>
      <c r="IK5" s="215"/>
      <c r="IL5" s="215"/>
      <c r="IM5" s="215"/>
      <c r="IN5" s="215"/>
      <c r="IO5" s="215"/>
      <c r="IP5" s="215"/>
      <c r="IQ5" s="215"/>
      <c r="IR5" s="215"/>
      <c r="IS5" s="215"/>
    </row>
    <row r="6" spans="1:253" s="260" customFormat="1">
      <c r="A6" s="493" t="s">
        <v>325</v>
      </c>
      <c r="B6" s="493">
        <v>7370</v>
      </c>
      <c r="C6" s="493" t="s">
        <v>404</v>
      </c>
      <c r="D6" s="287"/>
      <c r="E6" s="259">
        <v>1</v>
      </c>
      <c r="F6" s="288">
        <v>1100</v>
      </c>
      <c r="G6" s="376" t="s">
        <v>254</v>
      </c>
      <c r="H6" s="242">
        <v>8</v>
      </c>
      <c r="I6" s="290">
        <v>0.6</v>
      </c>
      <c r="J6" s="291">
        <f>(E6*F6*H6*I6)</f>
        <v>5280</v>
      </c>
      <c r="K6" s="288">
        <f>J6</f>
        <v>5280</v>
      </c>
      <c r="L6" s="292">
        <f>J6-K6</f>
        <v>0</v>
      </c>
      <c r="M6" s="291">
        <f>(E6*F6*12*I6)*1.025</f>
        <v>8117.9999999999991</v>
      </c>
      <c r="N6" s="288">
        <f>M6</f>
        <v>8117.9999999999991</v>
      </c>
      <c r="O6" s="292">
        <f>M6-N6</f>
        <v>0</v>
      </c>
      <c r="P6" s="291">
        <f>((F6*1.025)*1.025)*I6*3</f>
        <v>2080.2375000000002</v>
      </c>
      <c r="Q6" s="288">
        <f>P6</f>
        <v>2080.2375000000002</v>
      </c>
      <c r="R6" s="292">
        <f>P6-Q6</f>
        <v>0</v>
      </c>
      <c r="S6" s="291">
        <f t="shared" ref="S6:U7" si="0">J6+M6+P6</f>
        <v>15478.237499999999</v>
      </c>
      <c r="T6" s="288">
        <f t="shared" si="0"/>
        <v>15478.237499999999</v>
      </c>
      <c r="U6" s="292">
        <f t="shared" si="0"/>
        <v>0</v>
      </c>
      <c r="V6" s="235"/>
      <c r="W6" s="215"/>
      <c r="X6" s="215"/>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c r="CU6" s="215"/>
      <c r="CV6" s="215"/>
      <c r="CW6" s="215"/>
      <c r="CX6" s="215"/>
      <c r="CY6" s="215"/>
      <c r="CZ6" s="215"/>
      <c r="DA6" s="215"/>
      <c r="DB6" s="215"/>
      <c r="DC6" s="215"/>
      <c r="DD6" s="215"/>
      <c r="DE6" s="215"/>
      <c r="DF6" s="215"/>
      <c r="DG6" s="215"/>
      <c r="DH6" s="215"/>
      <c r="DI6" s="215"/>
      <c r="DJ6" s="215"/>
      <c r="DK6" s="215"/>
      <c r="DL6" s="215"/>
      <c r="DM6" s="215"/>
      <c r="DN6" s="215"/>
      <c r="DO6" s="215"/>
      <c r="DP6" s="215"/>
      <c r="DQ6" s="215"/>
      <c r="DR6" s="215"/>
      <c r="DS6" s="215"/>
      <c r="DT6" s="215"/>
      <c r="DU6" s="215"/>
      <c r="DV6" s="215"/>
      <c r="DW6" s="215"/>
      <c r="DX6" s="215"/>
      <c r="DY6" s="215"/>
      <c r="DZ6" s="215"/>
      <c r="EA6" s="215"/>
      <c r="EB6" s="215"/>
      <c r="EC6" s="215"/>
      <c r="ED6" s="215"/>
      <c r="EE6" s="215"/>
      <c r="EF6" s="215"/>
      <c r="EG6" s="215"/>
      <c r="EH6" s="215"/>
      <c r="EI6" s="215"/>
      <c r="EJ6" s="215"/>
      <c r="EK6" s="215"/>
      <c r="EL6" s="215"/>
      <c r="EM6" s="215"/>
      <c r="EN6" s="215"/>
      <c r="EO6" s="215"/>
      <c r="EP6" s="215"/>
      <c r="EQ6" s="215"/>
      <c r="ER6" s="215"/>
      <c r="ES6" s="215"/>
      <c r="ET6" s="215"/>
      <c r="EU6" s="215"/>
      <c r="EV6" s="215"/>
      <c r="EW6" s="215"/>
      <c r="EX6" s="215"/>
      <c r="EY6" s="215"/>
      <c r="EZ6" s="215"/>
      <c r="FA6" s="215"/>
      <c r="FB6" s="215"/>
      <c r="FC6" s="215"/>
      <c r="FD6" s="215"/>
      <c r="FE6" s="215"/>
      <c r="FF6" s="215"/>
      <c r="FG6" s="215"/>
      <c r="FH6" s="215"/>
      <c r="FI6" s="215"/>
      <c r="FJ6" s="215"/>
      <c r="FK6" s="215"/>
      <c r="FL6" s="215"/>
      <c r="FM6" s="215"/>
      <c r="FN6" s="215"/>
      <c r="FO6" s="215"/>
      <c r="FP6" s="215"/>
      <c r="FQ6" s="215"/>
      <c r="FR6" s="215"/>
      <c r="FS6" s="215"/>
      <c r="FT6" s="215"/>
      <c r="FU6" s="215"/>
      <c r="FV6" s="215"/>
      <c r="FW6" s="215"/>
      <c r="FX6" s="215"/>
      <c r="FY6" s="215"/>
      <c r="FZ6" s="215"/>
      <c r="GA6" s="215"/>
      <c r="GB6" s="215"/>
      <c r="GC6" s="215"/>
      <c r="GD6" s="215"/>
      <c r="GE6" s="215"/>
      <c r="GF6" s="215"/>
      <c r="GG6" s="215"/>
      <c r="GH6" s="215"/>
      <c r="GI6" s="215"/>
      <c r="GJ6" s="215"/>
      <c r="GK6" s="215"/>
      <c r="GL6" s="215"/>
      <c r="GM6" s="215"/>
      <c r="GN6" s="215"/>
      <c r="GO6" s="215"/>
      <c r="GP6" s="215"/>
      <c r="GQ6" s="215"/>
      <c r="GR6" s="215"/>
      <c r="GS6" s="215"/>
      <c r="GT6" s="215"/>
      <c r="GU6" s="215"/>
      <c r="GV6" s="215"/>
      <c r="GW6" s="215"/>
      <c r="GX6" s="215"/>
      <c r="GY6" s="215"/>
      <c r="GZ6" s="215"/>
      <c r="HA6" s="215"/>
      <c r="HB6" s="215"/>
      <c r="HC6" s="215"/>
      <c r="HD6" s="215"/>
      <c r="HE6" s="215"/>
      <c r="HF6" s="215"/>
      <c r="HG6" s="215"/>
      <c r="HH6" s="215"/>
      <c r="HI6" s="215"/>
      <c r="HJ6" s="215"/>
      <c r="HK6" s="215"/>
      <c r="HL6" s="215"/>
      <c r="HM6" s="215"/>
      <c r="HN6" s="215"/>
      <c r="HO6" s="215"/>
      <c r="HP6" s="215"/>
      <c r="HQ6" s="215"/>
      <c r="HR6" s="215"/>
      <c r="HS6" s="215"/>
      <c r="HT6" s="215"/>
      <c r="HU6" s="215"/>
      <c r="HV6" s="215"/>
      <c r="HW6" s="215"/>
      <c r="HX6" s="215"/>
      <c r="HY6" s="215"/>
      <c r="HZ6" s="215"/>
      <c r="IA6" s="215"/>
      <c r="IB6" s="215"/>
      <c r="IC6" s="215"/>
      <c r="ID6" s="215"/>
      <c r="IE6" s="215"/>
      <c r="IF6" s="215"/>
      <c r="IG6" s="215"/>
      <c r="IH6" s="215"/>
      <c r="II6" s="215"/>
      <c r="IJ6" s="215"/>
      <c r="IK6" s="215"/>
      <c r="IL6" s="215"/>
      <c r="IM6" s="215"/>
      <c r="IN6" s="215"/>
      <c r="IO6" s="215"/>
      <c r="IP6" s="215"/>
      <c r="IQ6" s="215"/>
      <c r="IR6" s="215"/>
      <c r="IS6" s="215"/>
    </row>
    <row r="7" spans="1:253" s="260" customFormat="1">
      <c r="A7" s="493" t="s">
        <v>325</v>
      </c>
      <c r="B7" s="493">
        <v>7370</v>
      </c>
      <c r="C7" s="493" t="s">
        <v>427</v>
      </c>
      <c r="D7" s="287"/>
      <c r="E7" s="259">
        <v>1</v>
      </c>
      <c r="F7" s="288">
        <v>1000</v>
      </c>
      <c r="G7" s="376" t="s">
        <v>254</v>
      </c>
      <c r="H7" s="242">
        <v>8</v>
      </c>
      <c r="I7" s="290">
        <v>0.2</v>
      </c>
      <c r="J7" s="291">
        <f>(E7*F7*H7*I7)</f>
        <v>1600</v>
      </c>
      <c r="K7" s="288">
        <f>J7</f>
        <v>1600</v>
      </c>
      <c r="L7" s="292">
        <f>J7-K7</f>
        <v>0</v>
      </c>
      <c r="M7" s="291">
        <f>(E7*F7*12*I7)*1.025</f>
        <v>2460</v>
      </c>
      <c r="N7" s="288">
        <f>M7</f>
        <v>2460</v>
      </c>
      <c r="O7" s="292">
        <f>M7-N7</f>
        <v>0</v>
      </c>
      <c r="P7" s="291">
        <f>((F7*1.025)*1.025)*I7*3</f>
        <v>630.375</v>
      </c>
      <c r="Q7" s="288">
        <f>P7</f>
        <v>630.375</v>
      </c>
      <c r="R7" s="292">
        <f>P7-Q7</f>
        <v>0</v>
      </c>
      <c r="S7" s="291">
        <f t="shared" si="0"/>
        <v>4690.375</v>
      </c>
      <c r="T7" s="288">
        <f t="shared" si="0"/>
        <v>4690.375</v>
      </c>
      <c r="U7" s="292">
        <f t="shared" si="0"/>
        <v>0</v>
      </c>
      <c r="V7" s="235"/>
      <c r="W7" s="215"/>
      <c r="X7" s="215"/>
      <c r="Y7" s="215"/>
      <c r="Z7" s="215"/>
      <c r="AA7" s="215"/>
      <c r="AB7" s="215"/>
      <c r="AC7" s="215"/>
      <c r="AD7" s="215"/>
      <c r="AE7" s="215"/>
      <c r="AF7" s="215"/>
      <c r="AG7" s="215"/>
      <c r="AH7" s="215"/>
      <c r="AI7" s="215"/>
      <c r="AJ7" s="215"/>
      <c r="AK7" s="215"/>
      <c r="AL7" s="215"/>
      <c r="AM7" s="215"/>
      <c r="AN7" s="215"/>
      <c r="AO7" s="215"/>
      <c r="AP7" s="215"/>
      <c r="AQ7" s="215"/>
      <c r="AR7" s="215"/>
      <c r="AS7" s="215"/>
      <c r="AT7" s="215"/>
      <c r="AU7" s="215"/>
      <c r="AV7" s="215"/>
      <c r="AW7" s="215"/>
      <c r="AX7" s="215"/>
      <c r="AY7" s="215"/>
      <c r="AZ7" s="215"/>
      <c r="BA7" s="215"/>
      <c r="BB7" s="215"/>
      <c r="BC7" s="215"/>
      <c r="BD7" s="215"/>
      <c r="BE7" s="215"/>
      <c r="BF7" s="215"/>
      <c r="BG7" s="215"/>
      <c r="BH7" s="215"/>
      <c r="BI7" s="215"/>
      <c r="BJ7" s="215"/>
      <c r="BK7" s="215"/>
      <c r="BL7" s="215"/>
      <c r="BM7" s="215"/>
      <c r="BN7" s="215"/>
      <c r="BO7" s="215"/>
      <c r="BP7" s="215"/>
      <c r="BQ7" s="215"/>
      <c r="BR7" s="215"/>
      <c r="BS7" s="215"/>
      <c r="BT7" s="215"/>
      <c r="BU7" s="215"/>
      <c r="BV7" s="215"/>
      <c r="BW7" s="215"/>
      <c r="BX7" s="215"/>
      <c r="BY7" s="215"/>
      <c r="BZ7" s="215"/>
      <c r="CA7" s="215"/>
      <c r="CB7" s="215"/>
      <c r="CC7" s="215"/>
      <c r="CD7" s="215"/>
      <c r="CE7" s="215"/>
      <c r="CF7" s="215"/>
      <c r="CG7" s="215"/>
      <c r="CH7" s="215"/>
      <c r="CI7" s="215"/>
      <c r="CJ7" s="215"/>
      <c r="CK7" s="215"/>
      <c r="CL7" s="215"/>
      <c r="CM7" s="215"/>
      <c r="CN7" s="215"/>
      <c r="CO7" s="215"/>
      <c r="CP7" s="215"/>
      <c r="CQ7" s="215"/>
      <c r="CR7" s="215"/>
      <c r="CS7" s="215"/>
      <c r="CT7" s="215"/>
      <c r="CU7" s="215"/>
      <c r="CV7" s="215"/>
      <c r="CW7" s="215"/>
      <c r="CX7" s="215"/>
      <c r="CY7" s="215"/>
      <c r="CZ7" s="215"/>
      <c r="DA7" s="215"/>
      <c r="DB7" s="215"/>
      <c r="DC7" s="215"/>
      <c r="DD7" s="215"/>
      <c r="DE7" s="215"/>
      <c r="DF7" s="215"/>
      <c r="DG7" s="215"/>
      <c r="DH7" s="215"/>
      <c r="DI7" s="215"/>
      <c r="DJ7" s="215"/>
      <c r="DK7" s="215"/>
      <c r="DL7" s="215"/>
      <c r="DM7" s="215"/>
      <c r="DN7" s="215"/>
      <c r="DO7" s="215"/>
      <c r="DP7" s="215"/>
      <c r="DQ7" s="215"/>
      <c r="DR7" s="215"/>
      <c r="DS7" s="215"/>
      <c r="DT7" s="215"/>
      <c r="DU7" s="215"/>
      <c r="DV7" s="215"/>
      <c r="DW7" s="215"/>
      <c r="DX7" s="215"/>
      <c r="DY7" s="215"/>
      <c r="DZ7" s="215"/>
      <c r="EA7" s="215"/>
      <c r="EB7" s="215"/>
      <c r="EC7" s="215"/>
      <c r="ED7" s="215"/>
      <c r="EE7" s="215"/>
      <c r="EF7" s="215"/>
      <c r="EG7" s="215"/>
      <c r="EH7" s="215"/>
      <c r="EI7" s="215"/>
      <c r="EJ7" s="215"/>
      <c r="EK7" s="215"/>
      <c r="EL7" s="215"/>
      <c r="EM7" s="215"/>
      <c r="EN7" s="215"/>
      <c r="EO7" s="215"/>
      <c r="EP7" s="215"/>
      <c r="EQ7" s="215"/>
      <c r="ER7" s="215"/>
      <c r="ES7" s="215"/>
      <c r="ET7" s="215"/>
      <c r="EU7" s="215"/>
      <c r="EV7" s="215"/>
      <c r="EW7" s="215"/>
      <c r="EX7" s="215"/>
      <c r="EY7" s="215"/>
      <c r="EZ7" s="215"/>
      <c r="FA7" s="215"/>
      <c r="FB7" s="215"/>
      <c r="FC7" s="215"/>
      <c r="FD7" s="215"/>
      <c r="FE7" s="215"/>
      <c r="FF7" s="215"/>
      <c r="FG7" s="215"/>
      <c r="FH7" s="215"/>
      <c r="FI7" s="215"/>
      <c r="FJ7" s="215"/>
      <c r="FK7" s="215"/>
      <c r="FL7" s="215"/>
      <c r="FM7" s="215"/>
      <c r="FN7" s="215"/>
      <c r="FO7" s="215"/>
      <c r="FP7" s="215"/>
      <c r="FQ7" s="215"/>
      <c r="FR7" s="215"/>
      <c r="FS7" s="215"/>
      <c r="FT7" s="215"/>
      <c r="FU7" s="215"/>
      <c r="FV7" s="215"/>
      <c r="FW7" s="215"/>
      <c r="FX7" s="215"/>
      <c r="FY7" s="215"/>
      <c r="FZ7" s="215"/>
      <c r="GA7" s="215"/>
      <c r="GB7" s="215"/>
      <c r="GC7" s="215"/>
      <c r="GD7" s="215"/>
      <c r="GE7" s="215"/>
      <c r="GF7" s="215"/>
      <c r="GG7" s="215"/>
      <c r="GH7" s="215"/>
      <c r="GI7" s="215"/>
      <c r="GJ7" s="215"/>
      <c r="GK7" s="215"/>
      <c r="GL7" s="215"/>
      <c r="GM7" s="215"/>
      <c r="GN7" s="215"/>
      <c r="GO7" s="215"/>
      <c r="GP7" s="215"/>
      <c r="GQ7" s="215"/>
      <c r="GR7" s="215"/>
      <c r="GS7" s="215"/>
      <c r="GT7" s="215"/>
      <c r="GU7" s="215"/>
      <c r="GV7" s="215"/>
      <c r="GW7" s="215"/>
      <c r="GX7" s="215"/>
      <c r="GY7" s="215"/>
      <c r="GZ7" s="215"/>
      <c r="HA7" s="215"/>
      <c r="HB7" s="215"/>
      <c r="HC7" s="215"/>
      <c r="HD7" s="215"/>
      <c r="HE7" s="215"/>
      <c r="HF7" s="215"/>
      <c r="HG7" s="215"/>
      <c r="HH7" s="215"/>
      <c r="HI7" s="215"/>
      <c r="HJ7" s="215"/>
      <c r="HK7" s="215"/>
      <c r="HL7" s="215"/>
      <c r="HM7" s="215"/>
      <c r="HN7" s="215"/>
      <c r="HO7" s="215"/>
      <c r="HP7" s="215"/>
      <c r="HQ7" s="215"/>
      <c r="HR7" s="215"/>
      <c r="HS7" s="215"/>
      <c r="HT7" s="215"/>
      <c r="HU7" s="215"/>
      <c r="HV7" s="215"/>
      <c r="HW7" s="215"/>
      <c r="HX7" s="215"/>
      <c r="HY7" s="215"/>
      <c r="HZ7" s="215"/>
      <c r="IA7" s="215"/>
      <c r="IB7" s="215"/>
      <c r="IC7" s="215"/>
      <c r="ID7" s="215"/>
      <c r="IE7" s="215"/>
      <c r="IF7" s="215"/>
      <c r="IG7" s="215"/>
      <c r="IH7" s="215"/>
      <c r="II7" s="215"/>
      <c r="IJ7" s="215"/>
      <c r="IK7" s="215"/>
      <c r="IL7" s="215"/>
      <c r="IM7" s="215"/>
      <c r="IN7" s="215"/>
      <c r="IO7" s="215"/>
      <c r="IP7" s="215"/>
      <c r="IQ7" s="215"/>
      <c r="IR7" s="215"/>
      <c r="IS7" s="215"/>
    </row>
    <row r="8" spans="1:253">
      <c r="A8" s="293"/>
      <c r="B8" s="293"/>
      <c r="C8" s="293" t="s">
        <v>265</v>
      </c>
      <c r="D8" s="294"/>
      <c r="E8" s="295"/>
      <c r="F8" s="296"/>
      <c r="G8" s="297"/>
      <c r="H8" s="297"/>
      <c r="I8" s="298"/>
      <c r="J8" s="299">
        <f t="shared" ref="J8:U8" si="1">SUM(J5:J7)</f>
        <v>6880</v>
      </c>
      <c r="K8" s="296">
        <f t="shared" si="1"/>
        <v>6880</v>
      </c>
      <c r="L8" s="300">
        <f t="shared" si="1"/>
        <v>0</v>
      </c>
      <c r="M8" s="299">
        <f t="shared" si="1"/>
        <v>10578</v>
      </c>
      <c r="N8" s="296">
        <f t="shared" si="1"/>
        <v>10578</v>
      </c>
      <c r="O8" s="300">
        <f t="shared" si="1"/>
        <v>0</v>
      </c>
      <c r="P8" s="299">
        <f t="shared" si="1"/>
        <v>2710.6125000000002</v>
      </c>
      <c r="Q8" s="296">
        <f t="shared" si="1"/>
        <v>2710.6125000000002</v>
      </c>
      <c r="R8" s="300">
        <f t="shared" si="1"/>
        <v>0</v>
      </c>
      <c r="S8" s="299">
        <f t="shared" si="1"/>
        <v>20168.612499999999</v>
      </c>
      <c r="T8" s="296">
        <f t="shared" si="1"/>
        <v>20168.612499999999</v>
      </c>
      <c r="U8" s="301">
        <f t="shared" si="1"/>
        <v>0</v>
      </c>
    </row>
    <row r="9" spans="1:253">
      <c r="A9" s="316"/>
      <c r="B9" s="316"/>
      <c r="C9" s="316" t="s">
        <v>217</v>
      </c>
      <c r="D9" s="317"/>
      <c r="E9" s="318"/>
      <c r="F9" s="319"/>
      <c r="G9" s="531"/>
      <c r="H9" s="531"/>
      <c r="I9" s="321"/>
      <c r="J9" s="322"/>
      <c r="K9" s="319"/>
      <c r="L9" s="532"/>
      <c r="M9" s="322"/>
      <c r="N9" s="319"/>
      <c r="O9" s="532"/>
      <c r="P9" s="322"/>
      <c r="Q9" s="319"/>
      <c r="R9" s="532"/>
      <c r="S9" s="322"/>
      <c r="T9" s="319"/>
      <c r="U9" s="325"/>
    </row>
    <row r="10" spans="1:253">
      <c r="A10" s="493" t="s">
        <v>325</v>
      </c>
      <c r="B10" s="493">
        <v>7370</v>
      </c>
      <c r="C10" s="315" t="s">
        <v>406</v>
      </c>
      <c r="D10" s="287"/>
      <c r="E10" s="259">
        <v>1</v>
      </c>
      <c r="F10" s="288">
        <v>1100</v>
      </c>
      <c r="G10" s="219" t="s">
        <v>269</v>
      </c>
      <c r="H10" s="242">
        <v>8</v>
      </c>
      <c r="I10" s="290">
        <v>0.3</v>
      </c>
      <c r="J10" s="291">
        <f>(J6*I10)</f>
        <v>1584</v>
      </c>
      <c r="K10" s="288">
        <f>J10</f>
        <v>1584</v>
      </c>
      <c r="L10" s="292">
        <f>J10-K10</f>
        <v>0</v>
      </c>
      <c r="M10" s="291">
        <f>(I10*M6)</f>
        <v>2435.3999999999996</v>
      </c>
      <c r="N10" s="288">
        <f>M10</f>
        <v>2435.3999999999996</v>
      </c>
      <c r="O10" s="292">
        <f>M10-N10</f>
        <v>0</v>
      </c>
      <c r="P10" s="291">
        <f>(I10*P6)</f>
        <v>624.07125000000008</v>
      </c>
      <c r="Q10" s="288">
        <f>P10</f>
        <v>624.07125000000008</v>
      </c>
      <c r="R10" s="292">
        <f>P10-Q10</f>
        <v>0</v>
      </c>
      <c r="S10" s="291">
        <f t="shared" ref="S10:U11" si="2">J10+M10+P10</f>
        <v>4643.4712499999996</v>
      </c>
      <c r="T10" s="288">
        <f t="shared" si="2"/>
        <v>4643.4712499999996</v>
      </c>
      <c r="U10" s="292">
        <f t="shared" si="2"/>
        <v>0</v>
      </c>
    </row>
    <row r="11" spans="1:253">
      <c r="A11" s="493" t="s">
        <v>325</v>
      </c>
      <c r="B11" s="493">
        <v>7370</v>
      </c>
      <c r="C11" s="315" t="s">
        <v>407</v>
      </c>
      <c r="D11" s="287"/>
      <c r="E11" s="259">
        <v>1</v>
      </c>
      <c r="F11" s="288">
        <v>1000</v>
      </c>
      <c r="G11" s="219" t="s">
        <v>269</v>
      </c>
      <c r="H11" s="242">
        <v>8</v>
      </c>
      <c r="I11" s="290">
        <v>0.3</v>
      </c>
      <c r="J11" s="291">
        <f>(J7*I11)</f>
        <v>480</v>
      </c>
      <c r="K11" s="288">
        <f>J11</f>
        <v>480</v>
      </c>
      <c r="L11" s="292">
        <f>J11-K11</f>
        <v>0</v>
      </c>
      <c r="M11" s="291">
        <f>(I11*M7)</f>
        <v>738</v>
      </c>
      <c r="N11" s="288">
        <f>M11</f>
        <v>738</v>
      </c>
      <c r="O11" s="292">
        <f>M11-N11</f>
        <v>0</v>
      </c>
      <c r="P11" s="291">
        <f>(I11*P7)</f>
        <v>189.11249999999998</v>
      </c>
      <c r="Q11" s="288">
        <f>P11</f>
        <v>189.11249999999998</v>
      </c>
      <c r="R11" s="292">
        <f>P11-Q11</f>
        <v>0</v>
      </c>
      <c r="S11" s="291">
        <f t="shared" si="2"/>
        <v>1407.1125</v>
      </c>
      <c r="T11" s="288">
        <f t="shared" si="2"/>
        <v>1407.1125</v>
      </c>
      <c r="U11" s="292">
        <f t="shared" si="2"/>
        <v>0</v>
      </c>
    </row>
    <row r="12" spans="1:253">
      <c r="A12" s="293"/>
      <c r="B12" s="293"/>
      <c r="C12" s="293" t="s">
        <v>276</v>
      </c>
      <c r="D12" s="294"/>
      <c r="E12" s="295"/>
      <c r="F12" s="296"/>
      <c r="G12" s="297"/>
      <c r="H12" s="297"/>
      <c r="I12" s="298"/>
      <c r="J12" s="299">
        <f>SUM(J10:J11)</f>
        <v>2064</v>
      </c>
      <c r="K12" s="296">
        <f t="shared" ref="K12:U12" si="3">SUM(K10:K11)</f>
        <v>2064</v>
      </c>
      <c r="L12" s="300">
        <f t="shared" si="3"/>
        <v>0</v>
      </c>
      <c r="M12" s="299">
        <f t="shared" si="3"/>
        <v>3173.3999999999996</v>
      </c>
      <c r="N12" s="296">
        <f t="shared" si="3"/>
        <v>3173.3999999999996</v>
      </c>
      <c r="O12" s="300">
        <f t="shared" si="3"/>
        <v>0</v>
      </c>
      <c r="P12" s="299">
        <f t="shared" si="3"/>
        <v>813.18375000000003</v>
      </c>
      <c r="Q12" s="296">
        <f t="shared" si="3"/>
        <v>813.18375000000003</v>
      </c>
      <c r="R12" s="300">
        <f t="shared" si="3"/>
        <v>0</v>
      </c>
      <c r="S12" s="299">
        <f t="shared" si="3"/>
        <v>6050.5837499999998</v>
      </c>
      <c r="T12" s="296">
        <f t="shared" si="3"/>
        <v>6050.5837499999998</v>
      </c>
      <c r="U12" s="301">
        <f t="shared" si="3"/>
        <v>0</v>
      </c>
    </row>
    <row r="13" spans="1:253">
      <c r="A13" s="278"/>
      <c r="B13" s="278"/>
      <c r="C13" s="278" t="s">
        <v>218</v>
      </c>
      <c r="D13" s="279"/>
      <c r="E13" s="280"/>
      <c r="F13" s="285"/>
      <c r="G13" s="302"/>
      <c r="H13" s="302"/>
      <c r="I13" s="283"/>
      <c r="J13" s="284"/>
      <c r="K13" s="285"/>
      <c r="L13" s="286"/>
      <c r="M13" s="284"/>
      <c r="N13" s="285"/>
      <c r="O13" s="286"/>
      <c r="P13" s="284"/>
      <c r="Q13" s="285"/>
      <c r="R13" s="286"/>
      <c r="S13" s="284"/>
      <c r="T13" s="285"/>
      <c r="U13" s="286"/>
    </row>
    <row r="14" spans="1:253">
      <c r="A14" s="493" t="s">
        <v>325</v>
      </c>
      <c r="B14" s="493">
        <v>7370</v>
      </c>
      <c r="C14" s="305" t="s">
        <v>408</v>
      </c>
      <c r="D14" s="306"/>
      <c r="E14" s="259">
        <v>1</v>
      </c>
      <c r="F14" s="288">
        <v>150</v>
      </c>
      <c r="G14" s="289" t="s">
        <v>409</v>
      </c>
      <c r="H14" s="242">
        <v>6</v>
      </c>
      <c r="I14" s="290">
        <v>1</v>
      </c>
      <c r="J14" s="291">
        <f>(E14*F14*H14*I14)</f>
        <v>900</v>
      </c>
      <c r="K14" s="288">
        <f>J14</f>
        <v>900</v>
      </c>
      <c r="L14" s="292">
        <f>J14-K14</f>
        <v>0</v>
      </c>
      <c r="M14" s="291">
        <f>(E14*F14*8*I14)*1.025</f>
        <v>1230</v>
      </c>
      <c r="N14" s="288">
        <f>M14</f>
        <v>1230</v>
      </c>
      <c r="O14" s="292">
        <f>M14-N14</f>
        <v>0</v>
      </c>
      <c r="P14" s="291">
        <f>(E14*(F14*1.025)*2*I14)*1.025</f>
        <v>315.1875</v>
      </c>
      <c r="Q14" s="288">
        <f>P14</f>
        <v>315.1875</v>
      </c>
      <c r="R14" s="292">
        <f>P14-Q14</f>
        <v>0</v>
      </c>
      <c r="S14" s="291">
        <f t="shared" ref="S14:U16" si="4">J14+M14+P14</f>
        <v>2445.1875</v>
      </c>
      <c r="T14" s="288">
        <f t="shared" si="4"/>
        <v>2445.1875</v>
      </c>
      <c r="U14" s="292">
        <f t="shared" si="4"/>
        <v>0</v>
      </c>
    </row>
    <row r="15" spans="1:253">
      <c r="A15" s="493" t="s">
        <v>325</v>
      </c>
      <c r="B15" s="493">
        <v>7370</v>
      </c>
      <c r="C15" s="305" t="s">
        <v>410</v>
      </c>
      <c r="D15" s="306"/>
      <c r="E15" s="259">
        <f>E7</f>
        <v>1</v>
      </c>
      <c r="F15" s="288">
        <v>300</v>
      </c>
      <c r="G15" s="289" t="s">
        <v>409</v>
      </c>
      <c r="H15" s="242">
        <v>6</v>
      </c>
      <c r="I15" s="290">
        <v>1</v>
      </c>
      <c r="J15" s="291">
        <f>(E15*F15*H15*I15)</f>
        <v>1800</v>
      </c>
      <c r="K15" s="288">
        <f>J15</f>
        <v>1800</v>
      </c>
      <c r="L15" s="292">
        <f>J15-K15</f>
        <v>0</v>
      </c>
      <c r="M15" s="291">
        <f>(E15*F15*8*I15)*1.025</f>
        <v>2460</v>
      </c>
      <c r="N15" s="288">
        <f>M15</f>
        <v>2460</v>
      </c>
      <c r="O15" s="292">
        <f>M15-N15</f>
        <v>0</v>
      </c>
      <c r="P15" s="291">
        <f>(E15*(F15*1.025)*2*I15)*1.025</f>
        <v>630.375</v>
      </c>
      <c r="Q15" s="288">
        <f>P15</f>
        <v>630.375</v>
      </c>
      <c r="R15" s="292">
        <f>P15-Q15</f>
        <v>0</v>
      </c>
      <c r="S15" s="291">
        <f t="shared" si="4"/>
        <v>4890.375</v>
      </c>
      <c r="T15" s="288">
        <f t="shared" si="4"/>
        <v>4890.375</v>
      </c>
      <c r="U15" s="292">
        <f t="shared" si="4"/>
        <v>0</v>
      </c>
    </row>
    <row r="16" spans="1:253">
      <c r="A16" s="493" t="s">
        <v>325</v>
      </c>
      <c r="B16" s="493">
        <v>7370</v>
      </c>
      <c r="C16" s="305" t="s">
        <v>411</v>
      </c>
      <c r="D16" s="306"/>
      <c r="E16" s="259">
        <v>1</v>
      </c>
      <c r="F16" s="288">
        <v>300</v>
      </c>
      <c r="G16" s="289" t="s">
        <v>409</v>
      </c>
      <c r="H16" s="242">
        <v>6</v>
      </c>
      <c r="I16" s="290">
        <v>1</v>
      </c>
      <c r="J16" s="291">
        <f>(E16*F16*H16*I16)</f>
        <v>1800</v>
      </c>
      <c r="K16" s="288">
        <f>J16</f>
        <v>1800</v>
      </c>
      <c r="L16" s="292">
        <f>J16-K16</f>
        <v>0</v>
      </c>
      <c r="M16" s="291">
        <f>(E16*F16*8*I16)*1.025</f>
        <v>2460</v>
      </c>
      <c r="N16" s="288">
        <f>M16</f>
        <v>2460</v>
      </c>
      <c r="O16" s="292">
        <f>M16-N16</f>
        <v>0</v>
      </c>
      <c r="P16" s="291">
        <f>(E16*(F16*1.025)*2*I16)*1.025</f>
        <v>630.375</v>
      </c>
      <c r="Q16" s="288">
        <f>P16</f>
        <v>630.375</v>
      </c>
      <c r="R16" s="292">
        <f>P16-Q16</f>
        <v>0</v>
      </c>
      <c r="S16" s="291">
        <f t="shared" si="4"/>
        <v>4890.375</v>
      </c>
      <c r="T16" s="288">
        <f t="shared" si="4"/>
        <v>4890.375</v>
      </c>
      <c r="U16" s="292">
        <f t="shared" si="4"/>
        <v>0</v>
      </c>
    </row>
    <row r="17" spans="1:22">
      <c r="A17" s="293"/>
      <c r="B17" s="293"/>
      <c r="C17" s="293" t="s">
        <v>428</v>
      </c>
      <c r="D17" s="294"/>
      <c r="E17" s="295"/>
      <c r="F17" s="296"/>
      <c r="G17" s="314"/>
      <c r="H17" s="314"/>
      <c r="I17" s="298"/>
      <c r="J17" s="299">
        <f t="shared" ref="J17:U17" si="5">SUM(J14:J16)</f>
        <v>4500</v>
      </c>
      <c r="K17" s="296">
        <f t="shared" si="5"/>
        <v>4500</v>
      </c>
      <c r="L17" s="301">
        <f t="shared" si="5"/>
        <v>0</v>
      </c>
      <c r="M17" s="299">
        <f t="shared" si="5"/>
        <v>6150</v>
      </c>
      <c r="N17" s="296">
        <f t="shared" si="5"/>
        <v>6150</v>
      </c>
      <c r="O17" s="301">
        <f t="shared" si="5"/>
        <v>0</v>
      </c>
      <c r="P17" s="299">
        <f t="shared" si="5"/>
        <v>1575.9375</v>
      </c>
      <c r="Q17" s="296">
        <f t="shared" si="5"/>
        <v>1575.9375</v>
      </c>
      <c r="R17" s="301">
        <f t="shared" si="5"/>
        <v>0</v>
      </c>
      <c r="S17" s="299">
        <f t="shared" si="5"/>
        <v>12225.9375</v>
      </c>
      <c r="T17" s="296">
        <f t="shared" si="5"/>
        <v>12225.9375</v>
      </c>
      <c r="U17" s="301">
        <f t="shared" si="5"/>
        <v>0</v>
      </c>
    </row>
    <row r="18" spans="1:22">
      <c r="A18" s="316"/>
      <c r="B18" s="316"/>
      <c r="C18" s="316" t="s">
        <v>219</v>
      </c>
      <c r="D18" s="317"/>
      <c r="E18" s="318"/>
      <c r="F18" s="319"/>
      <c r="G18" s="320"/>
      <c r="H18" s="320"/>
      <c r="I18" s="321"/>
      <c r="J18" s="322"/>
      <c r="K18" s="323"/>
      <c r="L18" s="324"/>
      <c r="M18" s="322"/>
      <c r="N18" s="323"/>
      <c r="O18" s="324"/>
      <c r="P18" s="322"/>
      <c r="Q18" s="323"/>
      <c r="R18" s="324"/>
      <c r="S18" s="322"/>
      <c r="T18" s="319"/>
      <c r="U18" s="325"/>
    </row>
    <row r="19" spans="1:22">
      <c r="A19" s="316"/>
      <c r="B19" s="316"/>
      <c r="C19" s="316" t="s">
        <v>220</v>
      </c>
      <c r="D19" s="317"/>
      <c r="E19" s="318"/>
      <c r="F19" s="319"/>
      <c r="G19" s="320"/>
      <c r="H19" s="320"/>
      <c r="I19" s="321"/>
      <c r="J19" s="322"/>
      <c r="K19" s="323"/>
      <c r="L19" s="324"/>
      <c r="M19" s="322"/>
      <c r="N19" s="323"/>
      <c r="O19" s="324"/>
      <c r="P19" s="322"/>
      <c r="Q19" s="323"/>
      <c r="R19" s="324"/>
      <c r="S19" s="322"/>
      <c r="T19" s="319"/>
      <c r="U19" s="325"/>
    </row>
    <row r="20" spans="1:22">
      <c r="A20" s="316"/>
      <c r="B20" s="316"/>
      <c r="C20" s="316" t="s">
        <v>412</v>
      </c>
      <c r="D20" s="317"/>
      <c r="E20" s="318"/>
      <c r="F20" s="319"/>
      <c r="G20" s="320"/>
      <c r="H20" s="320"/>
      <c r="I20" s="321"/>
      <c r="J20" s="322"/>
      <c r="K20" s="323"/>
      <c r="L20" s="324"/>
      <c r="M20" s="322"/>
      <c r="N20" s="323"/>
      <c r="O20" s="324"/>
      <c r="P20" s="322"/>
      <c r="Q20" s="323"/>
      <c r="R20" s="324"/>
      <c r="S20" s="322"/>
      <c r="T20" s="319"/>
      <c r="U20" s="325"/>
    </row>
    <row r="21" spans="1:22">
      <c r="A21" s="316"/>
      <c r="B21" s="316"/>
      <c r="C21" s="316" t="s">
        <v>222</v>
      </c>
      <c r="D21" s="317"/>
      <c r="E21" s="318"/>
      <c r="F21" s="319"/>
      <c r="G21" s="320"/>
      <c r="H21" s="320"/>
      <c r="I21" s="321"/>
      <c r="J21" s="322"/>
      <c r="K21" s="323"/>
      <c r="L21" s="324"/>
      <c r="M21" s="322"/>
      <c r="N21" s="323"/>
      <c r="O21" s="324"/>
      <c r="P21" s="322"/>
      <c r="Q21" s="323"/>
      <c r="R21" s="324"/>
      <c r="S21" s="322"/>
      <c r="T21" s="319"/>
      <c r="U21" s="325"/>
    </row>
    <row r="22" spans="1:22">
      <c r="A22" s="316"/>
      <c r="B22" s="316"/>
      <c r="C22" s="316" t="s">
        <v>223</v>
      </c>
      <c r="D22" s="317"/>
      <c r="E22" s="318"/>
      <c r="F22" s="319"/>
      <c r="G22" s="320"/>
      <c r="H22" s="320"/>
      <c r="I22" s="321"/>
      <c r="J22" s="322"/>
      <c r="K22" s="323"/>
      <c r="L22" s="324"/>
      <c r="M22" s="322"/>
      <c r="N22" s="323"/>
      <c r="O22" s="324"/>
      <c r="P22" s="322"/>
      <c r="Q22" s="323"/>
      <c r="R22" s="324"/>
      <c r="S22" s="322"/>
      <c r="T22" s="319"/>
      <c r="U22" s="325"/>
    </row>
    <row r="23" spans="1:22">
      <c r="A23" s="424"/>
      <c r="B23" s="424"/>
      <c r="C23" s="424" t="s">
        <v>336</v>
      </c>
      <c r="D23" s="424"/>
      <c r="E23" s="424"/>
      <c r="F23" s="424"/>
      <c r="G23" s="424"/>
      <c r="H23" s="424"/>
      <c r="I23" s="424"/>
      <c r="J23" s="424"/>
      <c r="K23" s="424"/>
      <c r="L23" s="424"/>
      <c r="M23" s="424"/>
      <c r="N23" s="424"/>
      <c r="O23" s="424"/>
      <c r="P23" s="424"/>
      <c r="Q23" s="424"/>
      <c r="R23" s="424"/>
      <c r="S23" s="424"/>
      <c r="T23" s="424"/>
      <c r="U23" s="424"/>
    </row>
    <row r="24" spans="1:22" ht="30">
      <c r="A24" s="549"/>
      <c r="B24" s="549"/>
      <c r="C24" s="549" t="s">
        <v>337</v>
      </c>
      <c r="D24" s="327"/>
      <c r="E24" s="328"/>
      <c r="F24" s="329"/>
      <c r="G24" s="330"/>
      <c r="H24" s="331"/>
      <c r="I24" s="332"/>
      <c r="J24" s="333"/>
      <c r="K24" s="329"/>
      <c r="L24" s="334"/>
      <c r="M24" s="333"/>
      <c r="N24" s="329"/>
      <c r="O24" s="334"/>
      <c r="P24" s="333"/>
      <c r="Q24" s="335"/>
      <c r="R24" s="334"/>
      <c r="S24" s="333"/>
      <c r="T24" s="329"/>
      <c r="U24" s="334"/>
      <c r="V24" s="313"/>
    </row>
    <row r="25" spans="1:22" ht="46.5">
      <c r="A25" s="544"/>
      <c r="B25" s="544"/>
      <c r="C25" s="544" t="s">
        <v>338</v>
      </c>
      <c r="D25" s="308"/>
      <c r="E25" s="309"/>
      <c r="F25" s="288"/>
      <c r="G25" s="336"/>
      <c r="H25" s="310"/>
      <c r="I25" s="311"/>
      <c r="J25" s="291"/>
      <c r="K25" s="288"/>
      <c r="L25" s="292"/>
      <c r="M25" s="291"/>
      <c r="N25" s="288"/>
      <c r="O25" s="292"/>
      <c r="P25" s="291"/>
      <c r="Q25" s="312"/>
      <c r="R25" s="292"/>
      <c r="S25" s="291"/>
      <c r="T25" s="288"/>
      <c r="U25" s="292"/>
      <c r="V25" s="313"/>
    </row>
    <row r="26" spans="1:22">
      <c r="A26" s="493" t="s">
        <v>325</v>
      </c>
      <c r="B26" s="493">
        <v>7370</v>
      </c>
      <c r="C26" s="480" t="s">
        <v>413</v>
      </c>
      <c r="D26" s="308"/>
      <c r="E26" s="550">
        <v>1</v>
      </c>
      <c r="F26" s="288">
        <v>150</v>
      </c>
      <c r="G26" s="219" t="s">
        <v>414</v>
      </c>
      <c r="H26" s="310">
        <v>4</v>
      </c>
      <c r="I26" s="311">
        <v>1</v>
      </c>
      <c r="J26" s="291">
        <f>E26*F26*H26*I26</f>
        <v>600</v>
      </c>
      <c r="K26" s="288">
        <f>J26</f>
        <v>600</v>
      </c>
      <c r="L26" s="292">
        <f>J26-K26</f>
        <v>0</v>
      </c>
      <c r="M26" s="291">
        <f>E26*F26*H26*I26</f>
        <v>600</v>
      </c>
      <c r="N26" s="288">
        <f>M26</f>
        <v>600</v>
      </c>
      <c r="O26" s="292">
        <f>M26-N26</f>
        <v>0</v>
      </c>
      <c r="P26" s="291">
        <f>E26*F26*0*I26</f>
        <v>0</v>
      </c>
      <c r="Q26" s="312">
        <f>P26</f>
        <v>0</v>
      </c>
      <c r="R26" s="292">
        <f>P26-Q26</f>
        <v>0</v>
      </c>
      <c r="S26" s="291">
        <f t="shared" ref="S26:T29" si="6">J26+M26+P26</f>
        <v>1200</v>
      </c>
      <c r="T26" s="288">
        <f t="shared" si="6"/>
        <v>1200</v>
      </c>
      <c r="U26" s="292">
        <f>S26-T26</f>
        <v>0</v>
      </c>
      <c r="V26" s="313"/>
    </row>
    <row r="27" spans="1:22">
      <c r="A27" s="493" t="s">
        <v>325</v>
      </c>
      <c r="B27" s="493">
        <v>7370</v>
      </c>
      <c r="C27" s="480" t="s">
        <v>415</v>
      </c>
      <c r="D27" s="308"/>
      <c r="E27" s="550">
        <v>1</v>
      </c>
      <c r="F27" s="288">
        <v>60</v>
      </c>
      <c r="G27" s="219" t="s">
        <v>414</v>
      </c>
      <c r="H27" s="310">
        <v>4</v>
      </c>
      <c r="I27" s="311">
        <v>1</v>
      </c>
      <c r="J27" s="291">
        <f>F27*H27*I27</f>
        <v>240</v>
      </c>
      <c r="K27" s="288">
        <f>J27</f>
        <v>240</v>
      </c>
      <c r="L27" s="292">
        <f>J27-K27</f>
        <v>0</v>
      </c>
      <c r="M27" s="291">
        <f>F27*H27*I27</f>
        <v>240</v>
      </c>
      <c r="N27" s="288">
        <f>M27</f>
        <v>240</v>
      </c>
      <c r="O27" s="292">
        <f>M27-N27</f>
        <v>0</v>
      </c>
      <c r="P27" s="291">
        <f>E27*F27*0*I27</f>
        <v>0</v>
      </c>
      <c r="Q27" s="312">
        <f>P27</f>
        <v>0</v>
      </c>
      <c r="R27" s="292">
        <f>P27-Q27</f>
        <v>0</v>
      </c>
      <c r="S27" s="291">
        <f t="shared" si="6"/>
        <v>480</v>
      </c>
      <c r="T27" s="288">
        <f t="shared" si="6"/>
        <v>480</v>
      </c>
      <c r="U27" s="292">
        <f>S27-T27</f>
        <v>0</v>
      </c>
      <c r="V27" s="313"/>
    </row>
    <row r="28" spans="1:22">
      <c r="A28" s="493" t="s">
        <v>325</v>
      </c>
      <c r="B28" s="493">
        <v>7370</v>
      </c>
      <c r="C28" s="480" t="s">
        <v>416</v>
      </c>
      <c r="D28" s="308"/>
      <c r="E28" s="550">
        <v>1</v>
      </c>
      <c r="F28" s="288">
        <v>300</v>
      </c>
      <c r="G28" s="219" t="s">
        <v>414</v>
      </c>
      <c r="H28" s="310">
        <v>4</v>
      </c>
      <c r="I28" s="311">
        <v>1</v>
      </c>
      <c r="J28" s="291">
        <f>F28*H28*I28</f>
        <v>1200</v>
      </c>
      <c r="K28" s="288">
        <f>J28</f>
        <v>1200</v>
      </c>
      <c r="L28" s="292">
        <f>J28-K28</f>
        <v>0</v>
      </c>
      <c r="M28" s="291">
        <f>F28*H28*I28</f>
        <v>1200</v>
      </c>
      <c r="N28" s="288">
        <f>M28</f>
        <v>1200</v>
      </c>
      <c r="O28" s="292">
        <f>M28-N28</f>
        <v>0</v>
      </c>
      <c r="P28" s="291">
        <f>E28*F28*0*I28</f>
        <v>0</v>
      </c>
      <c r="Q28" s="312">
        <f>P28</f>
        <v>0</v>
      </c>
      <c r="R28" s="292">
        <f>P28-Q28</f>
        <v>0</v>
      </c>
      <c r="S28" s="291">
        <f t="shared" si="6"/>
        <v>2400</v>
      </c>
      <c r="T28" s="288">
        <f t="shared" si="6"/>
        <v>2400</v>
      </c>
      <c r="U28" s="292">
        <f>S28-T28</f>
        <v>0</v>
      </c>
      <c r="V28" s="313"/>
    </row>
    <row r="29" spans="1:22">
      <c r="A29" s="493" t="s">
        <v>325</v>
      </c>
      <c r="B29" s="493">
        <v>7370</v>
      </c>
      <c r="C29" s="480" t="s">
        <v>417</v>
      </c>
      <c r="D29" s="308"/>
      <c r="E29" s="550">
        <v>1</v>
      </c>
      <c r="F29" s="288">
        <v>80</v>
      </c>
      <c r="G29" s="219" t="s">
        <v>414</v>
      </c>
      <c r="H29" s="310">
        <v>4</v>
      </c>
      <c r="I29" s="311">
        <v>1</v>
      </c>
      <c r="J29" s="291">
        <f>F29*H29*I29</f>
        <v>320</v>
      </c>
      <c r="K29" s="288">
        <f>J29</f>
        <v>320</v>
      </c>
      <c r="L29" s="292">
        <f>J29-K29</f>
        <v>0</v>
      </c>
      <c r="M29" s="291">
        <f>F29*H29*I29</f>
        <v>320</v>
      </c>
      <c r="N29" s="288">
        <f>M29</f>
        <v>320</v>
      </c>
      <c r="O29" s="292">
        <f>M29-N29</f>
        <v>0</v>
      </c>
      <c r="P29" s="291">
        <f>E29*F29*0*I29</f>
        <v>0</v>
      </c>
      <c r="Q29" s="312">
        <f>P29</f>
        <v>0</v>
      </c>
      <c r="R29" s="292">
        <f>P29-Q29</f>
        <v>0</v>
      </c>
      <c r="S29" s="291">
        <f t="shared" si="6"/>
        <v>640</v>
      </c>
      <c r="T29" s="288">
        <f t="shared" si="6"/>
        <v>640</v>
      </c>
      <c r="U29" s="292">
        <f>S29-T29</f>
        <v>0</v>
      </c>
      <c r="V29" s="313"/>
    </row>
    <row r="30" spans="1:22">
      <c r="A30" s="493" t="s">
        <v>325</v>
      </c>
      <c r="B30" s="493">
        <v>7370</v>
      </c>
      <c r="C30" s="315" t="s">
        <v>418</v>
      </c>
      <c r="D30" s="308"/>
      <c r="E30" s="259">
        <v>1</v>
      </c>
      <c r="F30" s="288">
        <v>300</v>
      </c>
      <c r="G30" s="219" t="s">
        <v>382</v>
      </c>
      <c r="H30" s="310">
        <v>2</v>
      </c>
      <c r="I30" s="311">
        <v>1</v>
      </c>
      <c r="J30" s="291">
        <f>E30*F30*H30*I30</f>
        <v>600</v>
      </c>
      <c r="K30" s="288">
        <f>J30</f>
        <v>600</v>
      </c>
      <c r="L30" s="292">
        <v>0</v>
      </c>
      <c r="M30" s="291">
        <f>E30*F30*H30*I30</f>
        <v>600</v>
      </c>
      <c r="N30" s="288">
        <f>M30</f>
        <v>600</v>
      </c>
      <c r="O30" s="292">
        <f>M30-N30</f>
        <v>0</v>
      </c>
      <c r="P30" s="291">
        <f>E30*F30*0*I30</f>
        <v>0</v>
      </c>
      <c r="Q30" s="288">
        <f>P30</f>
        <v>0</v>
      </c>
      <c r="R30" s="292">
        <f>P30-Q30</f>
        <v>0</v>
      </c>
      <c r="S30" s="291">
        <f t="shared" ref="S30:T30" si="7">J30+M30+P30</f>
        <v>1200</v>
      </c>
      <c r="T30" s="288">
        <f t="shared" si="7"/>
        <v>1200</v>
      </c>
      <c r="U30" s="292">
        <f>S30-T30</f>
        <v>0</v>
      </c>
      <c r="V30" s="313"/>
    </row>
    <row r="31" spans="1:22" ht="60">
      <c r="A31" s="549"/>
      <c r="B31" s="549"/>
      <c r="C31" s="549" t="s">
        <v>347</v>
      </c>
      <c r="D31" s="327"/>
      <c r="E31" s="328"/>
      <c r="F31" s="329"/>
      <c r="G31" s="337"/>
      <c r="H31" s="338"/>
      <c r="I31" s="339"/>
      <c r="J31" s="333"/>
      <c r="K31" s="329"/>
      <c r="L31" s="334"/>
      <c r="M31" s="333"/>
      <c r="N31" s="329"/>
      <c r="O31" s="334"/>
      <c r="P31" s="333"/>
      <c r="Q31" s="335"/>
      <c r="R31" s="334"/>
      <c r="S31" s="333"/>
      <c r="T31" s="329"/>
      <c r="U31" s="334"/>
      <c r="V31" s="313"/>
    </row>
    <row r="32" spans="1:22">
      <c r="A32" s="564"/>
      <c r="B32" s="564"/>
      <c r="C32" s="564" t="s">
        <v>419</v>
      </c>
      <c r="D32" s="308"/>
      <c r="E32" s="259"/>
      <c r="F32" s="288"/>
      <c r="G32" s="219"/>
      <c r="H32" s="310"/>
      <c r="I32" s="311"/>
      <c r="J32" s="291"/>
      <c r="K32" s="288"/>
      <c r="L32" s="292"/>
      <c r="M32" s="291"/>
      <c r="N32" s="288"/>
      <c r="O32" s="292"/>
      <c r="P32" s="291"/>
      <c r="Q32" s="312"/>
      <c r="R32" s="292"/>
      <c r="S32" s="291"/>
      <c r="T32" s="288"/>
      <c r="U32" s="292"/>
      <c r="V32" s="313"/>
    </row>
    <row r="33" spans="1:23">
      <c r="A33" s="493" t="s">
        <v>325</v>
      </c>
      <c r="B33" s="493">
        <v>7370</v>
      </c>
      <c r="C33" s="305" t="s">
        <v>420</v>
      </c>
      <c r="D33" s="308"/>
      <c r="E33" s="259">
        <v>1</v>
      </c>
      <c r="F33" s="288">
        <v>100</v>
      </c>
      <c r="G33" s="219" t="s">
        <v>341</v>
      </c>
      <c r="H33" s="310">
        <v>3</v>
      </c>
      <c r="I33" s="311">
        <v>1</v>
      </c>
      <c r="J33" s="291">
        <f>E33*F33*H33*I33</f>
        <v>300</v>
      </c>
      <c r="K33" s="288">
        <f>J33</f>
        <v>300</v>
      </c>
      <c r="L33" s="292">
        <f>J33-K33</f>
        <v>0</v>
      </c>
      <c r="M33" s="291">
        <f>E33*F33*H33*I33</f>
        <v>300</v>
      </c>
      <c r="N33" s="288">
        <f>M33</f>
        <v>300</v>
      </c>
      <c r="O33" s="292">
        <f>M33-N33</f>
        <v>0</v>
      </c>
      <c r="P33" s="291">
        <f>E33*F33*2*I33</f>
        <v>200</v>
      </c>
      <c r="Q33" s="312">
        <f>P33</f>
        <v>200</v>
      </c>
      <c r="R33" s="292">
        <f>P33-Q33</f>
        <v>0</v>
      </c>
      <c r="S33" s="291">
        <f t="shared" ref="S33:T33" si="8">J33+M33+P33</f>
        <v>800</v>
      </c>
      <c r="T33" s="288">
        <f t="shared" si="8"/>
        <v>800</v>
      </c>
      <c r="U33" s="292">
        <f>S33-T33</f>
        <v>0</v>
      </c>
      <c r="V33" s="313"/>
    </row>
    <row r="34" spans="1:23" ht="30">
      <c r="A34" s="514"/>
      <c r="B34" s="514"/>
      <c r="C34" s="514" t="s">
        <v>421</v>
      </c>
      <c r="D34" s="399"/>
      <c r="E34" s="399"/>
      <c r="F34" s="399"/>
      <c r="G34" s="412"/>
      <c r="H34" s="229"/>
      <c r="I34" s="229"/>
      <c r="J34" s="400"/>
      <c r="K34" s="400"/>
      <c r="L34" s="399"/>
      <c r="M34" s="399"/>
      <c r="N34" s="229"/>
      <c r="O34" s="229"/>
      <c r="P34" s="400"/>
      <c r="Q34" s="400"/>
      <c r="R34" s="399"/>
      <c r="S34" s="399"/>
      <c r="T34" s="229"/>
      <c r="U34" s="229"/>
      <c r="V34" s="313"/>
    </row>
    <row r="35" spans="1:23" ht="30.95">
      <c r="A35" s="526"/>
      <c r="B35" s="526"/>
      <c r="C35" s="526" t="s">
        <v>429</v>
      </c>
      <c r="D35" s="219"/>
      <c r="E35" s="219"/>
      <c r="F35" s="219"/>
      <c r="G35" s="243"/>
      <c r="H35" s="228"/>
      <c r="I35" s="228"/>
      <c r="J35" s="376"/>
      <c r="K35" s="376"/>
      <c r="L35" s="219"/>
      <c r="M35" s="219"/>
      <c r="N35" s="228"/>
      <c r="O35" s="228"/>
      <c r="P35" s="376"/>
      <c r="Q35" s="376"/>
      <c r="R35" s="219"/>
      <c r="S35" s="219"/>
      <c r="T35" s="228"/>
      <c r="U35" s="228"/>
      <c r="V35" s="313"/>
    </row>
    <row r="36" spans="1:23">
      <c r="A36" s="493" t="s">
        <v>325</v>
      </c>
      <c r="B36" s="493">
        <v>7370</v>
      </c>
      <c r="C36" s="565" t="s">
        <v>430</v>
      </c>
      <c r="D36" s="219"/>
      <c r="E36" s="219">
        <v>1</v>
      </c>
      <c r="F36" s="312">
        <v>1500</v>
      </c>
      <c r="G36" s="243" t="s">
        <v>431</v>
      </c>
      <c r="H36" s="566">
        <v>1</v>
      </c>
      <c r="I36" s="377">
        <v>1</v>
      </c>
      <c r="J36" s="567">
        <f>E36*F36*0*I36</f>
        <v>0</v>
      </c>
      <c r="K36" s="567">
        <f>J36</f>
        <v>0</v>
      </c>
      <c r="L36" s="312">
        <v>0</v>
      </c>
      <c r="M36" s="312">
        <f>E36*F36*H36*I36</f>
        <v>1500</v>
      </c>
      <c r="N36" s="567">
        <f>M36</f>
        <v>1500</v>
      </c>
      <c r="O36" s="567">
        <f>M36-N36</f>
        <v>0</v>
      </c>
      <c r="P36" s="567">
        <f>E36*F36*0*I36</f>
        <v>0</v>
      </c>
      <c r="Q36" s="567">
        <f>P36</f>
        <v>0</v>
      </c>
      <c r="R36" s="312">
        <f>P36-Q36</f>
        <v>0</v>
      </c>
      <c r="S36" s="312">
        <f t="shared" ref="S36:T37" si="9">J36+M36+P36</f>
        <v>1500</v>
      </c>
      <c r="T36" s="567">
        <f t="shared" si="9"/>
        <v>1500</v>
      </c>
      <c r="U36" s="567">
        <f>S36-T36</f>
        <v>0</v>
      </c>
      <c r="V36" s="313"/>
    </row>
    <row r="37" spans="1:23">
      <c r="A37" s="493" t="s">
        <v>325</v>
      </c>
      <c r="B37" s="493">
        <v>7370</v>
      </c>
      <c r="C37" s="568" t="s">
        <v>432</v>
      </c>
      <c r="D37" s="219"/>
      <c r="E37" s="219">
        <v>1</v>
      </c>
      <c r="F37" s="312">
        <v>500</v>
      </c>
      <c r="G37" s="243" t="s">
        <v>382</v>
      </c>
      <c r="H37" s="566">
        <v>1</v>
      </c>
      <c r="I37" s="569">
        <v>1</v>
      </c>
      <c r="J37" s="570">
        <f>E37*F37*H37*I37</f>
        <v>500</v>
      </c>
      <c r="K37" s="570">
        <f>J37</f>
        <v>500</v>
      </c>
      <c r="L37" s="571">
        <v>0</v>
      </c>
      <c r="M37" s="571">
        <f>E37*F37*H37*I37</f>
        <v>500</v>
      </c>
      <c r="N37" s="570">
        <f>M37</f>
        <v>500</v>
      </c>
      <c r="O37" s="570">
        <f>M37-N37</f>
        <v>0</v>
      </c>
      <c r="P37" s="570">
        <f>E37*F37*H37*I37</f>
        <v>500</v>
      </c>
      <c r="Q37" s="570">
        <f>P37</f>
        <v>500</v>
      </c>
      <c r="R37" s="571">
        <f>P37-Q37</f>
        <v>0</v>
      </c>
      <c r="S37" s="571">
        <f t="shared" si="9"/>
        <v>1500</v>
      </c>
      <c r="T37" s="570">
        <f t="shared" si="9"/>
        <v>1500</v>
      </c>
      <c r="U37" s="570">
        <f>S37-T37</f>
        <v>0</v>
      </c>
      <c r="V37" s="313"/>
    </row>
    <row r="38" spans="1:23">
      <c r="A38" s="493" t="s">
        <v>325</v>
      </c>
      <c r="B38" s="493">
        <v>7370</v>
      </c>
      <c r="C38" s="568" t="s">
        <v>433</v>
      </c>
      <c r="D38" s="219"/>
      <c r="E38" s="219">
        <v>1</v>
      </c>
      <c r="F38" s="312">
        <v>300</v>
      </c>
      <c r="G38" s="243" t="s">
        <v>354</v>
      </c>
      <c r="H38" s="566">
        <v>2</v>
      </c>
      <c r="I38" s="569">
        <v>1</v>
      </c>
      <c r="J38" s="570">
        <f t="shared" ref="J38:J39" si="10">E38*F38*H38*I38</f>
        <v>600</v>
      </c>
      <c r="K38" s="570">
        <f t="shared" ref="K38:K39" si="11">J38</f>
        <v>600</v>
      </c>
      <c r="L38" s="571">
        <v>0</v>
      </c>
      <c r="M38" s="571">
        <f t="shared" ref="M38:M39" si="12">E38*F38*H38*I38</f>
        <v>600</v>
      </c>
      <c r="N38" s="570">
        <f t="shared" ref="N38:N39" si="13">M38</f>
        <v>600</v>
      </c>
      <c r="O38" s="570">
        <f t="shared" ref="O38:O39" si="14">M38-N38</f>
        <v>0</v>
      </c>
      <c r="P38" s="570">
        <f t="shared" ref="P38:P39" si="15">E38*F38*H38*I38</f>
        <v>600</v>
      </c>
      <c r="Q38" s="570">
        <f t="shared" ref="Q38:Q39" si="16">P38</f>
        <v>600</v>
      </c>
      <c r="R38" s="571">
        <f t="shared" ref="R38:R39" si="17">P38-Q38</f>
        <v>0</v>
      </c>
      <c r="S38" s="571">
        <f t="shared" ref="S38:S39" si="18">J38+M38+P38</f>
        <v>1800</v>
      </c>
      <c r="T38" s="570">
        <f t="shared" ref="T38:T39" si="19">K38+N38+Q38</f>
        <v>1800</v>
      </c>
      <c r="U38" s="570">
        <f t="shared" ref="U38:U39" si="20">S38-T38</f>
        <v>0</v>
      </c>
      <c r="V38" s="313"/>
    </row>
    <row r="39" spans="1:23">
      <c r="A39" s="493" t="s">
        <v>325</v>
      </c>
      <c r="B39" s="493">
        <v>7370</v>
      </c>
      <c r="C39" s="568" t="s">
        <v>434</v>
      </c>
      <c r="D39" s="219"/>
      <c r="E39" s="219">
        <v>1</v>
      </c>
      <c r="F39" s="312">
        <v>100</v>
      </c>
      <c r="G39" s="243" t="s">
        <v>354</v>
      </c>
      <c r="H39" s="566">
        <v>2</v>
      </c>
      <c r="I39" s="569">
        <v>1</v>
      </c>
      <c r="J39" s="570">
        <f t="shared" si="10"/>
        <v>200</v>
      </c>
      <c r="K39" s="570">
        <f t="shared" si="11"/>
        <v>200</v>
      </c>
      <c r="L39" s="571">
        <v>0</v>
      </c>
      <c r="M39" s="571">
        <f t="shared" si="12"/>
        <v>200</v>
      </c>
      <c r="N39" s="570">
        <f t="shared" si="13"/>
        <v>200</v>
      </c>
      <c r="O39" s="570">
        <f t="shared" si="14"/>
        <v>0</v>
      </c>
      <c r="P39" s="570">
        <f t="shared" si="15"/>
        <v>200</v>
      </c>
      <c r="Q39" s="570">
        <f t="shared" si="16"/>
        <v>200</v>
      </c>
      <c r="R39" s="571">
        <f t="shared" si="17"/>
        <v>0</v>
      </c>
      <c r="S39" s="571">
        <f t="shared" si="18"/>
        <v>600</v>
      </c>
      <c r="T39" s="570">
        <f t="shared" si="19"/>
        <v>600</v>
      </c>
      <c r="U39" s="570">
        <f t="shared" si="20"/>
        <v>0</v>
      </c>
      <c r="V39" s="313"/>
    </row>
    <row r="40" spans="1:23">
      <c r="A40" s="293"/>
      <c r="B40" s="293"/>
      <c r="C40" s="293" t="s">
        <v>391</v>
      </c>
      <c r="D40" s="294"/>
      <c r="E40" s="295"/>
      <c r="F40" s="296"/>
      <c r="G40" s="303"/>
      <c r="H40" s="303"/>
      <c r="I40" s="340"/>
      <c r="J40" s="299">
        <f t="shared" ref="J40:U40" si="21">SUM(J26:J39)</f>
        <v>4560</v>
      </c>
      <c r="K40" s="299">
        <f t="shared" si="21"/>
        <v>4560</v>
      </c>
      <c r="L40" s="299">
        <f t="shared" si="21"/>
        <v>0</v>
      </c>
      <c r="M40" s="299">
        <f t="shared" si="21"/>
        <v>6060</v>
      </c>
      <c r="N40" s="299">
        <f t="shared" si="21"/>
        <v>6060</v>
      </c>
      <c r="O40" s="299">
        <f t="shared" si="21"/>
        <v>0</v>
      </c>
      <c r="P40" s="299">
        <f t="shared" si="21"/>
        <v>1500</v>
      </c>
      <c r="Q40" s="299">
        <f t="shared" si="21"/>
        <v>1500</v>
      </c>
      <c r="R40" s="299">
        <f t="shared" si="21"/>
        <v>0</v>
      </c>
      <c r="S40" s="299">
        <f t="shared" si="21"/>
        <v>12120</v>
      </c>
      <c r="T40" s="299">
        <f t="shared" si="21"/>
        <v>12120</v>
      </c>
      <c r="U40" s="299">
        <f t="shared" si="21"/>
        <v>0</v>
      </c>
      <c r="V40" s="529"/>
    </row>
    <row r="41" spans="1:23">
      <c r="A41" s="278"/>
      <c r="B41" s="278"/>
      <c r="C41" s="278" t="s">
        <v>224</v>
      </c>
      <c r="D41" s="279"/>
      <c r="E41" s="280"/>
      <c r="F41" s="285"/>
      <c r="G41" s="302"/>
      <c r="H41" s="302"/>
      <c r="I41" s="283"/>
      <c r="J41" s="284">
        <f>J8+J12+J17+J40</f>
        <v>18004</v>
      </c>
      <c r="K41" s="285">
        <f>J41</f>
        <v>18004</v>
      </c>
      <c r="L41" s="286">
        <f>J41-K41</f>
        <v>0</v>
      </c>
      <c r="M41" s="341">
        <f>M8+M12+M17+M40</f>
        <v>25961.4</v>
      </c>
      <c r="N41" s="285">
        <f>M41</f>
        <v>25961.4</v>
      </c>
      <c r="O41" s="342">
        <f>M41-N41</f>
        <v>0</v>
      </c>
      <c r="P41" s="341">
        <f>P8+P12+P17+P40</f>
        <v>6599.7337500000003</v>
      </c>
      <c r="Q41" s="285">
        <f>P41</f>
        <v>6599.7337500000003</v>
      </c>
      <c r="R41" s="342">
        <f>P41-Q41</f>
        <v>0</v>
      </c>
      <c r="S41" s="341">
        <f>S8+S12+S17+S40</f>
        <v>50565.133750000001</v>
      </c>
      <c r="T41" s="285">
        <f>S41</f>
        <v>50565.133750000001</v>
      </c>
      <c r="U41" s="342">
        <f>SUM(U8+U17+U40)</f>
        <v>0</v>
      </c>
    </row>
    <row r="42" spans="1:23">
      <c r="A42" s="278"/>
      <c r="B42" s="278"/>
      <c r="C42" s="278" t="s">
        <v>424</v>
      </c>
      <c r="D42" s="279"/>
      <c r="E42" s="280"/>
      <c r="F42" s="285"/>
      <c r="G42" s="302"/>
      <c r="H42" s="302"/>
      <c r="I42" s="283"/>
      <c r="J42" s="284"/>
      <c r="K42" s="285"/>
      <c r="L42" s="286"/>
      <c r="M42" s="284"/>
      <c r="N42" s="285"/>
      <c r="O42" s="286"/>
      <c r="P42" s="284"/>
      <c r="Q42" s="285"/>
      <c r="R42" s="286"/>
      <c r="S42" s="284"/>
      <c r="T42" s="285"/>
      <c r="U42" s="286"/>
    </row>
    <row r="43" spans="1:23">
      <c r="A43" s="493" t="s">
        <v>325</v>
      </c>
      <c r="B43" s="493">
        <v>7370</v>
      </c>
      <c r="C43" s="555" t="s">
        <v>425</v>
      </c>
      <c r="D43" s="556"/>
      <c r="E43" s="557"/>
      <c r="F43" s="558">
        <v>0.08</v>
      </c>
      <c r="G43" s="559"/>
      <c r="H43" s="559"/>
      <c r="I43" s="560">
        <v>1</v>
      </c>
      <c r="J43" s="561">
        <f>J41*F43*I43</f>
        <v>1440.32</v>
      </c>
      <c r="K43" s="562">
        <f>J43</f>
        <v>1440.32</v>
      </c>
      <c r="L43" s="563">
        <f>SUM(L41:L42)</f>
        <v>0</v>
      </c>
      <c r="M43" s="561">
        <f>M41*F43*I43</f>
        <v>2076.9120000000003</v>
      </c>
      <c r="N43" s="562">
        <f>M43</f>
        <v>2076.9120000000003</v>
      </c>
      <c r="O43" s="563">
        <f>SUM(O41:O42)</f>
        <v>0</v>
      </c>
      <c r="P43" s="561">
        <f>P41*F43*I43</f>
        <v>527.9787</v>
      </c>
      <c r="Q43" s="562">
        <f>P43</f>
        <v>527.9787</v>
      </c>
      <c r="R43" s="563">
        <f>SUM(R41:R42)</f>
        <v>0</v>
      </c>
      <c r="S43" s="561">
        <f>J43+M43+P43</f>
        <v>4045.2107000000001</v>
      </c>
      <c r="T43" s="562">
        <f>S43</f>
        <v>4045.2107000000001</v>
      </c>
      <c r="U43" s="563">
        <f>S43-T43</f>
        <v>0</v>
      </c>
    </row>
    <row r="44" spans="1:23">
      <c r="A44" s="343"/>
      <c r="B44" s="343"/>
      <c r="C44" s="343" t="s">
        <v>395</v>
      </c>
      <c r="D44" s="344"/>
      <c r="E44" s="345"/>
      <c r="F44" s="346"/>
      <c r="G44" s="347"/>
      <c r="H44" s="347"/>
      <c r="I44" s="348"/>
      <c r="J44" s="284">
        <f>J43</f>
        <v>1440.32</v>
      </c>
      <c r="K44" s="285">
        <f>K43</f>
        <v>1440.32</v>
      </c>
      <c r="L44" s="286">
        <f t="shared" ref="L44:U44" si="22">L43</f>
        <v>0</v>
      </c>
      <c r="M44" s="284">
        <f t="shared" si="22"/>
        <v>2076.9120000000003</v>
      </c>
      <c r="N44" s="285">
        <f t="shared" si="22"/>
        <v>2076.9120000000003</v>
      </c>
      <c r="O44" s="286">
        <f t="shared" si="22"/>
        <v>0</v>
      </c>
      <c r="P44" s="284">
        <f t="shared" si="22"/>
        <v>527.9787</v>
      </c>
      <c r="Q44" s="285">
        <f t="shared" si="22"/>
        <v>527.9787</v>
      </c>
      <c r="R44" s="286">
        <f t="shared" si="22"/>
        <v>0</v>
      </c>
      <c r="S44" s="284">
        <f t="shared" si="22"/>
        <v>4045.2107000000001</v>
      </c>
      <c r="T44" s="285">
        <f t="shared" si="22"/>
        <v>4045.2107000000001</v>
      </c>
      <c r="U44" s="286">
        <f t="shared" si="22"/>
        <v>0</v>
      </c>
    </row>
    <row r="45" spans="1:23" ht="15.95" thickBot="1">
      <c r="A45" s="349"/>
      <c r="B45" s="349"/>
      <c r="C45" s="349" t="s">
        <v>396</v>
      </c>
      <c r="D45" s="350"/>
      <c r="E45" s="262"/>
      <c r="F45" s="351"/>
      <c r="G45" s="264"/>
      <c r="H45" s="264"/>
      <c r="I45" s="352"/>
      <c r="J45" s="353">
        <f>J41+J44</f>
        <v>19444.32</v>
      </c>
      <c r="K45" s="351">
        <f>K41+K44</f>
        <v>19444.32</v>
      </c>
      <c r="L45" s="354">
        <f t="shared" ref="L45:U45" si="23">L41+L44</f>
        <v>0</v>
      </c>
      <c r="M45" s="353">
        <f t="shared" si="23"/>
        <v>28038.312000000002</v>
      </c>
      <c r="N45" s="351">
        <f t="shared" si="23"/>
        <v>28038.312000000002</v>
      </c>
      <c r="O45" s="354">
        <f t="shared" si="23"/>
        <v>0</v>
      </c>
      <c r="P45" s="353">
        <f t="shared" si="23"/>
        <v>7127.71245</v>
      </c>
      <c r="Q45" s="351">
        <f t="shared" si="23"/>
        <v>7127.71245</v>
      </c>
      <c r="R45" s="354">
        <f t="shared" si="23"/>
        <v>0</v>
      </c>
      <c r="S45" s="353">
        <f t="shared" si="23"/>
        <v>54610.344450000004</v>
      </c>
      <c r="T45" s="351">
        <f>T41+T44</f>
        <v>54610.344450000004</v>
      </c>
      <c r="U45" s="354">
        <f t="shared" si="23"/>
        <v>0</v>
      </c>
      <c r="W45" s="270"/>
    </row>
    <row r="46" spans="1:23">
      <c r="E46" s="215"/>
      <c r="F46" s="355"/>
      <c r="G46" s="216"/>
      <c r="H46" s="215"/>
      <c r="I46" s="215"/>
    </row>
    <row r="47" spans="1:23">
      <c r="E47" s="215"/>
      <c r="F47" s="355"/>
      <c r="G47" s="216"/>
      <c r="H47" s="215"/>
      <c r="I47" s="215"/>
    </row>
    <row r="48" spans="1:23">
      <c r="E48" s="215"/>
      <c r="F48" s="355"/>
      <c r="G48" s="216"/>
      <c r="H48" s="215"/>
      <c r="I48" s="215"/>
    </row>
    <row r="49" spans="5:9">
      <c r="E49" s="215"/>
      <c r="F49" s="355"/>
      <c r="G49" s="216"/>
      <c r="H49" s="215"/>
      <c r="I49" s="215"/>
    </row>
    <row r="50" spans="5:9">
      <c r="E50" s="215"/>
      <c r="F50" s="355"/>
      <c r="G50" s="216"/>
      <c r="H50" s="215"/>
      <c r="I50" s="215"/>
    </row>
    <row r="51" spans="5:9">
      <c r="E51" s="215"/>
      <c r="F51" s="355"/>
      <c r="G51" s="216"/>
      <c r="H51" s="215"/>
      <c r="I51" s="215"/>
    </row>
    <row r="52" spans="5:9">
      <c r="E52" s="215"/>
      <c r="F52" s="355"/>
      <c r="G52" s="216"/>
      <c r="H52" s="215"/>
      <c r="I52" s="215"/>
    </row>
    <row r="53" spans="5:9">
      <c r="E53" s="215"/>
      <c r="F53" s="355"/>
      <c r="G53" s="216"/>
      <c r="H53" s="215"/>
      <c r="I53" s="215"/>
    </row>
    <row r="54" spans="5:9">
      <c r="E54" s="215"/>
      <c r="F54" s="355"/>
      <c r="G54" s="216"/>
      <c r="H54" s="215"/>
      <c r="I54" s="215"/>
    </row>
    <row r="55" spans="5:9">
      <c r="E55" s="215"/>
      <c r="F55" s="355"/>
      <c r="G55" s="216"/>
      <c r="H55" s="215"/>
      <c r="I55" s="215"/>
    </row>
    <row r="56" spans="5:9">
      <c r="E56" s="215"/>
      <c r="F56" s="355"/>
      <c r="G56" s="216"/>
      <c r="H56" s="215"/>
      <c r="I56" s="215"/>
    </row>
    <row r="57" spans="5:9">
      <c r="E57" s="215"/>
      <c r="F57" s="355"/>
      <c r="G57" s="216"/>
      <c r="H57" s="215"/>
      <c r="I57" s="215"/>
    </row>
    <row r="58" spans="5:9">
      <c r="E58" s="215"/>
      <c r="F58" s="355"/>
      <c r="G58" s="216"/>
      <c r="H58" s="215"/>
      <c r="I58" s="215"/>
    </row>
    <row r="59" spans="5:9">
      <c r="E59" s="215"/>
      <c r="F59" s="355"/>
      <c r="G59" s="216"/>
      <c r="H59" s="215"/>
      <c r="I59" s="215"/>
    </row>
    <row r="60" spans="5:9">
      <c r="E60" s="215"/>
      <c r="F60" s="355"/>
      <c r="G60" s="216"/>
      <c r="H60" s="215"/>
      <c r="I60" s="215"/>
    </row>
    <row r="61" spans="5:9">
      <c r="E61" s="215"/>
      <c r="F61" s="355"/>
      <c r="G61" s="216"/>
      <c r="H61" s="215"/>
      <c r="I61" s="215"/>
    </row>
    <row r="62" spans="5:9">
      <c r="E62" s="215"/>
      <c r="F62" s="355"/>
      <c r="G62" s="216"/>
      <c r="H62" s="215"/>
      <c r="I62" s="215"/>
    </row>
    <row r="63" spans="5:9">
      <c r="E63" s="215"/>
      <c r="F63" s="355"/>
      <c r="G63" s="216"/>
      <c r="H63" s="215"/>
      <c r="I63" s="215"/>
    </row>
    <row r="64" spans="5:9">
      <c r="E64" s="215"/>
      <c r="F64" s="355"/>
      <c r="G64" s="216"/>
      <c r="H64" s="215"/>
      <c r="I64" s="215"/>
    </row>
    <row r="65" spans="5:9">
      <c r="E65" s="215"/>
      <c r="F65" s="355"/>
      <c r="G65" s="216"/>
      <c r="H65" s="215"/>
      <c r="I65" s="215"/>
    </row>
    <row r="66" spans="5:9">
      <c r="E66" s="215"/>
      <c r="F66" s="355"/>
      <c r="G66" s="216"/>
      <c r="H66" s="215"/>
      <c r="I66" s="215"/>
    </row>
    <row r="67" spans="5:9">
      <c r="E67" s="215"/>
      <c r="F67" s="355"/>
      <c r="G67" s="216"/>
      <c r="H67" s="215"/>
      <c r="I67" s="215"/>
    </row>
    <row r="68" spans="5:9">
      <c r="E68" s="215"/>
      <c r="F68" s="355"/>
      <c r="G68" s="216"/>
      <c r="H68" s="215"/>
      <c r="I68" s="215"/>
    </row>
    <row r="69" spans="5:9">
      <c r="E69" s="215"/>
      <c r="F69" s="355"/>
      <c r="G69" s="216"/>
      <c r="H69" s="215"/>
      <c r="I69" s="215"/>
    </row>
    <row r="70" spans="5:9">
      <c r="E70" s="215"/>
      <c r="F70" s="355"/>
      <c r="G70" s="216"/>
      <c r="H70" s="215"/>
      <c r="I70" s="215"/>
    </row>
    <row r="71" spans="5:9">
      <c r="E71" s="215"/>
      <c r="F71" s="355"/>
      <c r="G71" s="216"/>
      <c r="H71" s="215"/>
      <c r="I71" s="215"/>
    </row>
    <row r="72" spans="5:9">
      <c r="E72" s="215"/>
      <c r="F72" s="355"/>
      <c r="G72" s="216"/>
      <c r="H72" s="215"/>
      <c r="I72" s="215"/>
    </row>
    <row r="73" spans="5:9">
      <c r="E73" s="215"/>
      <c r="F73" s="355"/>
      <c r="G73" s="216"/>
      <c r="H73" s="215"/>
      <c r="I73" s="215"/>
    </row>
    <row r="74" spans="5:9">
      <c r="E74" s="215"/>
      <c r="F74" s="355"/>
      <c r="G74" s="216"/>
      <c r="H74" s="215"/>
      <c r="I74" s="215"/>
    </row>
    <row r="75" spans="5:9">
      <c r="E75" s="215"/>
      <c r="F75" s="355"/>
      <c r="G75" s="216"/>
      <c r="H75" s="215"/>
      <c r="I75" s="215"/>
    </row>
    <row r="76" spans="5:9">
      <c r="E76" s="215"/>
      <c r="F76" s="355"/>
      <c r="G76" s="216"/>
      <c r="H76" s="215"/>
      <c r="I76" s="215"/>
    </row>
    <row r="77" spans="5:9">
      <c r="E77" s="215"/>
      <c r="F77" s="355"/>
      <c r="G77" s="216"/>
      <c r="H77" s="215"/>
      <c r="I77" s="215"/>
    </row>
    <row r="78" spans="5:9">
      <c r="E78" s="215"/>
      <c r="F78" s="355"/>
      <c r="G78" s="216"/>
      <c r="H78" s="215"/>
      <c r="I78" s="215"/>
    </row>
    <row r="79" spans="5:9">
      <c r="E79" s="215"/>
      <c r="F79" s="355"/>
      <c r="G79" s="216"/>
      <c r="H79" s="215"/>
      <c r="I79" s="215"/>
    </row>
    <row r="80" spans="5:9">
      <c r="E80" s="215"/>
      <c r="F80" s="355"/>
      <c r="G80" s="216"/>
      <c r="H80" s="215"/>
      <c r="I80" s="215"/>
    </row>
    <row r="81" spans="5:9">
      <c r="E81" s="215"/>
      <c r="F81" s="355"/>
      <c r="G81" s="216"/>
      <c r="H81" s="215"/>
      <c r="I81" s="215"/>
    </row>
    <row r="82" spans="5:9">
      <c r="E82" s="215"/>
      <c r="F82" s="355"/>
      <c r="G82" s="216"/>
      <c r="H82" s="215"/>
      <c r="I82" s="215"/>
    </row>
    <row r="83" spans="5:9">
      <c r="E83" s="215"/>
      <c r="F83" s="355"/>
      <c r="G83" s="216"/>
      <c r="H83" s="215"/>
      <c r="I83" s="215"/>
    </row>
    <row r="84" spans="5:9">
      <c r="E84" s="215"/>
      <c r="F84" s="355"/>
      <c r="G84" s="216"/>
      <c r="H84" s="215"/>
      <c r="I84" s="215"/>
    </row>
    <row r="85" spans="5:9">
      <c r="E85" s="215"/>
      <c r="F85" s="355"/>
      <c r="G85" s="216"/>
      <c r="H85" s="215"/>
      <c r="I85" s="215"/>
    </row>
    <row r="86" spans="5:9">
      <c r="E86" s="215"/>
      <c r="F86" s="355"/>
      <c r="G86" s="216"/>
      <c r="H86" s="215"/>
      <c r="I86" s="215"/>
    </row>
    <row r="87" spans="5:9">
      <c r="E87" s="215"/>
      <c r="F87" s="355"/>
      <c r="G87" s="216"/>
      <c r="H87" s="215"/>
      <c r="I87" s="215"/>
    </row>
    <row r="88" spans="5:9">
      <c r="E88" s="215"/>
      <c r="F88" s="355"/>
      <c r="G88" s="216"/>
      <c r="H88" s="215"/>
      <c r="I88" s="215"/>
    </row>
    <row r="89" spans="5:9">
      <c r="E89" s="215"/>
      <c r="F89" s="355"/>
      <c r="G89" s="216"/>
      <c r="H89" s="215"/>
      <c r="I89" s="215"/>
    </row>
    <row r="90" spans="5:9">
      <c r="E90" s="215"/>
      <c r="F90" s="355"/>
      <c r="G90" s="216"/>
      <c r="H90" s="215"/>
      <c r="I90" s="215"/>
    </row>
    <row r="91" spans="5:9">
      <c r="E91" s="215"/>
      <c r="F91" s="355"/>
      <c r="G91" s="216"/>
      <c r="H91" s="215"/>
      <c r="I91" s="215"/>
    </row>
    <row r="92" spans="5:9">
      <c r="E92" s="215"/>
      <c r="F92" s="355"/>
      <c r="G92" s="216"/>
      <c r="H92" s="215"/>
      <c r="I92" s="215"/>
    </row>
    <row r="93" spans="5:9">
      <c r="E93" s="215"/>
      <c r="F93" s="355"/>
      <c r="G93" s="216"/>
      <c r="H93" s="215"/>
      <c r="I93" s="215"/>
    </row>
    <row r="94" spans="5:9">
      <c r="E94" s="215"/>
      <c r="F94" s="355"/>
      <c r="G94" s="216"/>
      <c r="H94" s="215"/>
      <c r="I94" s="215"/>
    </row>
    <row r="95" spans="5:9">
      <c r="E95" s="215"/>
      <c r="F95" s="355"/>
      <c r="G95" s="216"/>
      <c r="H95" s="215"/>
      <c r="I95" s="215"/>
    </row>
    <row r="96" spans="5:9">
      <c r="E96" s="215"/>
      <c r="F96" s="355"/>
      <c r="G96" s="216"/>
      <c r="H96" s="215"/>
      <c r="I96" s="215"/>
    </row>
    <row r="97" spans="5:9">
      <c r="E97" s="215"/>
      <c r="F97" s="355"/>
      <c r="G97" s="216"/>
      <c r="H97" s="215"/>
      <c r="I97" s="215"/>
    </row>
    <row r="98" spans="5:9">
      <c r="E98" s="215"/>
      <c r="F98" s="355"/>
      <c r="G98" s="216"/>
      <c r="H98" s="215"/>
      <c r="I98" s="215"/>
    </row>
    <row r="99" spans="5:9">
      <c r="E99" s="215"/>
      <c r="F99" s="355"/>
      <c r="G99" s="216"/>
      <c r="H99" s="215"/>
      <c r="I99" s="215"/>
    </row>
    <row r="100" spans="5:9">
      <c r="E100" s="215"/>
      <c r="F100" s="355"/>
      <c r="G100" s="216"/>
      <c r="H100" s="215"/>
      <c r="I100" s="215"/>
    </row>
    <row r="101" spans="5:9">
      <c r="E101" s="215"/>
      <c r="F101" s="355"/>
      <c r="G101" s="216"/>
      <c r="H101" s="215"/>
      <c r="I101" s="215"/>
    </row>
    <row r="102" spans="5:9">
      <c r="E102" s="215"/>
      <c r="F102" s="355"/>
      <c r="G102" s="216"/>
      <c r="H102" s="215"/>
      <c r="I102" s="215"/>
    </row>
    <row r="103" spans="5:9">
      <c r="E103" s="215"/>
      <c r="F103" s="355"/>
      <c r="G103" s="216"/>
      <c r="H103" s="215"/>
      <c r="I103" s="215"/>
    </row>
    <row r="104" spans="5:9">
      <c r="E104" s="215"/>
      <c r="F104" s="355"/>
      <c r="G104" s="216"/>
      <c r="H104" s="215"/>
      <c r="I104" s="215"/>
    </row>
    <row r="105" spans="5:9">
      <c r="E105" s="215"/>
      <c r="F105" s="355"/>
      <c r="G105" s="216"/>
      <c r="H105" s="215"/>
      <c r="I105" s="215"/>
    </row>
    <row r="106" spans="5:9">
      <c r="E106" s="215"/>
      <c r="F106" s="355"/>
      <c r="G106" s="216"/>
      <c r="H106" s="215"/>
      <c r="I106" s="215"/>
    </row>
    <row r="107" spans="5:9">
      <c r="E107" s="215"/>
      <c r="F107" s="355"/>
      <c r="G107" s="216"/>
      <c r="H107" s="215"/>
      <c r="I107" s="215"/>
    </row>
    <row r="108" spans="5:9">
      <c r="E108" s="215"/>
      <c r="F108" s="355"/>
      <c r="G108" s="216"/>
      <c r="H108" s="215"/>
      <c r="I108" s="215"/>
    </row>
    <row r="109" spans="5:9">
      <c r="E109" s="215"/>
      <c r="F109" s="355"/>
      <c r="G109" s="216"/>
      <c r="H109" s="215"/>
      <c r="I109" s="215"/>
    </row>
    <row r="110" spans="5:9">
      <c r="E110" s="215"/>
      <c r="F110" s="355"/>
      <c r="G110" s="216"/>
      <c r="H110" s="215"/>
      <c r="I110" s="215"/>
    </row>
    <row r="111" spans="5:9">
      <c r="E111" s="215"/>
      <c r="F111" s="355"/>
      <c r="G111" s="216"/>
      <c r="H111" s="215"/>
      <c r="I111" s="215"/>
    </row>
    <row r="112" spans="5:9">
      <c r="E112" s="215"/>
      <c r="F112" s="355"/>
      <c r="G112" s="216"/>
      <c r="H112" s="215"/>
      <c r="I112" s="215"/>
    </row>
    <row r="113" spans="5:9">
      <c r="E113" s="215"/>
      <c r="F113" s="355"/>
      <c r="G113" s="216"/>
      <c r="H113" s="215"/>
      <c r="I113" s="215"/>
    </row>
    <row r="114" spans="5:9">
      <c r="E114" s="215"/>
      <c r="F114" s="355"/>
      <c r="G114" s="216"/>
      <c r="H114" s="215"/>
      <c r="I114" s="215"/>
    </row>
    <row r="115" spans="5:9">
      <c r="E115" s="215"/>
      <c r="F115" s="355"/>
      <c r="G115" s="216"/>
      <c r="H115" s="215"/>
      <c r="I115" s="215"/>
    </row>
    <row r="116" spans="5:9">
      <c r="E116" s="215"/>
      <c r="F116" s="355"/>
      <c r="G116" s="216"/>
      <c r="H116" s="215"/>
      <c r="I116" s="215"/>
    </row>
    <row r="117" spans="5:9">
      <c r="E117" s="215"/>
      <c r="F117" s="355"/>
      <c r="G117" s="216"/>
      <c r="H117" s="215"/>
      <c r="I117" s="215"/>
    </row>
    <row r="118" spans="5:9">
      <c r="E118" s="215"/>
      <c r="F118" s="355"/>
      <c r="G118" s="216"/>
      <c r="H118" s="215"/>
      <c r="I118" s="215"/>
    </row>
    <row r="119" spans="5:9">
      <c r="E119" s="215"/>
      <c r="F119" s="355"/>
      <c r="G119" s="216"/>
      <c r="H119" s="215"/>
      <c r="I119" s="215"/>
    </row>
    <row r="120" spans="5:9">
      <c r="E120" s="215"/>
      <c r="F120" s="355"/>
      <c r="G120" s="216"/>
      <c r="H120" s="215"/>
      <c r="I120" s="215"/>
    </row>
    <row r="121" spans="5:9">
      <c r="E121" s="215"/>
      <c r="F121" s="355"/>
      <c r="G121" s="216"/>
      <c r="H121" s="215"/>
      <c r="I121" s="215"/>
    </row>
    <row r="122" spans="5:9">
      <c r="E122" s="215"/>
      <c r="F122" s="355"/>
      <c r="G122" s="216"/>
      <c r="H122" s="215"/>
      <c r="I122" s="215"/>
    </row>
    <row r="123" spans="5:9">
      <c r="E123" s="215"/>
      <c r="F123" s="355"/>
      <c r="G123" s="216"/>
      <c r="H123" s="215"/>
      <c r="I123" s="215"/>
    </row>
    <row r="124" spans="5:9">
      <c r="E124" s="215"/>
      <c r="F124" s="355"/>
      <c r="G124" s="216"/>
      <c r="H124" s="215"/>
      <c r="I124" s="215"/>
    </row>
    <row r="125" spans="5:9">
      <c r="E125" s="215"/>
      <c r="F125" s="355"/>
      <c r="G125" s="216"/>
      <c r="H125" s="215"/>
      <c r="I125" s="215"/>
    </row>
    <row r="126" spans="5:9">
      <c r="E126" s="215"/>
      <c r="F126" s="355"/>
      <c r="G126" s="216"/>
      <c r="H126" s="215"/>
      <c r="I126" s="215"/>
    </row>
    <row r="127" spans="5:9">
      <c r="E127" s="215"/>
      <c r="F127" s="355"/>
      <c r="G127" s="216"/>
      <c r="H127" s="215"/>
      <c r="I127" s="215"/>
    </row>
    <row r="128" spans="5:9">
      <c r="E128" s="215"/>
      <c r="F128" s="355"/>
      <c r="G128" s="216"/>
      <c r="H128" s="215"/>
      <c r="I128" s="215"/>
    </row>
    <row r="129" spans="5:9">
      <c r="E129" s="215"/>
      <c r="F129" s="355"/>
      <c r="G129" s="216"/>
      <c r="H129" s="215"/>
      <c r="I129" s="215"/>
    </row>
    <row r="130" spans="5:9">
      <c r="E130" s="215"/>
      <c r="F130" s="355"/>
      <c r="G130" s="216"/>
      <c r="H130" s="215"/>
      <c r="I130" s="215"/>
    </row>
    <row r="131" spans="5:9">
      <c r="E131" s="215"/>
      <c r="F131" s="355"/>
      <c r="G131" s="216"/>
      <c r="H131" s="215"/>
      <c r="I131" s="215"/>
    </row>
    <row r="132" spans="5:9">
      <c r="E132" s="215"/>
      <c r="F132" s="355"/>
      <c r="G132" s="216"/>
      <c r="H132" s="215"/>
      <c r="I132" s="215"/>
    </row>
    <row r="133" spans="5:9">
      <c r="E133" s="215"/>
      <c r="F133" s="355"/>
      <c r="G133" s="216"/>
      <c r="H133" s="215"/>
      <c r="I133" s="215"/>
    </row>
    <row r="134" spans="5:9">
      <c r="E134" s="215"/>
      <c r="F134" s="355"/>
      <c r="G134" s="216"/>
      <c r="H134" s="215"/>
      <c r="I134" s="215"/>
    </row>
    <row r="135" spans="5:9">
      <c r="E135" s="215"/>
      <c r="F135" s="355"/>
      <c r="G135" s="216"/>
      <c r="H135" s="215"/>
      <c r="I135" s="215"/>
    </row>
    <row r="136" spans="5:9">
      <c r="E136" s="215"/>
      <c r="F136" s="355"/>
      <c r="G136" s="216"/>
      <c r="H136" s="215"/>
      <c r="I136" s="215"/>
    </row>
    <row r="137" spans="5:9">
      <c r="E137" s="215"/>
      <c r="F137" s="355"/>
      <c r="G137" s="216"/>
      <c r="H137" s="215"/>
      <c r="I137" s="215"/>
    </row>
    <row r="138" spans="5:9">
      <c r="E138" s="215"/>
      <c r="F138" s="355"/>
      <c r="G138" s="216"/>
      <c r="H138" s="215"/>
      <c r="I138" s="215"/>
    </row>
    <row r="139" spans="5:9">
      <c r="E139" s="215"/>
      <c r="F139" s="355"/>
      <c r="G139" s="216"/>
      <c r="H139" s="215"/>
      <c r="I139" s="215"/>
    </row>
    <row r="140" spans="5:9">
      <c r="E140" s="215"/>
      <c r="F140" s="355"/>
      <c r="G140" s="216"/>
      <c r="H140" s="215"/>
      <c r="I140" s="215"/>
    </row>
    <row r="141" spans="5:9">
      <c r="E141" s="215"/>
      <c r="F141" s="355"/>
      <c r="G141" s="216"/>
      <c r="H141" s="215"/>
      <c r="I141" s="215"/>
    </row>
    <row r="142" spans="5:9">
      <c r="E142" s="215"/>
      <c r="F142" s="355"/>
      <c r="G142" s="216"/>
      <c r="H142" s="215"/>
      <c r="I142" s="215"/>
    </row>
    <row r="143" spans="5:9">
      <c r="E143" s="215"/>
      <c r="F143" s="355"/>
      <c r="G143" s="216"/>
      <c r="H143" s="215"/>
      <c r="I143" s="215"/>
    </row>
    <row r="144" spans="5:9">
      <c r="E144" s="215"/>
      <c r="F144" s="355"/>
      <c r="G144" s="216"/>
      <c r="H144" s="215"/>
      <c r="I144" s="215"/>
    </row>
    <row r="145" spans="5:9">
      <c r="E145" s="215"/>
      <c r="F145" s="355"/>
      <c r="G145" s="216"/>
      <c r="H145" s="215"/>
      <c r="I145" s="215"/>
    </row>
    <row r="146" spans="5:9">
      <c r="E146" s="215"/>
      <c r="F146" s="355"/>
      <c r="G146" s="216"/>
      <c r="H146" s="215"/>
      <c r="I146" s="215"/>
    </row>
    <row r="147" spans="5:9">
      <c r="E147" s="215"/>
      <c r="F147" s="355"/>
      <c r="G147" s="216"/>
      <c r="H147" s="215"/>
      <c r="I147" s="215"/>
    </row>
    <row r="148" spans="5:9">
      <c r="E148" s="215"/>
      <c r="F148" s="355"/>
      <c r="G148" s="216"/>
      <c r="H148" s="215"/>
      <c r="I148" s="215"/>
    </row>
    <row r="149" spans="5:9">
      <c r="E149" s="215"/>
      <c r="F149" s="355"/>
      <c r="G149" s="216"/>
      <c r="H149" s="215"/>
      <c r="I149" s="215"/>
    </row>
    <row r="150" spans="5:9">
      <c r="E150" s="215"/>
      <c r="F150" s="355"/>
      <c r="G150" s="216"/>
      <c r="H150" s="215"/>
      <c r="I150" s="215"/>
    </row>
    <row r="151" spans="5:9">
      <c r="E151" s="215"/>
      <c r="F151" s="355"/>
      <c r="G151" s="216"/>
      <c r="H151" s="215"/>
      <c r="I151" s="215"/>
    </row>
    <row r="152" spans="5:9">
      <c r="E152" s="215"/>
      <c r="F152" s="355"/>
      <c r="G152" s="216"/>
      <c r="H152" s="215"/>
      <c r="I152" s="215"/>
    </row>
    <row r="153" spans="5:9">
      <c r="E153" s="215"/>
      <c r="F153" s="355"/>
      <c r="G153" s="216"/>
      <c r="H153" s="215"/>
      <c r="I153" s="215"/>
    </row>
    <row r="154" spans="5:9">
      <c r="E154" s="215"/>
      <c r="F154" s="355"/>
      <c r="G154" s="216"/>
      <c r="H154" s="215"/>
      <c r="I154" s="215"/>
    </row>
    <row r="155" spans="5:9">
      <c r="E155" s="215"/>
      <c r="F155" s="355"/>
      <c r="G155" s="216"/>
      <c r="H155" s="215"/>
      <c r="I155" s="215"/>
    </row>
    <row r="156" spans="5:9">
      <c r="E156" s="215"/>
      <c r="F156" s="355"/>
      <c r="G156" s="216"/>
      <c r="H156" s="215"/>
      <c r="I156" s="215"/>
    </row>
    <row r="157" spans="5:9">
      <c r="E157" s="215"/>
      <c r="F157" s="355"/>
      <c r="G157" s="216"/>
      <c r="H157" s="215"/>
      <c r="I157" s="215"/>
    </row>
    <row r="158" spans="5:9">
      <c r="E158" s="215"/>
      <c r="F158" s="355"/>
      <c r="G158" s="216"/>
      <c r="H158" s="215"/>
      <c r="I158" s="215"/>
    </row>
    <row r="159" spans="5:9">
      <c r="E159" s="215"/>
      <c r="F159" s="355"/>
      <c r="G159" s="216"/>
      <c r="H159" s="215"/>
      <c r="I159" s="215"/>
    </row>
    <row r="160" spans="5:9">
      <c r="E160" s="215"/>
      <c r="F160" s="355"/>
      <c r="G160" s="216"/>
      <c r="H160" s="215"/>
      <c r="I160" s="215"/>
    </row>
    <row r="161" spans="5:9">
      <c r="E161" s="215"/>
      <c r="F161" s="355"/>
      <c r="G161" s="216"/>
      <c r="H161" s="215"/>
      <c r="I161" s="215"/>
    </row>
    <row r="162" spans="5:9">
      <c r="E162" s="215"/>
      <c r="F162" s="355"/>
      <c r="G162" s="216"/>
      <c r="H162" s="215"/>
      <c r="I162" s="215"/>
    </row>
    <row r="163" spans="5:9">
      <c r="E163" s="215"/>
      <c r="F163" s="355"/>
      <c r="G163" s="216"/>
      <c r="H163" s="215"/>
      <c r="I163" s="215"/>
    </row>
    <row r="164" spans="5:9">
      <c r="E164" s="215"/>
      <c r="F164" s="355"/>
      <c r="G164" s="216"/>
      <c r="H164" s="215"/>
      <c r="I164" s="215"/>
    </row>
    <row r="165" spans="5:9">
      <c r="E165" s="215"/>
      <c r="F165" s="355"/>
      <c r="G165" s="216"/>
      <c r="H165" s="215"/>
      <c r="I165" s="215"/>
    </row>
    <row r="166" spans="5:9">
      <c r="E166" s="215"/>
      <c r="F166" s="355"/>
      <c r="G166" s="216"/>
      <c r="H166" s="215"/>
      <c r="I166" s="215"/>
    </row>
    <row r="167" spans="5:9">
      <c r="E167" s="215"/>
      <c r="F167" s="355"/>
      <c r="G167" s="216"/>
      <c r="H167" s="215"/>
      <c r="I167" s="215"/>
    </row>
    <row r="168" spans="5:9">
      <c r="E168" s="215"/>
      <c r="F168" s="355"/>
      <c r="G168" s="216"/>
      <c r="H168" s="215"/>
      <c r="I168" s="215"/>
    </row>
    <row r="169" spans="5:9">
      <c r="E169" s="215"/>
      <c r="F169" s="355"/>
      <c r="G169" s="216"/>
      <c r="H169" s="215"/>
      <c r="I169" s="215"/>
    </row>
    <row r="170" spans="5:9">
      <c r="E170" s="215"/>
      <c r="F170" s="355"/>
      <c r="G170" s="216"/>
      <c r="H170" s="215"/>
      <c r="I170" s="215"/>
    </row>
    <row r="171" spans="5:9">
      <c r="E171" s="215"/>
      <c r="F171" s="355"/>
      <c r="G171" s="216"/>
      <c r="H171" s="215"/>
      <c r="I171" s="215"/>
    </row>
    <row r="172" spans="5:9">
      <c r="E172" s="215"/>
      <c r="F172" s="355"/>
      <c r="G172" s="216"/>
      <c r="H172" s="215"/>
      <c r="I172" s="215"/>
    </row>
    <row r="173" spans="5:9">
      <c r="E173" s="215"/>
      <c r="F173" s="355"/>
      <c r="G173" s="216"/>
      <c r="H173" s="215"/>
      <c r="I173" s="215"/>
    </row>
    <row r="174" spans="5:9">
      <c r="E174" s="215"/>
      <c r="F174" s="355"/>
      <c r="G174" s="216"/>
      <c r="H174" s="215"/>
      <c r="I174" s="215"/>
    </row>
    <row r="175" spans="5:9">
      <c r="E175" s="215"/>
      <c r="F175" s="355"/>
      <c r="G175" s="216"/>
      <c r="H175" s="215"/>
      <c r="I175" s="215"/>
    </row>
    <row r="176" spans="5:9">
      <c r="E176" s="215"/>
      <c r="F176" s="355"/>
      <c r="G176" s="216"/>
      <c r="H176" s="215"/>
      <c r="I176" s="215"/>
    </row>
    <row r="177" spans="5:9">
      <c r="E177" s="215"/>
      <c r="F177" s="355"/>
      <c r="G177" s="216"/>
      <c r="H177" s="215"/>
      <c r="I177" s="215"/>
    </row>
    <row r="178" spans="5:9">
      <c r="E178" s="215"/>
      <c r="F178" s="355"/>
      <c r="G178" s="216"/>
      <c r="H178" s="215"/>
      <c r="I178" s="215"/>
    </row>
    <row r="179" spans="5:9">
      <c r="E179" s="215"/>
      <c r="F179" s="355"/>
      <c r="G179" s="216"/>
      <c r="H179" s="215"/>
      <c r="I179" s="215"/>
    </row>
    <row r="180" spans="5:9">
      <c r="E180" s="215"/>
      <c r="F180" s="355"/>
      <c r="G180" s="216"/>
      <c r="H180" s="215"/>
      <c r="I180" s="215"/>
    </row>
    <row r="181" spans="5:9">
      <c r="E181" s="215"/>
      <c r="F181" s="355"/>
      <c r="G181" s="216"/>
      <c r="H181" s="215"/>
      <c r="I181" s="215"/>
    </row>
    <row r="182" spans="5:9">
      <c r="E182" s="215"/>
      <c r="F182" s="355"/>
      <c r="G182" s="216"/>
      <c r="H182" s="215"/>
      <c r="I182" s="215"/>
    </row>
    <row r="183" spans="5:9">
      <c r="E183" s="215"/>
      <c r="F183" s="355"/>
      <c r="G183" s="216"/>
      <c r="H183" s="215"/>
      <c r="I183" s="215"/>
    </row>
    <row r="184" spans="5:9">
      <c r="E184" s="215"/>
      <c r="F184" s="355"/>
      <c r="G184" s="216"/>
      <c r="H184" s="215"/>
      <c r="I184" s="215"/>
    </row>
    <row r="185" spans="5:9">
      <c r="E185" s="215"/>
      <c r="F185" s="355"/>
      <c r="G185" s="216"/>
      <c r="H185" s="215"/>
      <c r="I185" s="215"/>
    </row>
    <row r="186" spans="5:9">
      <c r="E186" s="215"/>
      <c r="F186" s="355"/>
      <c r="G186" s="216"/>
      <c r="H186" s="215"/>
      <c r="I186" s="215"/>
    </row>
    <row r="187" spans="5:9">
      <c r="E187" s="215"/>
      <c r="F187" s="355"/>
      <c r="G187" s="216"/>
      <c r="H187" s="215"/>
      <c r="I187" s="215"/>
    </row>
    <row r="188" spans="5:9">
      <c r="E188" s="215"/>
      <c r="F188" s="355"/>
      <c r="G188" s="216"/>
      <c r="H188" s="215"/>
      <c r="I188" s="215"/>
    </row>
    <row r="189" spans="5:9">
      <c r="E189" s="215"/>
      <c r="F189" s="355"/>
      <c r="G189" s="216"/>
      <c r="H189" s="215"/>
      <c r="I189" s="215"/>
    </row>
    <row r="190" spans="5:9">
      <c r="E190" s="215"/>
      <c r="F190" s="355"/>
      <c r="G190" s="216"/>
      <c r="H190" s="215"/>
      <c r="I190" s="215"/>
    </row>
    <row r="191" spans="5:9">
      <c r="E191" s="215"/>
      <c r="F191" s="355"/>
      <c r="G191" s="216"/>
      <c r="H191" s="215"/>
      <c r="I191" s="215"/>
    </row>
    <row r="192" spans="5:9">
      <c r="E192" s="215"/>
      <c r="F192" s="355"/>
      <c r="G192" s="216"/>
      <c r="H192" s="215"/>
      <c r="I192" s="215"/>
    </row>
    <row r="193" spans="5:9">
      <c r="E193" s="215"/>
      <c r="F193" s="355"/>
      <c r="G193" s="216"/>
      <c r="H193" s="215"/>
      <c r="I193" s="215"/>
    </row>
    <row r="194" spans="5:9">
      <c r="E194" s="215"/>
      <c r="F194" s="355"/>
      <c r="G194" s="216"/>
      <c r="H194" s="215"/>
      <c r="I194" s="215"/>
    </row>
    <row r="195" spans="5:9">
      <c r="E195" s="215"/>
      <c r="F195" s="355"/>
      <c r="G195" s="216"/>
      <c r="H195" s="215"/>
      <c r="I195" s="215"/>
    </row>
    <row r="196" spans="5:9">
      <c r="E196" s="215"/>
      <c r="F196" s="355"/>
      <c r="G196" s="216"/>
      <c r="H196" s="215"/>
      <c r="I196" s="215"/>
    </row>
    <row r="197" spans="5:9">
      <c r="E197" s="215"/>
      <c r="F197" s="355"/>
      <c r="G197" s="216"/>
      <c r="H197" s="215"/>
      <c r="I197" s="215"/>
    </row>
    <row r="198" spans="5:9">
      <c r="E198" s="215"/>
      <c r="F198" s="355"/>
      <c r="G198" s="216"/>
      <c r="H198" s="215"/>
      <c r="I198" s="215"/>
    </row>
    <row r="199" spans="5:9">
      <c r="E199" s="215"/>
      <c r="F199" s="355"/>
      <c r="G199" s="216"/>
      <c r="H199" s="215"/>
      <c r="I199" s="215"/>
    </row>
    <row r="200" spans="5:9">
      <c r="E200" s="215"/>
      <c r="F200" s="355"/>
      <c r="G200" s="216"/>
      <c r="H200" s="215"/>
      <c r="I200" s="215"/>
    </row>
    <row r="201" spans="5:9">
      <c r="E201" s="215"/>
      <c r="F201" s="355"/>
      <c r="G201" s="216"/>
      <c r="H201" s="215"/>
      <c r="I201" s="215"/>
    </row>
    <row r="202" spans="5:9">
      <c r="E202" s="215"/>
      <c r="F202" s="355"/>
      <c r="G202" s="216"/>
      <c r="H202" s="215"/>
      <c r="I202" s="215"/>
    </row>
    <row r="203" spans="5:9">
      <c r="E203" s="215"/>
      <c r="F203" s="355"/>
      <c r="G203" s="216"/>
      <c r="H203" s="215"/>
      <c r="I203" s="215"/>
    </row>
    <row r="204" spans="5:9">
      <c r="E204" s="215"/>
      <c r="F204" s="355"/>
      <c r="G204" s="216"/>
      <c r="H204" s="215"/>
      <c r="I204" s="215"/>
    </row>
    <row r="205" spans="5:9">
      <c r="E205" s="215"/>
      <c r="F205" s="355"/>
      <c r="G205" s="216"/>
      <c r="H205" s="215"/>
      <c r="I205" s="215"/>
    </row>
    <row r="206" spans="5:9">
      <c r="E206" s="215"/>
      <c r="F206" s="355"/>
      <c r="G206" s="216"/>
      <c r="H206" s="215"/>
      <c r="I206" s="215"/>
    </row>
    <row r="207" spans="5:9">
      <c r="E207" s="215"/>
      <c r="F207" s="355"/>
      <c r="G207" s="216"/>
      <c r="H207" s="215"/>
      <c r="I207" s="215"/>
    </row>
    <row r="208" spans="5:9">
      <c r="E208" s="215"/>
      <c r="F208" s="355"/>
      <c r="G208" s="216"/>
      <c r="H208" s="215"/>
      <c r="I208" s="215"/>
    </row>
    <row r="209" spans="5:9">
      <c r="E209" s="215"/>
      <c r="F209" s="355"/>
      <c r="G209" s="216"/>
      <c r="H209" s="215"/>
      <c r="I209" s="215"/>
    </row>
    <row r="210" spans="5:9">
      <c r="E210" s="215"/>
      <c r="F210" s="355"/>
      <c r="G210" s="216"/>
      <c r="H210" s="215"/>
      <c r="I210" s="215"/>
    </row>
    <row r="211" spans="5:9">
      <c r="E211" s="215"/>
      <c r="F211" s="355"/>
      <c r="G211" s="216"/>
      <c r="H211" s="215"/>
      <c r="I211" s="215"/>
    </row>
    <row r="212" spans="5:9">
      <c r="E212" s="215"/>
      <c r="F212" s="355"/>
      <c r="G212" s="216"/>
      <c r="H212" s="215"/>
      <c r="I212" s="215"/>
    </row>
    <row r="213" spans="5:9">
      <c r="E213" s="215"/>
      <c r="F213" s="355"/>
      <c r="G213" s="216"/>
      <c r="H213" s="215"/>
      <c r="I213" s="215"/>
    </row>
    <row r="214" spans="5:9">
      <c r="E214" s="215"/>
      <c r="F214" s="355"/>
      <c r="G214" s="216"/>
      <c r="H214" s="215"/>
      <c r="I214" s="215"/>
    </row>
    <row r="215" spans="5:9">
      <c r="E215" s="215"/>
      <c r="F215" s="355"/>
      <c r="G215" s="216"/>
      <c r="H215" s="215"/>
      <c r="I215" s="215"/>
    </row>
    <row r="216" spans="5:9">
      <c r="E216" s="215"/>
      <c r="F216" s="355"/>
      <c r="G216" s="216"/>
      <c r="H216" s="215"/>
      <c r="I216" s="215"/>
    </row>
    <row r="217" spans="5:9">
      <c r="E217" s="215"/>
      <c r="F217" s="355"/>
      <c r="G217" s="216"/>
      <c r="H217" s="215"/>
      <c r="I217" s="215"/>
    </row>
    <row r="218" spans="5:9">
      <c r="E218" s="215"/>
      <c r="F218" s="355"/>
      <c r="G218" s="216"/>
      <c r="H218" s="215"/>
      <c r="I218" s="215"/>
    </row>
    <row r="219" spans="5:9">
      <c r="E219" s="215"/>
      <c r="F219" s="355"/>
      <c r="G219" s="216"/>
      <c r="H219" s="215"/>
      <c r="I219" s="215"/>
    </row>
    <row r="220" spans="5:9">
      <c r="E220" s="215"/>
      <c r="F220" s="355"/>
      <c r="G220" s="216"/>
      <c r="H220" s="215"/>
      <c r="I220" s="215"/>
    </row>
    <row r="221" spans="5:9">
      <c r="E221" s="215"/>
      <c r="F221" s="355"/>
      <c r="G221" s="216"/>
      <c r="H221" s="215"/>
      <c r="I221" s="215"/>
    </row>
    <row r="222" spans="5:9">
      <c r="E222" s="215"/>
      <c r="F222" s="355"/>
      <c r="G222" s="216"/>
      <c r="H222" s="215"/>
      <c r="I222" s="215"/>
    </row>
    <row r="223" spans="5:9">
      <c r="E223" s="215"/>
      <c r="F223" s="355"/>
      <c r="G223" s="216"/>
      <c r="H223" s="215"/>
      <c r="I223" s="215"/>
    </row>
    <row r="224" spans="5:9">
      <c r="E224" s="215"/>
      <c r="F224" s="355"/>
      <c r="G224" s="216"/>
      <c r="H224" s="215"/>
      <c r="I224" s="215"/>
    </row>
    <row r="225" spans="5:9">
      <c r="E225" s="215"/>
      <c r="F225" s="355"/>
      <c r="G225" s="216"/>
      <c r="H225" s="215"/>
      <c r="I225" s="215"/>
    </row>
    <row r="226" spans="5:9">
      <c r="E226" s="215"/>
      <c r="F226" s="355"/>
      <c r="G226" s="216"/>
      <c r="H226" s="215"/>
      <c r="I226" s="215"/>
    </row>
    <row r="227" spans="5:9">
      <c r="E227" s="215"/>
      <c r="F227" s="355"/>
      <c r="G227" s="216"/>
      <c r="H227" s="215"/>
      <c r="I227" s="215"/>
    </row>
    <row r="228" spans="5:9">
      <c r="E228" s="215"/>
      <c r="F228" s="355"/>
      <c r="G228" s="216"/>
      <c r="H228" s="215"/>
      <c r="I228" s="215"/>
    </row>
    <row r="229" spans="5:9">
      <c r="E229" s="215"/>
      <c r="F229" s="355"/>
      <c r="G229" s="216"/>
      <c r="H229" s="215"/>
      <c r="I229" s="215"/>
    </row>
    <row r="230" spans="5:9">
      <c r="E230" s="215"/>
      <c r="F230" s="355"/>
      <c r="G230" s="216"/>
      <c r="H230" s="215"/>
      <c r="I230" s="215"/>
    </row>
    <row r="231" spans="5:9">
      <c r="E231" s="215"/>
      <c r="F231" s="355"/>
      <c r="G231" s="216"/>
      <c r="H231" s="215"/>
      <c r="I231" s="215"/>
    </row>
    <row r="232" spans="5:9">
      <c r="E232" s="215"/>
      <c r="F232" s="355"/>
      <c r="G232" s="216"/>
      <c r="H232" s="215"/>
      <c r="I232" s="215"/>
    </row>
    <row r="233" spans="5:9">
      <c r="E233" s="215"/>
      <c r="F233" s="355"/>
      <c r="G233" s="216"/>
      <c r="H233" s="215"/>
      <c r="I233" s="215"/>
    </row>
    <row r="234" spans="5:9">
      <c r="E234" s="215"/>
      <c r="F234" s="355"/>
      <c r="G234" s="216"/>
      <c r="H234" s="215"/>
      <c r="I234" s="215"/>
    </row>
    <row r="235" spans="5:9">
      <c r="E235" s="215"/>
      <c r="F235" s="355"/>
      <c r="G235" s="216"/>
      <c r="H235" s="215"/>
      <c r="I235" s="215"/>
    </row>
    <row r="236" spans="5:9">
      <c r="E236" s="215"/>
      <c r="F236" s="355"/>
      <c r="G236" s="216"/>
      <c r="H236" s="215"/>
      <c r="I236" s="215"/>
    </row>
    <row r="237" spans="5:9">
      <c r="E237" s="215"/>
      <c r="F237" s="355"/>
      <c r="G237" s="216"/>
      <c r="H237" s="215"/>
      <c r="I237" s="215"/>
    </row>
    <row r="238" spans="5:9">
      <c r="E238" s="215"/>
      <c r="F238" s="355"/>
      <c r="G238" s="216"/>
      <c r="H238" s="215"/>
      <c r="I238" s="215"/>
    </row>
    <row r="239" spans="5:9">
      <c r="E239" s="215"/>
      <c r="F239" s="355"/>
      <c r="G239" s="216"/>
      <c r="H239" s="215"/>
      <c r="I239" s="215"/>
    </row>
    <row r="240" spans="5:9">
      <c r="E240" s="215"/>
      <c r="F240" s="355"/>
      <c r="G240" s="216"/>
      <c r="H240" s="215"/>
      <c r="I240" s="215"/>
    </row>
    <row r="241" spans="5:9">
      <c r="E241" s="215"/>
      <c r="F241" s="355"/>
      <c r="G241" s="216"/>
      <c r="H241" s="215"/>
      <c r="I241" s="215"/>
    </row>
    <row r="242" spans="5:9">
      <c r="E242" s="215"/>
      <c r="F242" s="355"/>
      <c r="G242" s="216"/>
      <c r="H242" s="215"/>
      <c r="I242" s="215"/>
    </row>
    <row r="243" spans="5:9">
      <c r="E243" s="215"/>
      <c r="F243" s="355"/>
      <c r="G243" s="216"/>
      <c r="H243" s="215"/>
      <c r="I243" s="215"/>
    </row>
    <row r="244" spans="5:9">
      <c r="E244" s="215"/>
      <c r="F244" s="355"/>
      <c r="G244" s="216"/>
      <c r="H244" s="215"/>
      <c r="I244" s="215"/>
    </row>
    <row r="245" spans="5:9">
      <c r="E245" s="215"/>
      <c r="F245" s="355"/>
      <c r="G245" s="216"/>
      <c r="H245" s="215"/>
      <c r="I245" s="215"/>
    </row>
    <row r="246" spans="5:9">
      <c r="E246" s="215"/>
      <c r="F246" s="355"/>
      <c r="G246" s="216"/>
      <c r="H246" s="215"/>
      <c r="I246" s="215"/>
    </row>
    <row r="247" spans="5:9">
      <c r="E247" s="215"/>
      <c r="F247" s="355"/>
      <c r="G247" s="216"/>
      <c r="H247" s="215"/>
      <c r="I247" s="215"/>
    </row>
    <row r="248" spans="5:9">
      <c r="E248" s="215"/>
      <c r="F248" s="355"/>
      <c r="G248" s="216"/>
      <c r="H248" s="215"/>
      <c r="I248" s="215"/>
    </row>
    <row r="249" spans="5:9">
      <c r="E249" s="215"/>
      <c r="F249" s="355"/>
      <c r="G249" s="216"/>
      <c r="H249" s="215"/>
      <c r="I249" s="215"/>
    </row>
    <row r="250" spans="5:9">
      <c r="E250" s="215"/>
      <c r="F250" s="355"/>
      <c r="G250" s="216"/>
      <c r="H250" s="215"/>
      <c r="I250" s="215"/>
    </row>
    <row r="251" spans="5:9">
      <c r="E251" s="215"/>
      <c r="F251" s="355"/>
      <c r="G251" s="216"/>
      <c r="H251" s="215"/>
      <c r="I251" s="215"/>
    </row>
    <row r="252" spans="5:9">
      <c r="E252" s="215"/>
      <c r="F252" s="355"/>
      <c r="G252" s="216"/>
      <c r="H252" s="215"/>
      <c r="I252" s="215"/>
    </row>
    <row r="253" spans="5:9">
      <c r="E253" s="215"/>
      <c r="F253" s="355"/>
      <c r="G253" s="216"/>
      <c r="H253" s="215"/>
      <c r="I253" s="215"/>
    </row>
    <row r="254" spans="5:9">
      <c r="E254" s="215"/>
      <c r="F254" s="355"/>
      <c r="G254" s="216"/>
      <c r="H254" s="215"/>
      <c r="I254" s="215"/>
    </row>
    <row r="255" spans="5:9">
      <c r="E255" s="215"/>
      <c r="F255" s="355"/>
      <c r="G255" s="216"/>
      <c r="H255" s="215"/>
      <c r="I255" s="215"/>
    </row>
    <row r="256" spans="5:9">
      <c r="E256" s="215"/>
      <c r="F256" s="355"/>
      <c r="G256" s="216"/>
      <c r="H256" s="215"/>
      <c r="I256" s="215"/>
    </row>
    <row r="257" spans="5:9">
      <c r="E257" s="215"/>
      <c r="F257" s="355"/>
      <c r="G257" s="216"/>
      <c r="H257" s="215"/>
      <c r="I257" s="215"/>
    </row>
    <row r="258" spans="5:9">
      <c r="E258" s="215"/>
      <c r="F258" s="355"/>
      <c r="G258" s="216"/>
      <c r="H258" s="215"/>
      <c r="I258" s="215"/>
    </row>
    <row r="259" spans="5:9">
      <c r="E259" s="215"/>
      <c r="F259" s="355"/>
      <c r="G259" s="216"/>
      <c r="H259" s="215"/>
      <c r="I259" s="215"/>
    </row>
    <row r="260" spans="5:9">
      <c r="E260" s="215"/>
      <c r="F260" s="355"/>
      <c r="G260" s="216"/>
      <c r="H260" s="215"/>
      <c r="I260" s="215"/>
    </row>
    <row r="261" spans="5:9">
      <c r="E261" s="215"/>
      <c r="F261" s="355"/>
      <c r="G261" s="216"/>
      <c r="H261" s="215"/>
      <c r="I261" s="215"/>
    </row>
    <row r="262" spans="5:9">
      <c r="E262" s="215"/>
      <c r="F262" s="355"/>
      <c r="G262" s="216"/>
      <c r="H262" s="215"/>
      <c r="I262" s="215"/>
    </row>
    <row r="263" spans="5:9">
      <c r="E263" s="215"/>
      <c r="F263" s="355"/>
      <c r="G263" s="216"/>
      <c r="H263" s="215"/>
      <c r="I263" s="215"/>
    </row>
    <row r="264" spans="5:9">
      <c r="E264" s="215"/>
      <c r="F264" s="355"/>
      <c r="G264" s="216"/>
      <c r="H264" s="215"/>
      <c r="I264" s="215"/>
    </row>
    <row r="265" spans="5:9">
      <c r="E265" s="215"/>
      <c r="F265" s="355"/>
      <c r="G265" s="216"/>
      <c r="H265" s="215"/>
      <c r="I265" s="215"/>
    </row>
    <row r="266" spans="5:9">
      <c r="E266" s="215"/>
      <c r="F266" s="355"/>
      <c r="G266" s="216"/>
      <c r="H266" s="215"/>
      <c r="I266" s="215"/>
    </row>
    <row r="267" spans="5:9">
      <c r="E267" s="215"/>
      <c r="F267" s="355"/>
      <c r="G267" s="216"/>
      <c r="H267" s="215"/>
      <c r="I267" s="215"/>
    </row>
    <row r="268" spans="5:9">
      <c r="E268" s="215"/>
      <c r="F268" s="355"/>
      <c r="G268" s="216"/>
      <c r="H268" s="215"/>
      <c r="I268" s="215"/>
    </row>
    <row r="269" spans="5:9">
      <c r="E269" s="215"/>
      <c r="F269" s="355"/>
      <c r="G269" s="216"/>
      <c r="H269" s="215"/>
      <c r="I269" s="215"/>
    </row>
    <row r="270" spans="5:9">
      <c r="E270" s="215"/>
      <c r="F270" s="355"/>
      <c r="G270" s="216"/>
      <c r="H270" s="215"/>
      <c r="I270" s="215"/>
    </row>
    <row r="271" spans="5:9">
      <c r="E271" s="215"/>
      <c r="F271" s="355"/>
      <c r="G271" s="216"/>
      <c r="H271" s="215"/>
      <c r="I271" s="215"/>
    </row>
    <row r="272" spans="5:9">
      <c r="E272" s="215"/>
      <c r="F272" s="355"/>
      <c r="G272" s="216"/>
      <c r="H272" s="215"/>
      <c r="I272" s="215"/>
    </row>
    <row r="273" spans="5:9">
      <c r="E273" s="215"/>
      <c r="F273" s="355"/>
      <c r="G273" s="216"/>
      <c r="H273" s="215"/>
      <c r="I273" s="215"/>
    </row>
    <row r="274" spans="5:9">
      <c r="E274" s="215"/>
      <c r="F274" s="355"/>
      <c r="G274" s="216"/>
      <c r="H274" s="215"/>
      <c r="I274" s="215"/>
    </row>
    <row r="275" spans="5:9">
      <c r="E275" s="215"/>
      <c r="F275" s="355"/>
      <c r="G275" s="216"/>
      <c r="H275" s="215"/>
      <c r="I275" s="215"/>
    </row>
    <row r="276" spans="5:9">
      <c r="E276" s="215"/>
      <c r="F276" s="355"/>
      <c r="G276" s="216"/>
      <c r="H276" s="215"/>
      <c r="I276" s="215"/>
    </row>
    <row r="277" spans="5:9">
      <c r="E277" s="215"/>
      <c r="F277" s="355"/>
      <c r="G277" s="216"/>
      <c r="H277" s="215"/>
      <c r="I277" s="215"/>
    </row>
    <row r="278" spans="5:9">
      <c r="E278" s="215"/>
      <c r="F278" s="355"/>
      <c r="G278" s="216"/>
      <c r="H278" s="215"/>
      <c r="I278" s="215"/>
    </row>
    <row r="279" spans="5:9">
      <c r="E279" s="215"/>
      <c r="F279" s="355"/>
      <c r="G279" s="216"/>
      <c r="H279" s="215"/>
      <c r="I279" s="215"/>
    </row>
    <row r="280" spans="5:9">
      <c r="E280" s="215"/>
      <c r="F280" s="355"/>
      <c r="G280" s="216"/>
      <c r="H280" s="215"/>
      <c r="I280" s="215"/>
    </row>
    <row r="281" spans="5:9">
      <c r="E281" s="215"/>
      <c r="F281" s="355"/>
      <c r="G281" s="216"/>
      <c r="H281" s="215"/>
      <c r="I281" s="215"/>
    </row>
    <row r="282" spans="5:9">
      <c r="E282" s="215"/>
      <c r="F282" s="355"/>
      <c r="G282" s="216"/>
      <c r="H282" s="215"/>
      <c r="I282" s="215"/>
    </row>
    <row r="283" spans="5:9">
      <c r="E283" s="215"/>
      <c r="F283" s="355"/>
      <c r="G283" s="216"/>
      <c r="H283" s="215"/>
      <c r="I283" s="215"/>
    </row>
    <row r="284" spans="5:9">
      <c r="E284" s="215"/>
      <c r="F284" s="355"/>
      <c r="G284" s="216"/>
      <c r="H284" s="215"/>
      <c r="I284" s="215"/>
    </row>
    <row r="285" spans="5:9">
      <c r="E285" s="215"/>
      <c r="F285" s="355"/>
      <c r="G285" s="216"/>
      <c r="H285" s="215"/>
      <c r="I285" s="215"/>
    </row>
    <row r="286" spans="5:9">
      <c r="E286" s="215"/>
      <c r="F286" s="355"/>
      <c r="G286" s="216"/>
      <c r="H286" s="215"/>
      <c r="I286" s="215"/>
    </row>
    <row r="287" spans="5:9">
      <c r="E287" s="215"/>
      <c r="F287" s="355"/>
      <c r="G287" s="216"/>
      <c r="H287" s="215"/>
      <c r="I287" s="215"/>
    </row>
    <row r="288" spans="5:9">
      <c r="E288" s="215"/>
      <c r="F288" s="355"/>
      <c r="G288" s="216"/>
      <c r="H288" s="215"/>
      <c r="I288" s="215"/>
    </row>
    <row r="289" spans="5:9">
      <c r="E289" s="215"/>
      <c r="F289" s="355"/>
      <c r="G289" s="216"/>
      <c r="H289" s="215"/>
      <c r="I289" s="215"/>
    </row>
    <row r="290" spans="5:9">
      <c r="E290" s="215"/>
      <c r="F290" s="355"/>
      <c r="G290" s="216"/>
      <c r="H290" s="215"/>
      <c r="I290" s="215"/>
    </row>
    <row r="291" spans="5:9">
      <c r="E291" s="215"/>
      <c r="F291" s="355"/>
      <c r="G291" s="216"/>
      <c r="H291" s="215"/>
      <c r="I291" s="215"/>
    </row>
    <row r="292" spans="5:9">
      <c r="E292" s="215"/>
      <c r="F292" s="355"/>
      <c r="G292" s="216"/>
      <c r="H292" s="215"/>
      <c r="I292" s="215"/>
    </row>
    <row r="293" spans="5:9">
      <c r="E293" s="215"/>
      <c r="F293" s="355"/>
      <c r="G293" s="216"/>
      <c r="H293" s="215"/>
      <c r="I293" s="215"/>
    </row>
    <row r="294" spans="5:9">
      <c r="E294" s="215"/>
      <c r="F294" s="355"/>
      <c r="G294" s="216"/>
      <c r="H294" s="215"/>
      <c r="I294" s="215"/>
    </row>
    <row r="295" spans="5:9">
      <c r="E295" s="215"/>
      <c r="F295" s="355"/>
      <c r="G295" s="216"/>
      <c r="H295" s="215"/>
      <c r="I295" s="215"/>
    </row>
    <row r="296" spans="5:9">
      <c r="E296" s="215"/>
      <c r="F296" s="355"/>
      <c r="G296" s="216"/>
      <c r="H296" s="215"/>
      <c r="I296" s="215"/>
    </row>
    <row r="297" spans="5:9">
      <c r="E297" s="215"/>
      <c r="F297" s="355"/>
      <c r="G297" s="216"/>
      <c r="H297" s="215"/>
      <c r="I297" s="215"/>
    </row>
    <row r="298" spans="5:9">
      <c r="E298" s="215"/>
      <c r="F298" s="355"/>
      <c r="G298" s="216"/>
      <c r="H298" s="215"/>
      <c r="I298" s="215"/>
    </row>
    <row r="299" spans="5:9">
      <c r="E299" s="215"/>
      <c r="F299" s="355"/>
      <c r="G299" s="216"/>
      <c r="H299" s="215"/>
      <c r="I299" s="215"/>
    </row>
    <row r="300" spans="5:9">
      <c r="E300" s="215"/>
      <c r="F300" s="355"/>
      <c r="G300" s="216"/>
      <c r="H300" s="215"/>
      <c r="I300" s="215"/>
    </row>
    <row r="301" spans="5:9">
      <c r="E301" s="215"/>
      <c r="F301" s="355"/>
      <c r="G301" s="216"/>
      <c r="H301" s="215"/>
      <c r="I301" s="215"/>
    </row>
    <row r="302" spans="5:9">
      <c r="E302" s="215"/>
      <c r="F302" s="355"/>
      <c r="G302" s="216"/>
      <c r="H302" s="215"/>
      <c r="I302" s="215"/>
    </row>
    <row r="303" spans="5:9">
      <c r="E303" s="215"/>
      <c r="F303" s="355"/>
      <c r="G303" s="216"/>
      <c r="H303" s="215"/>
      <c r="I303" s="215"/>
    </row>
    <row r="304" spans="5:9">
      <c r="E304" s="215"/>
      <c r="F304" s="355"/>
      <c r="G304" s="216"/>
      <c r="H304" s="215"/>
      <c r="I304" s="215"/>
    </row>
    <row r="305" spans="5:9">
      <c r="E305" s="215"/>
      <c r="F305" s="355"/>
      <c r="G305" s="216"/>
      <c r="H305" s="215"/>
      <c r="I305" s="215"/>
    </row>
    <row r="306" spans="5:9">
      <c r="E306" s="215"/>
      <c r="F306" s="355"/>
      <c r="G306" s="216"/>
      <c r="H306" s="215"/>
      <c r="I306" s="215"/>
    </row>
    <row r="307" spans="5:9">
      <c r="E307" s="215"/>
      <c r="F307" s="355"/>
      <c r="G307" s="216"/>
      <c r="H307" s="215"/>
      <c r="I307" s="215"/>
    </row>
    <row r="308" spans="5:9">
      <c r="E308" s="215"/>
      <c r="F308" s="355"/>
      <c r="G308" s="216"/>
      <c r="H308" s="215"/>
      <c r="I308" s="215"/>
    </row>
    <row r="309" spans="5:9">
      <c r="E309" s="215"/>
      <c r="F309" s="355"/>
      <c r="G309" s="216"/>
      <c r="H309" s="215"/>
      <c r="I309" s="215"/>
    </row>
    <row r="310" spans="5:9">
      <c r="E310" s="215"/>
      <c r="F310" s="355"/>
      <c r="G310" s="216"/>
      <c r="H310" s="215"/>
      <c r="I310" s="215"/>
    </row>
    <row r="311" spans="5:9">
      <c r="E311" s="215"/>
      <c r="F311" s="355"/>
      <c r="G311" s="216"/>
      <c r="H311" s="215"/>
      <c r="I311" s="215"/>
    </row>
    <row r="312" spans="5:9">
      <c r="E312" s="215"/>
      <c r="F312" s="355"/>
      <c r="G312" s="216"/>
      <c r="H312" s="215"/>
      <c r="I312" s="215"/>
    </row>
    <row r="313" spans="5:9">
      <c r="E313" s="215"/>
      <c r="F313" s="355"/>
      <c r="G313" s="216"/>
      <c r="H313" s="215"/>
      <c r="I313" s="215"/>
    </row>
    <row r="314" spans="5:9">
      <c r="E314" s="215"/>
      <c r="F314" s="355"/>
      <c r="G314" s="216"/>
      <c r="H314" s="215"/>
      <c r="I314" s="215"/>
    </row>
    <row r="315" spans="5:9">
      <c r="E315" s="215"/>
      <c r="F315" s="355"/>
      <c r="G315" s="216"/>
      <c r="H315" s="215"/>
      <c r="I315" s="215"/>
    </row>
    <row r="316" spans="5:9">
      <c r="E316" s="215"/>
      <c r="F316" s="355"/>
      <c r="G316" s="216"/>
      <c r="H316" s="215"/>
      <c r="I316" s="215"/>
    </row>
    <row r="317" spans="5:9">
      <c r="E317" s="215"/>
      <c r="F317" s="355"/>
      <c r="G317" s="216"/>
      <c r="H317" s="215"/>
      <c r="I317" s="215"/>
    </row>
    <row r="318" spans="5:9">
      <c r="E318" s="215"/>
      <c r="F318" s="355"/>
      <c r="G318" s="216"/>
      <c r="H318" s="215"/>
      <c r="I318" s="215"/>
    </row>
    <row r="319" spans="5:9">
      <c r="E319" s="215"/>
      <c r="F319" s="355"/>
      <c r="G319" s="216"/>
      <c r="H319" s="215"/>
      <c r="I319" s="215"/>
    </row>
    <row r="320" spans="5:9">
      <c r="E320" s="215"/>
      <c r="F320" s="355"/>
      <c r="G320" s="216"/>
      <c r="H320" s="215"/>
      <c r="I320" s="215"/>
    </row>
    <row r="321" spans="5:9">
      <c r="E321" s="215"/>
      <c r="F321" s="355"/>
      <c r="G321" s="216"/>
      <c r="H321" s="215"/>
      <c r="I321" s="215"/>
    </row>
    <row r="322" spans="5:9">
      <c r="E322" s="215"/>
      <c r="F322" s="355"/>
      <c r="G322" s="216"/>
      <c r="H322" s="215"/>
      <c r="I322" s="215"/>
    </row>
    <row r="323" spans="5:9">
      <c r="E323" s="215"/>
      <c r="F323" s="355"/>
      <c r="G323" s="216"/>
      <c r="H323" s="215"/>
      <c r="I323" s="215"/>
    </row>
  </sheetData>
  <mergeCells count="14">
    <mergeCell ref="B2:B3"/>
    <mergeCell ref="A2:A3"/>
    <mergeCell ref="P2:R2"/>
    <mergeCell ref="S2:U2"/>
    <mergeCell ref="C1:U1"/>
    <mergeCell ref="C2:C3"/>
    <mergeCell ref="D2:D3"/>
    <mergeCell ref="E2:E3"/>
    <mergeCell ref="F2:F3"/>
    <mergeCell ref="G2:G3"/>
    <mergeCell ref="H2:H3"/>
    <mergeCell ref="I2:I3"/>
    <mergeCell ref="J2:L2"/>
    <mergeCell ref="M2:O2"/>
  </mergeCells>
  <pageMargins left="1" right="1" top="1" bottom="1" header="0.5" footer="0.5"/>
  <pageSetup scale="32" orientation="landscape" r:id="rId1"/>
  <headerFooter>
    <oddHeader>&amp;CPartners of the Americas
Ñande Ko’ê</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AB4AF-D748-4A68-818E-94DF76668F02}">
  <sheetPr>
    <pageSetUpPr fitToPage="1"/>
  </sheetPr>
  <dimension ref="A1:IS321"/>
  <sheetViews>
    <sheetView zoomScale="60" zoomScaleNormal="48" zoomScaleSheetLayoutView="106" workbookViewId="0">
      <selection activeCell="C35" sqref="C35"/>
    </sheetView>
  </sheetViews>
  <sheetFormatPr defaultColWidth="9.140625" defaultRowHeight="15.6"/>
  <cols>
    <col min="1" max="1" width="10.85546875" style="215" customWidth="1"/>
    <col min="2" max="2" width="7.7109375" style="215" customWidth="1"/>
    <col min="3" max="3" width="119.42578125" style="215" customWidth="1"/>
    <col min="4" max="4" width="17.85546875" style="215" bestFit="1" customWidth="1"/>
    <col min="5" max="5" width="7" style="273" customWidth="1"/>
    <col min="6" max="6" width="9.85546875" style="356" bestFit="1" customWidth="1"/>
    <col min="7" max="7" width="20.42578125" style="273" bestFit="1" customWidth="1"/>
    <col min="8" max="8" width="16" style="273" bestFit="1" customWidth="1"/>
    <col min="9" max="9" width="8.42578125" style="273" bestFit="1" customWidth="1"/>
    <col min="10" max="11" width="13.5703125" style="355" bestFit="1" customWidth="1"/>
    <col min="12" max="12" width="17.42578125" style="355" bestFit="1" customWidth="1"/>
    <col min="13" max="14" width="13.140625" style="355" bestFit="1" customWidth="1"/>
    <col min="15" max="15" width="17.42578125" style="355" bestFit="1" customWidth="1"/>
    <col min="16" max="17" width="13.5703125" style="355" bestFit="1" customWidth="1"/>
    <col min="18" max="18" width="17.42578125" style="355" bestFit="1" customWidth="1"/>
    <col min="19" max="20" width="14.140625" style="355" bestFit="1" customWidth="1"/>
    <col min="21" max="21" width="17.42578125" style="355" bestFit="1" customWidth="1"/>
    <col min="22" max="22" width="11.42578125" style="215" bestFit="1" customWidth="1"/>
    <col min="23" max="24" width="9.140625" style="215"/>
    <col min="25" max="25" width="11.5703125" style="215" bestFit="1" customWidth="1"/>
    <col min="26" max="16384" width="9.140625" style="215"/>
  </cols>
  <sheetData>
    <row r="1" spans="1:253" ht="30.75" customHeight="1" thickBot="1">
      <c r="C1" s="669" t="s">
        <v>435</v>
      </c>
      <c r="D1" s="670"/>
      <c r="E1" s="670"/>
      <c r="F1" s="670"/>
      <c r="G1" s="670"/>
      <c r="H1" s="670"/>
      <c r="I1" s="670"/>
      <c r="J1" s="670"/>
      <c r="K1" s="670"/>
      <c r="L1" s="670"/>
      <c r="M1" s="670"/>
      <c r="N1" s="670"/>
      <c r="O1" s="670"/>
      <c r="P1" s="670"/>
      <c r="Q1" s="670"/>
      <c r="R1" s="670"/>
      <c r="S1" s="670"/>
      <c r="T1" s="670"/>
      <c r="U1" s="670"/>
      <c r="V1" s="216"/>
    </row>
    <row r="2" spans="1:253" s="226" customFormat="1">
      <c r="A2" s="682" t="s">
        <v>235</v>
      </c>
      <c r="B2" s="682" t="s">
        <v>236</v>
      </c>
      <c r="C2" s="682" t="s">
        <v>241</v>
      </c>
      <c r="D2" s="689" t="s">
        <v>398</v>
      </c>
      <c r="E2" s="683" t="s">
        <v>242</v>
      </c>
      <c r="F2" s="684" t="s">
        <v>246</v>
      </c>
      <c r="G2" s="685" t="s">
        <v>243</v>
      </c>
      <c r="H2" s="685" t="s">
        <v>399</v>
      </c>
      <c r="I2" s="686" t="s">
        <v>245</v>
      </c>
      <c r="J2" s="687" t="s">
        <v>400</v>
      </c>
      <c r="K2" s="691"/>
      <c r="L2" s="692"/>
      <c r="M2" s="687" t="s">
        <v>401</v>
      </c>
      <c r="N2" s="691"/>
      <c r="O2" s="692"/>
      <c r="P2" s="687" t="s">
        <v>402</v>
      </c>
      <c r="Q2" s="691"/>
      <c r="R2" s="692"/>
      <c r="S2" s="688" t="s">
        <v>130</v>
      </c>
      <c r="T2" s="693"/>
      <c r="U2" s="694"/>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c r="EX2" s="215"/>
      <c r="EY2" s="215"/>
      <c r="EZ2" s="215"/>
      <c r="FA2" s="215"/>
      <c r="FB2" s="215"/>
      <c r="FC2" s="215"/>
      <c r="FD2" s="215"/>
      <c r="FE2" s="215"/>
      <c r="FF2" s="215"/>
      <c r="FG2" s="215"/>
      <c r="FH2" s="215"/>
      <c r="FI2" s="215"/>
      <c r="FJ2" s="215"/>
      <c r="FK2" s="215"/>
      <c r="FL2" s="215"/>
      <c r="FM2" s="215"/>
      <c r="FN2" s="215"/>
      <c r="FO2" s="215"/>
      <c r="FP2" s="215"/>
      <c r="FQ2" s="215"/>
      <c r="FR2" s="215"/>
      <c r="FS2" s="215"/>
      <c r="FT2" s="215"/>
      <c r="FU2" s="215"/>
      <c r="FV2" s="215"/>
      <c r="FW2" s="215"/>
      <c r="FX2" s="215"/>
      <c r="FY2" s="215"/>
      <c r="FZ2" s="215"/>
      <c r="GA2" s="215"/>
      <c r="GB2" s="215"/>
      <c r="GC2" s="215"/>
      <c r="GD2" s="215"/>
      <c r="GE2" s="215"/>
      <c r="GF2" s="215"/>
      <c r="GG2" s="215"/>
      <c r="GH2" s="215"/>
      <c r="GI2" s="215"/>
      <c r="GJ2" s="215"/>
      <c r="GK2" s="215"/>
      <c r="GL2" s="215"/>
      <c r="GM2" s="215"/>
      <c r="GN2" s="215"/>
      <c r="GO2" s="215"/>
      <c r="GP2" s="215"/>
      <c r="GQ2" s="215"/>
      <c r="GR2" s="215"/>
      <c r="GS2" s="215"/>
      <c r="GT2" s="215"/>
      <c r="GU2" s="215"/>
      <c r="GV2" s="215"/>
      <c r="GW2" s="215"/>
      <c r="GX2" s="215"/>
      <c r="GY2" s="215"/>
      <c r="GZ2" s="215"/>
      <c r="HA2" s="215"/>
      <c r="HB2" s="215"/>
      <c r="HC2" s="215"/>
      <c r="HD2" s="215"/>
      <c r="HE2" s="215"/>
      <c r="HF2" s="215"/>
      <c r="HG2" s="215"/>
      <c r="HH2" s="215"/>
      <c r="HI2" s="215"/>
      <c r="HJ2" s="215"/>
      <c r="HK2" s="215"/>
      <c r="HL2" s="215"/>
      <c r="HM2" s="215"/>
      <c r="HN2" s="215"/>
      <c r="HO2" s="215"/>
      <c r="HP2" s="215"/>
      <c r="HQ2" s="215"/>
      <c r="HR2" s="215"/>
      <c r="HS2" s="215"/>
      <c r="HT2" s="215"/>
      <c r="HU2" s="215"/>
      <c r="HV2" s="215"/>
      <c r="HW2" s="215"/>
      <c r="HX2" s="215"/>
      <c r="HY2" s="215"/>
      <c r="HZ2" s="215"/>
      <c r="IA2" s="215"/>
      <c r="IB2" s="215"/>
      <c r="IC2" s="215"/>
      <c r="ID2" s="215"/>
      <c r="IE2" s="215"/>
      <c r="IF2" s="215"/>
      <c r="IG2" s="215"/>
      <c r="IH2" s="215"/>
      <c r="II2" s="215"/>
      <c r="IJ2" s="215"/>
      <c r="IK2" s="215"/>
      <c r="IL2" s="215"/>
      <c r="IM2" s="215"/>
      <c r="IN2" s="215"/>
      <c r="IO2" s="215"/>
      <c r="IP2" s="215"/>
      <c r="IQ2" s="215"/>
      <c r="IR2" s="215"/>
      <c r="IS2" s="215"/>
    </row>
    <row r="3" spans="1:253" s="218" customFormat="1">
      <c r="A3" s="690"/>
      <c r="B3" s="690"/>
      <c r="C3" s="690"/>
      <c r="D3" s="695"/>
      <c r="E3" s="696"/>
      <c r="F3" s="697"/>
      <c r="G3" s="698"/>
      <c r="H3" s="698"/>
      <c r="I3" s="699"/>
      <c r="J3" s="275" t="s">
        <v>130</v>
      </c>
      <c r="K3" s="276" t="s">
        <v>214</v>
      </c>
      <c r="L3" s="277" t="s">
        <v>215</v>
      </c>
      <c r="M3" s="275" t="s">
        <v>130</v>
      </c>
      <c r="N3" s="276" t="s">
        <v>214</v>
      </c>
      <c r="O3" s="277" t="s">
        <v>215</v>
      </c>
      <c r="P3" s="275" t="s">
        <v>130</v>
      </c>
      <c r="Q3" s="276" t="s">
        <v>214</v>
      </c>
      <c r="R3" s="277" t="s">
        <v>215</v>
      </c>
      <c r="S3" s="275" t="s">
        <v>130</v>
      </c>
      <c r="T3" s="276" t="s">
        <v>214</v>
      </c>
      <c r="U3" s="277" t="s">
        <v>215</v>
      </c>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c r="CY3" s="215"/>
      <c r="CZ3" s="215"/>
      <c r="DA3" s="215"/>
      <c r="DB3" s="215"/>
      <c r="DC3" s="215"/>
      <c r="DD3" s="215"/>
      <c r="DE3" s="215"/>
      <c r="DF3" s="215"/>
      <c r="DG3" s="215"/>
      <c r="DH3" s="215"/>
      <c r="DI3" s="215"/>
      <c r="DJ3" s="215"/>
      <c r="DK3" s="215"/>
      <c r="DL3" s="215"/>
      <c r="DM3" s="215"/>
      <c r="DN3" s="215"/>
      <c r="DO3" s="215"/>
      <c r="DP3" s="215"/>
      <c r="DQ3" s="215"/>
      <c r="DR3" s="215"/>
      <c r="DS3" s="215"/>
      <c r="DT3" s="215"/>
      <c r="DU3" s="215"/>
      <c r="DV3" s="215"/>
      <c r="DW3" s="215"/>
      <c r="DX3" s="215"/>
      <c r="DY3" s="215"/>
      <c r="DZ3" s="215"/>
      <c r="EA3" s="215"/>
      <c r="EB3" s="215"/>
      <c r="EC3" s="215"/>
      <c r="ED3" s="215"/>
      <c r="EE3" s="215"/>
      <c r="EF3" s="215"/>
      <c r="EG3" s="215"/>
      <c r="EH3" s="215"/>
      <c r="EI3" s="215"/>
      <c r="EJ3" s="215"/>
      <c r="EK3" s="215"/>
      <c r="EL3" s="215"/>
      <c r="EM3" s="215"/>
      <c r="EN3" s="215"/>
      <c r="EO3" s="215"/>
      <c r="EP3" s="215"/>
      <c r="EQ3" s="215"/>
      <c r="ER3" s="215"/>
      <c r="ES3" s="215"/>
      <c r="ET3" s="215"/>
      <c r="EU3" s="215"/>
      <c r="EV3" s="215"/>
      <c r="EW3" s="215"/>
      <c r="EX3" s="215"/>
      <c r="EY3" s="215"/>
      <c r="EZ3" s="215"/>
      <c r="FA3" s="215"/>
      <c r="FB3" s="215"/>
      <c r="FC3" s="215"/>
      <c r="FD3" s="215"/>
      <c r="FE3" s="215"/>
      <c r="FF3" s="215"/>
      <c r="FG3" s="215"/>
      <c r="FH3" s="215"/>
      <c r="FI3" s="215"/>
      <c r="FJ3" s="215"/>
      <c r="FK3" s="215"/>
      <c r="FL3" s="215"/>
      <c r="FM3" s="215"/>
      <c r="FN3" s="215"/>
      <c r="FO3" s="215"/>
      <c r="FP3" s="215"/>
      <c r="FQ3" s="215"/>
      <c r="FR3" s="215"/>
      <c r="FS3" s="215"/>
      <c r="FT3" s="215"/>
      <c r="FU3" s="215"/>
      <c r="FV3" s="215"/>
      <c r="FW3" s="215"/>
      <c r="FX3" s="215"/>
      <c r="FY3" s="215"/>
      <c r="FZ3" s="215"/>
      <c r="GA3" s="215"/>
      <c r="GB3" s="215"/>
      <c r="GC3" s="215"/>
      <c r="GD3" s="215"/>
      <c r="GE3" s="215"/>
      <c r="GF3" s="215"/>
      <c r="GG3" s="215"/>
      <c r="GH3" s="215"/>
      <c r="GI3" s="215"/>
      <c r="GJ3" s="215"/>
      <c r="GK3" s="215"/>
      <c r="GL3" s="215"/>
      <c r="GM3" s="215"/>
      <c r="GN3" s="215"/>
      <c r="GO3" s="215"/>
      <c r="GP3" s="215"/>
      <c r="GQ3" s="215"/>
      <c r="GR3" s="215"/>
      <c r="GS3" s="215"/>
      <c r="GT3" s="215"/>
      <c r="GU3" s="215"/>
      <c r="GV3" s="215"/>
      <c r="GW3" s="215"/>
      <c r="GX3" s="215"/>
      <c r="GY3" s="215"/>
      <c r="GZ3" s="215"/>
      <c r="HA3" s="215"/>
      <c r="HB3" s="215"/>
      <c r="HC3" s="215"/>
      <c r="HD3" s="215"/>
      <c r="HE3" s="215"/>
      <c r="HF3" s="215"/>
      <c r="HG3" s="215"/>
      <c r="HH3" s="215"/>
      <c r="HI3" s="215"/>
      <c r="HJ3" s="215"/>
      <c r="HK3" s="215"/>
      <c r="HL3" s="215"/>
      <c r="HM3" s="215"/>
      <c r="HN3" s="215"/>
      <c r="HO3" s="215"/>
      <c r="HP3" s="215"/>
      <c r="HQ3" s="215"/>
      <c r="HR3" s="215"/>
      <c r="HS3" s="215"/>
      <c r="HT3" s="215"/>
      <c r="HU3" s="215"/>
      <c r="HV3" s="215"/>
      <c r="HW3" s="215"/>
      <c r="HX3" s="215"/>
      <c r="HY3" s="215"/>
      <c r="HZ3" s="215"/>
      <c r="IA3" s="215"/>
      <c r="IB3" s="215"/>
      <c r="IC3" s="215"/>
      <c r="ID3" s="215"/>
      <c r="IE3" s="215"/>
      <c r="IF3" s="215"/>
      <c r="IG3" s="215"/>
      <c r="IH3" s="215"/>
      <c r="II3" s="215"/>
      <c r="IJ3" s="215"/>
      <c r="IK3" s="215"/>
      <c r="IL3" s="215"/>
      <c r="IM3" s="215"/>
      <c r="IN3" s="215"/>
      <c r="IO3" s="215"/>
      <c r="IP3" s="215"/>
      <c r="IQ3" s="215"/>
      <c r="IR3" s="215"/>
      <c r="IS3" s="215"/>
    </row>
    <row r="4" spans="1:253">
      <c r="A4" s="278"/>
      <c r="B4" s="278"/>
      <c r="C4" s="278" t="s">
        <v>216</v>
      </c>
      <c r="D4" s="279"/>
      <c r="E4" s="280"/>
      <c r="F4" s="281"/>
      <c r="G4" s="282"/>
      <c r="H4" s="282"/>
      <c r="I4" s="283"/>
      <c r="J4" s="284"/>
      <c r="K4" s="285"/>
      <c r="L4" s="286"/>
      <c r="M4" s="284"/>
      <c r="N4" s="285"/>
      <c r="O4" s="286"/>
      <c r="P4" s="284"/>
      <c r="Q4" s="285"/>
      <c r="R4" s="286"/>
      <c r="S4" s="284"/>
      <c r="T4" s="285"/>
      <c r="U4" s="286"/>
    </row>
    <row r="5" spans="1:253" s="260" customFormat="1">
      <c r="A5" s="493" t="s">
        <v>327</v>
      </c>
      <c r="B5" s="493">
        <v>7370</v>
      </c>
      <c r="C5" s="493" t="s">
        <v>404</v>
      </c>
      <c r="D5" s="287"/>
      <c r="E5" s="259">
        <v>1</v>
      </c>
      <c r="F5" s="288">
        <v>1100</v>
      </c>
      <c r="G5" s="376" t="s">
        <v>254</v>
      </c>
      <c r="H5" s="242">
        <v>8</v>
      </c>
      <c r="I5" s="290">
        <v>0.6</v>
      </c>
      <c r="J5" s="291">
        <f>(E5*F5*H5*I5)</f>
        <v>5280</v>
      </c>
      <c r="K5" s="288">
        <f>J5</f>
        <v>5280</v>
      </c>
      <c r="L5" s="292">
        <f>J5-K5</f>
        <v>0</v>
      </c>
      <c r="M5" s="291">
        <f>(E5*F5*12*I5)*1.025</f>
        <v>8117.9999999999991</v>
      </c>
      <c r="N5" s="288">
        <f>M5</f>
        <v>8117.9999999999991</v>
      </c>
      <c r="O5" s="292">
        <f>M5-N5</f>
        <v>0</v>
      </c>
      <c r="P5" s="291">
        <f>((F5*1.025)*1.025)*I5*3</f>
        <v>2080.2375000000002</v>
      </c>
      <c r="Q5" s="288">
        <f>P5</f>
        <v>2080.2375000000002</v>
      </c>
      <c r="R5" s="292">
        <f>P5-Q5</f>
        <v>0</v>
      </c>
      <c r="S5" s="291">
        <f t="shared" ref="S5:U6" si="0">J5+M5+P5</f>
        <v>15478.237499999999</v>
      </c>
      <c r="T5" s="288">
        <f t="shared" si="0"/>
        <v>15478.237499999999</v>
      </c>
      <c r="U5" s="292">
        <f t="shared" si="0"/>
        <v>0</v>
      </c>
      <c r="V5" s="23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c r="FI5" s="215"/>
      <c r="FJ5" s="215"/>
      <c r="FK5" s="215"/>
      <c r="FL5" s="215"/>
      <c r="FM5" s="215"/>
      <c r="FN5" s="215"/>
      <c r="FO5" s="215"/>
      <c r="FP5" s="215"/>
      <c r="FQ5" s="215"/>
      <c r="FR5" s="215"/>
      <c r="FS5" s="215"/>
      <c r="FT5" s="215"/>
      <c r="FU5" s="215"/>
      <c r="FV5" s="215"/>
      <c r="FW5" s="215"/>
      <c r="FX5" s="215"/>
      <c r="FY5" s="215"/>
      <c r="FZ5" s="215"/>
      <c r="GA5" s="215"/>
      <c r="GB5" s="215"/>
      <c r="GC5" s="215"/>
      <c r="GD5" s="215"/>
      <c r="GE5" s="215"/>
      <c r="GF5" s="215"/>
      <c r="GG5" s="215"/>
      <c r="GH5" s="215"/>
      <c r="GI5" s="215"/>
      <c r="GJ5" s="215"/>
      <c r="GK5" s="215"/>
      <c r="GL5" s="215"/>
      <c r="GM5" s="215"/>
      <c r="GN5" s="215"/>
      <c r="GO5" s="215"/>
      <c r="GP5" s="215"/>
      <c r="GQ5" s="215"/>
      <c r="GR5" s="215"/>
      <c r="GS5" s="215"/>
      <c r="GT5" s="215"/>
      <c r="GU5" s="215"/>
      <c r="GV5" s="215"/>
      <c r="GW5" s="215"/>
      <c r="GX5" s="215"/>
      <c r="GY5" s="215"/>
      <c r="GZ5" s="215"/>
      <c r="HA5" s="215"/>
      <c r="HB5" s="215"/>
      <c r="HC5" s="215"/>
      <c r="HD5" s="215"/>
      <c r="HE5" s="215"/>
      <c r="HF5" s="215"/>
      <c r="HG5" s="215"/>
      <c r="HH5" s="215"/>
      <c r="HI5" s="215"/>
      <c r="HJ5" s="215"/>
      <c r="HK5" s="215"/>
      <c r="HL5" s="215"/>
      <c r="HM5" s="215"/>
      <c r="HN5" s="215"/>
      <c r="HO5" s="215"/>
      <c r="HP5" s="215"/>
      <c r="HQ5" s="215"/>
      <c r="HR5" s="215"/>
      <c r="HS5" s="215"/>
      <c r="HT5" s="215"/>
      <c r="HU5" s="215"/>
      <c r="HV5" s="215"/>
      <c r="HW5" s="215"/>
      <c r="HX5" s="215"/>
      <c r="HY5" s="215"/>
      <c r="HZ5" s="215"/>
      <c r="IA5" s="215"/>
      <c r="IB5" s="215"/>
      <c r="IC5" s="215"/>
      <c r="ID5" s="215"/>
      <c r="IE5" s="215"/>
      <c r="IF5" s="215"/>
      <c r="IG5" s="215"/>
      <c r="IH5" s="215"/>
      <c r="II5" s="215"/>
      <c r="IJ5" s="215"/>
      <c r="IK5" s="215"/>
      <c r="IL5" s="215"/>
      <c r="IM5" s="215"/>
      <c r="IN5" s="215"/>
      <c r="IO5" s="215"/>
      <c r="IP5" s="215"/>
      <c r="IQ5" s="215"/>
      <c r="IR5" s="215"/>
      <c r="IS5" s="215"/>
    </row>
    <row r="6" spans="1:253" s="260" customFormat="1">
      <c r="A6" s="493" t="s">
        <v>327</v>
      </c>
      <c r="B6" s="493">
        <v>7370</v>
      </c>
      <c r="C6" s="493" t="s">
        <v>427</v>
      </c>
      <c r="D6" s="287"/>
      <c r="E6" s="259">
        <v>1</v>
      </c>
      <c r="F6" s="288">
        <v>1000</v>
      </c>
      <c r="G6" s="376" t="s">
        <v>254</v>
      </c>
      <c r="H6" s="242">
        <v>8</v>
      </c>
      <c r="I6" s="290">
        <v>0.2</v>
      </c>
      <c r="J6" s="291">
        <f>(E6*F6*H6*I6)</f>
        <v>1600</v>
      </c>
      <c r="K6" s="288">
        <f>J6</f>
        <v>1600</v>
      </c>
      <c r="L6" s="292">
        <f>J6-K6</f>
        <v>0</v>
      </c>
      <c r="M6" s="291">
        <f>(E6*F6*12*I6)*1.025</f>
        <v>2460</v>
      </c>
      <c r="N6" s="288">
        <f>M6</f>
        <v>2460</v>
      </c>
      <c r="O6" s="292">
        <f>M6-N6</f>
        <v>0</v>
      </c>
      <c r="P6" s="291">
        <f>((F6*1.025)*1.025)*I6*3</f>
        <v>630.375</v>
      </c>
      <c r="Q6" s="288">
        <f>P6</f>
        <v>630.375</v>
      </c>
      <c r="R6" s="292">
        <f>P6-Q6</f>
        <v>0</v>
      </c>
      <c r="S6" s="291">
        <f>J6+M6+P6</f>
        <v>4690.375</v>
      </c>
      <c r="T6" s="288">
        <f t="shared" si="0"/>
        <v>4690.375</v>
      </c>
      <c r="U6" s="292">
        <f t="shared" si="0"/>
        <v>0</v>
      </c>
      <c r="V6" s="235"/>
      <c r="W6" s="215"/>
      <c r="X6" s="215"/>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c r="CU6" s="215"/>
      <c r="CV6" s="215"/>
      <c r="CW6" s="215"/>
      <c r="CX6" s="215"/>
      <c r="CY6" s="215"/>
      <c r="CZ6" s="215"/>
      <c r="DA6" s="215"/>
      <c r="DB6" s="215"/>
      <c r="DC6" s="215"/>
      <c r="DD6" s="215"/>
      <c r="DE6" s="215"/>
      <c r="DF6" s="215"/>
      <c r="DG6" s="215"/>
      <c r="DH6" s="215"/>
      <c r="DI6" s="215"/>
      <c r="DJ6" s="215"/>
      <c r="DK6" s="215"/>
      <c r="DL6" s="215"/>
      <c r="DM6" s="215"/>
      <c r="DN6" s="215"/>
      <c r="DO6" s="215"/>
      <c r="DP6" s="215"/>
      <c r="DQ6" s="215"/>
      <c r="DR6" s="215"/>
      <c r="DS6" s="215"/>
      <c r="DT6" s="215"/>
      <c r="DU6" s="215"/>
      <c r="DV6" s="215"/>
      <c r="DW6" s="215"/>
      <c r="DX6" s="215"/>
      <c r="DY6" s="215"/>
      <c r="DZ6" s="215"/>
      <c r="EA6" s="215"/>
      <c r="EB6" s="215"/>
      <c r="EC6" s="215"/>
      <c r="ED6" s="215"/>
      <c r="EE6" s="215"/>
      <c r="EF6" s="215"/>
      <c r="EG6" s="215"/>
      <c r="EH6" s="215"/>
      <c r="EI6" s="215"/>
      <c r="EJ6" s="215"/>
      <c r="EK6" s="215"/>
      <c r="EL6" s="215"/>
      <c r="EM6" s="215"/>
      <c r="EN6" s="215"/>
      <c r="EO6" s="215"/>
      <c r="EP6" s="215"/>
      <c r="EQ6" s="215"/>
      <c r="ER6" s="215"/>
      <c r="ES6" s="215"/>
      <c r="ET6" s="215"/>
      <c r="EU6" s="215"/>
      <c r="EV6" s="215"/>
      <c r="EW6" s="215"/>
      <c r="EX6" s="215"/>
      <c r="EY6" s="215"/>
      <c r="EZ6" s="215"/>
      <c r="FA6" s="215"/>
      <c r="FB6" s="215"/>
      <c r="FC6" s="215"/>
      <c r="FD6" s="215"/>
      <c r="FE6" s="215"/>
      <c r="FF6" s="215"/>
      <c r="FG6" s="215"/>
      <c r="FH6" s="215"/>
      <c r="FI6" s="215"/>
      <c r="FJ6" s="215"/>
      <c r="FK6" s="215"/>
      <c r="FL6" s="215"/>
      <c r="FM6" s="215"/>
      <c r="FN6" s="215"/>
      <c r="FO6" s="215"/>
      <c r="FP6" s="215"/>
      <c r="FQ6" s="215"/>
      <c r="FR6" s="215"/>
      <c r="FS6" s="215"/>
      <c r="FT6" s="215"/>
      <c r="FU6" s="215"/>
      <c r="FV6" s="215"/>
      <c r="FW6" s="215"/>
      <c r="FX6" s="215"/>
      <c r="FY6" s="215"/>
      <c r="FZ6" s="215"/>
      <c r="GA6" s="215"/>
      <c r="GB6" s="215"/>
      <c r="GC6" s="215"/>
      <c r="GD6" s="215"/>
      <c r="GE6" s="215"/>
      <c r="GF6" s="215"/>
      <c r="GG6" s="215"/>
      <c r="GH6" s="215"/>
      <c r="GI6" s="215"/>
      <c r="GJ6" s="215"/>
      <c r="GK6" s="215"/>
      <c r="GL6" s="215"/>
      <c r="GM6" s="215"/>
      <c r="GN6" s="215"/>
      <c r="GO6" s="215"/>
      <c r="GP6" s="215"/>
      <c r="GQ6" s="215"/>
      <c r="GR6" s="215"/>
      <c r="GS6" s="215"/>
      <c r="GT6" s="215"/>
      <c r="GU6" s="215"/>
      <c r="GV6" s="215"/>
      <c r="GW6" s="215"/>
      <c r="GX6" s="215"/>
      <c r="GY6" s="215"/>
      <c r="GZ6" s="215"/>
      <c r="HA6" s="215"/>
      <c r="HB6" s="215"/>
      <c r="HC6" s="215"/>
      <c r="HD6" s="215"/>
      <c r="HE6" s="215"/>
      <c r="HF6" s="215"/>
      <c r="HG6" s="215"/>
      <c r="HH6" s="215"/>
      <c r="HI6" s="215"/>
      <c r="HJ6" s="215"/>
      <c r="HK6" s="215"/>
      <c r="HL6" s="215"/>
      <c r="HM6" s="215"/>
      <c r="HN6" s="215"/>
      <c r="HO6" s="215"/>
      <c r="HP6" s="215"/>
      <c r="HQ6" s="215"/>
      <c r="HR6" s="215"/>
      <c r="HS6" s="215"/>
      <c r="HT6" s="215"/>
      <c r="HU6" s="215"/>
      <c r="HV6" s="215"/>
      <c r="HW6" s="215"/>
      <c r="HX6" s="215"/>
      <c r="HY6" s="215"/>
      <c r="HZ6" s="215"/>
      <c r="IA6" s="215"/>
      <c r="IB6" s="215"/>
      <c r="IC6" s="215"/>
      <c r="ID6" s="215"/>
      <c r="IE6" s="215"/>
      <c r="IF6" s="215"/>
      <c r="IG6" s="215"/>
      <c r="IH6" s="215"/>
      <c r="II6" s="215"/>
      <c r="IJ6" s="215"/>
      <c r="IK6" s="215"/>
      <c r="IL6" s="215"/>
      <c r="IM6" s="215"/>
      <c r="IN6" s="215"/>
      <c r="IO6" s="215"/>
      <c r="IP6" s="215"/>
      <c r="IQ6" s="215"/>
      <c r="IR6" s="215"/>
      <c r="IS6" s="215"/>
    </row>
    <row r="7" spans="1:253">
      <c r="A7" s="293"/>
      <c r="B7" s="293"/>
      <c r="C7" s="293" t="s">
        <v>265</v>
      </c>
      <c r="D7" s="294"/>
      <c r="E7" s="295"/>
      <c r="F7" s="296"/>
      <c r="G7" s="297"/>
      <c r="H7" s="297"/>
      <c r="I7" s="298"/>
      <c r="J7" s="299">
        <f t="shared" ref="J7:U7" si="1">SUM(J5:J6)</f>
        <v>6880</v>
      </c>
      <c r="K7" s="296">
        <f t="shared" si="1"/>
        <v>6880</v>
      </c>
      <c r="L7" s="300">
        <f t="shared" si="1"/>
        <v>0</v>
      </c>
      <c r="M7" s="299">
        <f t="shared" si="1"/>
        <v>10578</v>
      </c>
      <c r="N7" s="296">
        <f t="shared" si="1"/>
        <v>10578</v>
      </c>
      <c r="O7" s="300">
        <f t="shared" si="1"/>
        <v>0</v>
      </c>
      <c r="P7" s="299">
        <f t="shared" si="1"/>
        <v>2710.6125000000002</v>
      </c>
      <c r="Q7" s="296">
        <f t="shared" si="1"/>
        <v>2710.6125000000002</v>
      </c>
      <c r="R7" s="300">
        <f t="shared" si="1"/>
        <v>0</v>
      </c>
      <c r="S7" s="299">
        <f t="shared" si="1"/>
        <v>20168.612499999999</v>
      </c>
      <c r="T7" s="296">
        <f t="shared" si="1"/>
        <v>20168.612499999999</v>
      </c>
      <c r="U7" s="301">
        <f t="shared" si="1"/>
        <v>0</v>
      </c>
    </row>
    <row r="8" spans="1:253">
      <c r="A8" s="316"/>
      <c r="B8" s="316"/>
      <c r="C8" s="316" t="s">
        <v>217</v>
      </c>
      <c r="D8" s="317"/>
      <c r="E8" s="318"/>
      <c r="F8" s="319"/>
      <c r="G8" s="531"/>
      <c r="H8" s="531"/>
      <c r="I8" s="321"/>
      <c r="J8" s="322"/>
      <c r="K8" s="319"/>
      <c r="L8" s="532"/>
      <c r="M8" s="322"/>
      <c r="N8" s="319"/>
      <c r="O8" s="532"/>
      <c r="P8" s="322"/>
      <c r="Q8" s="319"/>
      <c r="R8" s="532"/>
      <c r="S8" s="322"/>
      <c r="T8" s="319"/>
      <c r="U8" s="325"/>
    </row>
    <row r="9" spans="1:253">
      <c r="A9" s="493" t="s">
        <v>327</v>
      </c>
      <c r="B9" s="493">
        <v>7370</v>
      </c>
      <c r="C9" s="315" t="s">
        <v>406</v>
      </c>
      <c r="D9" s="287"/>
      <c r="E9" s="259">
        <v>1</v>
      </c>
      <c r="F9" s="288">
        <v>1100</v>
      </c>
      <c r="G9" s="219" t="s">
        <v>269</v>
      </c>
      <c r="H9" s="242">
        <v>8</v>
      </c>
      <c r="I9" s="290">
        <v>0.3</v>
      </c>
      <c r="J9" s="291">
        <f>(J5*I9)</f>
        <v>1584</v>
      </c>
      <c r="K9" s="288">
        <f>J9</f>
        <v>1584</v>
      </c>
      <c r="L9" s="292">
        <f>J9-K9</f>
        <v>0</v>
      </c>
      <c r="M9" s="291">
        <f>(I9*M5)</f>
        <v>2435.3999999999996</v>
      </c>
      <c r="N9" s="288">
        <f>M9</f>
        <v>2435.3999999999996</v>
      </c>
      <c r="O9" s="292">
        <f>M9-N9</f>
        <v>0</v>
      </c>
      <c r="P9" s="291">
        <f>(I9*P5)</f>
        <v>624.07125000000008</v>
      </c>
      <c r="Q9" s="288">
        <f>P9</f>
        <v>624.07125000000008</v>
      </c>
      <c r="R9" s="292">
        <f>P9-Q9</f>
        <v>0</v>
      </c>
      <c r="S9" s="291">
        <f t="shared" ref="S9:U10" si="2">J9+M9+P9</f>
        <v>4643.4712499999996</v>
      </c>
      <c r="T9" s="288">
        <f t="shared" si="2"/>
        <v>4643.4712499999996</v>
      </c>
      <c r="U9" s="292">
        <f t="shared" si="2"/>
        <v>0</v>
      </c>
    </row>
    <row r="10" spans="1:253">
      <c r="A10" s="493" t="s">
        <v>327</v>
      </c>
      <c r="B10" s="493">
        <v>7370</v>
      </c>
      <c r="C10" s="315" t="s">
        <v>407</v>
      </c>
      <c r="D10" s="287"/>
      <c r="E10" s="259">
        <v>1</v>
      </c>
      <c r="F10" s="288">
        <v>1000</v>
      </c>
      <c r="G10" s="219" t="s">
        <v>269</v>
      </c>
      <c r="H10" s="242">
        <v>8</v>
      </c>
      <c r="I10" s="290">
        <v>0.3</v>
      </c>
      <c r="J10" s="291">
        <f>(J6*I10)</f>
        <v>480</v>
      </c>
      <c r="K10" s="288">
        <f>J10</f>
        <v>480</v>
      </c>
      <c r="L10" s="292">
        <f>J10-K10</f>
        <v>0</v>
      </c>
      <c r="M10" s="291">
        <f>(I10*M6)</f>
        <v>738</v>
      </c>
      <c r="N10" s="288">
        <f>M10</f>
        <v>738</v>
      </c>
      <c r="O10" s="292">
        <f>M10-N10</f>
        <v>0</v>
      </c>
      <c r="P10" s="291">
        <f>(I10*P6)</f>
        <v>189.11249999999998</v>
      </c>
      <c r="Q10" s="288">
        <f>P10</f>
        <v>189.11249999999998</v>
      </c>
      <c r="R10" s="292">
        <f>P10-Q10</f>
        <v>0</v>
      </c>
      <c r="S10" s="291">
        <f t="shared" si="2"/>
        <v>1407.1125</v>
      </c>
      <c r="T10" s="288">
        <f t="shared" si="2"/>
        <v>1407.1125</v>
      </c>
      <c r="U10" s="292">
        <f t="shared" si="2"/>
        <v>0</v>
      </c>
    </row>
    <row r="11" spans="1:253">
      <c r="A11" s="293"/>
      <c r="B11" s="293"/>
      <c r="C11" s="293" t="s">
        <v>276</v>
      </c>
      <c r="D11" s="294"/>
      <c r="E11" s="295"/>
      <c r="F11" s="296"/>
      <c r="G11" s="297"/>
      <c r="H11" s="297"/>
      <c r="I11" s="298"/>
      <c r="J11" s="299">
        <f>SUM(J9:J10)</f>
        <v>2064</v>
      </c>
      <c r="K11" s="296">
        <f t="shared" ref="K11:U11" si="3">SUM(K9:K10)</f>
        <v>2064</v>
      </c>
      <c r="L11" s="300">
        <f t="shared" si="3"/>
        <v>0</v>
      </c>
      <c r="M11" s="299">
        <f t="shared" si="3"/>
        <v>3173.3999999999996</v>
      </c>
      <c r="N11" s="296">
        <f t="shared" si="3"/>
        <v>3173.3999999999996</v>
      </c>
      <c r="O11" s="300">
        <f t="shared" si="3"/>
        <v>0</v>
      </c>
      <c r="P11" s="299">
        <f t="shared" si="3"/>
        <v>813.18375000000003</v>
      </c>
      <c r="Q11" s="296">
        <f t="shared" si="3"/>
        <v>813.18375000000003</v>
      </c>
      <c r="R11" s="300">
        <f t="shared" si="3"/>
        <v>0</v>
      </c>
      <c r="S11" s="299">
        <f t="shared" si="3"/>
        <v>6050.5837499999998</v>
      </c>
      <c r="T11" s="296">
        <f t="shared" si="3"/>
        <v>6050.5837499999998</v>
      </c>
      <c r="U11" s="301">
        <f t="shared" si="3"/>
        <v>0</v>
      </c>
    </row>
    <row r="12" spans="1:253">
      <c r="A12" s="278"/>
      <c r="B12" s="278"/>
      <c r="C12" s="278" t="s">
        <v>218</v>
      </c>
      <c r="D12" s="279"/>
      <c r="E12" s="280"/>
      <c r="F12" s="285"/>
      <c r="G12" s="302"/>
      <c r="H12" s="302"/>
      <c r="I12" s="283"/>
      <c r="J12" s="284"/>
      <c r="K12" s="285"/>
      <c r="L12" s="286"/>
      <c r="M12" s="284"/>
      <c r="N12" s="285"/>
      <c r="O12" s="286"/>
      <c r="P12" s="284"/>
      <c r="Q12" s="285"/>
      <c r="R12" s="286"/>
      <c r="S12" s="284"/>
      <c r="T12" s="285"/>
      <c r="U12" s="286"/>
    </row>
    <row r="13" spans="1:253">
      <c r="A13" s="493" t="s">
        <v>327</v>
      </c>
      <c r="B13" s="493">
        <v>7370</v>
      </c>
      <c r="C13" s="305" t="s">
        <v>408</v>
      </c>
      <c r="D13" s="306"/>
      <c r="E13" s="259">
        <v>1</v>
      </c>
      <c r="F13" s="288">
        <v>150</v>
      </c>
      <c r="G13" s="289" t="s">
        <v>409</v>
      </c>
      <c r="H13" s="242">
        <v>6</v>
      </c>
      <c r="I13" s="290">
        <v>1</v>
      </c>
      <c r="J13" s="291">
        <f>(E13*F13*H13*I13)</f>
        <v>900</v>
      </c>
      <c r="K13" s="288">
        <f>J13</f>
        <v>900</v>
      </c>
      <c r="L13" s="292">
        <f>J13-K13</f>
        <v>0</v>
      </c>
      <c r="M13" s="291">
        <f>(E13*F13*8*I13)*1.025</f>
        <v>1230</v>
      </c>
      <c r="N13" s="288">
        <f>M13</f>
        <v>1230</v>
      </c>
      <c r="O13" s="292">
        <f>M13-N13</f>
        <v>0</v>
      </c>
      <c r="P13" s="291">
        <f>(E13*(F13*1.025)*2*I13)*1.025</f>
        <v>315.1875</v>
      </c>
      <c r="Q13" s="288">
        <f>P13</f>
        <v>315.1875</v>
      </c>
      <c r="R13" s="292">
        <f>P13-Q13</f>
        <v>0</v>
      </c>
      <c r="S13" s="291">
        <f t="shared" ref="S13:U15" si="4">J13+M13+P13</f>
        <v>2445.1875</v>
      </c>
      <c r="T13" s="288">
        <f t="shared" si="4"/>
        <v>2445.1875</v>
      </c>
      <c r="U13" s="292">
        <f t="shared" si="4"/>
        <v>0</v>
      </c>
    </row>
    <row r="14" spans="1:253">
      <c r="A14" s="493" t="s">
        <v>327</v>
      </c>
      <c r="B14" s="493">
        <v>7370</v>
      </c>
      <c r="C14" s="305" t="s">
        <v>410</v>
      </c>
      <c r="D14" s="306"/>
      <c r="E14" s="259">
        <f>E6</f>
        <v>1</v>
      </c>
      <c r="F14" s="288">
        <v>300</v>
      </c>
      <c r="G14" s="289" t="s">
        <v>409</v>
      </c>
      <c r="H14" s="242">
        <v>6</v>
      </c>
      <c r="I14" s="290">
        <v>1</v>
      </c>
      <c r="J14" s="291">
        <f>(E14*F14*H14*I14)</f>
        <v>1800</v>
      </c>
      <c r="K14" s="288">
        <f>J14</f>
        <v>1800</v>
      </c>
      <c r="L14" s="292">
        <f>J14-K14</f>
        <v>0</v>
      </c>
      <c r="M14" s="291">
        <f>(E14*F14*8*I14)*1.025</f>
        <v>2460</v>
      </c>
      <c r="N14" s="288">
        <f>M14</f>
        <v>2460</v>
      </c>
      <c r="O14" s="292">
        <f>M14-N14</f>
        <v>0</v>
      </c>
      <c r="P14" s="291">
        <f>(E14*(F14*1.025)*2*I14)*1.025</f>
        <v>630.375</v>
      </c>
      <c r="Q14" s="288">
        <f>P14</f>
        <v>630.375</v>
      </c>
      <c r="R14" s="292">
        <f>P14-Q14</f>
        <v>0</v>
      </c>
      <c r="S14" s="291">
        <f t="shared" si="4"/>
        <v>4890.375</v>
      </c>
      <c r="T14" s="288">
        <f t="shared" si="4"/>
        <v>4890.375</v>
      </c>
      <c r="U14" s="292">
        <f t="shared" si="4"/>
        <v>0</v>
      </c>
    </row>
    <row r="15" spans="1:253">
      <c r="A15" s="493" t="s">
        <v>327</v>
      </c>
      <c r="B15" s="493">
        <v>7370</v>
      </c>
      <c r="C15" s="305" t="s">
        <v>411</v>
      </c>
      <c r="D15" s="306"/>
      <c r="E15" s="259">
        <v>1</v>
      </c>
      <c r="F15" s="288">
        <v>300</v>
      </c>
      <c r="G15" s="289" t="s">
        <v>409</v>
      </c>
      <c r="H15" s="242">
        <v>6</v>
      </c>
      <c r="I15" s="290">
        <v>1</v>
      </c>
      <c r="J15" s="291">
        <f>(E15*F15*H15*I15)</f>
        <v>1800</v>
      </c>
      <c r="K15" s="288">
        <f>J15</f>
        <v>1800</v>
      </c>
      <c r="L15" s="292">
        <f>J15-K15</f>
        <v>0</v>
      </c>
      <c r="M15" s="291">
        <f>(E15*F15*8*I15)*1.025</f>
        <v>2460</v>
      </c>
      <c r="N15" s="288">
        <f>M15</f>
        <v>2460</v>
      </c>
      <c r="O15" s="292">
        <f>M15-N15</f>
        <v>0</v>
      </c>
      <c r="P15" s="291">
        <f>(E15*(F15*1.025)*2*I15)*1.025</f>
        <v>630.375</v>
      </c>
      <c r="Q15" s="288">
        <f>P15</f>
        <v>630.375</v>
      </c>
      <c r="R15" s="292">
        <f>P15-Q15</f>
        <v>0</v>
      </c>
      <c r="S15" s="291">
        <f t="shared" si="4"/>
        <v>4890.375</v>
      </c>
      <c r="T15" s="288">
        <f t="shared" si="4"/>
        <v>4890.375</v>
      </c>
      <c r="U15" s="292">
        <f t="shared" si="4"/>
        <v>0</v>
      </c>
    </row>
    <row r="16" spans="1:253">
      <c r="A16" s="293"/>
      <c r="B16" s="293"/>
      <c r="C16" s="293" t="s">
        <v>428</v>
      </c>
      <c r="D16" s="294"/>
      <c r="E16" s="295"/>
      <c r="F16" s="296"/>
      <c r="G16" s="314"/>
      <c r="H16" s="314"/>
      <c r="I16" s="298"/>
      <c r="J16" s="299">
        <f t="shared" ref="J16:U16" si="5">SUM(J13:J15)</f>
        <v>4500</v>
      </c>
      <c r="K16" s="296">
        <f t="shared" si="5"/>
        <v>4500</v>
      </c>
      <c r="L16" s="301">
        <f t="shared" si="5"/>
        <v>0</v>
      </c>
      <c r="M16" s="299">
        <f t="shared" si="5"/>
        <v>6150</v>
      </c>
      <c r="N16" s="296">
        <f t="shared" si="5"/>
        <v>6150</v>
      </c>
      <c r="O16" s="301">
        <f t="shared" si="5"/>
        <v>0</v>
      </c>
      <c r="P16" s="299">
        <f t="shared" si="5"/>
        <v>1575.9375</v>
      </c>
      <c r="Q16" s="296">
        <f t="shared" si="5"/>
        <v>1575.9375</v>
      </c>
      <c r="R16" s="301">
        <f t="shared" si="5"/>
        <v>0</v>
      </c>
      <c r="S16" s="299">
        <f t="shared" si="5"/>
        <v>12225.9375</v>
      </c>
      <c r="T16" s="296">
        <f t="shared" si="5"/>
        <v>12225.9375</v>
      </c>
      <c r="U16" s="301">
        <f t="shared" si="5"/>
        <v>0</v>
      </c>
    </row>
    <row r="17" spans="1:22">
      <c r="A17" s="316"/>
      <c r="B17" s="316"/>
      <c r="C17" s="316" t="s">
        <v>219</v>
      </c>
      <c r="D17" s="317"/>
      <c r="E17" s="318"/>
      <c r="F17" s="319"/>
      <c r="G17" s="320"/>
      <c r="H17" s="320"/>
      <c r="I17" s="321"/>
      <c r="J17" s="322"/>
      <c r="K17" s="323"/>
      <c r="L17" s="324"/>
      <c r="M17" s="322"/>
      <c r="N17" s="323"/>
      <c r="O17" s="324"/>
      <c r="P17" s="322"/>
      <c r="Q17" s="323"/>
      <c r="R17" s="324"/>
      <c r="S17" s="322"/>
      <c r="T17" s="319"/>
      <c r="U17" s="325"/>
    </row>
    <row r="18" spans="1:22">
      <c r="A18" s="316"/>
      <c r="B18" s="316"/>
      <c r="C18" s="316" t="s">
        <v>220</v>
      </c>
      <c r="D18" s="317"/>
      <c r="E18" s="318"/>
      <c r="F18" s="319"/>
      <c r="G18" s="320"/>
      <c r="H18" s="320"/>
      <c r="I18" s="321"/>
      <c r="J18" s="322"/>
      <c r="K18" s="323"/>
      <c r="L18" s="324"/>
      <c r="M18" s="322"/>
      <c r="N18" s="323"/>
      <c r="O18" s="324"/>
      <c r="P18" s="322"/>
      <c r="Q18" s="323"/>
      <c r="R18" s="324"/>
      <c r="S18" s="322"/>
      <c r="T18" s="319"/>
      <c r="U18" s="325"/>
    </row>
    <row r="19" spans="1:22">
      <c r="A19" s="316"/>
      <c r="B19" s="316"/>
      <c r="C19" s="316" t="s">
        <v>412</v>
      </c>
      <c r="D19" s="317"/>
      <c r="E19" s="318"/>
      <c r="F19" s="319"/>
      <c r="G19" s="320"/>
      <c r="H19" s="320"/>
      <c r="I19" s="321"/>
      <c r="J19" s="322"/>
      <c r="K19" s="323"/>
      <c r="L19" s="324"/>
      <c r="M19" s="322"/>
      <c r="N19" s="323"/>
      <c r="O19" s="324"/>
      <c r="P19" s="322"/>
      <c r="Q19" s="323"/>
      <c r="R19" s="324"/>
      <c r="S19" s="322"/>
      <c r="T19" s="319"/>
      <c r="U19" s="325"/>
    </row>
    <row r="20" spans="1:22">
      <c r="A20" s="316"/>
      <c r="B20" s="316"/>
      <c r="C20" s="316" t="s">
        <v>222</v>
      </c>
      <c r="D20" s="317"/>
      <c r="E20" s="318"/>
      <c r="F20" s="319"/>
      <c r="G20" s="320"/>
      <c r="H20" s="320"/>
      <c r="I20" s="321"/>
      <c r="J20" s="322"/>
      <c r="K20" s="323"/>
      <c r="L20" s="324"/>
      <c r="M20" s="322"/>
      <c r="N20" s="323"/>
      <c r="O20" s="324"/>
      <c r="P20" s="322"/>
      <c r="Q20" s="323"/>
      <c r="R20" s="324"/>
      <c r="S20" s="322"/>
      <c r="T20" s="319"/>
      <c r="U20" s="325"/>
    </row>
    <row r="21" spans="1:22">
      <c r="A21" s="316"/>
      <c r="B21" s="316"/>
      <c r="C21" s="316" t="s">
        <v>223</v>
      </c>
      <c r="D21" s="317"/>
      <c r="E21" s="318"/>
      <c r="F21" s="319"/>
      <c r="G21" s="320"/>
      <c r="H21" s="320"/>
      <c r="I21" s="321"/>
      <c r="J21" s="322"/>
      <c r="K21" s="323"/>
      <c r="L21" s="324"/>
      <c r="M21" s="322"/>
      <c r="N21" s="323"/>
      <c r="O21" s="324"/>
      <c r="P21" s="322"/>
      <c r="Q21" s="323"/>
      <c r="R21" s="324"/>
      <c r="S21" s="322"/>
      <c r="T21" s="319"/>
      <c r="U21" s="325"/>
    </row>
    <row r="22" spans="1:22">
      <c r="A22" s="424"/>
      <c r="B22" s="424"/>
      <c r="C22" s="424" t="s">
        <v>336</v>
      </c>
      <c r="D22" s="424"/>
      <c r="E22" s="424"/>
      <c r="F22" s="424"/>
      <c r="G22" s="424"/>
      <c r="H22" s="424"/>
      <c r="I22" s="424"/>
      <c r="J22" s="424"/>
      <c r="K22" s="424"/>
      <c r="L22" s="424"/>
      <c r="M22" s="424"/>
      <c r="N22" s="424"/>
      <c r="O22" s="424"/>
      <c r="P22" s="424"/>
      <c r="Q22" s="424"/>
      <c r="R22" s="424"/>
      <c r="S22" s="424"/>
      <c r="T22" s="424"/>
      <c r="U22" s="424"/>
    </row>
    <row r="23" spans="1:22" ht="30">
      <c r="A23" s="549"/>
      <c r="B23" s="549"/>
      <c r="C23" s="549" t="s">
        <v>337</v>
      </c>
      <c r="D23" s="327"/>
      <c r="E23" s="328"/>
      <c r="F23" s="329"/>
      <c r="G23" s="330"/>
      <c r="H23" s="331"/>
      <c r="I23" s="332"/>
      <c r="J23" s="333"/>
      <c r="K23" s="329"/>
      <c r="L23" s="334"/>
      <c r="M23" s="333"/>
      <c r="N23" s="329"/>
      <c r="O23" s="334"/>
      <c r="P23" s="333"/>
      <c r="Q23" s="335"/>
      <c r="R23" s="334"/>
      <c r="S23" s="333"/>
      <c r="T23" s="329"/>
      <c r="U23" s="334"/>
      <c r="V23" s="313"/>
    </row>
    <row r="24" spans="1:22" ht="46.5">
      <c r="A24" s="544"/>
      <c r="B24" s="544"/>
      <c r="C24" s="544" t="s">
        <v>338</v>
      </c>
      <c r="D24" s="308"/>
      <c r="E24" s="309"/>
      <c r="F24" s="288"/>
      <c r="G24" s="336"/>
      <c r="H24" s="310"/>
      <c r="I24" s="311"/>
      <c r="J24" s="291"/>
      <c r="K24" s="288"/>
      <c r="L24" s="292"/>
      <c r="M24" s="291"/>
      <c r="N24" s="288"/>
      <c r="O24" s="292"/>
      <c r="P24" s="291"/>
      <c r="Q24" s="312"/>
      <c r="R24" s="292"/>
      <c r="S24" s="291"/>
      <c r="T24" s="288"/>
      <c r="U24" s="292"/>
      <c r="V24" s="313"/>
    </row>
    <row r="25" spans="1:22">
      <c r="A25" s="493" t="s">
        <v>327</v>
      </c>
      <c r="B25" s="493">
        <v>7370</v>
      </c>
      <c r="C25" s="480" t="s">
        <v>436</v>
      </c>
      <c r="D25" s="308"/>
      <c r="E25" s="550">
        <v>1</v>
      </c>
      <c r="F25" s="288">
        <v>150</v>
      </c>
      <c r="G25" s="219" t="s">
        <v>414</v>
      </c>
      <c r="H25" s="310">
        <v>4</v>
      </c>
      <c r="I25" s="311">
        <v>1</v>
      </c>
      <c r="J25" s="291">
        <f>E25*F25*H25*I25</f>
        <v>600</v>
      </c>
      <c r="K25" s="288">
        <f>J25</f>
        <v>600</v>
      </c>
      <c r="L25" s="292">
        <f>J25-K25</f>
        <v>0</v>
      </c>
      <c r="M25" s="291">
        <f>E25*F25*H25*I25</f>
        <v>600</v>
      </c>
      <c r="N25" s="288">
        <f>M25</f>
        <v>600</v>
      </c>
      <c r="O25" s="292">
        <f>M25-N25</f>
        <v>0</v>
      </c>
      <c r="P25" s="291">
        <f>E25*F25*0*I25</f>
        <v>0</v>
      </c>
      <c r="Q25" s="312">
        <f>P25</f>
        <v>0</v>
      </c>
      <c r="R25" s="292">
        <f>P25-Q25</f>
        <v>0</v>
      </c>
      <c r="S25" s="291">
        <f t="shared" ref="S25:T28" si="6">J25+M25+P25</f>
        <v>1200</v>
      </c>
      <c r="T25" s="288">
        <f t="shared" si="6"/>
        <v>1200</v>
      </c>
      <c r="U25" s="292">
        <f>S25-T25</f>
        <v>0</v>
      </c>
      <c r="V25" s="313"/>
    </row>
    <row r="26" spans="1:22">
      <c r="A26" s="493" t="s">
        <v>327</v>
      </c>
      <c r="B26" s="493">
        <v>7370</v>
      </c>
      <c r="C26" s="480" t="s">
        <v>415</v>
      </c>
      <c r="D26" s="308"/>
      <c r="E26" s="550">
        <v>1</v>
      </c>
      <c r="F26" s="288">
        <v>60</v>
      </c>
      <c r="G26" s="219" t="s">
        <v>414</v>
      </c>
      <c r="H26" s="310">
        <v>4</v>
      </c>
      <c r="I26" s="311">
        <v>1</v>
      </c>
      <c r="J26" s="291">
        <f>F26*H26*I26</f>
        <v>240</v>
      </c>
      <c r="K26" s="288">
        <f>J26</f>
        <v>240</v>
      </c>
      <c r="L26" s="292">
        <f>J26-K26</f>
        <v>0</v>
      </c>
      <c r="M26" s="291">
        <f>F26*H26*I26</f>
        <v>240</v>
      </c>
      <c r="N26" s="288">
        <f>M26</f>
        <v>240</v>
      </c>
      <c r="O26" s="292">
        <f>M26-N26</f>
        <v>0</v>
      </c>
      <c r="P26" s="291">
        <f>E26*F26*0*I26</f>
        <v>0</v>
      </c>
      <c r="Q26" s="312">
        <f>P26</f>
        <v>0</v>
      </c>
      <c r="R26" s="292">
        <f>P26-Q26</f>
        <v>0</v>
      </c>
      <c r="S26" s="291">
        <f t="shared" si="6"/>
        <v>480</v>
      </c>
      <c r="T26" s="288">
        <f t="shared" si="6"/>
        <v>480</v>
      </c>
      <c r="U26" s="292">
        <f>S26-T26</f>
        <v>0</v>
      </c>
      <c r="V26" s="313"/>
    </row>
    <row r="27" spans="1:22">
      <c r="A27" s="493" t="s">
        <v>327</v>
      </c>
      <c r="B27" s="493">
        <v>7370</v>
      </c>
      <c r="C27" s="480" t="s">
        <v>416</v>
      </c>
      <c r="D27" s="308"/>
      <c r="E27" s="550">
        <v>1</v>
      </c>
      <c r="F27" s="288">
        <v>300</v>
      </c>
      <c r="G27" s="219" t="s">
        <v>414</v>
      </c>
      <c r="H27" s="310">
        <v>4</v>
      </c>
      <c r="I27" s="311">
        <v>1</v>
      </c>
      <c r="J27" s="291">
        <f>F27*H27*I27</f>
        <v>1200</v>
      </c>
      <c r="K27" s="288">
        <f>J27</f>
        <v>1200</v>
      </c>
      <c r="L27" s="292">
        <f>J27-K27</f>
        <v>0</v>
      </c>
      <c r="M27" s="291">
        <f>F27*H27*I27</f>
        <v>1200</v>
      </c>
      <c r="N27" s="288">
        <f>M27</f>
        <v>1200</v>
      </c>
      <c r="O27" s="292">
        <f>M27-N27</f>
        <v>0</v>
      </c>
      <c r="P27" s="291">
        <f>E27*F27*0*I27</f>
        <v>0</v>
      </c>
      <c r="Q27" s="312">
        <f>P27</f>
        <v>0</v>
      </c>
      <c r="R27" s="292">
        <f>P27-Q27</f>
        <v>0</v>
      </c>
      <c r="S27" s="291">
        <f t="shared" si="6"/>
        <v>2400</v>
      </c>
      <c r="T27" s="288">
        <f t="shared" si="6"/>
        <v>2400</v>
      </c>
      <c r="U27" s="292">
        <f>S27-T27</f>
        <v>0</v>
      </c>
      <c r="V27" s="313"/>
    </row>
    <row r="28" spans="1:22">
      <c r="A28" s="493" t="s">
        <v>327</v>
      </c>
      <c r="B28" s="493">
        <v>7370</v>
      </c>
      <c r="C28" s="480" t="s">
        <v>417</v>
      </c>
      <c r="D28" s="308"/>
      <c r="E28" s="550">
        <v>1</v>
      </c>
      <c r="F28" s="288">
        <v>80</v>
      </c>
      <c r="G28" s="219" t="s">
        <v>414</v>
      </c>
      <c r="H28" s="310">
        <v>4</v>
      </c>
      <c r="I28" s="311">
        <v>1</v>
      </c>
      <c r="J28" s="291">
        <f>F28*H28*I28</f>
        <v>320</v>
      </c>
      <c r="K28" s="288">
        <f>J28</f>
        <v>320</v>
      </c>
      <c r="L28" s="292">
        <f>J28-K28</f>
        <v>0</v>
      </c>
      <c r="M28" s="291">
        <f>F28*H28*I28</f>
        <v>320</v>
      </c>
      <c r="N28" s="288">
        <f>M28</f>
        <v>320</v>
      </c>
      <c r="O28" s="292">
        <f>M28-N28</f>
        <v>0</v>
      </c>
      <c r="P28" s="291">
        <f>E28*F28*0*I28</f>
        <v>0</v>
      </c>
      <c r="Q28" s="312">
        <f>P28</f>
        <v>0</v>
      </c>
      <c r="R28" s="292">
        <f>P28-Q28</f>
        <v>0</v>
      </c>
      <c r="S28" s="291">
        <f t="shared" si="6"/>
        <v>640</v>
      </c>
      <c r="T28" s="288">
        <f t="shared" si="6"/>
        <v>640</v>
      </c>
      <c r="U28" s="292">
        <f>S28-T28</f>
        <v>0</v>
      </c>
      <c r="V28" s="313"/>
    </row>
    <row r="29" spans="1:22">
      <c r="A29" s="493" t="s">
        <v>327</v>
      </c>
      <c r="B29" s="493">
        <v>7370</v>
      </c>
      <c r="C29" s="315" t="s">
        <v>418</v>
      </c>
      <c r="D29" s="308"/>
      <c r="E29" s="259">
        <v>1</v>
      </c>
      <c r="F29" s="288">
        <v>300</v>
      </c>
      <c r="G29" s="219" t="s">
        <v>382</v>
      </c>
      <c r="H29" s="310">
        <v>2</v>
      </c>
      <c r="I29" s="311">
        <v>1</v>
      </c>
      <c r="J29" s="291">
        <f>E29*F29*H29*I29</f>
        <v>600</v>
      </c>
      <c r="K29" s="288">
        <f>J29</f>
        <v>600</v>
      </c>
      <c r="L29" s="292">
        <v>0</v>
      </c>
      <c r="M29" s="291">
        <f>E29*F29*H29*I29</f>
        <v>600</v>
      </c>
      <c r="N29" s="288">
        <f>M29</f>
        <v>600</v>
      </c>
      <c r="O29" s="292">
        <f>M29-N29</f>
        <v>0</v>
      </c>
      <c r="P29" s="291">
        <f>E29*F29*0*I29</f>
        <v>0</v>
      </c>
      <c r="Q29" s="288">
        <f>P29</f>
        <v>0</v>
      </c>
      <c r="R29" s="292">
        <f>P29-Q29</f>
        <v>0</v>
      </c>
      <c r="S29" s="291">
        <f t="shared" ref="S29:T29" si="7">J29+M29+P29</f>
        <v>1200</v>
      </c>
      <c r="T29" s="288">
        <f t="shared" si="7"/>
        <v>1200</v>
      </c>
      <c r="U29" s="292">
        <f>S29-T29</f>
        <v>0</v>
      </c>
      <c r="V29" s="313"/>
    </row>
    <row r="30" spans="1:22" ht="60">
      <c r="A30" s="549"/>
      <c r="B30" s="549"/>
      <c r="C30" s="549" t="s">
        <v>347</v>
      </c>
      <c r="D30" s="327"/>
      <c r="E30" s="328"/>
      <c r="F30" s="329"/>
      <c r="G30" s="337"/>
      <c r="H30" s="338"/>
      <c r="I30" s="339"/>
      <c r="J30" s="333"/>
      <c r="K30" s="329"/>
      <c r="L30" s="334"/>
      <c r="M30" s="333"/>
      <c r="N30" s="329"/>
      <c r="O30" s="334"/>
      <c r="P30" s="333"/>
      <c r="Q30" s="335"/>
      <c r="R30" s="334"/>
      <c r="S30" s="333"/>
      <c r="T30" s="329"/>
      <c r="U30" s="334"/>
      <c r="V30" s="313"/>
    </row>
    <row r="31" spans="1:22">
      <c r="A31" s="525"/>
      <c r="B31" s="525"/>
      <c r="C31" s="525" t="s">
        <v>437</v>
      </c>
      <c r="D31" s="308"/>
      <c r="E31" s="309"/>
      <c r="F31" s="288"/>
      <c r="G31" s="219"/>
      <c r="H31" s="310"/>
      <c r="I31" s="311"/>
      <c r="J31" s="291"/>
      <c r="K31" s="288"/>
      <c r="L31" s="292"/>
      <c r="M31" s="291"/>
      <c r="N31" s="288"/>
      <c r="O31" s="292"/>
      <c r="P31" s="291"/>
      <c r="Q31" s="312"/>
      <c r="R31" s="292"/>
      <c r="S31" s="291"/>
      <c r="T31" s="288"/>
      <c r="U31" s="292"/>
      <c r="V31" s="313"/>
    </row>
    <row r="32" spans="1:22">
      <c r="A32" s="493" t="s">
        <v>327</v>
      </c>
      <c r="B32" s="493">
        <v>7370</v>
      </c>
      <c r="C32" s="491" t="s">
        <v>351</v>
      </c>
      <c r="D32" s="308"/>
      <c r="E32" s="309">
        <v>1</v>
      </c>
      <c r="F32" s="288">
        <v>120</v>
      </c>
      <c r="G32" s="219" t="s">
        <v>341</v>
      </c>
      <c r="H32" s="310">
        <v>3</v>
      </c>
      <c r="I32" s="311">
        <v>1</v>
      </c>
      <c r="J32" s="291">
        <f>E32*H32*F32*I32</f>
        <v>360</v>
      </c>
      <c r="K32" s="288">
        <f>J32</f>
        <v>360</v>
      </c>
      <c r="L32" s="292">
        <v>0</v>
      </c>
      <c r="M32" s="291">
        <f>E32*F32*H32*I32</f>
        <v>360</v>
      </c>
      <c r="N32" s="288">
        <f>M32</f>
        <v>360</v>
      </c>
      <c r="O32" s="292">
        <f>M32-N32</f>
        <v>0</v>
      </c>
      <c r="P32" s="291">
        <f>0*F32*H32*I32</f>
        <v>0</v>
      </c>
      <c r="Q32" s="312">
        <f>P32</f>
        <v>0</v>
      </c>
      <c r="R32" s="292">
        <f>P32-Q32</f>
        <v>0</v>
      </c>
      <c r="S32" s="291">
        <f>J32+M32+P32</f>
        <v>720</v>
      </c>
      <c r="T32" s="288">
        <f>K32+N32+Q32</f>
        <v>720</v>
      </c>
      <c r="U32" s="292">
        <f>S32-T32</f>
        <v>0</v>
      </c>
      <c r="V32" s="313"/>
    </row>
    <row r="33" spans="1:23" ht="30">
      <c r="A33" s="505"/>
      <c r="B33" s="505"/>
      <c r="C33" s="505" t="s">
        <v>421</v>
      </c>
      <c r="D33" s="507"/>
      <c r="E33" s="508"/>
      <c r="F33" s="508"/>
      <c r="G33" s="509"/>
      <c r="H33" s="510"/>
      <c r="I33" s="510"/>
      <c r="J33" s="511"/>
      <c r="K33" s="512"/>
      <c r="L33" s="507"/>
      <c r="M33" s="508"/>
      <c r="N33" s="510"/>
      <c r="O33" s="510"/>
      <c r="P33" s="511"/>
      <c r="Q33" s="512"/>
      <c r="R33" s="507"/>
      <c r="S33" s="508"/>
      <c r="T33" s="510"/>
      <c r="U33" s="229"/>
      <c r="V33" s="313"/>
    </row>
    <row r="34" spans="1:23" ht="30.95">
      <c r="A34" s="527"/>
      <c r="B34" s="527"/>
      <c r="C34" s="527" t="s">
        <v>438</v>
      </c>
      <c r="D34" s="519"/>
      <c r="E34" s="520"/>
      <c r="F34" s="520"/>
      <c r="G34" s="521"/>
      <c r="H34" s="522"/>
      <c r="I34" s="522"/>
      <c r="J34" s="523"/>
      <c r="K34" s="524"/>
      <c r="L34" s="519"/>
      <c r="M34" s="520"/>
      <c r="N34" s="522"/>
      <c r="O34" s="522"/>
      <c r="P34" s="523"/>
      <c r="Q34" s="524"/>
      <c r="R34" s="519"/>
      <c r="S34" s="520"/>
      <c r="T34" s="522"/>
      <c r="U34" s="228"/>
      <c r="V34" s="313"/>
    </row>
    <row r="35" spans="1:23">
      <c r="A35" s="493" t="s">
        <v>327</v>
      </c>
      <c r="B35" s="493">
        <v>7370</v>
      </c>
      <c r="C35" s="565" t="s">
        <v>439</v>
      </c>
      <c r="D35" s="219"/>
      <c r="E35" s="219">
        <v>1</v>
      </c>
      <c r="F35" s="312">
        <v>600</v>
      </c>
      <c r="G35" s="243" t="s">
        <v>382</v>
      </c>
      <c r="H35" s="572">
        <v>1</v>
      </c>
      <c r="I35" s="573">
        <v>1</v>
      </c>
      <c r="J35" s="376">
        <f>E35*F35*H35*I35</f>
        <v>600</v>
      </c>
      <c r="K35" s="376">
        <f>J35</f>
        <v>600</v>
      </c>
      <c r="L35" s="574">
        <v>0</v>
      </c>
      <c r="M35" s="219">
        <f>E35*F35*H35*I35</f>
        <v>600</v>
      </c>
      <c r="N35" s="228">
        <f>M35</f>
        <v>600</v>
      </c>
      <c r="O35" s="575">
        <f>M35-N35</f>
        <v>0</v>
      </c>
      <c r="P35" s="376">
        <f>E35*F35*H35*I35</f>
        <v>600</v>
      </c>
      <c r="Q35" s="376">
        <f>P35</f>
        <v>600</v>
      </c>
      <c r="R35" s="312">
        <f>P35-Q35</f>
        <v>0</v>
      </c>
      <c r="S35" s="312">
        <f t="shared" ref="S35:T37" si="8">J35+M35+P35</f>
        <v>1800</v>
      </c>
      <c r="T35" s="228">
        <f t="shared" si="8"/>
        <v>1800</v>
      </c>
      <c r="U35" s="575">
        <f>S35-T35</f>
        <v>0</v>
      </c>
      <c r="V35" s="313"/>
    </row>
    <row r="36" spans="1:23">
      <c r="A36" s="493" t="s">
        <v>327</v>
      </c>
      <c r="B36" s="493">
        <v>7370</v>
      </c>
      <c r="C36" s="568" t="s">
        <v>433</v>
      </c>
      <c r="D36" s="576"/>
      <c r="E36" s="577">
        <v>1</v>
      </c>
      <c r="F36" s="312">
        <v>300</v>
      </c>
      <c r="G36" s="243" t="s">
        <v>354</v>
      </c>
      <c r="H36" s="572">
        <v>2</v>
      </c>
      <c r="I36" s="578">
        <v>1</v>
      </c>
      <c r="J36" s="579">
        <f t="shared" ref="J36:J37" si="9">E36*F36*H36*I36</f>
        <v>600</v>
      </c>
      <c r="K36" s="579">
        <f t="shared" ref="K36:K37" si="10">J36</f>
        <v>600</v>
      </c>
      <c r="L36" s="580">
        <v>0</v>
      </c>
      <c r="M36" s="577">
        <f t="shared" ref="M36:M37" si="11">E36*F36*H36*I36</f>
        <v>600</v>
      </c>
      <c r="N36" s="581">
        <f t="shared" ref="N36:N37" si="12">M36</f>
        <v>600</v>
      </c>
      <c r="O36" s="582">
        <f t="shared" ref="O36:O37" si="13">M36-N36</f>
        <v>0</v>
      </c>
      <c r="P36" s="579">
        <f t="shared" ref="P36:P37" si="14">E36*F36*H36*I36</f>
        <v>600</v>
      </c>
      <c r="Q36" s="579">
        <f t="shared" ref="Q36:Q37" si="15">P36</f>
        <v>600</v>
      </c>
      <c r="R36" s="571">
        <f t="shared" ref="R36:R37" si="16">P36-Q36</f>
        <v>0</v>
      </c>
      <c r="S36" s="571">
        <f t="shared" si="8"/>
        <v>1800</v>
      </c>
      <c r="T36" s="581">
        <f t="shared" si="8"/>
        <v>1800</v>
      </c>
      <c r="U36" s="582">
        <f t="shared" ref="U36:U37" si="17">S36-T36</f>
        <v>0</v>
      </c>
      <c r="V36" s="313"/>
    </row>
    <row r="37" spans="1:23">
      <c r="A37" s="493" t="s">
        <v>327</v>
      </c>
      <c r="B37" s="493">
        <v>7370</v>
      </c>
      <c r="C37" s="568" t="s">
        <v>440</v>
      </c>
      <c r="D37" s="576"/>
      <c r="E37" s="577">
        <v>1</v>
      </c>
      <c r="F37" s="312">
        <v>100</v>
      </c>
      <c r="G37" s="243" t="s">
        <v>354</v>
      </c>
      <c r="H37" s="572">
        <v>2</v>
      </c>
      <c r="I37" s="578">
        <v>1</v>
      </c>
      <c r="J37" s="579">
        <f t="shared" si="9"/>
        <v>200</v>
      </c>
      <c r="K37" s="579">
        <f t="shared" si="10"/>
        <v>200</v>
      </c>
      <c r="L37" s="580">
        <v>0</v>
      </c>
      <c r="M37" s="577">
        <f t="shared" si="11"/>
        <v>200</v>
      </c>
      <c r="N37" s="581">
        <f t="shared" si="12"/>
        <v>200</v>
      </c>
      <c r="O37" s="582">
        <f t="shared" si="13"/>
        <v>0</v>
      </c>
      <c r="P37" s="579">
        <f t="shared" si="14"/>
        <v>200</v>
      </c>
      <c r="Q37" s="579">
        <f t="shared" si="15"/>
        <v>200</v>
      </c>
      <c r="R37" s="571">
        <f t="shared" si="16"/>
        <v>0</v>
      </c>
      <c r="S37" s="571">
        <f t="shared" si="8"/>
        <v>600</v>
      </c>
      <c r="T37" s="581">
        <f t="shared" si="8"/>
        <v>600</v>
      </c>
      <c r="U37" s="582">
        <f t="shared" si="17"/>
        <v>0</v>
      </c>
      <c r="V37" s="313"/>
    </row>
    <row r="38" spans="1:23">
      <c r="A38" s="293"/>
      <c r="B38" s="293"/>
      <c r="C38" s="293" t="s">
        <v>391</v>
      </c>
      <c r="D38" s="294"/>
      <c r="E38" s="295"/>
      <c r="F38" s="296"/>
      <c r="G38" s="303"/>
      <c r="H38" s="303"/>
      <c r="I38" s="340"/>
      <c r="J38" s="299">
        <f>SUM(J25:J37)</f>
        <v>4720</v>
      </c>
      <c r="K38" s="299">
        <f>SUM(K25:K37)</f>
        <v>4720</v>
      </c>
      <c r="L38" s="299">
        <f>SUM(L25:L37)</f>
        <v>0</v>
      </c>
      <c r="M38" s="299">
        <f>SUM(M25:M37)</f>
        <v>4720</v>
      </c>
      <c r="N38" s="299">
        <f>SUM(N25:N37)</f>
        <v>4720</v>
      </c>
      <c r="O38" s="299">
        <f>SUM(O25:O35)</f>
        <v>0</v>
      </c>
      <c r="P38" s="299">
        <f t="shared" ref="P38:U38" si="18">SUM(P25:P37)</f>
        <v>1400</v>
      </c>
      <c r="Q38" s="299">
        <f t="shared" si="18"/>
        <v>1400</v>
      </c>
      <c r="R38" s="299">
        <f t="shared" si="18"/>
        <v>0</v>
      </c>
      <c r="S38" s="299">
        <f t="shared" si="18"/>
        <v>10840</v>
      </c>
      <c r="T38" s="299">
        <f t="shared" si="18"/>
        <v>10840</v>
      </c>
      <c r="U38" s="299">
        <f t="shared" si="18"/>
        <v>0</v>
      </c>
      <c r="V38" s="529"/>
    </row>
    <row r="39" spans="1:23">
      <c r="A39" s="278"/>
      <c r="B39" s="278"/>
      <c r="C39" s="278" t="s">
        <v>224</v>
      </c>
      <c r="D39" s="279"/>
      <c r="E39" s="280"/>
      <c r="F39" s="285"/>
      <c r="G39" s="302"/>
      <c r="H39" s="302"/>
      <c r="I39" s="283"/>
      <c r="J39" s="284">
        <f>J7+J11+J16+J38</f>
        <v>18164</v>
      </c>
      <c r="K39" s="285">
        <f>J39</f>
        <v>18164</v>
      </c>
      <c r="L39" s="286">
        <f>J39-K39</f>
        <v>0</v>
      </c>
      <c r="M39" s="341">
        <f>M7+M11+M16+M38</f>
        <v>24621.4</v>
      </c>
      <c r="N39" s="285">
        <f>M39</f>
        <v>24621.4</v>
      </c>
      <c r="O39" s="342">
        <f>M39-N39</f>
        <v>0</v>
      </c>
      <c r="P39" s="341">
        <f>P7+P11+P16+P38</f>
        <v>6499.7337500000003</v>
      </c>
      <c r="Q39" s="285">
        <f>P39</f>
        <v>6499.7337500000003</v>
      </c>
      <c r="R39" s="342">
        <f>P39-Q39</f>
        <v>0</v>
      </c>
      <c r="S39" s="341">
        <f>S7+S11+S16+S38</f>
        <v>49285.133750000001</v>
      </c>
      <c r="T39" s="285">
        <f>S39</f>
        <v>49285.133750000001</v>
      </c>
      <c r="U39" s="342">
        <f>SUM(U7+U16+U38)</f>
        <v>0</v>
      </c>
    </row>
    <row r="40" spans="1:23">
      <c r="A40" s="278"/>
      <c r="B40" s="278"/>
      <c r="C40" s="278" t="s">
        <v>424</v>
      </c>
      <c r="D40" s="279"/>
      <c r="E40" s="280"/>
      <c r="F40" s="285"/>
      <c r="G40" s="302"/>
      <c r="H40" s="302"/>
      <c r="I40" s="283"/>
      <c r="J40" s="284"/>
      <c r="K40" s="285"/>
      <c r="L40" s="286"/>
      <c r="M40" s="284"/>
      <c r="N40" s="285"/>
      <c r="O40" s="286"/>
      <c r="P40" s="284"/>
      <c r="Q40" s="285"/>
      <c r="R40" s="286"/>
      <c r="S40" s="284"/>
      <c r="T40" s="285"/>
      <c r="U40" s="286"/>
    </row>
    <row r="41" spans="1:23">
      <c r="A41" s="493" t="s">
        <v>327</v>
      </c>
      <c r="B41" s="493">
        <v>7370</v>
      </c>
      <c r="C41" s="555" t="s">
        <v>441</v>
      </c>
      <c r="D41" s="556"/>
      <c r="E41" s="557"/>
      <c r="F41" s="558">
        <v>0.08</v>
      </c>
      <c r="G41" s="559"/>
      <c r="H41" s="559"/>
      <c r="I41" s="560">
        <v>1</v>
      </c>
      <c r="J41" s="561">
        <f>J39*F41*I41</f>
        <v>1453.1200000000001</v>
      </c>
      <c r="K41" s="562">
        <f>J41</f>
        <v>1453.1200000000001</v>
      </c>
      <c r="L41" s="563">
        <f>SUM(L39:L40)</f>
        <v>0</v>
      </c>
      <c r="M41" s="561">
        <f>M39*F41*I41</f>
        <v>1969.7120000000002</v>
      </c>
      <c r="N41" s="562">
        <f>M41</f>
        <v>1969.7120000000002</v>
      </c>
      <c r="O41" s="563">
        <f>SUM(O39:O40)</f>
        <v>0</v>
      </c>
      <c r="P41" s="561">
        <f>P39*F41*I41</f>
        <v>519.9787</v>
      </c>
      <c r="Q41" s="562">
        <f>P41</f>
        <v>519.9787</v>
      </c>
      <c r="R41" s="563">
        <f>SUM(R39:R40)</f>
        <v>0</v>
      </c>
      <c r="S41" s="561">
        <f>J41+M41+P41</f>
        <v>3942.8107000000005</v>
      </c>
      <c r="T41" s="562">
        <f>S41</f>
        <v>3942.8107000000005</v>
      </c>
      <c r="U41" s="563">
        <f>S41-T41</f>
        <v>0</v>
      </c>
    </row>
    <row r="42" spans="1:23">
      <c r="A42" s="343"/>
      <c r="B42" s="343"/>
      <c r="C42" s="343" t="s">
        <v>395</v>
      </c>
      <c r="D42" s="344"/>
      <c r="E42" s="345"/>
      <c r="F42" s="346"/>
      <c r="G42" s="347"/>
      <c r="H42" s="347"/>
      <c r="I42" s="348"/>
      <c r="J42" s="284">
        <f>J41</f>
        <v>1453.1200000000001</v>
      </c>
      <c r="K42" s="285">
        <f>K41</f>
        <v>1453.1200000000001</v>
      </c>
      <c r="L42" s="286">
        <f t="shared" ref="L42:U42" si="19">L41</f>
        <v>0</v>
      </c>
      <c r="M42" s="284">
        <f t="shared" si="19"/>
        <v>1969.7120000000002</v>
      </c>
      <c r="N42" s="285">
        <f t="shared" si="19"/>
        <v>1969.7120000000002</v>
      </c>
      <c r="O42" s="286">
        <f t="shared" si="19"/>
        <v>0</v>
      </c>
      <c r="P42" s="284">
        <f t="shared" si="19"/>
        <v>519.9787</v>
      </c>
      <c r="Q42" s="285">
        <f t="shared" si="19"/>
        <v>519.9787</v>
      </c>
      <c r="R42" s="286">
        <f t="shared" si="19"/>
        <v>0</v>
      </c>
      <c r="S42" s="284">
        <f t="shared" si="19"/>
        <v>3942.8107000000005</v>
      </c>
      <c r="T42" s="285">
        <f t="shared" si="19"/>
        <v>3942.8107000000005</v>
      </c>
      <c r="U42" s="286">
        <f t="shared" si="19"/>
        <v>0</v>
      </c>
    </row>
    <row r="43" spans="1:23" ht="15.95" thickBot="1">
      <c r="A43" s="349"/>
      <c r="B43" s="349"/>
      <c r="C43" s="349" t="s">
        <v>396</v>
      </c>
      <c r="D43" s="350"/>
      <c r="E43" s="262"/>
      <c r="F43" s="351"/>
      <c r="G43" s="264"/>
      <c r="H43" s="264"/>
      <c r="I43" s="352"/>
      <c r="J43" s="353">
        <f>J39+J42</f>
        <v>19617.12</v>
      </c>
      <c r="K43" s="351">
        <f>K39+K42</f>
        <v>19617.12</v>
      </c>
      <c r="L43" s="354">
        <f t="shared" ref="L43:U43" si="20">L39+L42</f>
        <v>0</v>
      </c>
      <c r="M43" s="353">
        <f t="shared" si="20"/>
        <v>26591.112000000001</v>
      </c>
      <c r="N43" s="351">
        <f t="shared" si="20"/>
        <v>26591.112000000001</v>
      </c>
      <c r="O43" s="354">
        <f t="shared" si="20"/>
        <v>0</v>
      </c>
      <c r="P43" s="353">
        <f t="shared" si="20"/>
        <v>7019.71245</v>
      </c>
      <c r="Q43" s="351">
        <f t="shared" si="20"/>
        <v>7019.71245</v>
      </c>
      <c r="R43" s="354">
        <f t="shared" si="20"/>
        <v>0</v>
      </c>
      <c r="S43" s="353">
        <f t="shared" si="20"/>
        <v>53227.944450000003</v>
      </c>
      <c r="T43" s="351">
        <f>T39+T42</f>
        <v>53227.944450000003</v>
      </c>
      <c r="U43" s="354">
        <f t="shared" si="20"/>
        <v>0</v>
      </c>
      <c r="W43" s="270"/>
    </row>
    <row r="44" spans="1:23">
      <c r="E44" s="215"/>
      <c r="F44" s="355"/>
      <c r="G44" s="216"/>
      <c r="H44" s="215"/>
      <c r="I44" s="215"/>
    </row>
    <row r="45" spans="1:23">
      <c r="E45" s="215"/>
      <c r="F45" s="355"/>
      <c r="G45" s="216"/>
      <c r="H45" s="215"/>
      <c r="I45" s="215"/>
    </row>
    <row r="46" spans="1:23">
      <c r="E46" s="215"/>
      <c r="F46" s="355"/>
      <c r="G46" s="216"/>
      <c r="H46" s="215"/>
      <c r="I46" s="215"/>
    </row>
    <row r="47" spans="1:23">
      <c r="E47" s="215"/>
      <c r="F47" s="355"/>
      <c r="G47" s="216"/>
      <c r="H47" s="215"/>
      <c r="I47" s="215"/>
    </row>
    <row r="48" spans="1:23">
      <c r="E48" s="215"/>
      <c r="F48" s="355"/>
      <c r="G48" s="216"/>
      <c r="H48" s="215"/>
      <c r="I48" s="215"/>
    </row>
    <row r="49" spans="5:9">
      <c r="E49" s="215"/>
      <c r="F49" s="355"/>
      <c r="G49" s="216"/>
      <c r="H49" s="215"/>
      <c r="I49" s="215"/>
    </row>
    <row r="50" spans="5:9">
      <c r="E50" s="215"/>
      <c r="F50" s="355"/>
      <c r="G50" s="216"/>
      <c r="H50" s="215"/>
      <c r="I50" s="215"/>
    </row>
    <row r="51" spans="5:9">
      <c r="E51" s="215"/>
      <c r="F51" s="355"/>
      <c r="G51" s="216"/>
      <c r="H51" s="215"/>
      <c r="I51" s="215"/>
    </row>
    <row r="52" spans="5:9">
      <c r="E52" s="215"/>
      <c r="F52" s="355"/>
      <c r="G52" s="216"/>
      <c r="H52" s="215"/>
      <c r="I52" s="215"/>
    </row>
    <row r="53" spans="5:9">
      <c r="E53" s="215"/>
      <c r="F53" s="355"/>
      <c r="G53" s="216"/>
      <c r="H53" s="215"/>
      <c r="I53" s="215"/>
    </row>
    <row r="54" spans="5:9">
      <c r="E54" s="215"/>
      <c r="F54" s="355"/>
      <c r="G54" s="216"/>
      <c r="H54" s="215"/>
      <c r="I54" s="215"/>
    </row>
    <row r="55" spans="5:9">
      <c r="E55" s="215"/>
      <c r="F55" s="355"/>
      <c r="G55" s="216"/>
      <c r="H55" s="215"/>
      <c r="I55" s="215"/>
    </row>
    <row r="56" spans="5:9">
      <c r="E56" s="215"/>
      <c r="F56" s="355"/>
      <c r="G56" s="216"/>
      <c r="H56" s="215"/>
      <c r="I56" s="215"/>
    </row>
    <row r="57" spans="5:9">
      <c r="E57" s="215"/>
      <c r="F57" s="355"/>
      <c r="G57" s="216"/>
      <c r="H57" s="215"/>
      <c r="I57" s="215"/>
    </row>
    <row r="58" spans="5:9">
      <c r="E58" s="215"/>
      <c r="F58" s="355"/>
      <c r="G58" s="216"/>
      <c r="H58" s="215"/>
      <c r="I58" s="215"/>
    </row>
    <row r="59" spans="5:9">
      <c r="E59" s="215"/>
      <c r="F59" s="355"/>
      <c r="G59" s="216"/>
      <c r="H59" s="215"/>
      <c r="I59" s="215"/>
    </row>
    <row r="60" spans="5:9">
      <c r="E60" s="215"/>
      <c r="F60" s="355"/>
      <c r="G60" s="216"/>
      <c r="H60" s="215"/>
      <c r="I60" s="215"/>
    </row>
    <row r="61" spans="5:9">
      <c r="E61" s="215"/>
      <c r="F61" s="355"/>
      <c r="G61" s="216"/>
      <c r="H61" s="215"/>
      <c r="I61" s="215"/>
    </row>
    <row r="62" spans="5:9">
      <c r="E62" s="215"/>
      <c r="F62" s="355"/>
      <c r="G62" s="216"/>
      <c r="H62" s="215"/>
      <c r="I62" s="215"/>
    </row>
    <row r="63" spans="5:9">
      <c r="E63" s="215"/>
      <c r="F63" s="355"/>
      <c r="G63" s="216"/>
      <c r="H63" s="215"/>
      <c r="I63" s="215"/>
    </row>
    <row r="64" spans="5:9">
      <c r="E64" s="215"/>
      <c r="F64" s="355"/>
      <c r="G64" s="216"/>
      <c r="H64" s="215"/>
      <c r="I64" s="215"/>
    </row>
    <row r="65" spans="5:9">
      <c r="E65" s="215"/>
      <c r="F65" s="355"/>
      <c r="G65" s="216"/>
      <c r="H65" s="215"/>
      <c r="I65" s="215"/>
    </row>
    <row r="66" spans="5:9">
      <c r="E66" s="215"/>
      <c r="F66" s="355"/>
      <c r="G66" s="216"/>
      <c r="H66" s="215"/>
      <c r="I66" s="215"/>
    </row>
    <row r="67" spans="5:9">
      <c r="E67" s="215"/>
      <c r="F67" s="355"/>
      <c r="G67" s="216"/>
      <c r="H67" s="215"/>
      <c r="I67" s="215"/>
    </row>
    <row r="68" spans="5:9">
      <c r="E68" s="215"/>
      <c r="F68" s="355"/>
      <c r="G68" s="216"/>
      <c r="H68" s="215"/>
      <c r="I68" s="215"/>
    </row>
    <row r="69" spans="5:9">
      <c r="E69" s="215"/>
      <c r="F69" s="355"/>
      <c r="G69" s="216"/>
      <c r="H69" s="215"/>
      <c r="I69" s="215"/>
    </row>
    <row r="70" spans="5:9">
      <c r="E70" s="215"/>
      <c r="F70" s="355"/>
      <c r="G70" s="216"/>
      <c r="H70" s="215"/>
      <c r="I70" s="215"/>
    </row>
    <row r="71" spans="5:9">
      <c r="E71" s="215"/>
      <c r="F71" s="355"/>
      <c r="G71" s="216"/>
      <c r="H71" s="215"/>
      <c r="I71" s="215"/>
    </row>
    <row r="72" spans="5:9">
      <c r="E72" s="215"/>
      <c r="F72" s="355"/>
      <c r="G72" s="216"/>
      <c r="H72" s="215"/>
      <c r="I72" s="215"/>
    </row>
    <row r="73" spans="5:9">
      <c r="E73" s="215"/>
      <c r="F73" s="355"/>
      <c r="G73" s="216"/>
      <c r="H73" s="215"/>
      <c r="I73" s="215"/>
    </row>
    <row r="74" spans="5:9">
      <c r="E74" s="215"/>
      <c r="F74" s="355"/>
      <c r="G74" s="216"/>
      <c r="H74" s="215"/>
      <c r="I74" s="215"/>
    </row>
    <row r="75" spans="5:9">
      <c r="E75" s="215"/>
      <c r="F75" s="355"/>
      <c r="G75" s="216"/>
      <c r="H75" s="215"/>
      <c r="I75" s="215"/>
    </row>
    <row r="76" spans="5:9">
      <c r="E76" s="215"/>
      <c r="F76" s="355"/>
      <c r="G76" s="216"/>
      <c r="H76" s="215"/>
      <c r="I76" s="215"/>
    </row>
    <row r="77" spans="5:9">
      <c r="E77" s="215"/>
      <c r="F77" s="355"/>
      <c r="G77" s="216"/>
      <c r="H77" s="215"/>
      <c r="I77" s="215"/>
    </row>
    <row r="78" spans="5:9">
      <c r="E78" s="215"/>
      <c r="F78" s="355"/>
      <c r="G78" s="216"/>
      <c r="H78" s="215"/>
      <c r="I78" s="215"/>
    </row>
    <row r="79" spans="5:9">
      <c r="E79" s="215"/>
      <c r="F79" s="355"/>
      <c r="G79" s="216"/>
      <c r="H79" s="215"/>
      <c r="I79" s="215"/>
    </row>
    <row r="80" spans="5:9">
      <c r="E80" s="215"/>
      <c r="F80" s="355"/>
      <c r="G80" s="216"/>
      <c r="H80" s="215"/>
      <c r="I80" s="215"/>
    </row>
    <row r="81" spans="5:9">
      <c r="E81" s="215"/>
      <c r="F81" s="355"/>
      <c r="G81" s="216"/>
      <c r="H81" s="215"/>
      <c r="I81" s="215"/>
    </row>
    <row r="82" spans="5:9">
      <c r="E82" s="215"/>
      <c r="F82" s="355"/>
      <c r="G82" s="216"/>
      <c r="H82" s="215"/>
      <c r="I82" s="215"/>
    </row>
    <row r="83" spans="5:9">
      <c r="E83" s="215"/>
      <c r="F83" s="355"/>
      <c r="G83" s="216"/>
      <c r="H83" s="215"/>
      <c r="I83" s="215"/>
    </row>
    <row r="84" spans="5:9">
      <c r="E84" s="215"/>
      <c r="F84" s="355"/>
      <c r="G84" s="216"/>
      <c r="H84" s="215"/>
      <c r="I84" s="215"/>
    </row>
    <row r="85" spans="5:9">
      <c r="E85" s="215"/>
      <c r="F85" s="355"/>
      <c r="G85" s="216"/>
      <c r="H85" s="215"/>
      <c r="I85" s="215"/>
    </row>
    <row r="86" spans="5:9">
      <c r="E86" s="215"/>
      <c r="F86" s="355"/>
      <c r="G86" s="216"/>
      <c r="H86" s="215"/>
      <c r="I86" s="215"/>
    </row>
    <row r="87" spans="5:9">
      <c r="E87" s="215"/>
      <c r="F87" s="355"/>
      <c r="G87" s="216"/>
      <c r="H87" s="215"/>
      <c r="I87" s="215"/>
    </row>
    <row r="88" spans="5:9">
      <c r="E88" s="215"/>
      <c r="F88" s="355"/>
      <c r="G88" s="216"/>
      <c r="H88" s="215"/>
      <c r="I88" s="215"/>
    </row>
    <row r="89" spans="5:9">
      <c r="E89" s="215"/>
      <c r="F89" s="355"/>
      <c r="G89" s="216"/>
      <c r="H89" s="215"/>
      <c r="I89" s="215"/>
    </row>
    <row r="90" spans="5:9">
      <c r="E90" s="215"/>
      <c r="F90" s="355"/>
      <c r="G90" s="216"/>
      <c r="H90" s="215"/>
      <c r="I90" s="215"/>
    </row>
    <row r="91" spans="5:9">
      <c r="E91" s="215"/>
      <c r="F91" s="355"/>
      <c r="G91" s="216"/>
      <c r="H91" s="215"/>
      <c r="I91" s="215"/>
    </row>
    <row r="92" spans="5:9">
      <c r="E92" s="215"/>
      <c r="F92" s="355"/>
      <c r="G92" s="216"/>
      <c r="H92" s="215"/>
      <c r="I92" s="215"/>
    </row>
    <row r="93" spans="5:9">
      <c r="E93" s="215"/>
      <c r="F93" s="355"/>
      <c r="G93" s="216"/>
      <c r="H93" s="215"/>
      <c r="I93" s="215"/>
    </row>
    <row r="94" spans="5:9">
      <c r="E94" s="215"/>
      <c r="F94" s="355"/>
      <c r="G94" s="216"/>
      <c r="H94" s="215"/>
      <c r="I94" s="215"/>
    </row>
    <row r="95" spans="5:9">
      <c r="E95" s="215"/>
      <c r="F95" s="355"/>
      <c r="G95" s="216"/>
      <c r="H95" s="215"/>
      <c r="I95" s="215"/>
    </row>
    <row r="96" spans="5:9">
      <c r="E96" s="215"/>
      <c r="F96" s="355"/>
      <c r="G96" s="216"/>
      <c r="H96" s="215"/>
      <c r="I96" s="215"/>
    </row>
    <row r="97" spans="5:9">
      <c r="E97" s="215"/>
      <c r="F97" s="355"/>
      <c r="G97" s="216"/>
      <c r="H97" s="215"/>
      <c r="I97" s="215"/>
    </row>
    <row r="98" spans="5:9">
      <c r="E98" s="215"/>
      <c r="F98" s="355"/>
      <c r="G98" s="216"/>
      <c r="H98" s="215"/>
      <c r="I98" s="215"/>
    </row>
    <row r="99" spans="5:9">
      <c r="E99" s="215"/>
      <c r="F99" s="355"/>
      <c r="G99" s="216"/>
      <c r="H99" s="215"/>
      <c r="I99" s="215"/>
    </row>
    <row r="100" spans="5:9">
      <c r="E100" s="215"/>
      <c r="F100" s="355"/>
      <c r="G100" s="216"/>
      <c r="H100" s="215"/>
      <c r="I100" s="215"/>
    </row>
    <row r="101" spans="5:9">
      <c r="E101" s="215"/>
      <c r="F101" s="355"/>
      <c r="G101" s="216"/>
      <c r="H101" s="215"/>
      <c r="I101" s="215"/>
    </row>
    <row r="102" spans="5:9">
      <c r="E102" s="215"/>
      <c r="F102" s="355"/>
      <c r="G102" s="216"/>
      <c r="H102" s="215"/>
      <c r="I102" s="215"/>
    </row>
    <row r="103" spans="5:9">
      <c r="E103" s="215"/>
      <c r="F103" s="355"/>
      <c r="G103" s="216"/>
      <c r="H103" s="215"/>
      <c r="I103" s="215"/>
    </row>
    <row r="104" spans="5:9">
      <c r="E104" s="215"/>
      <c r="F104" s="355"/>
      <c r="G104" s="216"/>
      <c r="H104" s="215"/>
      <c r="I104" s="215"/>
    </row>
    <row r="105" spans="5:9">
      <c r="E105" s="215"/>
      <c r="F105" s="355"/>
      <c r="G105" s="216"/>
      <c r="H105" s="215"/>
      <c r="I105" s="215"/>
    </row>
    <row r="106" spans="5:9">
      <c r="E106" s="215"/>
      <c r="F106" s="355"/>
      <c r="G106" s="216"/>
      <c r="H106" s="215"/>
      <c r="I106" s="215"/>
    </row>
    <row r="107" spans="5:9">
      <c r="E107" s="215"/>
      <c r="F107" s="355"/>
      <c r="G107" s="216"/>
      <c r="H107" s="215"/>
      <c r="I107" s="215"/>
    </row>
    <row r="108" spans="5:9">
      <c r="E108" s="215"/>
      <c r="F108" s="355"/>
      <c r="G108" s="216"/>
      <c r="H108" s="215"/>
      <c r="I108" s="215"/>
    </row>
    <row r="109" spans="5:9">
      <c r="E109" s="215"/>
      <c r="F109" s="355"/>
      <c r="G109" s="216"/>
      <c r="H109" s="215"/>
      <c r="I109" s="215"/>
    </row>
    <row r="110" spans="5:9">
      <c r="E110" s="215"/>
      <c r="F110" s="355"/>
      <c r="G110" s="216"/>
      <c r="H110" s="215"/>
      <c r="I110" s="215"/>
    </row>
    <row r="111" spans="5:9">
      <c r="E111" s="215"/>
      <c r="F111" s="355"/>
      <c r="G111" s="216"/>
      <c r="H111" s="215"/>
      <c r="I111" s="215"/>
    </row>
    <row r="112" spans="5:9">
      <c r="E112" s="215"/>
      <c r="F112" s="355"/>
      <c r="G112" s="216"/>
      <c r="H112" s="215"/>
      <c r="I112" s="215"/>
    </row>
    <row r="113" spans="5:9">
      <c r="E113" s="215"/>
      <c r="F113" s="355"/>
      <c r="G113" s="216"/>
      <c r="H113" s="215"/>
      <c r="I113" s="215"/>
    </row>
    <row r="114" spans="5:9">
      <c r="E114" s="215"/>
      <c r="F114" s="355"/>
      <c r="G114" s="216"/>
      <c r="H114" s="215"/>
      <c r="I114" s="215"/>
    </row>
    <row r="115" spans="5:9">
      <c r="E115" s="215"/>
      <c r="F115" s="355"/>
      <c r="G115" s="216"/>
      <c r="H115" s="215"/>
      <c r="I115" s="215"/>
    </row>
    <row r="116" spans="5:9">
      <c r="E116" s="215"/>
      <c r="F116" s="355"/>
      <c r="G116" s="216"/>
      <c r="H116" s="215"/>
      <c r="I116" s="215"/>
    </row>
    <row r="117" spans="5:9">
      <c r="E117" s="215"/>
      <c r="F117" s="355"/>
      <c r="G117" s="216"/>
      <c r="H117" s="215"/>
      <c r="I117" s="215"/>
    </row>
    <row r="118" spans="5:9">
      <c r="E118" s="215"/>
      <c r="F118" s="355"/>
      <c r="G118" s="216"/>
      <c r="H118" s="215"/>
      <c r="I118" s="215"/>
    </row>
    <row r="119" spans="5:9">
      <c r="E119" s="215"/>
      <c r="F119" s="355"/>
      <c r="G119" s="216"/>
      <c r="H119" s="215"/>
      <c r="I119" s="215"/>
    </row>
    <row r="120" spans="5:9">
      <c r="E120" s="215"/>
      <c r="F120" s="355"/>
      <c r="G120" s="216"/>
      <c r="H120" s="215"/>
      <c r="I120" s="215"/>
    </row>
    <row r="121" spans="5:9">
      <c r="E121" s="215"/>
      <c r="F121" s="355"/>
      <c r="G121" s="216"/>
      <c r="H121" s="215"/>
      <c r="I121" s="215"/>
    </row>
    <row r="122" spans="5:9">
      <c r="E122" s="215"/>
      <c r="F122" s="355"/>
      <c r="G122" s="216"/>
      <c r="H122" s="215"/>
      <c r="I122" s="215"/>
    </row>
    <row r="123" spans="5:9">
      <c r="E123" s="215"/>
      <c r="F123" s="355"/>
      <c r="G123" s="216"/>
      <c r="H123" s="215"/>
      <c r="I123" s="215"/>
    </row>
    <row r="124" spans="5:9">
      <c r="E124" s="215"/>
      <c r="F124" s="355"/>
      <c r="G124" s="216"/>
      <c r="H124" s="215"/>
      <c r="I124" s="215"/>
    </row>
    <row r="125" spans="5:9">
      <c r="E125" s="215"/>
      <c r="F125" s="355"/>
      <c r="G125" s="216"/>
      <c r="H125" s="215"/>
      <c r="I125" s="215"/>
    </row>
    <row r="126" spans="5:9">
      <c r="E126" s="215"/>
      <c r="F126" s="355"/>
      <c r="G126" s="216"/>
      <c r="H126" s="215"/>
      <c r="I126" s="215"/>
    </row>
    <row r="127" spans="5:9">
      <c r="E127" s="215"/>
      <c r="F127" s="355"/>
      <c r="G127" s="216"/>
      <c r="H127" s="215"/>
      <c r="I127" s="215"/>
    </row>
    <row r="128" spans="5:9">
      <c r="E128" s="215"/>
      <c r="F128" s="355"/>
      <c r="G128" s="216"/>
      <c r="H128" s="215"/>
      <c r="I128" s="215"/>
    </row>
    <row r="129" spans="5:9">
      <c r="E129" s="215"/>
      <c r="F129" s="355"/>
      <c r="G129" s="216"/>
      <c r="H129" s="215"/>
      <c r="I129" s="215"/>
    </row>
    <row r="130" spans="5:9">
      <c r="E130" s="215"/>
      <c r="F130" s="355"/>
      <c r="G130" s="216"/>
      <c r="H130" s="215"/>
      <c r="I130" s="215"/>
    </row>
    <row r="131" spans="5:9">
      <c r="E131" s="215"/>
      <c r="F131" s="355"/>
      <c r="G131" s="216"/>
      <c r="H131" s="215"/>
      <c r="I131" s="215"/>
    </row>
    <row r="132" spans="5:9">
      <c r="E132" s="215"/>
      <c r="F132" s="355"/>
      <c r="G132" s="216"/>
      <c r="H132" s="215"/>
      <c r="I132" s="215"/>
    </row>
    <row r="133" spans="5:9">
      <c r="E133" s="215"/>
      <c r="F133" s="355"/>
      <c r="G133" s="216"/>
      <c r="H133" s="215"/>
      <c r="I133" s="215"/>
    </row>
    <row r="134" spans="5:9">
      <c r="E134" s="215"/>
      <c r="F134" s="355"/>
      <c r="G134" s="216"/>
      <c r="H134" s="215"/>
      <c r="I134" s="215"/>
    </row>
    <row r="135" spans="5:9">
      <c r="E135" s="215"/>
      <c r="F135" s="355"/>
      <c r="G135" s="216"/>
      <c r="H135" s="215"/>
      <c r="I135" s="215"/>
    </row>
    <row r="136" spans="5:9">
      <c r="E136" s="215"/>
      <c r="F136" s="355"/>
      <c r="G136" s="216"/>
      <c r="H136" s="215"/>
      <c r="I136" s="215"/>
    </row>
    <row r="137" spans="5:9">
      <c r="E137" s="215"/>
      <c r="F137" s="355"/>
      <c r="G137" s="216"/>
      <c r="H137" s="215"/>
      <c r="I137" s="215"/>
    </row>
    <row r="138" spans="5:9">
      <c r="E138" s="215"/>
      <c r="F138" s="355"/>
      <c r="G138" s="216"/>
      <c r="H138" s="215"/>
      <c r="I138" s="215"/>
    </row>
    <row r="139" spans="5:9">
      <c r="E139" s="215"/>
      <c r="F139" s="355"/>
      <c r="G139" s="216"/>
      <c r="H139" s="215"/>
      <c r="I139" s="215"/>
    </row>
    <row r="140" spans="5:9">
      <c r="E140" s="215"/>
      <c r="F140" s="355"/>
      <c r="G140" s="216"/>
      <c r="H140" s="215"/>
      <c r="I140" s="215"/>
    </row>
    <row r="141" spans="5:9">
      <c r="E141" s="215"/>
      <c r="F141" s="355"/>
      <c r="G141" s="216"/>
      <c r="H141" s="215"/>
      <c r="I141" s="215"/>
    </row>
    <row r="142" spans="5:9">
      <c r="E142" s="215"/>
      <c r="F142" s="355"/>
      <c r="G142" s="216"/>
      <c r="H142" s="215"/>
      <c r="I142" s="215"/>
    </row>
    <row r="143" spans="5:9">
      <c r="E143" s="215"/>
      <c r="F143" s="355"/>
      <c r="G143" s="216"/>
      <c r="H143" s="215"/>
      <c r="I143" s="215"/>
    </row>
    <row r="144" spans="5:9">
      <c r="E144" s="215"/>
      <c r="F144" s="355"/>
      <c r="G144" s="216"/>
      <c r="H144" s="215"/>
      <c r="I144" s="215"/>
    </row>
    <row r="145" spans="5:9">
      <c r="E145" s="215"/>
      <c r="F145" s="355"/>
      <c r="G145" s="216"/>
      <c r="H145" s="215"/>
      <c r="I145" s="215"/>
    </row>
    <row r="146" spans="5:9">
      <c r="E146" s="215"/>
      <c r="F146" s="355"/>
      <c r="G146" s="216"/>
      <c r="H146" s="215"/>
      <c r="I146" s="215"/>
    </row>
    <row r="147" spans="5:9">
      <c r="E147" s="215"/>
      <c r="F147" s="355"/>
      <c r="G147" s="216"/>
      <c r="H147" s="215"/>
      <c r="I147" s="215"/>
    </row>
    <row r="148" spans="5:9">
      <c r="E148" s="215"/>
      <c r="F148" s="355"/>
      <c r="G148" s="216"/>
      <c r="H148" s="215"/>
      <c r="I148" s="215"/>
    </row>
    <row r="149" spans="5:9">
      <c r="E149" s="215"/>
      <c r="F149" s="355"/>
      <c r="G149" s="216"/>
      <c r="H149" s="215"/>
      <c r="I149" s="215"/>
    </row>
    <row r="150" spans="5:9">
      <c r="E150" s="215"/>
      <c r="F150" s="355"/>
      <c r="G150" s="216"/>
      <c r="H150" s="215"/>
      <c r="I150" s="215"/>
    </row>
    <row r="151" spans="5:9">
      <c r="E151" s="215"/>
      <c r="F151" s="355"/>
      <c r="G151" s="216"/>
      <c r="H151" s="215"/>
      <c r="I151" s="215"/>
    </row>
    <row r="152" spans="5:9">
      <c r="E152" s="215"/>
      <c r="F152" s="355"/>
      <c r="G152" s="216"/>
      <c r="H152" s="215"/>
      <c r="I152" s="215"/>
    </row>
    <row r="153" spans="5:9">
      <c r="E153" s="215"/>
      <c r="F153" s="355"/>
      <c r="G153" s="216"/>
      <c r="H153" s="215"/>
      <c r="I153" s="215"/>
    </row>
    <row r="154" spans="5:9">
      <c r="E154" s="215"/>
      <c r="F154" s="355"/>
      <c r="G154" s="216"/>
      <c r="H154" s="215"/>
      <c r="I154" s="215"/>
    </row>
    <row r="155" spans="5:9">
      <c r="E155" s="215"/>
      <c r="F155" s="355"/>
      <c r="G155" s="216"/>
      <c r="H155" s="215"/>
      <c r="I155" s="215"/>
    </row>
    <row r="156" spans="5:9">
      <c r="E156" s="215"/>
      <c r="F156" s="355"/>
      <c r="G156" s="216"/>
      <c r="H156" s="215"/>
      <c r="I156" s="215"/>
    </row>
    <row r="157" spans="5:9">
      <c r="E157" s="215"/>
      <c r="F157" s="355"/>
      <c r="G157" s="216"/>
      <c r="H157" s="215"/>
      <c r="I157" s="215"/>
    </row>
    <row r="158" spans="5:9">
      <c r="E158" s="215"/>
      <c r="F158" s="355"/>
      <c r="G158" s="216"/>
      <c r="H158" s="215"/>
      <c r="I158" s="215"/>
    </row>
    <row r="159" spans="5:9">
      <c r="E159" s="215"/>
      <c r="F159" s="355"/>
      <c r="G159" s="216"/>
      <c r="H159" s="215"/>
      <c r="I159" s="215"/>
    </row>
    <row r="160" spans="5:9">
      <c r="E160" s="215"/>
      <c r="F160" s="355"/>
      <c r="G160" s="216"/>
      <c r="H160" s="215"/>
      <c r="I160" s="215"/>
    </row>
    <row r="161" spans="5:9">
      <c r="E161" s="215"/>
      <c r="F161" s="355"/>
      <c r="G161" s="216"/>
      <c r="H161" s="215"/>
      <c r="I161" s="215"/>
    </row>
    <row r="162" spans="5:9">
      <c r="E162" s="215"/>
      <c r="F162" s="355"/>
      <c r="G162" s="216"/>
      <c r="H162" s="215"/>
      <c r="I162" s="215"/>
    </row>
    <row r="163" spans="5:9">
      <c r="E163" s="215"/>
      <c r="F163" s="355"/>
      <c r="G163" s="216"/>
      <c r="H163" s="215"/>
      <c r="I163" s="215"/>
    </row>
    <row r="164" spans="5:9">
      <c r="E164" s="215"/>
      <c r="F164" s="355"/>
      <c r="G164" s="216"/>
      <c r="H164" s="215"/>
      <c r="I164" s="215"/>
    </row>
    <row r="165" spans="5:9">
      <c r="E165" s="215"/>
      <c r="F165" s="355"/>
      <c r="G165" s="216"/>
      <c r="H165" s="215"/>
      <c r="I165" s="215"/>
    </row>
    <row r="166" spans="5:9">
      <c r="E166" s="215"/>
      <c r="F166" s="355"/>
      <c r="G166" s="216"/>
      <c r="H166" s="215"/>
      <c r="I166" s="215"/>
    </row>
    <row r="167" spans="5:9">
      <c r="E167" s="215"/>
      <c r="F167" s="355"/>
      <c r="G167" s="216"/>
      <c r="H167" s="215"/>
      <c r="I167" s="215"/>
    </row>
    <row r="168" spans="5:9">
      <c r="E168" s="215"/>
      <c r="F168" s="355"/>
      <c r="G168" s="216"/>
      <c r="H168" s="215"/>
      <c r="I168" s="215"/>
    </row>
    <row r="169" spans="5:9">
      <c r="E169" s="215"/>
      <c r="F169" s="355"/>
      <c r="G169" s="216"/>
      <c r="H169" s="215"/>
      <c r="I169" s="215"/>
    </row>
    <row r="170" spans="5:9">
      <c r="E170" s="215"/>
      <c r="F170" s="355"/>
      <c r="G170" s="216"/>
      <c r="H170" s="215"/>
      <c r="I170" s="215"/>
    </row>
    <row r="171" spans="5:9">
      <c r="E171" s="215"/>
      <c r="F171" s="355"/>
      <c r="G171" s="216"/>
      <c r="H171" s="215"/>
      <c r="I171" s="215"/>
    </row>
    <row r="172" spans="5:9">
      <c r="E172" s="215"/>
      <c r="F172" s="355"/>
      <c r="G172" s="216"/>
      <c r="H172" s="215"/>
      <c r="I172" s="215"/>
    </row>
    <row r="173" spans="5:9">
      <c r="E173" s="215"/>
      <c r="F173" s="355"/>
      <c r="G173" s="216"/>
      <c r="H173" s="215"/>
      <c r="I173" s="215"/>
    </row>
    <row r="174" spans="5:9">
      <c r="E174" s="215"/>
      <c r="F174" s="355"/>
      <c r="G174" s="216"/>
      <c r="H174" s="215"/>
      <c r="I174" s="215"/>
    </row>
    <row r="175" spans="5:9">
      <c r="E175" s="215"/>
      <c r="F175" s="355"/>
      <c r="G175" s="216"/>
      <c r="H175" s="215"/>
      <c r="I175" s="215"/>
    </row>
    <row r="176" spans="5:9">
      <c r="E176" s="215"/>
      <c r="F176" s="355"/>
      <c r="G176" s="216"/>
      <c r="H176" s="215"/>
      <c r="I176" s="215"/>
    </row>
    <row r="177" spans="5:9">
      <c r="E177" s="215"/>
      <c r="F177" s="355"/>
      <c r="G177" s="216"/>
      <c r="H177" s="215"/>
      <c r="I177" s="215"/>
    </row>
    <row r="178" spans="5:9">
      <c r="E178" s="215"/>
      <c r="F178" s="355"/>
      <c r="G178" s="216"/>
      <c r="H178" s="215"/>
      <c r="I178" s="215"/>
    </row>
    <row r="179" spans="5:9">
      <c r="E179" s="215"/>
      <c r="F179" s="355"/>
      <c r="G179" s="216"/>
      <c r="H179" s="215"/>
      <c r="I179" s="215"/>
    </row>
    <row r="180" spans="5:9">
      <c r="E180" s="215"/>
      <c r="F180" s="355"/>
      <c r="G180" s="216"/>
      <c r="H180" s="215"/>
      <c r="I180" s="215"/>
    </row>
    <row r="181" spans="5:9">
      <c r="E181" s="215"/>
      <c r="F181" s="355"/>
      <c r="G181" s="216"/>
      <c r="H181" s="215"/>
      <c r="I181" s="215"/>
    </row>
    <row r="182" spans="5:9">
      <c r="E182" s="215"/>
      <c r="F182" s="355"/>
      <c r="G182" s="216"/>
      <c r="H182" s="215"/>
      <c r="I182" s="215"/>
    </row>
    <row r="183" spans="5:9">
      <c r="E183" s="215"/>
      <c r="F183" s="355"/>
      <c r="G183" s="216"/>
      <c r="H183" s="215"/>
      <c r="I183" s="215"/>
    </row>
    <row r="184" spans="5:9">
      <c r="E184" s="215"/>
      <c r="F184" s="355"/>
      <c r="G184" s="216"/>
      <c r="H184" s="215"/>
      <c r="I184" s="215"/>
    </row>
    <row r="185" spans="5:9">
      <c r="E185" s="215"/>
      <c r="F185" s="355"/>
      <c r="G185" s="216"/>
      <c r="H185" s="215"/>
      <c r="I185" s="215"/>
    </row>
    <row r="186" spans="5:9">
      <c r="E186" s="215"/>
      <c r="F186" s="355"/>
      <c r="G186" s="216"/>
      <c r="H186" s="215"/>
      <c r="I186" s="215"/>
    </row>
    <row r="187" spans="5:9">
      <c r="E187" s="215"/>
      <c r="F187" s="355"/>
      <c r="G187" s="216"/>
      <c r="H187" s="215"/>
      <c r="I187" s="215"/>
    </row>
    <row r="188" spans="5:9">
      <c r="E188" s="215"/>
      <c r="F188" s="355"/>
      <c r="G188" s="216"/>
      <c r="H188" s="215"/>
      <c r="I188" s="215"/>
    </row>
    <row r="189" spans="5:9">
      <c r="E189" s="215"/>
      <c r="F189" s="355"/>
      <c r="G189" s="216"/>
      <c r="H189" s="215"/>
      <c r="I189" s="215"/>
    </row>
    <row r="190" spans="5:9">
      <c r="E190" s="215"/>
      <c r="F190" s="355"/>
      <c r="G190" s="216"/>
      <c r="H190" s="215"/>
      <c r="I190" s="215"/>
    </row>
    <row r="191" spans="5:9">
      <c r="E191" s="215"/>
      <c r="F191" s="355"/>
      <c r="G191" s="216"/>
      <c r="H191" s="215"/>
      <c r="I191" s="215"/>
    </row>
    <row r="192" spans="5:9">
      <c r="E192" s="215"/>
      <c r="F192" s="355"/>
      <c r="G192" s="216"/>
      <c r="H192" s="215"/>
      <c r="I192" s="215"/>
    </row>
    <row r="193" spans="5:9">
      <c r="E193" s="215"/>
      <c r="F193" s="355"/>
      <c r="G193" s="216"/>
      <c r="H193" s="215"/>
      <c r="I193" s="215"/>
    </row>
    <row r="194" spans="5:9">
      <c r="E194" s="215"/>
      <c r="F194" s="355"/>
      <c r="G194" s="216"/>
      <c r="H194" s="215"/>
      <c r="I194" s="215"/>
    </row>
    <row r="195" spans="5:9">
      <c r="E195" s="215"/>
      <c r="F195" s="355"/>
      <c r="G195" s="216"/>
      <c r="H195" s="215"/>
      <c r="I195" s="215"/>
    </row>
    <row r="196" spans="5:9">
      <c r="E196" s="215"/>
      <c r="F196" s="355"/>
      <c r="G196" s="216"/>
      <c r="H196" s="215"/>
      <c r="I196" s="215"/>
    </row>
    <row r="197" spans="5:9">
      <c r="E197" s="215"/>
      <c r="F197" s="355"/>
      <c r="G197" s="216"/>
      <c r="H197" s="215"/>
      <c r="I197" s="215"/>
    </row>
    <row r="198" spans="5:9">
      <c r="E198" s="215"/>
      <c r="F198" s="355"/>
      <c r="G198" s="216"/>
      <c r="H198" s="215"/>
      <c r="I198" s="215"/>
    </row>
    <row r="199" spans="5:9">
      <c r="E199" s="215"/>
      <c r="F199" s="355"/>
      <c r="G199" s="216"/>
      <c r="H199" s="215"/>
      <c r="I199" s="215"/>
    </row>
    <row r="200" spans="5:9">
      <c r="E200" s="215"/>
      <c r="F200" s="355"/>
      <c r="G200" s="216"/>
      <c r="H200" s="215"/>
      <c r="I200" s="215"/>
    </row>
    <row r="201" spans="5:9">
      <c r="E201" s="215"/>
      <c r="F201" s="355"/>
      <c r="G201" s="216"/>
      <c r="H201" s="215"/>
      <c r="I201" s="215"/>
    </row>
    <row r="202" spans="5:9">
      <c r="E202" s="215"/>
      <c r="F202" s="355"/>
      <c r="G202" s="216"/>
      <c r="H202" s="215"/>
      <c r="I202" s="215"/>
    </row>
    <row r="203" spans="5:9">
      <c r="E203" s="215"/>
      <c r="F203" s="355"/>
      <c r="G203" s="216"/>
      <c r="H203" s="215"/>
      <c r="I203" s="215"/>
    </row>
    <row r="204" spans="5:9">
      <c r="E204" s="215"/>
      <c r="F204" s="355"/>
      <c r="G204" s="216"/>
      <c r="H204" s="215"/>
      <c r="I204" s="215"/>
    </row>
    <row r="205" spans="5:9">
      <c r="E205" s="215"/>
      <c r="F205" s="355"/>
      <c r="G205" s="216"/>
      <c r="H205" s="215"/>
      <c r="I205" s="215"/>
    </row>
    <row r="206" spans="5:9">
      <c r="E206" s="215"/>
      <c r="F206" s="355"/>
      <c r="G206" s="216"/>
      <c r="H206" s="215"/>
      <c r="I206" s="215"/>
    </row>
    <row r="207" spans="5:9">
      <c r="E207" s="215"/>
      <c r="F207" s="355"/>
      <c r="G207" s="216"/>
      <c r="H207" s="215"/>
      <c r="I207" s="215"/>
    </row>
    <row r="208" spans="5:9">
      <c r="E208" s="215"/>
      <c r="F208" s="355"/>
      <c r="G208" s="216"/>
      <c r="H208" s="215"/>
      <c r="I208" s="215"/>
    </row>
    <row r="209" spans="5:9">
      <c r="E209" s="215"/>
      <c r="F209" s="355"/>
      <c r="G209" s="216"/>
      <c r="H209" s="215"/>
      <c r="I209" s="215"/>
    </row>
    <row r="210" spans="5:9">
      <c r="E210" s="215"/>
      <c r="F210" s="355"/>
      <c r="G210" s="216"/>
      <c r="H210" s="215"/>
      <c r="I210" s="215"/>
    </row>
    <row r="211" spans="5:9">
      <c r="E211" s="215"/>
      <c r="F211" s="355"/>
      <c r="G211" s="216"/>
      <c r="H211" s="215"/>
      <c r="I211" s="215"/>
    </row>
    <row r="212" spans="5:9">
      <c r="E212" s="215"/>
      <c r="F212" s="355"/>
      <c r="G212" s="216"/>
      <c r="H212" s="215"/>
      <c r="I212" s="215"/>
    </row>
    <row r="213" spans="5:9">
      <c r="E213" s="215"/>
      <c r="F213" s="355"/>
      <c r="G213" s="216"/>
      <c r="H213" s="215"/>
      <c r="I213" s="215"/>
    </row>
    <row r="214" spans="5:9">
      <c r="E214" s="215"/>
      <c r="F214" s="355"/>
      <c r="G214" s="216"/>
      <c r="H214" s="215"/>
      <c r="I214" s="215"/>
    </row>
    <row r="215" spans="5:9">
      <c r="E215" s="215"/>
      <c r="F215" s="355"/>
      <c r="G215" s="216"/>
      <c r="H215" s="215"/>
      <c r="I215" s="215"/>
    </row>
    <row r="216" spans="5:9">
      <c r="E216" s="215"/>
      <c r="F216" s="355"/>
      <c r="G216" s="216"/>
      <c r="H216" s="215"/>
      <c r="I216" s="215"/>
    </row>
    <row r="217" spans="5:9">
      <c r="E217" s="215"/>
      <c r="F217" s="355"/>
      <c r="G217" s="216"/>
      <c r="H217" s="215"/>
      <c r="I217" s="215"/>
    </row>
    <row r="218" spans="5:9">
      <c r="E218" s="215"/>
      <c r="F218" s="355"/>
      <c r="G218" s="216"/>
      <c r="H218" s="215"/>
      <c r="I218" s="215"/>
    </row>
    <row r="219" spans="5:9">
      <c r="E219" s="215"/>
      <c r="F219" s="355"/>
      <c r="G219" s="216"/>
      <c r="H219" s="215"/>
      <c r="I219" s="215"/>
    </row>
    <row r="220" spans="5:9">
      <c r="E220" s="215"/>
      <c r="F220" s="355"/>
      <c r="G220" s="216"/>
      <c r="H220" s="215"/>
      <c r="I220" s="215"/>
    </row>
    <row r="221" spans="5:9">
      <c r="E221" s="215"/>
      <c r="F221" s="355"/>
      <c r="G221" s="216"/>
      <c r="H221" s="215"/>
      <c r="I221" s="215"/>
    </row>
    <row r="222" spans="5:9">
      <c r="E222" s="215"/>
      <c r="F222" s="355"/>
      <c r="G222" s="216"/>
      <c r="H222" s="215"/>
      <c r="I222" s="215"/>
    </row>
    <row r="223" spans="5:9">
      <c r="E223" s="215"/>
      <c r="F223" s="355"/>
      <c r="G223" s="216"/>
      <c r="H223" s="215"/>
      <c r="I223" s="215"/>
    </row>
    <row r="224" spans="5:9">
      <c r="E224" s="215"/>
      <c r="F224" s="355"/>
      <c r="G224" s="216"/>
      <c r="H224" s="215"/>
      <c r="I224" s="215"/>
    </row>
    <row r="225" spans="5:9">
      <c r="E225" s="215"/>
      <c r="F225" s="355"/>
      <c r="G225" s="216"/>
      <c r="H225" s="215"/>
      <c r="I225" s="215"/>
    </row>
    <row r="226" spans="5:9">
      <c r="E226" s="215"/>
      <c r="F226" s="355"/>
      <c r="G226" s="216"/>
      <c r="H226" s="215"/>
      <c r="I226" s="215"/>
    </row>
    <row r="227" spans="5:9">
      <c r="E227" s="215"/>
      <c r="F227" s="355"/>
      <c r="G227" s="216"/>
      <c r="H227" s="215"/>
      <c r="I227" s="215"/>
    </row>
    <row r="228" spans="5:9">
      <c r="E228" s="215"/>
      <c r="F228" s="355"/>
      <c r="G228" s="216"/>
      <c r="H228" s="215"/>
      <c r="I228" s="215"/>
    </row>
    <row r="229" spans="5:9">
      <c r="E229" s="215"/>
      <c r="F229" s="355"/>
      <c r="G229" s="216"/>
      <c r="H229" s="215"/>
      <c r="I229" s="215"/>
    </row>
    <row r="230" spans="5:9">
      <c r="E230" s="215"/>
      <c r="F230" s="355"/>
      <c r="G230" s="216"/>
      <c r="H230" s="215"/>
      <c r="I230" s="215"/>
    </row>
    <row r="231" spans="5:9">
      <c r="E231" s="215"/>
      <c r="F231" s="355"/>
      <c r="G231" s="216"/>
      <c r="H231" s="215"/>
      <c r="I231" s="215"/>
    </row>
    <row r="232" spans="5:9">
      <c r="E232" s="215"/>
      <c r="F232" s="355"/>
      <c r="G232" s="216"/>
      <c r="H232" s="215"/>
      <c r="I232" s="215"/>
    </row>
    <row r="233" spans="5:9">
      <c r="E233" s="215"/>
      <c r="F233" s="355"/>
      <c r="G233" s="216"/>
      <c r="H233" s="215"/>
      <c r="I233" s="215"/>
    </row>
    <row r="234" spans="5:9">
      <c r="E234" s="215"/>
      <c r="F234" s="355"/>
      <c r="G234" s="216"/>
      <c r="H234" s="215"/>
      <c r="I234" s="215"/>
    </row>
    <row r="235" spans="5:9">
      <c r="E235" s="215"/>
      <c r="F235" s="355"/>
      <c r="G235" s="216"/>
      <c r="H235" s="215"/>
      <c r="I235" s="215"/>
    </row>
    <row r="236" spans="5:9">
      <c r="E236" s="215"/>
      <c r="F236" s="355"/>
      <c r="G236" s="216"/>
      <c r="H236" s="215"/>
      <c r="I236" s="215"/>
    </row>
    <row r="237" spans="5:9">
      <c r="E237" s="215"/>
      <c r="F237" s="355"/>
      <c r="G237" s="216"/>
      <c r="H237" s="215"/>
      <c r="I237" s="215"/>
    </row>
    <row r="238" spans="5:9">
      <c r="E238" s="215"/>
      <c r="F238" s="355"/>
      <c r="G238" s="216"/>
      <c r="H238" s="215"/>
      <c r="I238" s="215"/>
    </row>
    <row r="239" spans="5:9">
      <c r="E239" s="215"/>
      <c r="F239" s="355"/>
      <c r="G239" s="216"/>
      <c r="H239" s="215"/>
      <c r="I239" s="215"/>
    </row>
    <row r="240" spans="5:9">
      <c r="E240" s="215"/>
      <c r="F240" s="355"/>
      <c r="G240" s="216"/>
      <c r="H240" s="215"/>
      <c r="I240" s="215"/>
    </row>
    <row r="241" spans="5:9">
      <c r="E241" s="215"/>
      <c r="F241" s="355"/>
      <c r="G241" s="216"/>
      <c r="H241" s="215"/>
      <c r="I241" s="215"/>
    </row>
    <row r="242" spans="5:9">
      <c r="E242" s="215"/>
      <c r="F242" s="355"/>
      <c r="G242" s="216"/>
      <c r="H242" s="215"/>
      <c r="I242" s="215"/>
    </row>
    <row r="243" spans="5:9">
      <c r="E243" s="215"/>
      <c r="F243" s="355"/>
      <c r="G243" s="216"/>
      <c r="H243" s="215"/>
      <c r="I243" s="215"/>
    </row>
    <row r="244" spans="5:9">
      <c r="E244" s="215"/>
      <c r="F244" s="355"/>
      <c r="G244" s="216"/>
      <c r="H244" s="215"/>
      <c r="I244" s="215"/>
    </row>
    <row r="245" spans="5:9">
      <c r="E245" s="215"/>
      <c r="F245" s="355"/>
      <c r="G245" s="216"/>
      <c r="H245" s="215"/>
      <c r="I245" s="215"/>
    </row>
    <row r="246" spans="5:9">
      <c r="E246" s="215"/>
      <c r="F246" s="355"/>
      <c r="G246" s="216"/>
      <c r="H246" s="215"/>
      <c r="I246" s="215"/>
    </row>
    <row r="247" spans="5:9">
      <c r="E247" s="215"/>
      <c r="F247" s="355"/>
      <c r="G247" s="216"/>
      <c r="H247" s="215"/>
      <c r="I247" s="215"/>
    </row>
    <row r="248" spans="5:9">
      <c r="E248" s="215"/>
      <c r="F248" s="355"/>
      <c r="G248" s="216"/>
      <c r="H248" s="215"/>
      <c r="I248" s="215"/>
    </row>
    <row r="249" spans="5:9">
      <c r="E249" s="215"/>
      <c r="F249" s="355"/>
      <c r="G249" s="216"/>
      <c r="H249" s="215"/>
      <c r="I249" s="215"/>
    </row>
    <row r="250" spans="5:9">
      <c r="E250" s="215"/>
      <c r="F250" s="355"/>
      <c r="G250" s="216"/>
      <c r="H250" s="215"/>
      <c r="I250" s="215"/>
    </row>
    <row r="251" spans="5:9">
      <c r="E251" s="215"/>
      <c r="F251" s="355"/>
      <c r="G251" s="216"/>
      <c r="H251" s="215"/>
      <c r="I251" s="215"/>
    </row>
    <row r="252" spans="5:9">
      <c r="E252" s="215"/>
      <c r="F252" s="355"/>
      <c r="G252" s="216"/>
      <c r="H252" s="215"/>
      <c r="I252" s="215"/>
    </row>
    <row r="253" spans="5:9">
      <c r="E253" s="215"/>
      <c r="F253" s="355"/>
      <c r="G253" s="216"/>
      <c r="H253" s="215"/>
      <c r="I253" s="215"/>
    </row>
    <row r="254" spans="5:9">
      <c r="E254" s="215"/>
      <c r="F254" s="355"/>
      <c r="G254" s="216"/>
      <c r="H254" s="215"/>
      <c r="I254" s="215"/>
    </row>
    <row r="255" spans="5:9">
      <c r="E255" s="215"/>
      <c r="F255" s="355"/>
      <c r="G255" s="216"/>
      <c r="H255" s="215"/>
      <c r="I255" s="215"/>
    </row>
    <row r="256" spans="5:9">
      <c r="E256" s="215"/>
      <c r="F256" s="355"/>
      <c r="G256" s="216"/>
      <c r="H256" s="215"/>
      <c r="I256" s="215"/>
    </row>
    <row r="257" spans="5:9">
      <c r="E257" s="215"/>
      <c r="F257" s="355"/>
      <c r="G257" s="216"/>
      <c r="H257" s="215"/>
      <c r="I257" s="215"/>
    </row>
    <row r="258" spans="5:9">
      <c r="E258" s="215"/>
      <c r="F258" s="355"/>
      <c r="G258" s="216"/>
      <c r="H258" s="215"/>
      <c r="I258" s="215"/>
    </row>
    <row r="259" spans="5:9">
      <c r="E259" s="215"/>
      <c r="F259" s="355"/>
      <c r="G259" s="216"/>
      <c r="H259" s="215"/>
      <c r="I259" s="215"/>
    </row>
    <row r="260" spans="5:9">
      <c r="E260" s="215"/>
      <c r="F260" s="355"/>
      <c r="G260" s="216"/>
      <c r="H260" s="215"/>
      <c r="I260" s="215"/>
    </row>
    <row r="261" spans="5:9">
      <c r="E261" s="215"/>
      <c r="F261" s="355"/>
      <c r="G261" s="216"/>
      <c r="H261" s="215"/>
      <c r="I261" s="215"/>
    </row>
    <row r="262" spans="5:9">
      <c r="E262" s="215"/>
      <c r="F262" s="355"/>
      <c r="G262" s="216"/>
      <c r="H262" s="215"/>
      <c r="I262" s="215"/>
    </row>
    <row r="263" spans="5:9">
      <c r="E263" s="215"/>
      <c r="F263" s="355"/>
      <c r="G263" s="216"/>
      <c r="H263" s="215"/>
      <c r="I263" s="215"/>
    </row>
    <row r="264" spans="5:9">
      <c r="E264" s="215"/>
      <c r="F264" s="355"/>
      <c r="G264" s="216"/>
      <c r="H264" s="215"/>
      <c r="I264" s="215"/>
    </row>
    <row r="265" spans="5:9">
      <c r="E265" s="215"/>
      <c r="F265" s="355"/>
      <c r="G265" s="216"/>
      <c r="H265" s="215"/>
      <c r="I265" s="215"/>
    </row>
    <row r="266" spans="5:9">
      <c r="E266" s="215"/>
      <c r="F266" s="355"/>
      <c r="G266" s="216"/>
      <c r="H266" s="215"/>
      <c r="I266" s="215"/>
    </row>
    <row r="267" spans="5:9">
      <c r="E267" s="215"/>
      <c r="F267" s="355"/>
      <c r="G267" s="216"/>
      <c r="H267" s="215"/>
      <c r="I267" s="215"/>
    </row>
    <row r="268" spans="5:9">
      <c r="E268" s="215"/>
      <c r="F268" s="355"/>
      <c r="G268" s="216"/>
      <c r="H268" s="215"/>
      <c r="I268" s="215"/>
    </row>
    <row r="269" spans="5:9">
      <c r="E269" s="215"/>
      <c r="F269" s="355"/>
      <c r="G269" s="216"/>
      <c r="H269" s="215"/>
      <c r="I269" s="215"/>
    </row>
    <row r="270" spans="5:9">
      <c r="E270" s="215"/>
      <c r="F270" s="355"/>
      <c r="G270" s="216"/>
      <c r="H270" s="215"/>
      <c r="I270" s="215"/>
    </row>
    <row r="271" spans="5:9">
      <c r="E271" s="215"/>
      <c r="F271" s="355"/>
      <c r="G271" s="216"/>
      <c r="H271" s="215"/>
      <c r="I271" s="215"/>
    </row>
    <row r="272" spans="5:9">
      <c r="E272" s="215"/>
      <c r="F272" s="355"/>
      <c r="G272" s="216"/>
      <c r="H272" s="215"/>
      <c r="I272" s="215"/>
    </row>
    <row r="273" spans="5:9">
      <c r="E273" s="215"/>
      <c r="F273" s="355"/>
      <c r="G273" s="216"/>
      <c r="H273" s="215"/>
      <c r="I273" s="215"/>
    </row>
    <row r="274" spans="5:9">
      <c r="E274" s="215"/>
      <c r="F274" s="355"/>
      <c r="G274" s="216"/>
      <c r="H274" s="215"/>
      <c r="I274" s="215"/>
    </row>
    <row r="275" spans="5:9">
      <c r="E275" s="215"/>
      <c r="F275" s="355"/>
      <c r="G275" s="216"/>
      <c r="H275" s="215"/>
      <c r="I275" s="215"/>
    </row>
    <row r="276" spans="5:9">
      <c r="E276" s="215"/>
      <c r="F276" s="355"/>
      <c r="G276" s="216"/>
      <c r="H276" s="215"/>
      <c r="I276" s="215"/>
    </row>
    <row r="277" spans="5:9">
      <c r="E277" s="215"/>
      <c r="F277" s="355"/>
      <c r="G277" s="216"/>
      <c r="H277" s="215"/>
      <c r="I277" s="215"/>
    </row>
    <row r="278" spans="5:9">
      <c r="E278" s="215"/>
      <c r="F278" s="355"/>
      <c r="G278" s="216"/>
      <c r="H278" s="215"/>
      <c r="I278" s="215"/>
    </row>
    <row r="279" spans="5:9">
      <c r="E279" s="215"/>
      <c r="F279" s="355"/>
      <c r="G279" s="216"/>
      <c r="H279" s="215"/>
      <c r="I279" s="215"/>
    </row>
    <row r="280" spans="5:9">
      <c r="E280" s="215"/>
      <c r="F280" s="355"/>
      <c r="G280" s="216"/>
      <c r="H280" s="215"/>
      <c r="I280" s="215"/>
    </row>
    <row r="281" spans="5:9">
      <c r="E281" s="215"/>
      <c r="F281" s="355"/>
      <c r="G281" s="216"/>
      <c r="H281" s="215"/>
      <c r="I281" s="215"/>
    </row>
    <row r="282" spans="5:9">
      <c r="E282" s="215"/>
      <c r="F282" s="355"/>
      <c r="G282" s="216"/>
      <c r="H282" s="215"/>
      <c r="I282" s="215"/>
    </row>
    <row r="283" spans="5:9">
      <c r="E283" s="215"/>
      <c r="F283" s="355"/>
      <c r="G283" s="216"/>
      <c r="H283" s="215"/>
      <c r="I283" s="215"/>
    </row>
    <row r="284" spans="5:9">
      <c r="E284" s="215"/>
      <c r="F284" s="355"/>
      <c r="G284" s="216"/>
      <c r="H284" s="215"/>
      <c r="I284" s="215"/>
    </row>
    <row r="285" spans="5:9">
      <c r="E285" s="215"/>
      <c r="F285" s="355"/>
      <c r="G285" s="216"/>
      <c r="H285" s="215"/>
      <c r="I285" s="215"/>
    </row>
    <row r="286" spans="5:9">
      <c r="E286" s="215"/>
      <c r="F286" s="355"/>
      <c r="G286" s="216"/>
      <c r="H286" s="215"/>
      <c r="I286" s="215"/>
    </row>
    <row r="287" spans="5:9">
      <c r="E287" s="215"/>
      <c r="F287" s="355"/>
      <c r="G287" s="216"/>
      <c r="H287" s="215"/>
      <c r="I287" s="215"/>
    </row>
    <row r="288" spans="5:9">
      <c r="E288" s="215"/>
      <c r="F288" s="355"/>
      <c r="G288" s="216"/>
      <c r="H288" s="215"/>
      <c r="I288" s="215"/>
    </row>
    <row r="289" spans="5:9">
      <c r="E289" s="215"/>
      <c r="F289" s="355"/>
      <c r="G289" s="216"/>
      <c r="H289" s="215"/>
      <c r="I289" s="215"/>
    </row>
    <row r="290" spans="5:9">
      <c r="E290" s="215"/>
      <c r="F290" s="355"/>
      <c r="G290" s="216"/>
      <c r="H290" s="215"/>
      <c r="I290" s="215"/>
    </row>
    <row r="291" spans="5:9">
      <c r="E291" s="215"/>
      <c r="F291" s="355"/>
      <c r="G291" s="216"/>
      <c r="H291" s="215"/>
      <c r="I291" s="215"/>
    </row>
    <row r="292" spans="5:9">
      <c r="E292" s="215"/>
      <c r="F292" s="355"/>
      <c r="G292" s="216"/>
      <c r="H292" s="215"/>
      <c r="I292" s="215"/>
    </row>
    <row r="293" spans="5:9">
      <c r="E293" s="215"/>
      <c r="F293" s="355"/>
      <c r="G293" s="216"/>
      <c r="H293" s="215"/>
      <c r="I293" s="215"/>
    </row>
    <row r="294" spans="5:9">
      <c r="E294" s="215"/>
      <c r="F294" s="355"/>
      <c r="G294" s="216"/>
      <c r="H294" s="215"/>
      <c r="I294" s="215"/>
    </row>
    <row r="295" spans="5:9">
      <c r="E295" s="215"/>
      <c r="F295" s="355"/>
      <c r="G295" s="216"/>
      <c r="H295" s="215"/>
      <c r="I295" s="215"/>
    </row>
    <row r="296" spans="5:9">
      <c r="E296" s="215"/>
      <c r="F296" s="355"/>
      <c r="G296" s="216"/>
      <c r="H296" s="215"/>
      <c r="I296" s="215"/>
    </row>
    <row r="297" spans="5:9">
      <c r="E297" s="215"/>
      <c r="F297" s="355"/>
      <c r="G297" s="216"/>
      <c r="H297" s="215"/>
      <c r="I297" s="215"/>
    </row>
    <row r="298" spans="5:9">
      <c r="E298" s="215"/>
      <c r="F298" s="355"/>
      <c r="G298" s="216"/>
      <c r="H298" s="215"/>
      <c r="I298" s="215"/>
    </row>
    <row r="299" spans="5:9">
      <c r="E299" s="215"/>
      <c r="F299" s="355"/>
      <c r="G299" s="216"/>
      <c r="H299" s="215"/>
      <c r="I299" s="215"/>
    </row>
    <row r="300" spans="5:9">
      <c r="E300" s="215"/>
      <c r="F300" s="355"/>
      <c r="G300" s="216"/>
      <c r="H300" s="215"/>
      <c r="I300" s="215"/>
    </row>
    <row r="301" spans="5:9">
      <c r="E301" s="215"/>
      <c r="F301" s="355"/>
      <c r="G301" s="216"/>
      <c r="H301" s="215"/>
      <c r="I301" s="215"/>
    </row>
    <row r="302" spans="5:9">
      <c r="E302" s="215"/>
      <c r="F302" s="355"/>
      <c r="G302" s="216"/>
      <c r="H302" s="215"/>
      <c r="I302" s="215"/>
    </row>
    <row r="303" spans="5:9">
      <c r="E303" s="215"/>
      <c r="F303" s="355"/>
      <c r="G303" s="216"/>
      <c r="H303" s="215"/>
      <c r="I303" s="215"/>
    </row>
    <row r="304" spans="5:9">
      <c r="E304" s="215"/>
      <c r="F304" s="355"/>
      <c r="G304" s="216"/>
      <c r="H304" s="215"/>
      <c r="I304" s="215"/>
    </row>
    <row r="305" spans="5:9">
      <c r="E305" s="215"/>
      <c r="F305" s="355"/>
      <c r="G305" s="216"/>
      <c r="H305" s="215"/>
      <c r="I305" s="215"/>
    </row>
    <row r="306" spans="5:9">
      <c r="E306" s="215"/>
      <c r="F306" s="355"/>
      <c r="G306" s="216"/>
      <c r="H306" s="215"/>
      <c r="I306" s="215"/>
    </row>
    <row r="307" spans="5:9">
      <c r="E307" s="215"/>
      <c r="F307" s="355"/>
      <c r="G307" s="216"/>
      <c r="H307" s="215"/>
      <c r="I307" s="215"/>
    </row>
    <row r="308" spans="5:9">
      <c r="E308" s="215"/>
      <c r="F308" s="355"/>
      <c r="G308" s="216"/>
      <c r="H308" s="215"/>
      <c r="I308" s="215"/>
    </row>
    <row r="309" spans="5:9">
      <c r="E309" s="215"/>
      <c r="F309" s="355"/>
      <c r="G309" s="216"/>
      <c r="H309" s="215"/>
      <c r="I309" s="215"/>
    </row>
    <row r="310" spans="5:9">
      <c r="E310" s="215"/>
      <c r="F310" s="355"/>
      <c r="G310" s="216"/>
      <c r="H310" s="215"/>
      <c r="I310" s="215"/>
    </row>
    <row r="311" spans="5:9">
      <c r="E311" s="215"/>
      <c r="F311" s="355"/>
      <c r="G311" s="216"/>
      <c r="H311" s="215"/>
      <c r="I311" s="215"/>
    </row>
    <row r="312" spans="5:9">
      <c r="E312" s="215"/>
      <c r="F312" s="355"/>
      <c r="G312" s="216"/>
      <c r="H312" s="215"/>
      <c r="I312" s="215"/>
    </row>
    <row r="313" spans="5:9">
      <c r="E313" s="215"/>
      <c r="F313" s="355"/>
      <c r="G313" s="216"/>
      <c r="H313" s="215"/>
      <c r="I313" s="215"/>
    </row>
    <row r="314" spans="5:9">
      <c r="E314" s="215"/>
      <c r="F314" s="355"/>
      <c r="G314" s="216"/>
      <c r="H314" s="215"/>
      <c r="I314" s="215"/>
    </row>
    <row r="315" spans="5:9">
      <c r="E315" s="215"/>
      <c r="F315" s="355"/>
      <c r="G315" s="216"/>
      <c r="H315" s="215"/>
      <c r="I315" s="215"/>
    </row>
    <row r="316" spans="5:9">
      <c r="E316" s="215"/>
      <c r="F316" s="355"/>
      <c r="G316" s="216"/>
      <c r="H316" s="215"/>
      <c r="I316" s="215"/>
    </row>
    <row r="317" spans="5:9">
      <c r="E317" s="215"/>
      <c r="F317" s="355"/>
      <c r="G317" s="216"/>
      <c r="H317" s="215"/>
      <c r="I317" s="215"/>
    </row>
    <row r="318" spans="5:9">
      <c r="E318" s="215"/>
      <c r="F318" s="355"/>
      <c r="G318" s="216"/>
      <c r="H318" s="215"/>
      <c r="I318" s="215"/>
    </row>
    <row r="319" spans="5:9">
      <c r="E319" s="215"/>
      <c r="F319" s="355"/>
      <c r="G319" s="216"/>
      <c r="H319" s="215"/>
      <c r="I319" s="215"/>
    </row>
    <row r="320" spans="5:9">
      <c r="E320" s="215"/>
      <c r="F320" s="355"/>
      <c r="G320" s="216"/>
      <c r="H320" s="215"/>
      <c r="I320" s="215"/>
    </row>
    <row r="321" spans="5:9">
      <c r="E321" s="215"/>
      <c r="F321" s="355"/>
      <c r="G321" s="216"/>
      <c r="H321" s="215"/>
      <c r="I321" s="215"/>
    </row>
  </sheetData>
  <mergeCells count="14">
    <mergeCell ref="B2:B3"/>
    <mergeCell ref="A2:A3"/>
    <mergeCell ref="P2:R2"/>
    <mergeCell ref="S2:U2"/>
    <mergeCell ref="C1:U1"/>
    <mergeCell ref="C2:C3"/>
    <mergeCell ref="D2:D3"/>
    <mergeCell ref="E2:E3"/>
    <mergeCell ref="F2:F3"/>
    <mergeCell ref="G2:G3"/>
    <mergeCell ref="H2:H3"/>
    <mergeCell ref="I2:I3"/>
    <mergeCell ref="J2:L2"/>
    <mergeCell ref="M2:O2"/>
  </mergeCells>
  <pageMargins left="1" right="1" top="1" bottom="1" header="0.5" footer="0.5"/>
  <pageSetup scale="32" orientation="landscape" r:id="rId1"/>
  <headerFooter>
    <oddHeader>&amp;CPartners of the Americas
Ñande Ko’ê</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O433"/>
  <sheetViews>
    <sheetView zoomScale="70" zoomScaleNormal="70" zoomScaleSheetLayoutView="106" workbookViewId="0">
      <selection activeCell="A6" sqref="A6"/>
    </sheetView>
  </sheetViews>
  <sheetFormatPr defaultColWidth="9.140625" defaultRowHeight="15.6"/>
  <cols>
    <col min="1" max="1" width="98.85546875" style="215" customWidth="1"/>
    <col min="2" max="2" width="6.85546875" style="273" customWidth="1"/>
    <col min="3" max="3" width="5.85546875" style="274" bestFit="1" customWidth="1"/>
    <col min="4" max="4" width="8.85546875" style="274" customWidth="1"/>
    <col min="5" max="5" width="12" style="273" customWidth="1"/>
    <col min="6" max="6" width="7" style="273" bestFit="1" customWidth="1"/>
    <col min="7" max="8" width="9.42578125" style="215" bestFit="1" customWidth="1"/>
    <col min="9" max="9" width="12.85546875" style="215" customWidth="1"/>
    <col min="10" max="11" width="9.42578125" style="215" bestFit="1" customWidth="1"/>
    <col min="12" max="12" width="12.85546875" style="215" customWidth="1"/>
    <col min="13" max="13" width="11.42578125" style="215" bestFit="1" customWidth="1"/>
    <col min="14" max="14" width="8.42578125" style="215" bestFit="1" customWidth="1"/>
    <col min="15" max="15" width="12.85546875" style="215" customWidth="1"/>
    <col min="16" max="17" width="9.42578125" style="215" bestFit="1" customWidth="1"/>
    <col min="18" max="18" width="12.85546875" style="215" customWidth="1"/>
    <col min="19" max="20" width="9.140625" style="215"/>
    <col min="21" max="21" width="11.5703125" style="215" bestFit="1" customWidth="1"/>
    <col min="22" max="16384" width="9.140625" style="215"/>
  </cols>
  <sheetData>
    <row r="1" spans="1:249" ht="30.75" customHeight="1" thickBot="1">
      <c r="A1" s="669" t="s">
        <v>442</v>
      </c>
      <c r="B1" s="670"/>
      <c r="C1" s="670"/>
      <c r="D1" s="670"/>
      <c r="E1" s="670"/>
      <c r="F1" s="670"/>
      <c r="G1" s="670"/>
      <c r="H1" s="670"/>
      <c r="I1" s="670"/>
      <c r="J1" s="670"/>
      <c r="K1" s="670"/>
      <c r="L1" s="670"/>
      <c r="M1" s="670"/>
      <c r="N1" s="670"/>
      <c r="O1" s="670"/>
      <c r="P1" s="670"/>
      <c r="Q1" s="670"/>
      <c r="R1" s="670"/>
    </row>
    <row r="2" spans="1:249" s="226" customFormat="1">
      <c r="A2" s="700" t="s">
        <v>241</v>
      </c>
      <c r="B2" s="683" t="s">
        <v>242</v>
      </c>
      <c r="C2" s="685" t="s">
        <v>246</v>
      </c>
      <c r="D2" s="685" t="s">
        <v>243</v>
      </c>
      <c r="E2" s="685" t="s">
        <v>399</v>
      </c>
      <c r="F2" s="704" t="s">
        <v>245</v>
      </c>
      <c r="G2" s="687" t="s">
        <v>400</v>
      </c>
      <c r="H2" s="691"/>
      <c r="I2" s="692"/>
      <c r="J2" s="687" t="s">
        <v>401</v>
      </c>
      <c r="K2" s="691"/>
      <c r="L2" s="692"/>
      <c r="M2" s="687" t="s">
        <v>402</v>
      </c>
      <c r="N2" s="691"/>
      <c r="O2" s="692"/>
      <c r="P2" s="691" t="s">
        <v>130</v>
      </c>
      <c r="Q2" s="691"/>
      <c r="R2" s="692"/>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c r="EX2" s="215"/>
      <c r="EY2" s="215"/>
      <c r="EZ2" s="215"/>
      <c r="FA2" s="215"/>
      <c r="FB2" s="215"/>
      <c r="FC2" s="215"/>
      <c r="FD2" s="215"/>
      <c r="FE2" s="215"/>
      <c r="FF2" s="215"/>
      <c r="FG2" s="215"/>
      <c r="FH2" s="215"/>
      <c r="FI2" s="215"/>
      <c r="FJ2" s="215"/>
      <c r="FK2" s="215"/>
      <c r="FL2" s="215"/>
      <c r="FM2" s="215"/>
      <c r="FN2" s="215"/>
      <c r="FO2" s="215"/>
      <c r="FP2" s="215"/>
      <c r="FQ2" s="215"/>
      <c r="FR2" s="215"/>
      <c r="FS2" s="215"/>
      <c r="FT2" s="215"/>
      <c r="FU2" s="215"/>
      <c r="FV2" s="215"/>
      <c r="FW2" s="215"/>
      <c r="FX2" s="215"/>
      <c r="FY2" s="215"/>
      <c r="FZ2" s="215"/>
      <c r="GA2" s="215"/>
      <c r="GB2" s="215"/>
      <c r="GC2" s="215"/>
      <c r="GD2" s="215"/>
      <c r="GE2" s="215"/>
      <c r="GF2" s="215"/>
      <c r="GG2" s="215"/>
      <c r="GH2" s="215"/>
      <c r="GI2" s="215"/>
      <c r="GJ2" s="215"/>
      <c r="GK2" s="215"/>
      <c r="GL2" s="215"/>
      <c r="GM2" s="215"/>
      <c r="GN2" s="215"/>
      <c r="GO2" s="215"/>
      <c r="GP2" s="215"/>
      <c r="GQ2" s="215"/>
      <c r="GR2" s="215"/>
      <c r="GS2" s="215"/>
      <c r="GT2" s="215"/>
      <c r="GU2" s="215"/>
      <c r="GV2" s="215"/>
      <c r="GW2" s="215"/>
      <c r="GX2" s="215"/>
      <c r="GY2" s="215"/>
      <c r="GZ2" s="215"/>
      <c r="HA2" s="215"/>
      <c r="HB2" s="215"/>
      <c r="HC2" s="215"/>
      <c r="HD2" s="215"/>
      <c r="HE2" s="215"/>
      <c r="HF2" s="215"/>
      <c r="HG2" s="215"/>
      <c r="HH2" s="215"/>
      <c r="HI2" s="215"/>
      <c r="HJ2" s="215"/>
      <c r="HK2" s="215"/>
      <c r="HL2" s="215"/>
      <c r="HM2" s="215"/>
      <c r="HN2" s="215"/>
      <c r="HO2" s="215"/>
      <c r="HP2" s="215"/>
      <c r="HQ2" s="215"/>
      <c r="HR2" s="215"/>
      <c r="HS2" s="215"/>
      <c r="HT2" s="215"/>
      <c r="HU2" s="215"/>
      <c r="HV2" s="215"/>
      <c r="HW2" s="215"/>
      <c r="HX2" s="215"/>
      <c r="HY2" s="215"/>
      <c r="HZ2" s="215"/>
      <c r="IA2" s="215"/>
      <c r="IB2" s="215"/>
      <c r="IC2" s="215"/>
      <c r="ID2" s="215"/>
      <c r="IE2" s="215"/>
      <c r="IF2" s="215"/>
      <c r="IG2" s="215"/>
      <c r="IH2" s="215"/>
      <c r="II2" s="215"/>
      <c r="IJ2" s="215"/>
      <c r="IK2" s="215"/>
      <c r="IL2" s="215"/>
      <c r="IM2" s="215"/>
      <c r="IN2" s="215"/>
      <c r="IO2" s="215"/>
    </row>
    <row r="3" spans="1:249" s="218" customFormat="1" ht="15.75" customHeight="1" thickBot="1">
      <c r="A3" s="701"/>
      <c r="B3" s="702"/>
      <c r="C3" s="703"/>
      <c r="D3" s="703"/>
      <c r="E3" s="703"/>
      <c r="F3" s="705"/>
      <c r="G3" s="245" t="s">
        <v>130</v>
      </c>
      <c r="H3" s="246" t="s">
        <v>214</v>
      </c>
      <c r="I3" s="247" t="s">
        <v>215</v>
      </c>
      <c r="J3" s="245" t="s">
        <v>130</v>
      </c>
      <c r="K3" s="246" t="s">
        <v>214</v>
      </c>
      <c r="L3" s="247" t="s">
        <v>215</v>
      </c>
      <c r="M3" s="245" t="s">
        <v>130</v>
      </c>
      <c r="N3" s="246" t="s">
        <v>214</v>
      </c>
      <c r="O3" s="247" t="s">
        <v>215</v>
      </c>
      <c r="P3" s="248" t="s">
        <v>130</v>
      </c>
      <c r="Q3" s="246" t="s">
        <v>214</v>
      </c>
      <c r="R3" s="247" t="s">
        <v>215</v>
      </c>
      <c r="S3" s="215"/>
      <c r="T3" s="215"/>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c r="CY3" s="215"/>
      <c r="CZ3" s="215"/>
      <c r="DA3" s="215"/>
      <c r="DB3" s="215"/>
      <c r="DC3" s="215"/>
      <c r="DD3" s="215"/>
      <c r="DE3" s="215"/>
      <c r="DF3" s="215"/>
      <c r="DG3" s="215"/>
      <c r="DH3" s="215"/>
      <c r="DI3" s="215"/>
      <c r="DJ3" s="215"/>
      <c r="DK3" s="215"/>
      <c r="DL3" s="215"/>
      <c r="DM3" s="215"/>
      <c r="DN3" s="215"/>
      <c r="DO3" s="215"/>
      <c r="DP3" s="215"/>
      <c r="DQ3" s="215"/>
      <c r="DR3" s="215"/>
      <c r="DS3" s="215"/>
      <c r="DT3" s="215"/>
      <c r="DU3" s="215"/>
      <c r="DV3" s="215"/>
      <c r="DW3" s="215"/>
      <c r="DX3" s="215"/>
      <c r="DY3" s="215"/>
      <c r="DZ3" s="215"/>
      <c r="EA3" s="215"/>
      <c r="EB3" s="215"/>
      <c r="EC3" s="215"/>
      <c r="ED3" s="215"/>
      <c r="EE3" s="215"/>
      <c r="EF3" s="215"/>
      <c r="EG3" s="215"/>
      <c r="EH3" s="215"/>
      <c r="EI3" s="215"/>
      <c r="EJ3" s="215"/>
      <c r="EK3" s="215"/>
      <c r="EL3" s="215"/>
      <c r="EM3" s="215"/>
      <c r="EN3" s="215"/>
      <c r="EO3" s="215"/>
      <c r="EP3" s="215"/>
      <c r="EQ3" s="215"/>
      <c r="ER3" s="215"/>
      <c r="ES3" s="215"/>
      <c r="ET3" s="215"/>
      <c r="EU3" s="215"/>
      <c r="EV3" s="215"/>
      <c r="EW3" s="215"/>
      <c r="EX3" s="215"/>
      <c r="EY3" s="215"/>
      <c r="EZ3" s="215"/>
      <c r="FA3" s="215"/>
      <c r="FB3" s="215"/>
      <c r="FC3" s="215"/>
      <c r="FD3" s="215"/>
      <c r="FE3" s="215"/>
      <c r="FF3" s="215"/>
      <c r="FG3" s="215"/>
      <c r="FH3" s="215"/>
      <c r="FI3" s="215"/>
      <c r="FJ3" s="215"/>
      <c r="FK3" s="215"/>
      <c r="FL3" s="215"/>
      <c r="FM3" s="215"/>
      <c r="FN3" s="215"/>
      <c r="FO3" s="215"/>
      <c r="FP3" s="215"/>
      <c r="FQ3" s="215"/>
      <c r="FR3" s="215"/>
      <c r="FS3" s="215"/>
      <c r="FT3" s="215"/>
      <c r="FU3" s="215"/>
      <c r="FV3" s="215"/>
      <c r="FW3" s="215"/>
      <c r="FX3" s="215"/>
      <c r="FY3" s="215"/>
      <c r="FZ3" s="215"/>
      <c r="GA3" s="215"/>
      <c r="GB3" s="215"/>
      <c r="GC3" s="215"/>
      <c r="GD3" s="215"/>
      <c r="GE3" s="215"/>
      <c r="GF3" s="215"/>
      <c r="GG3" s="215"/>
      <c r="GH3" s="215"/>
      <c r="GI3" s="215"/>
      <c r="GJ3" s="215"/>
      <c r="GK3" s="215"/>
      <c r="GL3" s="215"/>
      <c r="GM3" s="215"/>
      <c r="GN3" s="215"/>
      <c r="GO3" s="215"/>
      <c r="GP3" s="215"/>
      <c r="GQ3" s="215"/>
      <c r="GR3" s="215"/>
      <c r="GS3" s="215"/>
      <c r="GT3" s="215"/>
      <c r="GU3" s="215"/>
      <c r="GV3" s="215"/>
      <c r="GW3" s="215"/>
      <c r="GX3" s="215"/>
      <c r="GY3" s="215"/>
      <c r="GZ3" s="215"/>
      <c r="HA3" s="215"/>
      <c r="HB3" s="215"/>
      <c r="HC3" s="215"/>
      <c r="HD3" s="215"/>
      <c r="HE3" s="215"/>
      <c r="HF3" s="215"/>
      <c r="HG3" s="215"/>
      <c r="HH3" s="215"/>
      <c r="HI3" s="215"/>
      <c r="HJ3" s="215"/>
      <c r="HK3" s="215"/>
      <c r="HL3" s="215"/>
      <c r="HM3" s="215"/>
      <c r="HN3" s="215"/>
      <c r="HO3" s="215"/>
      <c r="HP3" s="215"/>
      <c r="HQ3" s="215"/>
      <c r="HR3" s="215"/>
      <c r="HS3" s="215"/>
      <c r="HT3" s="215"/>
      <c r="HU3" s="215"/>
      <c r="HV3" s="215"/>
      <c r="HW3" s="215"/>
      <c r="HX3" s="215"/>
      <c r="HY3" s="215"/>
      <c r="HZ3" s="215"/>
      <c r="IA3" s="215"/>
      <c r="IB3" s="215"/>
      <c r="IC3" s="215"/>
      <c r="ID3" s="215"/>
      <c r="IE3" s="215"/>
      <c r="IF3" s="215"/>
      <c r="IG3" s="215"/>
      <c r="IH3" s="215"/>
      <c r="II3" s="215"/>
      <c r="IJ3" s="215"/>
      <c r="IK3" s="215"/>
      <c r="IL3" s="215"/>
      <c r="IM3" s="215"/>
      <c r="IN3" s="215"/>
      <c r="IO3" s="215"/>
    </row>
    <row r="4" spans="1:249">
      <c r="A4" s="249" t="s">
        <v>443</v>
      </c>
      <c r="B4" s="250"/>
      <c r="C4" s="251"/>
      <c r="D4" s="252"/>
      <c r="E4" s="253"/>
      <c r="F4" s="254"/>
      <c r="G4" s="255"/>
      <c r="H4" s="256"/>
      <c r="I4" s="257"/>
      <c r="J4" s="255"/>
      <c r="K4" s="256"/>
      <c r="L4" s="257"/>
      <c r="M4" s="255"/>
      <c r="N4" s="256"/>
      <c r="O4" s="257"/>
      <c r="P4" s="258"/>
      <c r="Q4" s="256"/>
      <c r="R4" s="257"/>
    </row>
    <row r="5" spans="1:249">
      <c r="A5" s="502" t="s">
        <v>444</v>
      </c>
      <c r="B5" s="494">
        <v>1</v>
      </c>
      <c r="C5" s="501">
        <v>120</v>
      </c>
      <c r="D5" s="515" t="s">
        <v>445</v>
      </c>
      <c r="E5" s="495">
        <v>20</v>
      </c>
      <c r="F5" s="496">
        <v>1</v>
      </c>
      <c r="G5" s="497">
        <f>B5*C5*E5*F5</f>
        <v>2400</v>
      </c>
      <c r="H5" s="498">
        <f>G5</f>
        <v>2400</v>
      </c>
      <c r="I5" s="499">
        <f>G5-H5</f>
        <v>0</v>
      </c>
      <c r="J5" s="497">
        <v>0</v>
      </c>
      <c r="K5" s="498">
        <f>J5</f>
        <v>0</v>
      </c>
      <c r="L5" s="499">
        <f>J5-K5</f>
        <v>0</v>
      </c>
      <c r="M5" s="497">
        <v>0</v>
      </c>
      <c r="N5" s="498">
        <f>M5</f>
        <v>0</v>
      </c>
      <c r="O5" s="499">
        <f>M5-N5</f>
        <v>0</v>
      </c>
      <c r="P5" s="500">
        <f>G5+J5+M5</f>
        <v>2400</v>
      </c>
      <c r="Q5" s="498">
        <f>P5</f>
        <v>2400</v>
      </c>
      <c r="R5" s="499">
        <f>P5-Q5</f>
        <v>0</v>
      </c>
    </row>
    <row r="6" spans="1:249" s="260" customFormat="1">
      <c r="A6" s="503" t="s">
        <v>446</v>
      </c>
      <c r="B6" s="494">
        <v>1</v>
      </c>
      <c r="C6" s="498">
        <v>120</v>
      </c>
      <c r="D6" s="504" t="s">
        <v>445</v>
      </c>
      <c r="E6" s="495">
        <v>25</v>
      </c>
      <c r="F6" s="496">
        <v>1</v>
      </c>
      <c r="G6" s="497">
        <f>B6*C6*E6*F6</f>
        <v>3000</v>
      </c>
      <c r="H6" s="498">
        <f>G6</f>
        <v>3000</v>
      </c>
      <c r="I6" s="499">
        <f>G6-H6</f>
        <v>0</v>
      </c>
      <c r="J6" s="497">
        <f>B6*C6*E6*F6</f>
        <v>3000</v>
      </c>
      <c r="K6" s="498">
        <f>J6</f>
        <v>3000</v>
      </c>
      <c r="L6" s="499">
        <f>J6-K6</f>
        <v>0</v>
      </c>
      <c r="M6" s="497">
        <f>B6*C6*E6*F6</f>
        <v>3000</v>
      </c>
      <c r="N6" s="498">
        <f>M6</f>
        <v>3000</v>
      </c>
      <c r="O6" s="499">
        <f>M6-N6</f>
        <v>0</v>
      </c>
      <c r="P6" s="500">
        <f>G6+J6+M6</f>
        <v>9000</v>
      </c>
      <c r="Q6" s="498">
        <f>P6</f>
        <v>9000</v>
      </c>
      <c r="R6" s="499">
        <f>P6-Q6</f>
        <v>0</v>
      </c>
      <c r="S6" s="215"/>
      <c r="T6" s="215"/>
      <c r="U6" s="215"/>
      <c r="V6" s="215"/>
      <c r="W6" s="215"/>
      <c r="X6" s="215"/>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c r="CU6" s="215"/>
      <c r="CV6" s="215"/>
      <c r="CW6" s="215"/>
      <c r="CX6" s="215"/>
      <c r="CY6" s="215"/>
      <c r="CZ6" s="215"/>
      <c r="DA6" s="215"/>
      <c r="DB6" s="215"/>
      <c r="DC6" s="215"/>
      <c r="DD6" s="215"/>
      <c r="DE6" s="215"/>
      <c r="DF6" s="215"/>
      <c r="DG6" s="215"/>
      <c r="DH6" s="215"/>
      <c r="DI6" s="215"/>
      <c r="DJ6" s="215"/>
      <c r="DK6" s="215"/>
      <c r="DL6" s="215"/>
      <c r="DM6" s="215"/>
      <c r="DN6" s="215"/>
      <c r="DO6" s="215"/>
      <c r="DP6" s="215"/>
      <c r="DQ6" s="215"/>
      <c r="DR6" s="215"/>
      <c r="DS6" s="215"/>
      <c r="DT6" s="215"/>
      <c r="DU6" s="215"/>
      <c r="DV6" s="215"/>
      <c r="DW6" s="215"/>
      <c r="DX6" s="215"/>
      <c r="DY6" s="215"/>
      <c r="DZ6" s="215"/>
      <c r="EA6" s="215"/>
      <c r="EB6" s="215"/>
      <c r="EC6" s="215"/>
      <c r="ED6" s="215"/>
      <c r="EE6" s="215"/>
      <c r="EF6" s="215"/>
      <c r="EG6" s="215"/>
      <c r="EH6" s="215"/>
      <c r="EI6" s="215"/>
      <c r="EJ6" s="215"/>
      <c r="EK6" s="215"/>
      <c r="EL6" s="215"/>
      <c r="EM6" s="215"/>
      <c r="EN6" s="215"/>
      <c r="EO6" s="215"/>
      <c r="EP6" s="215"/>
      <c r="EQ6" s="215"/>
      <c r="ER6" s="215"/>
      <c r="ES6" s="215"/>
      <c r="ET6" s="215"/>
      <c r="EU6" s="215"/>
      <c r="EV6" s="215"/>
      <c r="EW6" s="215"/>
      <c r="EX6" s="215"/>
      <c r="EY6" s="215"/>
      <c r="EZ6" s="215"/>
      <c r="FA6" s="215"/>
      <c r="FB6" s="215"/>
      <c r="FC6" s="215"/>
      <c r="FD6" s="215"/>
      <c r="FE6" s="215"/>
      <c r="FF6" s="215"/>
      <c r="FG6" s="215"/>
      <c r="FH6" s="215"/>
      <c r="FI6" s="215"/>
      <c r="FJ6" s="215"/>
      <c r="FK6" s="215"/>
      <c r="FL6" s="215"/>
      <c r="FM6" s="215"/>
      <c r="FN6" s="215"/>
      <c r="FO6" s="215"/>
      <c r="FP6" s="215"/>
      <c r="FQ6" s="215"/>
      <c r="FR6" s="215"/>
      <c r="FS6" s="215"/>
      <c r="FT6" s="215"/>
      <c r="FU6" s="215"/>
      <c r="FV6" s="215"/>
      <c r="FW6" s="215"/>
      <c r="FX6" s="215"/>
      <c r="FY6" s="215"/>
      <c r="FZ6" s="215"/>
      <c r="GA6" s="215"/>
      <c r="GB6" s="215"/>
      <c r="GC6" s="215"/>
      <c r="GD6" s="215"/>
      <c r="GE6" s="215"/>
      <c r="GF6" s="215"/>
      <c r="GG6" s="215"/>
      <c r="GH6" s="215"/>
      <c r="GI6" s="215"/>
      <c r="GJ6" s="215"/>
      <c r="GK6" s="215"/>
      <c r="GL6" s="215"/>
      <c r="GM6" s="215"/>
      <c r="GN6" s="215"/>
      <c r="GO6" s="215"/>
      <c r="GP6" s="215"/>
      <c r="GQ6" s="215"/>
      <c r="GR6" s="215"/>
      <c r="GS6" s="215"/>
      <c r="GT6" s="215"/>
      <c r="GU6" s="215"/>
      <c r="GV6" s="215"/>
      <c r="GW6" s="215"/>
      <c r="GX6" s="215"/>
      <c r="GY6" s="215"/>
      <c r="GZ6" s="215"/>
      <c r="HA6" s="215"/>
      <c r="HB6" s="215"/>
      <c r="HC6" s="215"/>
      <c r="HD6" s="215"/>
      <c r="HE6" s="215"/>
      <c r="HF6" s="215"/>
      <c r="HG6" s="215"/>
      <c r="HH6" s="215"/>
      <c r="HI6" s="215"/>
      <c r="HJ6" s="215"/>
      <c r="HK6" s="215"/>
      <c r="HL6" s="215"/>
      <c r="HM6" s="215"/>
      <c r="HN6" s="215"/>
      <c r="HO6" s="215"/>
      <c r="HP6" s="215"/>
      <c r="HQ6" s="215"/>
      <c r="HR6" s="215"/>
      <c r="HS6" s="215"/>
      <c r="HT6" s="215"/>
      <c r="HU6" s="215"/>
      <c r="HV6" s="215"/>
      <c r="HW6" s="215"/>
      <c r="HX6" s="215"/>
      <c r="HY6" s="215"/>
      <c r="HZ6" s="215"/>
      <c r="IA6" s="215"/>
      <c r="IB6" s="215"/>
      <c r="IC6" s="215"/>
      <c r="ID6" s="215"/>
      <c r="IE6" s="215"/>
      <c r="IF6" s="215"/>
      <c r="IG6" s="215"/>
      <c r="IH6" s="215"/>
      <c r="II6" s="215"/>
      <c r="IJ6" s="215"/>
      <c r="IK6" s="215"/>
      <c r="IL6" s="215"/>
      <c r="IM6" s="215"/>
      <c r="IN6" s="215"/>
      <c r="IO6" s="215"/>
    </row>
    <row r="7" spans="1:249">
      <c r="A7" s="249" t="s">
        <v>447</v>
      </c>
      <c r="B7" s="250"/>
      <c r="C7" s="252"/>
      <c r="D7" s="252"/>
      <c r="E7" s="253"/>
      <c r="F7" s="254"/>
      <c r="G7" s="255">
        <f t="shared" ref="G7:R7" si="0">SUM(G5:G6)</f>
        <v>5400</v>
      </c>
      <c r="H7" s="256">
        <f t="shared" si="0"/>
        <v>5400</v>
      </c>
      <c r="I7" s="257">
        <f t="shared" si="0"/>
        <v>0</v>
      </c>
      <c r="J7" s="255">
        <f t="shared" si="0"/>
        <v>3000</v>
      </c>
      <c r="K7" s="256">
        <f t="shared" si="0"/>
        <v>3000</v>
      </c>
      <c r="L7" s="257">
        <f t="shared" si="0"/>
        <v>0</v>
      </c>
      <c r="M7" s="255">
        <f t="shared" si="0"/>
        <v>3000</v>
      </c>
      <c r="N7" s="256">
        <f t="shared" si="0"/>
        <v>3000</v>
      </c>
      <c r="O7" s="257">
        <f t="shared" si="0"/>
        <v>0</v>
      </c>
      <c r="P7" s="258">
        <f t="shared" si="0"/>
        <v>11400</v>
      </c>
      <c r="Q7" s="256">
        <f t="shared" si="0"/>
        <v>11400</v>
      </c>
      <c r="R7" s="257">
        <f t="shared" si="0"/>
        <v>0</v>
      </c>
    </row>
    <row r="8" spans="1:249" ht="15.95" thickBot="1">
      <c r="A8" s="261" t="s">
        <v>448</v>
      </c>
      <c r="B8" s="262"/>
      <c r="C8" s="263"/>
      <c r="D8" s="263"/>
      <c r="E8" s="264"/>
      <c r="F8" s="265"/>
      <c r="G8" s="266">
        <f>G7</f>
        <v>5400</v>
      </c>
      <c r="H8" s="267">
        <f t="shared" ref="H8:R8" si="1">H7</f>
        <v>5400</v>
      </c>
      <c r="I8" s="268">
        <f t="shared" si="1"/>
        <v>0</v>
      </c>
      <c r="J8" s="266">
        <f t="shared" si="1"/>
        <v>3000</v>
      </c>
      <c r="K8" s="267">
        <f t="shared" si="1"/>
        <v>3000</v>
      </c>
      <c r="L8" s="268">
        <f t="shared" si="1"/>
        <v>0</v>
      </c>
      <c r="M8" s="266">
        <f t="shared" si="1"/>
        <v>3000</v>
      </c>
      <c r="N8" s="267">
        <f t="shared" si="1"/>
        <v>3000</v>
      </c>
      <c r="O8" s="268">
        <f t="shared" si="1"/>
        <v>0</v>
      </c>
      <c r="P8" s="269">
        <f t="shared" si="1"/>
        <v>11400</v>
      </c>
      <c r="Q8" s="267">
        <f t="shared" si="1"/>
        <v>11400</v>
      </c>
      <c r="R8" s="268">
        <f t="shared" si="1"/>
        <v>0</v>
      </c>
      <c r="S8" s="270"/>
    </row>
    <row r="9" spans="1:249">
      <c r="B9" s="215"/>
      <c r="C9" s="215"/>
      <c r="D9" s="215"/>
      <c r="E9" s="215"/>
      <c r="F9" s="215"/>
      <c r="J9" s="271"/>
      <c r="U9" s="272"/>
    </row>
    <row r="10" spans="1:249">
      <c r="B10" s="215"/>
      <c r="C10" s="215"/>
      <c r="D10" s="215"/>
      <c r="E10" s="215"/>
      <c r="F10" s="215"/>
    </row>
    <row r="11" spans="1:249">
      <c r="B11" s="215"/>
      <c r="C11" s="215"/>
      <c r="D11" s="215"/>
      <c r="E11" s="215"/>
      <c r="F11" s="215"/>
    </row>
    <row r="12" spans="1:249">
      <c r="B12" s="215"/>
      <c r="C12" s="215"/>
      <c r="D12" s="215"/>
      <c r="E12" s="215"/>
      <c r="F12" s="215"/>
    </row>
    <row r="13" spans="1:249">
      <c r="B13" s="215"/>
      <c r="C13" s="215"/>
      <c r="D13" s="215"/>
      <c r="E13" s="215"/>
      <c r="F13" s="215"/>
    </row>
    <row r="14" spans="1:249">
      <c r="B14" s="215"/>
      <c r="C14" s="215"/>
      <c r="D14" s="215"/>
      <c r="E14" s="215"/>
      <c r="F14" s="215"/>
    </row>
    <row r="15" spans="1:249">
      <c r="B15" s="215"/>
      <c r="C15" s="215"/>
      <c r="D15" s="215"/>
      <c r="E15" s="215"/>
      <c r="F15" s="215"/>
    </row>
    <row r="16" spans="1:249">
      <c r="B16" s="215"/>
      <c r="C16" s="215"/>
      <c r="D16" s="215"/>
      <c r="E16" s="215"/>
      <c r="F16" s="215"/>
    </row>
    <row r="17" s="215" customFormat="1"/>
    <row r="18" s="215" customFormat="1"/>
    <row r="19" s="215" customFormat="1"/>
    <row r="20" s="215" customFormat="1"/>
    <row r="21" s="215" customFormat="1"/>
    <row r="22" s="215" customFormat="1"/>
    <row r="23" s="215" customFormat="1"/>
    <row r="24" s="215" customFormat="1"/>
    <row r="25" s="215" customFormat="1"/>
    <row r="26" s="215" customFormat="1"/>
    <row r="27" s="215" customFormat="1"/>
    <row r="28" s="215" customFormat="1"/>
    <row r="29" s="215" customFormat="1"/>
    <row r="30" s="215" customFormat="1"/>
    <row r="31" s="215" customFormat="1"/>
    <row r="32" s="215" customFormat="1"/>
    <row r="33" s="215" customFormat="1"/>
    <row r="34" s="215" customFormat="1"/>
    <row r="35" s="215" customFormat="1"/>
    <row r="36" s="215" customFormat="1"/>
    <row r="37" s="215" customFormat="1"/>
    <row r="38" s="215" customFormat="1"/>
    <row r="39" s="215" customFormat="1"/>
    <row r="40" s="215" customFormat="1"/>
    <row r="41" s="215" customFormat="1"/>
    <row r="42" s="215" customFormat="1"/>
    <row r="43" s="215" customFormat="1"/>
    <row r="44" s="215" customFormat="1"/>
    <row r="45" s="215" customFormat="1"/>
    <row r="46" s="215" customFormat="1"/>
    <row r="47" s="215" customFormat="1"/>
    <row r="48" s="215" customFormat="1"/>
    <row r="49" s="215" customFormat="1"/>
    <row r="50" s="215" customFormat="1"/>
    <row r="51" s="215" customFormat="1"/>
    <row r="52" s="215" customFormat="1"/>
    <row r="53" s="215" customFormat="1"/>
    <row r="54" s="215" customFormat="1"/>
    <row r="55" s="215" customFormat="1"/>
    <row r="56" s="215" customFormat="1"/>
    <row r="57" s="215" customFormat="1"/>
    <row r="58" s="215" customFormat="1"/>
    <row r="59" s="215" customFormat="1"/>
    <row r="60" s="215" customFormat="1"/>
    <row r="61" s="215" customFormat="1"/>
    <row r="62" s="215" customFormat="1"/>
    <row r="63" s="215" customFormat="1"/>
    <row r="64" s="215" customFormat="1"/>
    <row r="65" s="215" customFormat="1"/>
    <row r="66" s="215" customFormat="1"/>
    <row r="67" s="215" customFormat="1"/>
    <row r="68" s="215" customFormat="1"/>
    <row r="69" s="215" customFormat="1"/>
    <row r="70" s="215" customFormat="1"/>
    <row r="71" s="215" customFormat="1"/>
    <row r="72" s="215" customFormat="1"/>
    <row r="73" s="215" customFormat="1"/>
    <row r="74" s="215" customFormat="1"/>
    <row r="75" s="215" customFormat="1"/>
    <row r="76" s="215" customFormat="1"/>
    <row r="77" s="215" customFormat="1"/>
    <row r="78" s="215" customFormat="1"/>
    <row r="79" s="215" customFormat="1"/>
    <row r="80" s="215" customFormat="1"/>
    <row r="81" s="215" customFormat="1"/>
    <row r="82" s="215" customFormat="1"/>
    <row r="83" s="215" customFormat="1"/>
    <row r="84" s="215" customFormat="1"/>
    <row r="85" s="215" customFormat="1"/>
    <row r="86" s="215" customFormat="1"/>
    <row r="87" s="215" customFormat="1"/>
    <row r="88" s="215" customFormat="1"/>
    <row r="89" s="215" customFormat="1"/>
    <row r="90" s="215" customFormat="1"/>
    <row r="91" s="215" customFormat="1"/>
    <row r="92" s="215" customFormat="1"/>
    <row r="93" s="215" customFormat="1"/>
    <row r="94" s="215" customFormat="1"/>
    <row r="95" s="215" customFormat="1"/>
    <row r="96" s="215" customFormat="1"/>
    <row r="97" s="215" customFormat="1"/>
    <row r="98" s="215" customFormat="1"/>
    <row r="99" s="215" customFormat="1"/>
    <row r="100" s="215" customFormat="1"/>
    <row r="101" s="215" customFormat="1"/>
    <row r="102" s="215" customFormat="1"/>
    <row r="103" s="215" customFormat="1"/>
    <row r="104" s="215" customFormat="1"/>
    <row r="105" s="215" customFormat="1"/>
    <row r="106" s="215" customFormat="1"/>
    <row r="107" s="215" customFormat="1"/>
    <row r="108" s="215" customFormat="1"/>
    <row r="109" s="215" customFormat="1"/>
    <row r="110" s="215" customFormat="1"/>
    <row r="111" s="215" customFormat="1"/>
    <row r="112" s="215" customFormat="1"/>
    <row r="113" s="215" customFormat="1"/>
    <row r="114" s="215" customFormat="1"/>
    <row r="115" s="215" customFormat="1"/>
    <row r="116" s="215" customFormat="1"/>
    <row r="117" s="215" customFormat="1"/>
    <row r="118" s="215" customFormat="1"/>
    <row r="119" s="215" customFormat="1"/>
    <row r="120" s="215" customFormat="1"/>
    <row r="121" s="215" customFormat="1"/>
    <row r="122" s="215" customFormat="1"/>
    <row r="123" s="215" customFormat="1"/>
    <row r="124" s="215" customFormat="1"/>
    <row r="125" s="215" customFormat="1"/>
    <row r="126" s="215" customFormat="1"/>
    <row r="127" s="215" customFormat="1"/>
    <row r="128" s="215" customFormat="1"/>
    <row r="129" s="215" customFormat="1"/>
    <row r="130" s="215" customFormat="1"/>
    <row r="131" s="215" customFormat="1"/>
    <row r="132" s="215" customFormat="1"/>
    <row r="133" s="215" customFormat="1"/>
    <row r="134" s="215" customFormat="1"/>
    <row r="135" s="215" customFormat="1"/>
    <row r="136" s="215" customFormat="1"/>
    <row r="137" s="215" customFormat="1"/>
    <row r="138" s="215" customFormat="1"/>
    <row r="139" s="215" customFormat="1"/>
    <row r="140" s="215" customFormat="1"/>
    <row r="141" s="215" customFormat="1"/>
    <row r="142" s="215" customFormat="1"/>
    <row r="143" s="215" customFormat="1"/>
    <row r="144" s="215" customFormat="1"/>
    <row r="145" s="215" customFormat="1"/>
    <row r="146" s="215" customFormat="1"/>
    <row r="147" s="215" customFormat="1"/>
    <row r="148" s="215" customFormat="1"/>
    <row r="149" s="215" customFormat="1"/>
    <row r="150" s="215" customFormat="1"/>
    <row r="151" s="215" customFormat="1"/>
    <row r="152" s="215" customFormat="1"/>
    <row r="153" s="215" customFormat="1"/>
    <row r="154" s="215" customFormat="1"/>
    <row r="155" s="215" customFormat="1"/>
    <row r="156" s="215" customFormat="1"/>
    <row r="157" s="215" customFormat="1"/>
    <row r="158" s="215" customFormat="1"/>
    <row r="159" s="215" customFormat="1"/>
    <row r="160" s="215" customFormat="1"/>
    <row r="161" s="215" customFormat="1"/>
    <row r="162" s="215" customFormat="1"/>
    <row r="163" s="215" customFormat="1"/>
    <row r="164" s="215" customFormat="1"/>
    <row r="165" s="215" customFormat="1"/>
    <row r="166" s="215" customFormat="1"/>
    <row r="167" s="215" customFormat="1"/>
    <row r="168" s="215" customFormat="1"/>
    <row r="169" s="215" customFormat="1"/>
    <row r="170" s="215" customFormat="1"/>
    <row r="171" s="215" customFormat="1"/>
    <row r="172" s="215" customFormat="1"/>
    <row r="173" s="215" customFormat="1"/>
    <row r="174" s="215" customFormat="1"/>
    <row r="175" s="215" customFormat="1"/>
    <row r="176" s="215" customFormat="1"/>
    <row r="177" s="215" customFormat="1"/>
    <row r="178" s="215" customFormat="1"/>
    <row r="179" s="215" customFormat="1"/>
    <row r="180" s="215" customFormat="1"/>
    <row r="181" s="215" customFormat="1"/>
    <row r="182" s="215" customFormat="1"/>
    <row r="183" s="215" customFormat="1"/>
    <row r="184" s="215" customFormat="1"/>
    <row r="185" s="215" customFormat="1"/>
    <row r="186" s="215" customFormat="1"/>
    <row r="187" s="215" customFormat="1"/>
    <row r="188" s="215" customFormat="1"/>
    <row r="189" s="215" customFormat="1"/>
    <row r="190" s="215" customFormat="1"/>
    <row r="191" s="215" customFormat="1"/>
    <row r="192" s="215" customFormat="1"/>
    <row r="193" s="215" customFormat="1"/>
    <row r="194" s="215" customFormat="1"/>
    <row r="195" s="215" customFormat="1"/>
    <row r="196" s="215" customFormat="1"/>
    <row r="197" s="215" customFormat="1"/>
    <row r="198" s="215" customFormat="1"/>
    <row r="199" s="215" customFormat="1"/>
    <row r="200" s="215" customFormat="1"/>
    <row r="201" s="215" customFormat="1"/>
    <row r="202" s="215" customFormat="1"/>
    <row r="203" s="215" customFormat="1"/>
    <row r="204" s="215" customFormat="1"/>
    <row r="205" s="215" customFormat="1"/>
    <row r="206" s="215" customFormat="1"/>
    <row r="207" s="215" customFormat="1"/>
    <row r="208" s="215" customFormat="1"/>
    <row r="209" s="215" customFormat="1"/>
    <row r="210" s="215" customFormat="1"/>
    <row r="211" s="215" customFormat="1"/>
    <row r="212" s="215" customFormat="1"/>
    <row r="213" s="215" customFormat="1"/>
    <row r="214" s="215" customFormat="1"/>
    <row r="215" s="215" customFormat="1"/>
    <row r="216" s="215" customFormat="1"/>
    <row r="217" s="215" customFormat="1"/>
    <row r="218" s="215" customFormat="1"/>
    <row r="219" s="215" customFormat="1"/>
    <row r="220" s="215" customFormat="1"/>
    <row r="221" s="215" customFormat="1"/>
    <row r="222" s="215" customFormat="1"/>
    <row r="223" s="215" customFormat="1"/>
    <row r="224" s="215" customFormat="1"/>
    <row r="225" s="215" customFormat="1"/>
    <row r="226" s="215" customFormat="1"/>
    <row r="227" s="215" customFormat="1"/>
    <row r="228" s="215" customFormat="1"/>
    <row r="229" s="215" customFormat="1"/>
    <row r="230" s="215" customFormat="1"/>
    <row r="231" s="215" customFormat="1"/>
    <row r="232" s="215" customFormat="1"/>
    <row r="233" s="215" customFormat="1"/>
    <row r="234" s="215" customFormat="1"/>
    <row r="235" s="215" customFormat="1"/>
    <row r="236" s="215" customFormat="1"/>
    <row r="237" s="215" customFormat="1"/>
    <row r="238" s="215" customFormat="1"/>
    <row r="239" s="215" customFormat="1"/>
    <row r="240" s="215" customFormat="1"/>
    <row r="241" s="215" customFormat="1"/>
    <row r="242" s="215" customFormat="1"/>
    <row r="243" s="215" customFormat="1"/>
    <row r="244" s="215" customFormat="1"/>
    <row r="245" s="215" customFormat="1"/>
    <row r="246" s="215" customFormat="1"/>
    <row r="247" s="215" customFormat="1"/>
    <row r="248" s="215" customFormat="1"/>
    <row r="249" s="215" customFormat="1"/>
    <row r="250" s="215" customFormat="1"/>
    <row r="251" s="215" customFormat="1"/>
    <row r="252" s="215" customFormat="1"/>
    <row r="253" s="215" customFormat="1"/>
    <row r="254" s="215" customFormat="1"/>
    <row r="255" s="215" customFormat="1"/>
    <row r="256" s="215" customFormat="1"/>
    <row r="257" s="215" customFormat="1"/>
    <row r="258" s="215" customFormat="1"/>
    <row r="259" s="215" customFormat="1"/>
    <row r="260" s="215" customFormat="1"/>
    <row r="261" s="215" customFormat="1"/>
    <row r="262" s="215" customFormat="1"/>
    <row r="263" s="215" customFormat="1"/>
    <row r="264" s="215" customFormat="1"/>
    <row r="265" s="215" customFormat="1"/>
    <row r="266" s="215" customFormat="1"/>
    <row r="267" s="215" customFormat="1"/>
    <row r="268" s="215" customFormat="1"/>
    <row r="269" s="215" customFormat="1"/>
    <row r="270" s="215" customFormat="1"/>
    <row r="271" s="215" customFormat="1"/>
    <row r="272" s="215" customFormat="1"/>
    <row r="273" s="215" customFormat="1"/>
    <row r="274" s="215" customFormat="1"/>
    <row r="275" s="215" customFormat="1"/>
    <row r="276" s="215" customFormat="1"/>
    <row r="277" s="215" customFormat="1"/>
    <row r="278" s="215" customFormat="1"/>
    <row r="279" s="215" customFormat="1"/>
    <row r="280" s="215" customFormat="1"/>
    <row r="281" s="215" customFormat="1"/>
    <row r="282" s="215" customFormat="1"/>
    <row r="283" s="215" customFormat="1"/>
    <row r="284" s="215" customFormat="1"/>
    <row r="285" s="215" customFormat="1"/>
    <row r="286" s="215" customFormat="1"/>
    <row r="287" s="215" customFormat="1"/>
    <row r="288" s="215" customFormat="1"/>
    <row r="289" s="215" customFormat="1"/>
    <row r="290" s="215" customFormat="1"/>
    <row r="291" s="215" customFormat="1"/>
    <row r="292" s="215" customFormat="1"/>
    <row r="293" s="215" customFormat="1"/>
    <row r="294" s="215" customFormat="1"/>
    <row r="295" s="215" customFormat="1"/>
    <row r="296" s="215" customFormat="1"/>
    <row r="297" s="215" customFormat="1"/>
    <row r="298" s="215" customFormat="1"/>
    <row r="299" s="215" customFormat="1"/>
    <row r="300" s="215" customFormat="1"/>
    <row r="301" s="215" customFormat="1"/>
    <row r="302" s="215" customFormat="1"/>
    <row r="303" s="215" customFormat="1"/>
    <row r="304" s="215" customFormat="1"/>
    <row r="305" s="215" customFormat="1"/>
    <row r="306" s="215" customFormat="1"/>
    <row r="307" s="215" customFormat="1"/>
    <row r="308" s="215" customFormat="1"/>
    <row r="309" s="215" customFormat="1"/>
    <row r="310" s="215" customFormat="1"/>
    <row r="311" s="215" customFormat="1"/>
    <row r="312" s="215" customFormat="1"/>
    <row r="313" s="215" customFormat="1"/>
    <row r="314" s="215" customFormat="1"/>
    <row r="315" s="215" customFormat="1"/>
    <row r="316" s="215" customFormat="1"/>
    <row r="317" s="215" customFormat="1"/>
    <row r="318" s="215" customFormat="1"/>
    <row r="319" s="215" customFormat="1"/>
    <row r="320" s="215" customFormat="1"/>
    <row r="321" s="215" customFormat="1"/>
    <row r="322" s="215" customFormat="1"/>
    <row r="323" s="215" customFormat="1"/>
    <row r="324" s="215" customFormat="1"/>
    <row r="325" s="215" customFormat="1"/>
    <row r="326" s="215" customFormat="1"/>
    <row r="327" s="215" customFormat="1"/>
    <row r="328" s="215" customFormat="1"/>
    <row r="329" s="215" customFormat="1"/>
    <row r="330" s="215" customFormat="1"/>
    <row r="331" s="215" customFormat="1"/>
    <row r="332" s="215" customFormat="1"/>
    <row r="333" s="215" customFormat="1"/>
    <row r="334" s="215" customFormat="1"/>
    <row r="335" s="215" customFormat="1"/>
    <row r="336" s="215" customFormat="1"/>
    <row r="337" s="215" customFormat="1"/>
    <row r="338" s="215" customFormat="1"/>
    <row r="339" s="215" customFormat="1"/>
    <row r="340" s="215" customFormat="1"/>
    <row r="341" s="215" customFormat="1"/>
    <row r="342" s="215" customFormat="1"/>
    <row r="343" s="215" customFormat="1"/>
    <row r="344" s="215" customFormat="1"/>
    <row r="345" s="215" customFormat="1"/>
    <row r="346" s="215" customFormat="1"/>
    <row r="347" s="215" customFormat="1"/>
    <row r="348" s="215" customFormat="1"/>
    <row r="349" s="215" customFormat="1"/>
    <row r="350" s="215" customFormat="1"/>
    <row r="351" s="215" customFormat="1"/>
    <row r="352" s="215" customFormat="1"/>
    <row r="353" s="215" customFormat="1"/>
    <row r="354" s="215" customFormat="1"/>
    <row r="355" s="215" customFormat="1"/>
    <row r="356" s="215" customFormat="1"/>
    <row r="357" s="215" customFormat="1"/>
    <row r="358" s="215" customFormat="1"/>
    <row r="359" s="215" customFormat="1"/>
    <row r="360" s="215" customFormat="1"/>
    <row r="361" s="215" customFormat="1"/>
    <row r="362" s="215" customFormat="1"/>
    <row r="363" s="215" customFormat="1"/>
    <row r="364" s="215" customFormat="1"/>
    <row r="365" s="215" customFormat="1"/>
    <row r="366" s="215" customFormat="1"/>
    <row r="367" s="215" customFormat="1"/>
    <row r="368" s="215" customFormat="1"/>
    <row r="369" s="215" customFormat="1"/>
    <row r="370" s="215" customFormat="1"/>
    <row r="371" s="215" customFormat="1"/>
    <row r="372" s="215" customFormat="1"/>
    <row r="373" s="215" customFormat="1"/>
    <row r="374" s="215" customFormat="1"/>
    <row r="375" s="215" customFormat="1"/>
    <row r="376" s="215" customFormat="1"/>
    <row r="377" s="215" customFormat="1"/>
    <row r="378" s="215" customFormat="1"/>
    <row r="379" s="215" customFormat="1"/>
    <row r="380" s="215" customFormat="1"/>
    <row r="381" s="215" customFormat="1"/>
    <row r="382" s="215" customFormat="1"/>
    <row r="383" s="215" customFormat="1"/>
    <row r="384" s="215" customFormat="1"/>
    <row r="385" s="215" customFormat="1"/>
    <row r="386" s="215" customFormat="1"/>
    <row r="387" s="215" customFormat="1"/>
    <row r="388" s="215" customFormat="1"/>
    <row r="389" s="215" customFormat="1"/>
    <row r="390" s="215" customFormat="1"/>
    <row r="391" s="215" customFormat="1"/>
    <row r="392" s="215" customFormat="1"/>
    <row r="393" s="215" customFormat="1"/>
    <row r="394" s="215" customFormat="1"/>
    <row r="395" s="215" customFormat="1"/>
    <row r="396" s="215" customFormat="1"/>
    <row r="397" s="215" customFormat="1"/>
    <row r="398" s="215" customFormat="1"/>
    <row r="399" s="215" customFormat="1"/>
    <row r="400" s="215" customFormat="1"/>
    <row r="401" s="215" customFormat="1"/>
    <row r="402" s="215" customFormat="1"/>
    <row r="403" s="215" customFormat="1"/>
    <row r="404" s="215" customFormat="1"/>
    <row r="405" s="215" customFormat="1"/>
    <row r="406" s="215" customFormat="1"/>
    <row r="407" s="215" customFormat="1"/>
    <row r="408" s="215" customFormat="1"/>
    <row r="409" s="215" customFormat="1"/>
    <row r="410" s="215" customFormat="1"/>
    <row r="411" s="215" customFormat="1"/>
    <row r="412" s="215" customFormat="1"/>
    <row r="413" s="215" customFormat="1"/>
    <row r="414" s="215" customFormat="1"/>
    <row r="415" s="215" customFormat="1"/>
    <row r="416" s="215" customFormat="1"/>
    <row r="417" s="215" customFormat="1"/>
    <row r="418" s="215" customFormat="1"/>
    <row r="419" s="215" customFormat="1"/>
    <row r="420" s="215" customFormat="1"/>
    <row r="421" s="215" customFormat="1"/>
    <row r="422" s="215" customFormat="1"/>
    <row r="423" s="215" customFormat="1"/>
    <row r="424" s="215" customFormat="1"/>
    <row r="425" s="215" customFormat="1"/>
    <row r="426" s="215" customFormat="1"/>
    <row r="427" s="215" customFormat="1"/>
    <row r="428" s="215" customFormat="1"/>
    <row r="429" s="215" customFormat="1"/>
    <row r="430" s="215" customFormat="1"/>
    <row r="431" s="215" customFormat="1"/>
    <row r="432" s="215" customFormat="1"/>
    <row r="433" s="215" customFormat="1"/>
  </sheetData>
  <mergeCells count="11">
    <mergeCell ref="P2:R2"/>
    <mergeCell ref="A1:R1"/>
    <mergeCell ref="A2:A3"/>
    <mergeCell ref="B2:B3"/>
    <mergeCell ref="C2:C3"/>
    <mergeCell ref="D2:D3"/>
    <mergeCell ref="E2:E3"/>
    <mergeCell ref="F2:F3"/>
    <mergeCell ref="G2:I2"/>
    <mergeCell ref="J2:L2"/>
    <mergeCell ref="M2:O2"/>
  </mergeCells>
  <pageMargins left="1" right="1" top="1" bottom="1" header="0.5" footer="0.5"/>
  <pageSetup scale="43" orientation="landscape" r:id="rId1"/>
  <headerFooter>
    <oddHeader>&amp;CPartners of the Americas
Ñande Ko’ê</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F84"/>
  <sheetViews>
    <sheetView topLeftCell="J1" zoomScale="90" zoomScaleNormal="90" zoomScaleSheetLayoutView="100" workbookViewId="0">
      <pane ySplit="2" topLeftCell="A40" activePane="bottomLeft" state="frozen"/>
      <selection pane="bottomLeft" activeCell="AJ75" sqref="AJ75"/>
      <selection activeCell="B1" sqref="B1"/>
    </sheetView>
  </sheetViews>
  <sheetFormatPr defaultColWidth="9.140625" defaultRowHeight="11.45"/>
  <cols>
    <col min="1" max="1" width="9.42578125" style="74" hidden="1" customWidth="1"/>
    <col min="2" max="2" width="38.42578125" style="121" customWidth="1"/>
    <col min="3" max="3" width="4.42578125" style="74" bestFit="1" customWidth="1"/>
    <col min="4" max="4" width="10.42578125" style="74" bestFit="1" customWidth="1"/>
    <col min="5" max="5" width="5.85546875" style="85" bestFit="1" customWidth="1"/>
    <col min="6" max="6" width="5.42578125" style="86" bestFit="1" customWidth="1"/>
    <col min="7" max="7" width="9" style="85" bestFit="1" customWidth="1"/>
    <col min="8" max="8" width="8.42578125" style="74" bestFit="1" customWidth="1"/>
    <col min="9" max="9" width="9.85546875" style="74" customWidth="1"/>
    <col min="10" max="10" width="10" style="74" bestFit="1" customWidth="1"/>
    <col min="11" max="12" width="5.42578125" style="74" customWidth="1"/>
    <col min="13" max="13" width="7.5703125" style="85" customWidth="1"/>
    <col min="14" max="14" width="8.140625" style="74" customWidth="1"/>
    <col min="15" max="15" width="7.85546875" style="74" customWidth="1"/>
    <col min="16" max="16" width="8.42578125" style="74" customWidth="1"/>
    <col min="17" max="18" width="5.42578125" style="74" customWidth="1"/>
    <col min="19" max="19" width="7" style="85" customWidth="1"/>
    <col min="20" max="20" width="9" style="74" customWidth="1"/>
    <col min="21" max="21" width="8.85546875" style="74" customWidth="1"/>
    <col min="22" max="22" width="7.85546875" style="74" customWidth="1"/>
    <col min="23" max="23" width="9.85546875" style="74" customWidth="1"/>
    <col min="24" max="24" width="11" style="74" customWidth="1"/>
    <col min="25" max="25" width="10.42578125" style="74" customWidth="1"/>
    <col min="26" max="27" width="9.42578125" style="74" hidden="1" customWidth="1"/>
    <col min="28" max="28" width="14.42578125" style="74" hidden="1" customWidth="1"/>
    <col min="29" max="16384" width="9.140625" style="74"/>
  </cols>
  <sheetData>
    <row r="1" spans="1:32" ht="21" customHeight="1">
      <c r="A1" s="175" t="str">
        <f>'Budget Summary'!C4</f>
        <v>Year 1</v>
      </c>
      <c r="B1" s="182"/>
      <c r="C1" s="706">
        <v>2017</v>
      </c>
      <c r="D1" s="707"/>
      <c r="E1" s="707"/>
      <c r="F1" s="707"/>
      <c r="G1" s="707"/>
      <c r="H1" s="707"/>
      <c r="I1" s="707"/>
      <c r="J1" s="708"/>
      <c r="K1" s="709">
        <v>2018</v>
      </c>
      <c r="L1" s="710"/>
      <c r="M1" s="710"/>
      <c r="N1" s="710"/>
      <c r="O1" s="710"/>
      <c r="P1" s="711"/>
      <c r="Q1" s="709">
        <v>2019</v>
      </c>
      <c r="R1" s="710"/>
      <c r="S1" s="710"/>
      <c r="T1" s="710"/>
      <c r="U1" s="710"/>
      <c r="V1" s="711"/>
      <c r="W1" s="709" t="s">
        <v>240</v>
      </c>
      <c r="X1" s="710"/>
      <c r="Y1" s="711"/>
      <c r="Z1" s="134"/>
    </row>
    <row r="2" spans="1:32" s="75" customFormat="1" ht="32.25" customHeight="1">
      <c r="A2" s="131" t="s">
        <v>449</v>
      </c>
      <c r="B2" s="139" t="s">
        <v>239</v>
      </c>
      <c r="C2" s="75" t="s">
        <v>242</v>
      </c>
      <c r="D2" s="75" t="s">
        <v>243</v>
      </c>
      <c r="E2" s="75" t="s">
        <v>450</v>
      </c>
      <c r="F2" s="76" t="s">
        <v>245</v>
      </c>
      <c r="G2" s="75" t="s">
        <v>246</v>
      </c>
      <c r="H2" s="75" t="s">
        <v>130</v>
      </c>
      <c r="I2" s="75" t="s">
        <v>214</v>
      </c>
      <c r="J2" s="140" t="s">
        <v>451</v>
      </c>
      <c r="K2" s="139" t="s">
        <v>242</v>
      </c>
      <c r="L2" s="75" t="s">
        <v>244</v>
      </c>
      <c r="M2" s="75" t="s">
        <v>246</v>
      </c>
      <c r="N2" s="75" t="s">
        <v>130</v>
      </c>
      <c r="O2" s="75" t="s">
        <v>214</v>
      </c>
      <c r="P2" s="140" t="s">
        <v>451</v>
      </c>
      <c r="Q2" s="139" t="s">
        <v>242</v>
      </c>
      <c r="R2" s="75" t="s">
        <v>244</v>
      </c>
      <c r="S2" s="75" t="s">
        <v>246</v>
      </c>
      <c r="T2" s="75" t="s">
        <v>130</v>
      </c>
      <c r="U2" s="75" t="s">
        <v>214</v>
      </c>
      <c r="V2" s="140" t="s">
        <v>451</v>
      </c>
      <c r="W2" s="139" t="s">
        <v>214</v>
      </c>
      <c r="X2" s="75" t="s">
        <v>451</v>
      </c>
      <c r="Y2" s="140" t="s">
        <v>248</v>
      </c>
      <c r="Z2" s="133"/>
    </row>
    <row r="3" spans="1:32" s="77" customFormat="1">
      <c r="A3" s="176" t="s">
        <v>452</v>
      </c>
      <c r="B3" s="183" t="s">
        <v>453</v>
      </c>
      <c r="D3" s="78"/>
      <c r="E3" s="79"/>
      <c r="F3" s="80"/>
      <c r="G3" s="79">
        <v>65</v>
      </c>
      <c r="H3" s="81"/>
      <c r="I3" s="82">
        <v>0.85</v>
      </c>
      <c r="J3" s="142">
        <f>(100%-I3)</f>
        <v>0.15000000000000002</v>
      </c>
      <c r="K3" s="141"/>
      <c r="L3" s="83"/>
      <c r="M3" s="79">
        <v>1.3690899999999999</v>
      </c>
      <c r="N3" s="81"/>
      <c r="O3" s="81">
        <v>1.2999000000000001</v>
      </c>
      <c r="P3" s="142">
        <f>(100%-O3)</f>
        <v>-0.29990000000000006</v>
      </c>
      <c r="Q3" s="141"/>
      <c r="R3" s="83"/>
      <c r="S3" s="79">
        <v>1.3690899999999999</v>
      </c>
      <c r="T3" s="81"/>
      <c r="U3" s="81">
        <v>-4.5710000000000001E-2</v>
      </c>
      <c r="V3" s="142">
        <f>(100%-U3)</f>
        <v>1.0457099999999999</v>
      </c>
      <c r="W3" s="164"/>
      <c r="X3" s="82"/>
      <c r="Y3" s="165"/>
      <c r="Z3" s="135"/>
    </row>
    <row r="4" spans="1:32">
      <c r="A4" s="132"/>
      <c r="B4" s="184" t="s">
        <v>454</v>
      </c>
      <c r="H4" s="85"/>
      <c r="I4" s="84"/>
      <c r="J4" s="144"/>
      <c r="K4" s="143"/>
      <c r="N4" s="85"/>
      <c r="O4" s="84"/>
      <c r="P4" s="195"/>
      <c r="Q4" s="143"/>
      <c r="T4" s="85"/>
      <c r="U4" s="84"/>
      <c r="V4" s="195"/>
      <c r="W4" s="152"/>
      <c r="X4" s="84"/>
      <c r="Y4" s="166"/>
      <c r="Z4" s="134"/>
    </row>
    <row r="5" spans="1:32">
      <c r="A5" s="177"/>
      <c r="B5" s="185" t="s">
        <v>455</v>
      </c>
      <c r="C5" s="88">
        <v>0.3</v>
      </c>
      <c r="D5" s="87" t="s">
        <v>456</v>
      </c>
      <c r="E5" s="87">
        <v>12</v>
      </c>
      <c r="F5" s="89">
        <v>1</v>
      </c>
      <c r="G5" s="90">
        <f>(1391532.0682/$G$3)/12</f>
        <v>1784.0154720512821</v>
      </c>
      <c r="H5" s="90">
        <f>C5*G5*E5</f>
        <v>6422.4556993846154</v>
      </c>
      <c r="I5" s="90">
        <f>H5</f>
        <v>6422.4556993846154</v>
      </c>
      <c r="J5" s="146">
        <f>H5-I5</f>
        <v>0</v>
      </c>
      <c r="K5" s="145">
        <f t="shared" ref="K5:K11" si="0">C5</f>
        <v>0.3</v>
      </c>
      <c r="L5" s="87">
        <f t="shared" ref="L5:L11" si="1">E5</f>
        <v>12</v>
      </c>
      <c r="M5" s="90">
        <f>G5*1.05</f>
        <v>1873.2162456538463</v>
      </c>
      <c r="N5" s="91">
        <f>K5*M5*L5</f>
        <v>6743.5784843538459</v>
      </c>
      <c r="O5" s="90">
        <f>N5</f>
        <v>6743.5784843538459</v>
      </c>
      <c r="P5" s="146">
        <f t="shared" ref="P5:P11" si="2">N5-O5</f>
        <v>0</v>
      </c>
      <c r="Q5" s="145">
        <f>K5</f>
        <v>0.3</v>
      </c>
      <c r="R5" s="87">
        <f>L5</f>
        <v>12</v>
      </c>
      <c r="S5" s="90">
        <f>M5*1.05</f>
        <v>1966.8770579365387</v>
      </c>
      <c r="T5" s="91">
        <f>Q5*S5*R5</f>
        <v>7080.7574085715387</v>
      </c>
      <c r="U5" s="90">
        <f>T5</f>
        <v>7080.7574085715387</v>
      </c>
      <c r="V5" s="146">
        <f t="shared" ref="V5:V11" si="3">T5-U5</f>
        <v>0</v>
      </c>
      <c r="W5" s="167">
        <f t="shared" ref="W5:X11" si="4">I5+O5+U5</f>
        <v>20246.791592310001</v>
      </c>
      <c r="X5" s="90">
        <f t="shared" si="4"/>
        <v>0</v>
      </c>
      <c r="Y5" s="146">
        <f t="shared" ref="Y5:Y11" si="5">W5+X5</f>
        <v>20246.791592310001</v>
      </c>
      <c r="Z5" s="163">
        <f>H5+N5+T5-Y5</f>
        <v>0</v>
      </c>
      <c r="AA5" s="130">
        <f>I5+O5+U5-W5</f>
        <v>0</v>
      </c>
      <c r="AB5" s="130">
        <f>J5+P5+V5-X5</f>
        <v>0</v>
      </c>
      <c r="AC5" s="130"/>
      <c r="AD5" s="130"/>
      <c r="AE5" s="130"/>
      <c r="AF5" s="130"/>
    </row>
    <row r="6" spans="1:32">
      <c r="A6" s="177"/>
      <c r="B6" s="185" t="s">
        <v>457</v>
      </c>
      <c r="C6" s="88">
        <v>0.8</v>
      </c>
      <c r="D6" s="87" t="s">
        <v>456</v>
      </c>
      <c r="E6" s="87">
        <v>12</v>
      </c>
      <c r="F6" s="89">
        <v>1</v>
      </c>
      <c r="G6" s="90">
        <f>(881322/$G$3)/12</f>
        <v>1129.8999999999999</v>
      </c>
      <c r="H6" s="90">
        <f t="shared" ref="H6:H11" si="6">C6*G6*E6</f>
        <v>10847.039999999999</v>
      </c>
      <c r="I6" s="90">
        <f>H6</f>
        <v>10847.039999999999</v>
      </c>
      <c r="J6" s="146">
        <v>0</v>
      </c>
      <c r="K6" s="145">
        <f t="shared" si="0"/>
        <v>0.8</v>
      </c>
      <c r="L6" s="87">
        <f t="shared" si="1"/>
        <v>12</v>
      </c>
      <c r="M6" s="90">
        <f>G6*1.05</f>
        <v>1186.395</v>
      </c>
      <c r="N6" s="91">
        <f t="shared" ref="N6:N11" si="7">K6*M6*L6</f>
        <v>11389.392</v>
      </c>
      <c r="O6" s="90">
        <f>N6</f>
        <v>11389.392</v>
      </c>
      <c r="P6" s="146">
        <v>0</v>
      </c>
      <c r="Q6" s="145">
        <f t="shared" ref="Q6:R11" si="8">K6</f>
        <v>0.8</v>
      </c>
      <c r="R6" s="87">
        <f t="shared" si="8"/>
        <v>12</v>
      </c>
      <c r="S6" s="90">
        <f>M6*1.05</f>
        <v>1245.7147500000001</v>
      </c>
      <c r="T6" s="91">
        <f t="shared" ref="T6:T11" si="9">Q6*S6*R6</f>
        <v>11958.861600000002</v>
      </c>
      <c r="U6" s="90">
        <f>T6</f>
        <v>11958.861600000002</v>
      </c>
      <c r="V6" s="146">
        <v>0</v>
      </c>
      <c r="W6" s="167">
        <f t="shared" si="4"/>
        <v>34195.293600000005</v>
      </c>
      <c r="X6" s="90">
        <f t="shared" si="4"/>
        <v>0</v>
      </c>
      <c r="Y6" s="146">
        <f t="shared" si="5"/>
        <v>34195.293600000005</v>
      </c>
      <c r="Z6" s="163">
        <f t="shared" ref="Z6:Z49" si="10">H6+N6+T6-Y6</f>
        <v>0</v>
      </c>
      <c r="AA6" s="130">
        <f t="shared" ref="AA6:AB49" si="11">I6+O6+U6-W6</f>
        <v>0</v>
      </c>
      <c r="AB6" s="130">
        <f t="shared" si="11"/>
        <v>0</v>
      </c>
      <c r="AC6" s="130"/>
      <c r="AD6" s="130"/>
      <c r="AE6" s="130"/>
      <c r="AF6" s="130"/>
    </row>
    <row r="7" spans="1:32">
      <c r="A7" s="177"/>
      <c r="B7" s="185" t="s">
        <v>458</v>
      </c>
      <c r="C7" s="88">
        <v>0.2</v>
      </c>
      <c r="D7" s="87" t="s">
        <v>456</v>
      </c>
      <c r="E7" s="87">
        <v>12</v>
      </c>
      <c r="F7" s="89">
        <v>1</v>
      </c>
      <c r="G7" s="90">
        <f>(583144.65/$G$3)/12</f>
        <v>747.62134615384628</v>
      </c>
      <c r="H7" s="90">
        <f t="shared" si="6"/>
        <v>1794.2912307692309</v>
      </c>
      <c r="I7" s="90">
        <f>H7</f>
        <v>1794.2912307692309</v>
      </c>
      <c r="J7" s="146">
        <f>H7-I7</f>
        <v>0</v>
      </c>
      <c r="K7" s="145">
        <f t="shared" si="0"/>
        <v>0.2</v>
      </c>
      <c r="L7" s="87">
        <f t="shared" si="1"/>
        <v>12</v>
      </c>
      <c r="M7" s="90">
        <f>G7*1.05</f>
        <v>785.00241346153859</v>
      </c>
      <c r="N7" s="91">
        <f t="shared" si="7"/>
        <v>1884.0057923076929</v>
      </c>
      <c r="O7" s="90">
        <f>N7</f>
        <v>1884.0057923076929</v>
      </c>
      <c r="P7" s="146">
        <f t="shared" si="2"/>
        <v>0</v>
      </c>
      <c r="Q7" s="145">
        <f t="shared" si="8"/>
        <v>0.2</v>
      </c>
      <c r="R7" s="87">
        <f t="shared" si="8"/>
        <v>12</v>
      </c>
      <c r="S7" s="90">
        <f>M7*1.05</f>
        <v>824.25253413461553</v>
      </c>
      <c r="T7" s="91">
        <f t="shared" si="9"/>
        <v>1978.2060819230774</v>
      </c>
      <c r="U7" s="90">
        <f>T7</f>
        <v>1978.2060819230774</v>
      </c>
      <c r="V7" s="146">
        <f t="shared" si="3"/>
        <v>0</v>
      </c>
      <c r="W7" s="167">
        <f t="shared" si="4"/>
        <v>5656.5031050000016</v>
      </c>
      <c r="X7" s="90">
        <f t="shared" si="4"/>
        <v>0</v>
      </c>
      <c r="Y7" s="146">
        <f t="shared" si="5"/>
        <v>5656.5031050000016</v>
      </c>
      <c r="Z7" s="163">
        <f t="shared" si="10"/>
        <v>0</v>
      </c>
      <c r="AA7" s="130">
        <f t="shared" si="11"/>
        <v>0</v>
      </c>
      <c r="AB7" s="130">
        <f t="shared" si="11"/>
        <v>0</v>
      </c>
      <c r="AC7" s="130"/>
      <c r="AD7" s="130"/>
      <c r="AE7" s="130"/>
      <c r="AF7" s="130"/>
    </row>
    <row r="8" spans="1:32">
      <c r="A8" s="177"/>
      <c r="B8" s="185" t="s">
        <v>459</v>
      </c>
      <c r="C8" s="88">
        <v>0.6</v>
      </c>
      <c r="D8" s="87" t="s">
        <v>456</v>
      </c>
      <c r="E8" s="87">
        <v>12</v>
      </c>
      <c r="F8" s="89">
        <v>1</v>
      </c>
      <c r="G8" s="90">
        <f>(1126756.3725/$G$3)/4/12</f>
        <v>361.13986298076924</v>
      </c>
      <c r="H8" s="90">
        <f t="shared" si="6"/>
        <v>2600.2070134615387</v>
      </c>
      <c r="I8" s="90">
        <f>H8</f>
        <v>2600.2070134615387</v>
      </c>
      <c r="J8" s="146">
        <f>H8-I8</f>
        <v>0</v>
      </c>
      <c r="K8" s="145">
        <f t="shared" si="0"/>
        <v>0.6</v>
      </c>
      <c r="L8" s="87">
        <f t="shared" si="1"/>
        <v>12</v>
      </c>
      <c r="M8" s="90">
        <f>G8*1.05</f>
        <v>379.19685612980771</v>
      </c>
      <c r="N8" s="91">
        <f t="shared" si="7"/>
        <v>2730.2173641346153</v>
      </c>
      <c r="O8" s="90">
        <f>N8</f>
        <v>2730.2173641346153</v>
      </c>
      <c r="P8" s="146">
        <f t="shared" si="2"/>
        <v>0</v>
      </c>
      <c r="Q8" s="145">
        <f t="shared" si="8"/>
        <v>0.6</v>
      </c>
      <c r="R8" s="87">
        <f t="shared" si="8"/>
        <v>12</v>
      </c>
      <c r="S8" s="90">
        <f>M8*1.05</f>
        <v>398.15669893629814</v>
      </c>
      <c r="T8" s="91">
        <f t="shared" si="9"/>
        <v>2866.7282323413465</v>
      </c>
      <c r="U8" s="90">
        <f>T8</f>
        <v>2866.7282323413465</v>
      </c>
      <c r="V8" s="146">
        <f t="shared" si="3"/>
        <v>0</v>
      </c>
      <c r="W8" s="167">
        <f t="shared" si="4"/>
        <v>8197.1526099375005</v>
      </c>
      <c r="X8" s="90">
        <f t="shared" si="4"/>
        <v>0</v>
      </c>
      <c r="Y8" s="146">
        <f t="shared" si="5"/>
        <v>8197.1526099375005</v>
      </c>
      <c r="Z8" s="163">
        <f t="shared" si="10"/>
        <v>0</v>
      </c>
      <c r="AA8" s="130">
        <f t="shared" si="11"/>
        <v>0</v>
      </c>
      <c r="AB8" s="130">
        <f t="shared" si="11"/>
        <v>0</v>
      </c>
      <c r="AC8" s="130"/>
      <c r="AD8" s="130"/>
      <c r="AE8" s="130"/>
      <c r="AF8" s="130"/>
    </row>
    <row r="9" spans="1:32">
      <c r="A9" s="177"/>
      <c r="B9" s="185" t="s">
        <v>460</v>
      </c>
      <c r="C9" s="88">
        <v>0.4</v>
      </c>
      <c r="D9" s="87" t="s">
        <v>456</v>
      </c>
      <c r="E9" s="87">
        <v>12</v>
      </c>
      <c r="F9" s="89">
        <v>1</v>
      </c>
      <c r="G9" s="90">
        <f>(856059.4813/$G$3)/12</f>
        <v>1097.5121555128205</v>
      </c>
      <c r="H9" s="90">
        <f t="shared" si="6"/>
        <v>5268.0583464615393</v>
      </c>
      <c r="I9" s="90">
        <f>H9</f>
        <v>5268.0583464615393</v>
      </c>
      <c r="J9" s="146">
        <f>H9-I9</f>
        <v>0</v>
      </c>
      <c r="K9" s="145">
        <f t="shared" si="0"/>
        <v>0.4</v>
      </c>
      <c r="L9" s="87">
        <f t="shared" si="1"/>
        <v>12</v>
      </c>
      <c r="M9" s="90">
        <f>G9*1.05</f>
        <v>1152.3877632884617</v>
      </c>
      <c r="N9" s="91">
        <f t="shared" si="7"/>
        <v>5531.4612637846167</v>
      </c>
      <c r="O9" s="90">
        <f>N9</f>
        <v>5531.4612637846167</v>
      </c>
      <c r="P9" s="146">
        <f t="shared" si="2"/>
        <v>0</v>
      </c>
      <c r="Q9" s="145">
        <f t="shared" si="8"/>
        <v>0.4</v>
      </c>
      <c r="R9" s="87">
        <f t="shared" si="8"/>
        <v>12</v>
      </c>
      <c r="S9" s="90">
        <f>M9*1.05</f>
        <v>1210.0071514528847</v>
      </c>
      <c r="T9" s="91">
        <f t="shared" si="9"/>
        <v>5808.0343269738469</v>
      </c>
      <c r="U9" s="90">
        <f>T9</f>
        <v>5808.0343269738469</v>
      </c>
      <c r="V9" s="146">
        <f t="shared" si="3"/>
        <v>0</v>
      </c>
      <c r="W9" s="167">
        <f t="shared" si="4"/>
        <v>16607.553937220004</v>
      </c>
      <c r="X9" s="90">
        <f t="shared" si="4"/>
        <v>0</v>
      </c>
      <c r="Y9" s="146">
        <f t="shared" si="5"/>
        <v>16607.553937220004</v>
      </c>
      <c r="Z9" s="163">
        <f t="shared" si="10"/>
        <v>0</v>
      </c>
      <c r="AA9" s="130">
        <f t="shared" si="11"/>
        <v>0</v>
      </c>
      <c r="AB9" s="130">
        <f t="shared" si="11"/>
        <v>0</v>
      </c>
      <c r="AC9" s="130"/>
      <c r="AD9" s="130"/>
      <c r="AE9" s="130"/>
      <c r="AF9" s="130"/>
    </row>
    <row r="10" spans="1:32">
      <c r="A10" s="177"/>
      <c r="B10" s="185" t="s">
        <v>461</v>
      </c>
      <c r="C10" s="123">
        <v>0.04</v>
      </c>
      <c r="D10" s="87" t="s">
        <v>456</v>
      </c>
      <c r="E10" s="87">
        <v>12</v>
      </c>
      <c r="F10" s="89">
        <v>1</v>
      </c>
      <c r="G10" s="198">
        <v>2986.75</v>
      </c>
      <c r="H10" s="198">
        <f t="shared" si="6"/>
        <v>1433.6399999999999</v>
      </c>
      <c r="I10" s="198">
        <v>1075.23</v>
      </c>
      <c r="J10" s="199">
        <f>H10-I10</f>
        <v>358.40999999999985</v>
      </c>
      <c r="K10" s="145">
        <f t="shared" si="0"/>
        <v>0.04</v>
      </c>
      <c r="L10" s="87">
        <f t="shared" si="1"/>
        <v>12</v>
      </c>
      <c r="M10" s="198">
        <f>G10*$M$3</f>
        <v>4089.1295574999999</v>
      </c>
      <c r="N10" s="200">
        <f t="shared" si="7"/>
        <v>1962.7821876</v>
      </c>
      <c r="O10" s="200">
        <f>I10*$O$3</f>
        <v>1397.6914770000001</v>
      </c>
      <c r="P10" s="199">
        <f t="shared" si="2"/>
        <v>565.09071059999997</v>
      </c>
      <c r="Q10" s="145">
        <f t="shared" si="8"/>
        <v>0.04</v>
      </c>
      <c r="R10" s="87">
        <f t="shared" si="8"/>
        <v>12</v>
      </c>
      <c r="S10" s="198">
        <f>M10</f>
        <v>4089.1295574999999</v>
      </c>
      <c r="T10" s="200">
        <f t="shared" si="9"/>
        <v>1962.7821876</v>
      </c>
      <c r="U10" s="200">
        <f>O10+(O10*$U$3)</f>
        <v>1333.8029995863301</v>
      </c>
      <c r="V10" s="199">
        <f t="shared" si="3"/>
        <v>628.97918801366995</v>
      </c>
      <c r="W10" s="201">
        <f t="shared" si="4"/>
        <v>3806.7244765863297</v>
      </c>
      <c r="X10" s="198">
        <f t="shared" si="4"/>
        <v>1552.4798986136698</v>
      </c>
      <c r="Y10" s="199">
        <f t="shared" si="5"/>
        <v>5359.204375199999</v>
      </c>
      <c r="Z10" s="163">
        <f t="shared" si="10"/>
        <v>0</v>
      </c>
      <c r="AA10" s="130">
        <f t="shared" si="11"/>
        <v>0</v>
      </c>
      <c r="AB10" s="130">
        <f t="shared" si="11"/>
        <v>0</v>
      </c>
      <c r="AC10" s="130"/>
      <c r="AD10" s="130"/>
      <c r="AE10" s="130"/>
      <c r="AF10" s="130"/>
    </row>
    <row r="11" spans="1:32">
      <c r="A11" s="177"/>
      <c r="B11" s="185" t="s">
        <v>462</v>
      </c>
      <c r="C11" s="202">
        <v>0.65</v>
      </c>
      <c r="D11" s="87" t="s">
        <v>456</v>
      </c>
      <c r="E11" s="87">
        <v>12</v>
      </c>
      <c r="F11" s="89">
        <v>1</v>
      </c>
      <c r="G11" s="198">
        <v>1461</v>
      </c>
      <c r="H11" s="198">
        <f t="shared" si="6"/>
        <v>11395.8</v>
      </c>
      <c r="I11" s="198">
        <v>8941.32</v>
      </c>
      <c r="J11" s="199">
        <f>H11-I11</f>
        <v>2454.4799999999996</v>
      </c>
      <c r="K11" s="203">
        <f t="shared" si="0"/>
        <v>0.65</v>
      </c>
      <c r="L11" s="87">
        <f t="shared" si="1"/>
        <v>12</v>
      </c>
      <c r="M11" s="198">
        <f>G11*$M$3</f>
        <v>2000.2404899999999</v>
      </c>
      <c r="N11" s="200">
        <f t="shared" si="7"/>
        <v>15601.875822</v>
      </c>
      <c r="O11" s="200">
        <f>I11*$O$3</f>
        <v>11622.821868000001</v>
      </c>
      <c r="P11" s="199">
        <f t="shared" si="2"/>
        <v>3979.0539539999991</v>
      </c>
      <c r="Q11" s="145">
        <f t="shared" si="8"/>
        <v>0.65</v>
      </c>
      <c r="R11" s="87">
        <f t="shared" si="8"/>
        <v>12</v>
      </c>
      <c r="S11" s="198">
        <f>M11</f>
        <v>2000.2404899999999</v>
      </c>
      <c r="T11" s="200">
        <f t="shared" si="9"/>
        <v>15601.875822</v>
      </c>
      <c r="U11" s="200">
        <f>O11+(O11*$U$3)</f>
        <v>11091.542680413721</v>
      </c>
      <c r="V11" s="199">
        <f t="shared" si="3"/>
        <v>4510.3331415862795</v>
      </c>
      <c r="W11" s="201">
        <f t="shared" si="4"/>
        <v>31655.684548413719</v>
      </c>
      <c r="X11" s="198">
        <f t="shared" si="4"/>
        <v>10943.867095586278</v>
      </c>
      <c r="Y11" s="199">
        <f t="shared" si="5"/>
        <v>42599.551643999999</v>
      </c>
      <c r="Z11" s="163">
        <f t="shared" si="10"/>
        <v>0</v>
      </c>
      <c r="AA11" s="130">
        <f t="shared" si="11"/>
        <v>0</v>
      </c>
      <c r="AB11" s="130">
        <f t="shared" si="11"/>
        <v>0</v>
      </c>
      <c r="AC11" s="130"/>
      <c r="AD11" s="130"/>
      <c r="AE11" s="130"/>
      <c r="AF11" s="130"/>
    </row>
    <row r="12" spans="1:32" s="92" customFormat="1">
      <c r="A12" s="132"/>
      <c r="B12" s="186" t="s">
        <v>463</v>
      </c>
      <c r="E12" s="93"/>
      <c r="F12" s="94"/>
      <c r="G12" s="93"/>
      <c r="H12" s="95">
        <f>SUM(H5:H11)</f>
        <v>39761.492290076916</v>
      </c>
      <c r="I12" s="95">
        <f>SUM(I5:I11)</f>
        <v>36948.602290076917</v>
      </c>
      <c r="J12" s="148">
        <f>SUM(J5:J11)</f>
        <v>2812.8899999999994</v>
      </c>
      <c r="K12" s="147"/>
      <c r="M12" s="93"/>
      <c r="N12" s="95">
        <f>SUM(N5:N11)</f>
        <v>45843.312914180773</v>
      </c>
      <c r="O12" s="95">
        <f>SUM(O5:O11)</f>
        <v>41299.168249580769</v>
      </c>
      <c r="P12" s="148">
        <f>SUM(P5:P11)</f>
        <v>4544.1446645999986</v>
      </c>
      <c r="Q12" s="147"/>
      <c r="S12" s="93"/>
      <c r="T12" s="95">
        <f t="shared" ref="T12:Y12" si="12">SUM(T5:T11)</f>
        <v>47257.245659409811</v>
      </c>
      <c r="U12" s="95">
        <f t="shared" si="12"/>
        <v>42117.933329809865</v>
      </c>
      <c r="V12" s="148">
        <f t="shared" si="12"/>
        <v>5139.3123295999494</v>
      </c>
      <c r="W12" s="154">
        <f t="shared" si="12"/>
        <v>120365.70386946756</v>
      </c>
      <c r="X12" s="95">
        <f t="shared" si="12"/>
        <v>12496.346994199948</v>
      </c>
      <c r="Y12" s="148">
        <f t="shared" si="12"/>
        <v>132862.05086366751</v>
      </c>
      <c r="Z12" s="163">
        <f t="shared" si="10"/>
        <v>0</v>
      </c>
      <c r="AA12" s="130">
        <f t="shared" si="11"/>
        <v>0</v>
      </c>
      <c r="AB12" s="130">
        <f t="shared" si="11"/>
        <v>0</v>
      </c>
      <c r="AC12" s="205"/>
      <c r="AD12" s="205"/>
      <c r="AE12" s="205"/>
      <c r="AF12" s="130"/>
    </row>
    <row r="13" spans="1:32">
      <c r="A13" s="132" t="s">
        <v>464</v>
      </c>
      <c r="B13" s="187" t="s">
        <v>465</v>
      </c>
      <c r="C13" s="96"/>
      <c r="D13" s="96"/>
      <c r="E13" s="97"/>
      <c r="F13" s="98"/>
      <c r="G13" s="97"/>
      <c r="H13" s="97"/>
      <c r="I13" s="99"/>
      <c r="J13" s="150"/>
      <c r="K13" s="149"/>
      <c r="L13" s="96"/>
      <c r="M13" s="97"/>
      <c r="N13" s="97"/>
      <c r="O13" s="99"/>
      <c r="P13" s="150"/>
      <c r="Q13" s="149"/>
      <c r="R13" s="96"/>
      <c r="S13" s="97"/>
      <c r="T13" s="97"/>
      <c r="U13" s="99"/>
      <c r="V13" s="150"/>
      <c r="W13" s="151"/>
      <c r="X13" s="99"/>
      <c r="Y13" s="168"/>
      <c r="Z13" s="163">
        <f t="shared" si="10"/>
        <v>0</v>
      </c>
      <c r="AA13" s="130">
        <f t="shared" si="11"/>
        <v>0</v>
      </c>
      <c r="AB13" s="130">
        <f t="shared" si="11"/>
        <v>0</v>
      </c>
    </row>
    <row r="14" spans="1:32">
      <c r="A14" s="132"/>
      <c r="B14" s="185" t="s">
        <v>466</v>
      </c>
      <c r="C14" s="88">
        <f>SUM(C5:C9)</f>
        <v>2.2999999999999998</v>
      </c>
      <c r="D14" s="87" t="s">
        <v>467</v>
      </c>
      <c r="E14" s="87">
        <v>12</v>
      </c>
      <c r="F14" s="86">
        <v>0.13500000000000001</v>
      </c>
      <c r="G14" s="91">
        <f>SUM(H5:H9)/12</f>
        <v>2244.3376908397436</v>
      </c>
      <c r="H14" s="91">
        <f>SUM(H5:H9)*$F$14</f>
        <v>3635.8270591603846</v>
      </c>
      <c r="I14" s="90">
        <f>H14</f>
        <v>3635.8270591603846</v>
      </c>
      <c r="J14" s="146">
        <v>0</v>
      </c>
      <c r="K14" s="145">
        <f>C14</f>
        <v>2.2999999999999998</v>
      </c>
      <c r="L14" s="87">
        <f>E14</f>
        <v>12</v>
      </c>
      <c r="M14" s="90">
        <f>G14*1.05</f>
        <v>2356.554575381731</v>
      </c>
      <c r="N14" s="91">
        <f>SUM(N5:N9)*$F$14</f>
        <v>3817.6184121184042</v>
      </c>
      <c r="O14" s="90">
        <f>N14</f>
        <v>3817.6184121184042</v>
      </c>
      <c r="P14" s="146">
        <f>N14-O14</f>
        <v>0</v>
      </c>
      <c r="Q14" s="145">
        <f>K14</f>
        <v>2.2999999999999998</v>
      </c>
      <c r="R14" s="87">
        <f>L14</f>
        <v>12</v>
      </c>
      <c r="S14" s="90">
        <f>M14*1.05001</f>
        <v>2474.4058696965717</v>
      </c>
      <c r="T14" s="91">
        <f>SUM(T5:T9)*$F$14</f>
        <v>4008.4993327243246</v>
      </c>
      <c r="U14" s="90">
        <f>T14</f>
        <v>4008.4993327243246</v>
      </c>
      <c r="V14" s="146">
        <f>T14-U14</f>
        <v>0</v>
      </c>
      <c r="W14" s="167">
        <f>I14+O14+U14</f>
        <v>11461.944804003113</v>
      </c>
      <c r="X14" s="90">
        <f>J14+P14+V14</f>
        <v>0</v>
      </c>
      <c r="Y14" s="146">
        <f>W14+X14</f>
        <v>11461.944804003113</v>
      </c>
      <c r="Z14" s="163">
        <f t="shared" si="10"/>
        <v>0</v>
      </c>
      <c r="AA14" s="130">
        <f t="shared" si="11"/>
        <v>0</v>
      </c>
      <c r="AB14" s="130">
        <f t="shared" si="11"/>
        <v>0</v>
      </c>
      <c r="AC14" s="130"/>
      <c r="AD14" s="130"/>
      <c r="AE14" s="130"/>
      <c r="AF14" s="130"/>
    </row>
    <row r="15" spans="1:32" s="92" customFormat="1">
      <c r="A15" s="132"/>
      <c r="B15" s="185" t="s">
        <v>468</v>
      </c>
      <c r="C15" s="123">
        <f>C10</f>
        <v>0.04</v>
      </c>
      <c r="D15" s="87" t="s">
        <v>467</v>
      </c>
      <c r="E15" s="87">
        <v>12</v>
      </c>
      <c r="F15" s="86">
        <v>0.28999999999999998</v>
      </c>
      <c r="G15" s="198">
        <v>119.46999999999998</v>
      </c>
      <c r="H15" s="200">
        <f>G15*E15*F15</f>
        <v>415.75559999999996</v>
      </c>
      <c r="I15" s="198">
        <v>311.81669999999997</v>
      </c>
      <c r="J15" s="199">
        <f>H15-I15</f>
        <v>103.93889999999999</v>
      </c>
      <c r="K15" s="204">
        <f>C15</f>
        <v>0.04</v>
      </c>
      <c r="L15" s="87">
        <f>E15</f>
        <v>12</v>
      </c>
      <c r="M15" s="198">
        <f>G15*$M$3</f>
        <v>163.56518229999998</v>
      </c>
      <c r="N15" s="200">
        <f>M15*L15*F15</f>
        <v>569.20683440399989</v>
      </c>
      <c r="O15" s="200">
        <f>I15*$O$3</f>
        <v>405.33052832999999</v>
      </c>
      <c r="P15" s="199">
        <f>N15-O15</f>
        <v>163.8763060739999</v>
      </c>
      <c r="Q15" s="204">
        <f>K15</f>
        <v>0.04</v>
      </c>
      <c r="R15" s="87">
        <f>L15</f>
        <v>12</v>
      </c>
      <c r="S15" s="198">
        <f>M15</f>
        <v>163.56518229999998</v>
      </c>
      <c r="T15" s="200">
        <f>F15*S15*R15</f>
        <v>569.20683440399989</v>
      </c>
      <c r="U15" s="200">
        <f>O15+(O15*$U$3)</f>
        <v>386.8028698800357</v>
      </c>
      <c r="V15" s="199">
        <f>T15-U15</f>
        <v>182.40396452396419</v>
      </c>
      <c r="W15" s="201">
        <f t="shared" ref="W15:X17" si="13">I15+O15+U15</f>
        <v>1103.9500982100358</v>
      </c>
      <c r="X15" s="198">
        <f t="shared" si="13"/>
        <v>450.21917059796408</v>
      </c>
      <c r="Y15" s="199">
        <f>W15+X15</f>
        <v>1554.1692688079997</v>
      </c>
      <c r="Z15" s="163">
        <f t="shared" si="10"/>
        <v>0</v>
      </c>
      <c r="AA15" s="130">
        <f t="shared" si="11"/>
        <v>0</v>
      </c>
      <c r="AB15" s="130">
        <f t="shared" si="11"/>
        <v>0</v>
      </c>
      <c r="AC15" s="130"/>
      <c r="AD15" s="130"/>
      <c r="AE15" s="130"/>
      <c r="AF15" s="130"/>
    </row>
    <row r="16" spans="1:32" s="92" customFormat="1">
      <c r="A16" s="132"/>
      <c r="B16" s="185" t="s">
        <v>469</v>
      </c>
      <c r="C16" s="123">
        <f>C10</f>
        <v>0.04</v>
      </c>
      <c r="D16" s="87" t="s">
        <v>456</v>
      </c>
      <c r="E16" s="87">
        <v>12</v>
      </c>
      <c r="F16" s="86">
        <v>1</v>
      </c>
      <c r="G16" s="198">
        <v>2234.56</v>
      </c>
      <c r="H16" s="198">
        <f>C16*G16*E16</f>
        <v>1072.5888</v>
      </c>
      <c r="I16" s="198">
        <v>804.44159999999999</v>
      </c>
      <c r="J16" s="199">
        <f>H16-I16</f>
        <v>268.1472</v>
      </c>
      <c r="K16" s="145">
        <f>K10</f>
        <v>0.04</v>
      </c>
      <c r="L16" s="87">
        <f>E16</f>
        <v>12</v>
      </c>
      <c r="M16" s="198">
        <f>G16*$M$3</f>
        <v>3059.3137503999997</v>
      </c>
      <c r="N16" s="200">
        <f>K16*M16*L16</f>
        <v>1468.4706001919999</v>
      </c>
      <c r="O16" s="200">
        <f>I16*$O$3</f>
        <v>1045.6936358400001</v>
      </c>
      <c r="P16" s="199">
        <f>N16-O16</f>
        <v>422.77696435199982</v>
      </c>
      <c r="Q16" s="145">
        <f>Q10</f>
        <v>0.04</v>
      </c>
      <c r="R16" s="87">
        <f>L16</f>
        <v>12</v>
      </c>
      <c r="S16" s="198">
        <f>M16</f>
        <v>3059.3137503999997</v>
      </c>
      <c r="T16" s="200">
        <f>Q16*S16*R16</f>
        <v>1468.4706001919999</v>
      </c>
      <c r="U16" s="200">
        <f>O16+(O16*$U$3)</f>
        <v>997.89497974575363</v>
      </c>
      <c r="V16" s="199">
        <f>T16-U16</f>
        <v>470.57562044624626</v>
      </c>
      <c r="W16" s="201">
        <f t="shared" si="13"/>
        <v>2848.0302155857535</v>
      </c>
      <c r="X16" s="198">
        <f t="shared" si="13"/>
        <v>1161.4997847982461</v>
      </c>
      <c r="Y16" s="199">
        <f>W16+X16</f>
        <v>4009.5300003839993</v>
      </c>
      <c r="Z16" s="163">
        <f t="shared" si="10"/>
        <v>0</v>
      </c>
      <c r="AA16" s="130">
        <f t="shared" si="11"/>
        <v>0</v>
      </c>
      <c r="AB16" s="130">
        <f t="shared" si="11"/>
        <v>0</v>
      </c>
      <c r="AC16" s="130"/>
      <c r="AD16" s="130"/>
      <c r="AE16" s="130"/>
      <c r="AF16" s="130"/>
    </row>
    <row r="17" spans="1:32" s="92" customFormat="1">
      <c r="A17" s="132"/>
      <c r="B17" s="185" t="s">
        <v>470</v>
      </c>
      <c r="C17" s="123">
        <f>C10</f>
        <v>0.04</v>
      </c>
      <c r="D17" s="87" t="s">
        <v>456</v>
      </c>
      <c r="E17" s="87">
        <v>12</v>
      </c>
      <c r="F17" s="86">
        <v>1</v>
      </c>
      <c r="G17" s="198">
        <v>1002.19</v>
      </c>
      <c r="H17" s="198">
        <f>C17*G17*E17</f>
        <v>481.05119999999999</v>
      </c>
      <c r="I17" s="198">
        <v>360.78840000000002</v>
      </c>
      <c r="J17" s="199">
        <f>H17-I17</f>
        <v>120.26279999999997</v>
      </c>
      <c r="K17" s="145">
        <f>K10</f>
        <v>0.04</v>
      </c>
      <c r="L17" s="87">
        <f>E17</f>
        <v>12</v>
      </c>
      <c r="M17" s="198">
        <f>G17*$M$3</f>
        <v>1372.0883071000001</v>
      </c>
      <c r="N17" s="200">
        <f>K17*M17*L17</f>
        <v>658.60238740800003</v>
      </c>
      <c r="O17" s="200">
        <f>I17*$O$3</f>
        <v>468.98884116000005</v>
      </c>
      <c r="P17" s="199">
        <f>N17-O17</f>
        <v>189.61354624799998</v>
      </c>
      <c r="Q17" s="145">
        <f>Q10</f>
        <v>0.04</v>
      </c>
      <c r="R17" s="87">
        <f>L17</f>
        <v>12</v>
      </c>
      <c r="S17" s="198">
        <f>M17</f>
        <v>1372.0883071000001</v>
      </c>
      <c r="T17" s="200">
        <f>Q17*S17*R17</f>
        <v>658.60238740800003</v>
      </c>
      <c r="U17" s="200">
        <f>O17+(O17*$U$3)</f>
        <v>447.55136123057645</v>
      </c>
      <c r="V17" s="199">
        <f>T17-U17</f>
        <v>211.05102617742358</v>
      </c>
      <c r="W17" s="201">
        <f t="shared" si="13"/>
        <v>1277.3286023905766</v>
      </c>
      <c r="X17" s="198">
        <f t="shared" si="13"/>
        <v>520.92737242542353</v>
      </c>
      <c r="Y17" s="199">
        <f>W17+X17</f>
        <v>1798.2559748160002</v>
      </c>
      <c r="Z17" s="163">
        <f t="shared" si="10"/>
        <v>0</v>
      </c>
      <c r="AA17" s="130">
        <f t="shared" si="11"/>
        <v>0</v>
      </c>
      <c r="AB17" s="130">
        <f t="shared" si="11"/>
        <v>0</v>
      </c>
      <c r="AC17" s="130"/>
      <c r="AD17" s="130"/>
      <c r="AE17" s="130"/>
      <c r="AF17" s="130"/>
    </row>
    <row r="18" spans="1:32" s="92" customFormat="1">
      <c r="A18" s="132"/>
      <c r="B18" s="185" t="s">
        <v>471</v>
      </c>
      <c r="C18" s="202">
        <f>C11</f>
        <v>0.65</v>
      </c>
      <c r="D18" s="87" t="s">
        <v>467</v>
      </c>
      <c r="E18" s="87">
        <v>12</v>
      </c>
      <c r="F18" s="86">
        <v>1</v>
      </c>
      <c r="G18" s="198">
        <f>1309/(C18*12)</f>
        <v>167.82051282051282</v>
      </c>
      <c r="H18" s="198">
        <f>C18*G18*E18</f>
        <v>1309</v>
      </c>
      <c r="I18" s="198">
        <v>1027.0921403703619</v>
      </c>
      <c r="J18" s="199">
        <f>H18-I18</f>
        <v>281.9078596296381</v>
      </c>
      <c r="K18" s="203">
        <f>C18</f>
        <v>0.65</v>
      </c>
      <c r="L18" s="87">
        <f>E18</f>
        <v>12</v>
      </c>
      <c r="M18" s="198">
        <f>G18*$M$3</f>
        <v>229.76138589743587</v>
      </c>
      <c r="N18" s="200">
        <f>K18*M18*L18</f>
        <v>1792.1388099999999</v>
      </c>
      <c r="O18" s="200">
        <f>I18*$O$3</f>
        <v>1335.1170732674334</v>
      </c>
      <c r="P18" s="199">
        <f>N18-O18</f>
        <v>457.02173673256652</v>
      </c>
      <c r="Q18" s="145">
        <f>K18</f>
        <v>0.65</v>
      </c>
      <c r="R18" s="87">
        <f>L18</f>
        <v>12</v>
      </c>
      <c r="S18" s="198">
        <f>M18</f>
        <v>229.76138589743587</v>
      </c>
      <c r="T18" s="200">
        <f>Q18*S18*R18</f>
        <v>1792.1388099999999</v>
      </c>
      <c r="U18" s="200">
        <f>O18+(O18*$U$3)</f>
        <v>1274.0888718483791</v>
      </c>
      <c r="V18" s="199">
        <f>T18-U18</f>
        <v>518.04993815162084</v>
      </c>
      <c r="W18" s="201">
        <f>I18+O18+U18</f>
        <v>3636.2980854861744</v>
      </c>
      <c r="X18" s="198">
        <f>J18+P18+V18</f>
        <v>1256.9795345138255</v>
      </c>
      <c r="Y18" s="199">
        <f>W18+X18</f>
        <v>4893.2776199999998</v>
      </c>
      <c r="Z18" s="163">
        <f t="shared" si="10"/>
        <v>0</v>
      </c>
      <c r="AA18" s="130">
        <f t="shared" si="11"/>
        <v>0</v>
      </c>
      <c r="AB18" s="130">
        <f t="shared" si="11"/>
        <v>0</v>
      </c>
      <c r="AC18" s="130"/>
      <c r="AD18" s="130"/>
      <c r="AE18" s="130"/>
      <c r="AF18" s="130"/>
    </row>
    <row r="19" spans="1:32">
      <c r="A19" s="177"/>
      <c r="B19" s="186" t="s">
        <v>472</v>
      </c>
      <c r="C19" s="87"/>
      <c r="D19" s="87"/>
      <c r="E19" s="101"/>
      <c r="F19" s="87"/>
      <c r="G19" s="102"/>
      <c r="H19" s="95">
        <f>SUM(H14:H18)</f>
        <v>6914.2226591603849</v>
      </c>
      <c r="I19" s="95">
        <f>SUM(I14:I18)</f>
        <v>6139.9658995307473</v>
      </c>
      <c r="J19" s="148">
        <f>SUM(J14:J18)</f>
        <v>774.25675962963805</v>
      </c>
      <c r="K19" s="145"/>
      <c r="L19" s="87"/>
      <c r="M19" s="101"/>
      <c r="N19" s="95">
        <f>SUM(N14:N18)</f>
        <v>8306.037044122404</v>
      </c>
      <c r="O19" s="95">
        <f>SUM(O14:O18)</f>
        <v>7072.7484907158378</v>
      </c>
      <c r="P19" s="95">
        <f>SUM(P14:P18)</f>
        <v>1233.2885534065663</v>
      </c>
      <c r="Q19" s="145"/>
      <c r="R19" s="87"/>
      <c r="S19" s="103"/>
      <c r="T19" s="95">
        <f t="shared" ref="T19:Y19" si="14">SUM(T14:T18)</f>
        <v>8496.9179647283254</v>
      </c>
      <c r="U19" s="95">
        <f t="shared" si="14"/>
        <v>7114.8374154290696</v>
      </c>
      <c r="V19" s="95">
        <f t="shared" si="14"/>
        <v>1382.0805492992549</v>
      </c>
      <c r="W19" s="154">
        <f t="shared" si="14"/>
        <v>20327.551805675655</v>
      </c>
      <c r="X19" s="95">
        <f t="shared" si="14"/>
        <v>3389.6258623354593</v>
      </c>
      <c r="Y19" s="148">
        <f t="shared" si="14"/>
        <v>23717.177668011114</v>
      </c>
      <c r="Z19" s="163">
        <f t="shared" si="10"/>
        <v>0</v>
      </c>
      <c r="AA19" s="130">
        <f t="shared" si="11"/>
        <v>0</v>
      </c>
      <c r="AB19" s="130">
        <f t="shared" si="11"/>
        <v>0</v>
      </c>
      <c r="AC19" s="205"/>
      <c r="AD19" s="206"/>
      <c r="AE19" s="205"/>
      <c r="AF19" s="130"/>
    </row>
    <row r="20" spans="1:32">
      <c r="A20" s="132"/>
      <c r="B20" s="187" t="s">
        <v>473</v>
      </c>
      <c r="C20" s="99"/>
      <c r="D20" s="99"/>
      <c r="E20" s="97"/>
      <c r="F20" s="98"/>
      <c r="G20" s="97"/>
      <c r="H20" s="97"/>
      <c r="I20" s="99"/>
      <c r="J20" s="150"/>
      <c r="K20" s="151"/>
      <c r="L20" s="99"/>
      <c r="M20" s="97"/>
      <c r="N20" s="97"/>
      <c r="O20" s="99"/>
      <c r="P20" s="150"/>
      <c r="Q20" s="151"/>
      <c r="R20" s="99"/>
      <c r="S20" s="97"/>
      <c r="T20" s="97"/>
      <c r="U20" s="99"/>
      <c r="V20" s="150"/>
      <c r="W20" s="151"/>
      <c r="X20" s="99"/>
      <c r="Y20" s="168"/>
      <c r="Z20" s="163">
        <f t="shared" si="10"/>
        <v>0</v>
      </c>
      <c r="AA20" s="130">
        <f t="shared" si="11"/>
        <v>0</v>
      </c>
      <c r="AB20" s="130">
        <f t="shared" si="11"/>
        <v>0</v>
      </c>
    </row>
    <row r="21" spans="1:32">
      <c r="A21" s="177"/>
      <c r="B21" s="185" t="s">
        <v>474</v>
      </c>
      <c r="C21" s="104">
        <v>14</v>
      </c>
      <c r="D21" s="105" t="s">
        <v>475</v>
      </c>
      <c r="E21" s="104">
        <v>1</v>
      </c>
      <c r="F21" s="86">
        <v>1</v>
      </c>
      <c r="G21" s="198">
        <f>13000/$G$3</f>
        <v>200</v>
      </c>
      <c r="H21" s="200">
        <f>C21*G21*E21</f>
        <v>2800</v>
      </c>
      <c r="I21" s="198">
        <f>H21</f>
        <v>2800</v>
      </c>
      <c r="J21" s="199">
        <f>H21-I21</f>
        <v>0</v>
      </c>
      <c r="K21" s="145">
        <v>16</v>
      </c>
      <c r="L21" s="87">
        <v>1</v>
      </c>
      <c r="M21" s="198">
        <f>G21*1.05</f>
        <v>210</v>
      </c>
      <c r="N21" s="200">
        <f>K21*M21*L21</f>
        <v>3360</v>
      </c>
      <c r="O21" s="198">
        <f>N21</f>
        <v>3360</v>
      </c>
      <c r="P21" s="199">
        <f>N21-O21</f>
        <v>0</v>
      </c>
      <c r="Q21" s="145">
        <v>16</v>
      </c>
      <c r="R21" s="87">
        <f t="shared" ref="Q21:R25" si="15">L21</f>
        <v>1</v>
      </c>
      <c r="S21" s="90">
        <f>M21*1.05</f>
        <v>220.5</v>
      </c>
      <c r="T21" s="91">
        <f>Q21*S21*R21</f>
        <v>3528</v>
      </c>
      <c r="U21" s="90">
        <f>T21</f>
        <v>3528</v>
      </c>
      <c r="V21" s="146">
        <f>T21-U21</f>
        <v>0</v>
      </c>
      <c r="W21" s="167">
        <f t="shared" ref="W21:X25" si="16">I21+O21+U21</f>
        <v>9688</v>
      </c>
      <c r="X21" s="90">
        <f t="shared" si="16"/>
        <v>0</v>
      </c>
      <c r="Y21" s="146">
        <f>W21+X21</f>
        <v>9688</v>
      </c>
      <c r="Z21" s="163">
        <f t="shared" si="10"/>
        <v>0</v>
      </c>
      <c r="AA21" s="130">
        <f t="shared" si="11"/>
        <v>0</v>
      </c>
      <c r="AB21" s="130">
        <f t="shared" si="11"/>
        <v>0</v>
      </c>
      <c r="AC21" s="130"/>
      <c r="AD21" s="130"/>
      <c r="AE21" s="130"/>
      <c r="AF21" s="130"/>
    </row>
    <row r="22" spans="1:32">
      <c r="A22" s="177"/>
      <c r="B22" s="185" t="s">
        <v>476</v>
      </c>
      <c r="C22" s="104">
        <f>C21*3</f>
        <v>42</v>
      </c>
      <c r="D22" s="105" t="s">
        <v>477</v>
      </c>
      <c r="E22" s="104">
        <v>1</v>
      </c>
      <c r="F22" s="86">
        <v>1</v>
      </c>
      <c r="G22" s="198">
        <f>2700/$G$3</f>
        <v>41.53846153846154</v>
      </c>
      <c r="H22" s="200">
        <f>C22*G22*E22</f>
        <v>1744.6153846153848</v>
      </c>
      <c r="I22" s="198">
        <f>H22</f>
        <v>1744.6153846153848</v>
      </c>
      <c r="J22" s="199">
        <f>H22-I22</f>
        <v>0</v>
      </c>
      <c r="K22" s="145">
        <f>K21*3</f>
        <v>48</v>
      </c>
      <c r="L22" s="87">
        <v>1</v>
      </c>
      <c r="M22" s="198">
        <f>G22*1.05</f>
        <v>43.61538461538462</v>
      </c>
      <c r="N22" s="200">
        <f>K22*M22*L22</f>
        <v>2093.5384615384619</v>
      </c>
      <c r="O22" s="198">
        <f>N22</f>
        <v>2093.5384615384619</v>
      </c>
      <c r="P22" s="199">
        <f>N22-O22</f>
        <v>0</v>
      </c>
      <c r="Q22" s="145">
        <f>Q21*3</f>
        <v>48</v>
      </c>
      <c r="R22" s="87">
        <f t="shared" si="15"/>
        <v>1</v>
      </c>
      <c r="S22" s="90">
        <f>M22*1.05</f>
        <v>45.796153846153857</v>
      </c>
      <c r="T22" s="91">
        <f>Q22*S22*R22</f>
        <v>2198.2153846153851</v>
      </c>
      <c r="U22" s="90">
        <f>T22</f>
        <v>2198.2153846153851</v>
      </c>
      <c r="V22" s="146">
        <f>T22-U22</f>
        <v>0</v>
      </c>
      <c r="W22" s="167">
        <f t="shared" si="16"/>
        <v>6036.3692307692318</v>
      </c>
      <c r="X22" s="90">
        <f t="shared" si="16"/>
        <v>0</v>
      </c>
      <c r="Y22" s="146">
        <f>W22+X22</f>
        <v>6036.3692307692318</v>
      </c>
      <c r="Z22" s="163">
        <f t="shared" si="10"/>
        <v>0</v>
      </c>
      <c r="AA22" s="130">
        <f t="shared" si="11"/>
        <v>0</v>
      </c>
      <c r="AB22" s="130">
        <f t="shared" si="11"/>
        <v>0</v>
      </c>
      <c r="AC22" s="130"/>
      <c r="AD22" s="130"/>
      <c r="AE22" s="130"/>
      <c r="AF22" s="130"/>
    </row>
    <row r="23" spans="1:32">
      <c r="A23" s="177"/>
      <c r="B23" s="185" t="s">
        <v>478</v>
      </c>
      <c r="C23" s="104">
        <f>C21*3</f>
        <v>42</v>
      </c>
      <c r="D23" s="105" t="s">
        <v>479</v>
      </c>
      <c r="E23" s="104">
        <v>1</v>
      </c>
      <c r="F23" s="86">
        <v>1</v>
      </c>
      <c r="G23" s="198">
        <f>1000/$G$3</f>
        <v>15.384615384615385</v>
      </c>
      <c r="H23" s="200">
        <f>C23*G23*E23</f>
        <v>646.15384615384619</v>
      </c>
      <c r="I23" s="198">
        <f>H23</f>
        <v>646.15384615384619</v>
      </c>
      <c r="J23" s="199">
        <f>H23-I23</f>
        <v>0</v>
      </c>
      <c r="K23" s="145">
        <f>K21*3</f>
        <v>48</v>
      </c>
      <c r="L23" s="87">
        <v>1</v>
      </c>
      <c r="M23" s="198">
        <f>G23*1.05</f>
        <v>16.153846153846153</v>
      </c>
      <c r="N23" s="200">
        <f>K23*M23*L23</f>
        <v>775.38461538461536</v>
      </c>
      <c r="O23" s="198">
        <f>N23</f>
        <v>775.38461538461536</v>
      </c>
      <c r="P23" s="199">
        <f>N23-O23</f>
        <v>0</v>
      </c>
      <c r="Q23" s="145">
        <f>Q21*3</f>
        <v>48</v>
      </c>
      <c r="R23" s="87">
        <f t="shared" si="15"/>
        <v>1</v>
      </c>
      <c r="S23" s="90">
        <f>M23*1.05</f>
        <v>16.961538461538463</v>
      </c>
      <c r="T23" s="91">
        <f>Q23*S23*R23</f>
        <v>814.15384615384619</v>
      </c>
      <c r="U23" s="90">
        <f>T23</f>
        <v>814.15384615384619</v>
      </c>
      <c r="V23" s="146">
        <f>T23-U23</f>
        <v>0</v>
      </c>
      <c r="W23" s="167">
        <f t="shared" si="16"/>
        <v>2235.6923076923076</v>
      </c>
      <c r="X23" s="90">
        <f t="shared" si="16"/>
        <v>0</v>
      </c>
      <c r="Y23" s="146">
        <f>W23+X23</f>
        <v>2235.6923076923076</v>
      </c>
      <c r="Z23" s="163">
        <f t="shared" si="10"/>
        <v>0</v>
      </c>
      <c r="AA23" s="130">
        <f t="shared" si="11"/>
        <v>0</v>
      </c>
      <c r="AB23" s="130">
        <f t="shared" si="11"/>
        <v>0</v>
      </c>
      <c r="AC23" s="130"/>
      <c r="AD23" s="130"/>
      <c r="AE23" s="130"/>
      <c r="AF23" s="130"/>
    </row>
    <row r="24" spans="1:32">
      <c r="A24" s="177"/>
      <c r="B24" s="185" t="s">
        <v>480</v>
      </c>
      <c r="C24" s="87">
        <v>1</v>
      </c>
      <c r="D24" s="87" t="s">
        <v>254</v>
      </c>
      <c r="E24" s="87">
        <v>12</v>
      </c>
      <c r="F24" s="89">
        <v>1</v>
      </c>
      <c r="G24" s="198">
        <v>69.849999999999994</v>
      </c>
      <c r="H24" s="200">
        <f>C24*G24*E24</f>
        <v>838.19999999999993</v>
      </c>
      <c r="I24" s="198">
        <v>755.92439999999999</v>
      </c>
      <c r="J24" s="199">
        <f>H24-I24</f>
        <v>82.27559999999994</v>
      </c>
      <c r="K24" s="145">
        <v>12</v>
      </c>
      <c r="L24" s="87">
        <v>1</v>
      </c>
      <c r="M24" s="198">
        <f>G24*$M$3</f>
        <v>95.63093649999999</v>
      </c>
      <c r="N24" s="200">
        <f>K24*M24*L24</f>
        <v>1147.571238</v>
      </c>
      <c r="O24" s="200">
        <f>I24*$O$3</f>
        <v>982.62612755999999</v>
      </c>
      <c r="P24" s="199">
        <f>N24-O24</f>
        <v>164.94511044000001</v>
      </c>
      <c r="Q24" s="145">
        <f t="shared" si="15"/>
        <v>12</v>
      </c>
      <c r="R24" s="87">
        <f t="shared" si="15"/>
        <v>1</v>
      </c>
      <c r="S24" s="198">
        <f>M24</f>
        <v>95.63093649999999</v>
      </c>
      <c r="T24" s="200">
        <f>Q24*S24*R24</f>
        <v>1147.571238</v>
      </c>
      <c r="U24" s="200">
        <f>O24+(O24*$U$3)</f>
        <v>937.71028726923237</v>
      </c>
      <c r="V24" s="199">
        <f>T24-U24</f>
        <v>209.86095073076763</v>
      </c>
      <c r="W24" s="201">
        <f t="shared" si="16"/>
        <v>2676.260814829232</v>
      </c>
      <c r="X24" s="198">
        <f t="shared" si="16"/>
        <v>457.08166117076757</v>
      </c>
      <c r="Y24" s="199">
        <f>W24+X24</f>
        <v>3133.3424759999998</v>
      </c>
      <c r="Z24" s="163">
        <f t="shared" si="10"/>
        <v>0</v>
      </c>
      <c r="AA24" s="130">
        <f t="shared" si="11"/>
        <v>0</v>
      </c>
      <c r="AB24" s="130">
        <f t="shared" si="11"/>
        <v>0</v>
      </c>
      <c r="AC24" s="130"/>
      <c r="AD24" s="130"/>
      <c r="AE24" s="130"/>
      <c r="AF24" s="130"/>
    </row>
    <row r="25" spans="1:32" s="92" customFormat="1">
      <c r="A25" s="132"/>
      <c r="B25" s="185" t="s">
        <v>481</v>
      </c>
      <c r="C25" s="87">
        <v>1</v>
      </c>
      <c r="D25" s="87" t="s">
        <v>254</v>
      </c>
      <c r="E25" s="87">
        <v>12</v>
      </c>
      <c r="F25" s="86">
        <v>1</v>
      </c>
      <c r="G25" s="198">
        <f>18000/$G$3</f>
        <v>276.92307692307691</v>
      </c>
      <c r="H25" s="200">
        <f>C25*G25*E25</f>
        <v>3323.0769230769229</v>
      </c>
      <c r="I25" s="198">
        <v>3323</v>
      </c>
      <c r="J25" s="199">
        <f>H25-I25</f>
        <v>7.692307692286704E-2</v>
      </c>
      <c r="K25" s="145">
        <v>12</v>
      </c>
      <c r="L25" s="87">
        <v>1</v>
      </c>
      <c r="M25" s="198">
        <f>G25*$M$3</f>
        <v>379.13261538461535</v>
      </c>
      <c r="N25" s="200">
        <f>K25*M25*L25</f>
        <v>4549.5913846153844</v>
      </c>
      <c r="O25" s="200">
        <f>I25*$O$3</f>
        <v>4319.5677000000005</v>
      </c>
      <c r="P25" s="199">
        <f>N25-O25</f>
        <v>230.0236846153839</v>
      </c>
      <c r="Q25" s="145">
        <f t="shared" si="15"/>
        <v>12</v>
      </c>
      <c r="R25" s="87">
        <f t="shared" si="15"/>
        <v>1</v>
      </c>
      <c r="S25" s="198">
        <f>M25</f>
        <v>379.13261538461535</v>
      </c>
      <c r="T25" s="200">
        <f>Q25*S25*R25</f>
        <v>4549.5913846153844</v>
      </c>
      <c r="U25" s="200">
        <f>O25+(O25*$U$3)</f>
        <v>4122.1202604330001</v>
      </c>
      <c r="V25" s="199">
        <f>T25-U25</f>
        <v>427.4711241823843</v>
      </c>
      <c r="W25" s="201">
        <f t="shared" si="16"/>
        <v>11764.687960433001</v>
      </c>
      <c r="X25" s="198">
        <f t="shared" si="16"/>
        <v>657.57173187469107</v>
      </c>
      <c r="Y25" s="199">
        <f>W25+X25</f>
        <v>12422.259692307693</v>
      </c>
      <c r="Z25" s="163">
        <f t="shared" si="10"/>
        <v>0</v>
      </c>
      <c r="AA25" s="130">
        <f t="shared" si="11"/>
        <v>0</v>
      </c>
      <c r="AB25" s="130">
        <f t="shared" si="11"/>
        <v>0</v>
      </c>
      <c r="AC25" s="130"/>
      <c r="AD25" s="130"/>
      <c r="AE25" s="130"/>
      <c r="AF25" s="130"/>
    </row>
    <row r="26" spans="1:32" s="92" customFormat="1">
      <c r="A26" s="132"/>
      <c r="B26" s="186" t="s">
        <v>482</v>
      </c>
      <c r="C26" s="106"/>
      <c r="D26" s="84"/>
      <c r="E26" s="93"/>
      <c r="F26" s="94"/>
      <c r="G26" s="93"/>
      <c r="H26" s="95">
        <f>SUM(H21:H25)</f>
        <v>9352.0461538461532</v>
      </c>
      <c r="I26" s="95">
        <f>SUM(I21:I25)</f>
        <v>9269.6936307692304</v>
      </c>
      <c r="J26" s="148">
        <f>SUM(J21:J25)</f>
        <v>82.352523076922807</v>
      </c>
      <c r="K26" s="152"/>
      <c r="L26" s="84"/>
      <c r="M26" s="93"/>
      <c r="N26" s="95">
        <f>SUM(N21:N25)</f>
        <v>11926.08569953846</v>
      </c>
      <c r="O26" s="95">
        <f>SUM(O21:O25)</f>
        <v>11531.116904483079</v>
      </c>
      <c r="P26" s="148">
        <f>SUM(P21:P25)</f>
        <v>394.96879505538391</v>
      </c>
      <c r="Q26" s="152"/>
      <c r="R26" s="84"/>
      <c r="S26" s="93"/>
      <c r="T26" s="95">
        <f t="shared" ref="T26:Y26" si="17">SUM(T21:T25)</f>
        <v>12237.531853384615</v>
      </c>
      <c r="U26" s="95">
        <f t="shared" si="17"/>
        <v>11600.199778471462</v>
      </c>
      <c r="V26" s="148">
        <f t="shared" si="17"/>
        <v>637.33207491315193</v>
      </c>
      <c r="W26" s="154">
        <f t="shared" si="17"/>
        <v>32401.010313723775</v>
      </c>
      <c r="X26" s="95">
        <f t="shared" si="17"/>
        <v>1114.6533930454586</v>
      </c>
      <c r="Y26" s="148">
        <f t="shared" si="17"/>
        <v>33515.663706769235</v>
      </c>
      <c r="Z26" s="163">
        <f t="shared" si="10"/>
        <v>0</v>
      </c>
      <c r="AA26" s="130">
        <f t="shared" si="11"/>
        <v>0</v>
      </c>
      <c r="AB26" s="130">
        <f t="shared" si="11"/>
        <v>0</v>
      </c>
      <c r="AC26" s="205"/>
      <c r="AD26" s="205"/>
      <c r="AE26" s="205"/>
      <c r="AF26" s="130"/>
    </row>
    <row r="27" spans="1:32">
      <c r="A27" s="177"/>
      <c r="B27" s="187" t="s">
        <v>483</v>
      </c>
      <c r="C27" s="99"/>
      <c r="D27" s="99"/>
      <c r="E27" s="97"/>
      <c r="F27" s="98"/>
      <c r="G27" s="97"/>
      <c r="H27" s="107"/>
      <c r="I27" s="108"/>
      <c r="J27" s="153"/>
      <c r="K27" s="151"/>
      <c r="L27" s="99"/>
      <c r="M27" s="97"/>
      <c r="N27" s="107"/>
      <c r="O27" s="108"/>
      <c r="P27" s="153"/>
      <c r="Q27" s="151"/>
      <c r="R27" s="99"/>
      <c r="S27" s="97"/>
      <c r="T27" s="107"/>
      <c r="U27" s="108"/>
      <c r="V27" s="153"/>
      <c r="W27" s="155"/>
      <c r="X27" s="108"/>
      <c r="Y27" s="168"/>
      <c r="Z27" s="163">
        <f t="shared" si="10"/>
        <v>0</v>
      </c>
      <c r="AA27" s="130">
        <f t="shared" si="11"/>
        <v>0</v>
      </c>
      <c r="AB27" s="130">
        <f t="shared" si="11"/>
        <v>0</v>
      </c>
    </row>
    <row r="28" spans="1:32">
      <c r="A28" s="177"/>
      <c r="B28" s="188" t="s">
        <v>484</v>
      </c>
      <c r="C28" s="87">
        <v>1</v>
      </c>
      <c r="D28" s="87" t="s">
        <v>254</v>
      </c>
      <c r="E28" s="87">
        <v>12</v>
      </c>
      <c r="F28" s="86">
        <v>1</v>
      </c>
      <c r="G28" s="90">
        <v>223.25384615384615</v>
      </c>
      <c r="H28" s="90">
        <f>C28*G28*E28</f>
        <v>2679.0461538461541</v>
      </c>
      <c r="I28" s="90">
        <f>C28*E28*F28*211.54</f>
        <v>2538.48</v>
      </c>
      <c r="J28" s="146">
        <f>H28-I28</f>
        <v>140.56615384615407</v>
      </c>
      <c r="K28" s="145">
        <f>C28</f>
        <v>1</v>
      </c>
      <c r="L28" s="87">
        <f>E28</f>
        <v>12</v>
      </c>
      <c r="M28" s="90">
        <f>G28*1.05</f>
        <v>234.41653846153847</v>
      </c>
      <c r="N28" s="90">
        <f>K28*M28*L28*F28</f>
        <v>2812.9984615384615</v>
      </c>
      <c r="O28" s="90">
        <f>I28*1.05</f>
        <v>2665.404</v>
      </c>
      <c r="P28" s="146">
        <f>N28-O28</f>
        <v>147.59446153846147</v>
      </c>
      <c r="Q28" s="145">
        <f>K28</f>
        <v>1</v>
      </c>
      <c r="R28" s="87">
        <f>L28</f>
        <v>12</v>
      </c>
      <c r="S28" s="90">
        <f>M28*1.05</f>
        <v>246.13736538461541</v>
      </c>
      <c r="T28" s="90">
        <f>Q28*S28*R28*F28</f>
        <v>2953.6483846153851</v>
      </c>
      <c r="U28" s="90">
        <f>O28*1.05</f>
        <v>2798.6741999999999</v>
      </c>
      <c r="V28" s="146">
        <f>T28-U28</f>
        <v>154.97418461538518</v>
      </c>
      <c r="W28" s="167">
        <f>I28+O28+U28</f>
        <v>8002.5581999999995</v>
      </c>
      <c r="X28" s="90">
        <f>J28+P28+V28</f>
        <v>443.13480000000072</v>
      </c>
      <c r="Y28" s="146">
        <f>W28+X28</f>
        <v>8445.6929999999993</v>
      </c>
      <c r="Z28" s="163">
        <f t="shared" si="10"/>
        <v>0</v>
      </c>
      <c r="AA28" s="130">
        <f t="shared" si="11"/>
        <v>0</v>
      </c>
      <c r="AB28" s="130">
        <f t="shared" si="11"/>
        <v>0</v>
      </c>
      <c r="AC28" s="130"/>
      <c r="AD28" s="130"/>
      <c r="AE28" s="130"/>
      <c r="AF28" s="130"/>
    </row>
    <row r="29" spans="1:32">
      <c r="A29" s="177"/>
      <c r="B29" s="185" t="s">
        <v>485</v>
      </c>
      <c r="C29" s="87">
        <v>1</v>
      </c>
      <c r="D29" s="87" t="s">
        <v>254</v>
      </c>
      <c r="E29" s="87">
        <v>12</v>
      </c>
      <c r="F29" s="86">
        <v>1</v>
      </c>
      <c r="G29" s="90">
        <f>3000/$G$3</f>
        <v>46.153846153846153</v>
      </c>
      <c r="H29" s="90">
        <f>C29*G29*E29</f>
        <v>553.84615384615381</v>
      </c>
      <c r="I29" s="90">
        <f>H29</f>
        <v>553.84615384615381</v>
      </c>
      <c r="J29" s="146">
        <f>H29-I29</f>
        <v>0</v>
      </c>
      <c r="K29" s="145">
        <f>C29</f>
        <v>1</v>
      </c>
      <c r="L29" s="87">
        <f>E29</f>
        <v>12</v>
      </c>
      <c r="M29" s="90">
        <f>G29*1.05</f>
        <v>48.46153846153846</v>
      </c>
      <c r="N29" s="90">
        <f>K29*M29*L29*F29</f>
        <v>581.53846153846155</v>
      </c>
      <c r="O29" s="90">
        <f>N29</f>
        <v>581.53846153846155</v>
      </c>
      <c r="P29" s="146">
        <f>N29-O29</f>
        <v>0</v>
      </c>
      <c r="Q29" s="145">
        <f>K29</f>
        <v>1</v>
      </c>
      <c r="R29" s="87">
        <f>L29</f>
        <v>12</v>
      </c>
      <c r="S29" s="90">
        <f>M29*1.05</f>
        <v>50.884615384615387</v>
      </c>
      <c r="T29" s="90">
        <f>Q29*S29*R29*F29</f>
        <v>610.61538461538464</v>
      </c>
      <c r="U29" s="90">
        <f>T29</f>
        <v>610.61538461538464</v>
      </c>
      <c r="V29" s="146">
        <f>T29-U29</f>
        <v>0</v>
      </c>
      <c r="W29" s="167">
        <f>I29+O29+U29</f>
        <v>1746</v>
      </c>
      <c r="X29" s="90">
        <f>J29+P29+V29</f>
        <v>0</v>
      </c>
      <c r="Y29" s="146">
        <f>W29+X29</f>
        <v>1746</v>
      </c>
      <c r="Z29" s="163">
        <f t="shared" si="10"/>
        <v>0</v>
      </c>
      <c r="AA29" s="130">
        <f t="shared" si="11"/>
        <v>0</v>
      </c>
      <c r="AB29" s="130">
        <f t="shared" si="11"/>
        <v>0</v>
      </c>
      <c r="AC29" s="130"/>
      <c r="AD29" s="130"/>
      <c r="AE29" s="130"/>
      <c r="AF29" s="130"/>
    </row>
    <row r="30" spans="1:32">
      <c r="A30" s="177"/>
      <c r="B30" s="186" t="s">
        <v>486</v>
      </c>
      <c r="C30" s="87"/>
      <c r="D30" s="87"/>
      <c r="E30" s="109"/>
      <c r="G30" s="109"/>
      <c r="H30" s="95">
        <f>SUM(H28:H29)</f>
        <v>3232.8923076923079</v>
      </c>
      <c r="I30" s="95">
        <f>SUM(I28:I29)</f>
        <v>3092.3261538461538</v>
      </c>
      <c r="J30" s="148">
        <f>SUM(J28:J29)</f>
        <v>140.56615384615407</v>
      </c>
      <c r="K30" s="145"/>
      <c r="L30" s="87"/>
      <c r="M30" s="109"/>
      <c r="N30" s="95">
        <f>SUM(N28:N29)</f>
        <v>3394.5369230769229</v>
      </c>
      <c r="O30" s="95">
        <f>SUM(O28:O29)</f>
        <v>3246.9424615384614</v>
      </c>
      <c r="P30" s="148">
        <f>SUM(P28:P29)</f>
        <v>147.59446153846147</v>
      </c>
      <c r="Q30" s="145"/>
      <c r="R30" s="87"/>
      <c r="S30" s="90"/>
      <c r="T30" s="95">
        <f t="shared" ref="T30:Y30" si="18">SUM(T28:T29)</f>
        <v>3564.2637692307699</v>
      </c>
      <c r="U30" s="95">
        <f t="shared" si="18"/>
        <v>3409.2895846153847</v>
      </c>
      <c r="V30" s="148">
        <f t="shared" si="18"/>
        <v>154.97418461538518</v>
      </c>
      <c r="W30" s="154">
        <f t="shared" si="18"/>
        <v>9748.5581999999995</v>
      </c>
      <c r="X30" s="95">
        <f t="shared" si="18"/>
        <v>443.13480000000072</v>
      </c>
      <c r="Y30" s="148">
        <f t="shared" si="18"/>
        <v>10191.692999999999</v>
      </c>
      <c r="Z30" s="163">
        <f t="shared" si="10"/>
        <v>0</v>
      </c>
      <c r="AA30" s="130">
        <f t="shared" si="11"/>
        <v>0</v>
      </c>
      <c r="AB30" s="130">
        <f t="shared" si="11"/>
        <v>0</v>
      </c>
      <c r="AC30" s="205"/>
      <c r="AD30" s="205"/>
      <c r="AE30" s="205"/>
      <c r="AF30" s="130"/>
    </row>
    <row r="31" spans="1:32">
      <c r="A31" s="177"/>
      <c r="B31" s="187" t="s">
        <v>487</v>
      </c>
      <c r="C31" s="99"/>
      <c r="D31" s="99"/>
      <c r="E31" s="96"/>
      <c r="F31" s="98"/>
      <c r="G31" s="96"/>
      <c r="H31" s="107"/>
      <c r="I31" s="110"/>
      <c r="J31" s="189"/>
      <c r="K31" s="151"/>
      <c r="L31" s="99"/>
      <c r="M31" s="96"/>
      <c r="N31" s="107"/>
      <c r="O31" s="108"/>
      <c r="P31" s="153"/>
      <c r="Q31" s="151"/>
      <c r="R31" s="99"/>
      <c r="S31" s="96"/>
      <c r="T31" s="107"/>
      <c r="U31" s="108"/>
      <c r="V31" s="153"/>
      <c r="W31" s="155"/>
      <c r="X31" s="108"/>
      <c r="Y31" s="168"/>
      <c r="Z31" s="163">
        <f t="shared" si="10"/>
        <v>0</v>
      </c>
      <c r="AA31" s="130">
        <f t="shared" si="11"/>
        <v>0</v>
      </c>
      <c r="AB31" s="130">
        <f t="shared" si="11"/>
        <v>0</v>
      </c>
    </row>
    <row r="32" spans="1:32">
      <c r="A32" s="177"/>
      <c r="B32" s="185" t="s">
        <v>488</v>
      </c>
      <c r="C32" s="87">
        <v>1</v>
      </c>
      <c r="D32" s="171" t="s">
        <v>324</v>
      </c>
      <c r="E32" s="87">
        <v>1</v>
      </c>
      <c r="F32" s="86">
        <v>1</v>
      </c>
      <c r="G32" s="90">
        <f>Cereal!J42</f>
        <v>17932.32</v>
      </c>
      <c r="H32" s="90">
        <f>Cereal!J42</f>
        <v>17932.32</v>
      </c>
      <c r="I32" s="90">
        <f>Cereal!K42</f>
        <v>17932.32</v>
      </c>
      <c r="J32" s="146">
        <f>Cereal!L42</f>
        <v>0</v>
      </c>
      <c r="K32" s="145">
        <v>1</v>
      </c>
      <c r="L32" s="87">
        <v>1</v>
      </c>
      <c r="M32" s="90">
        <f>Cereal!M42</f>
        <v>25716.312000000002</v>
      </c>
      <c r="N32" s="90">
        <f>Cereal!M42</f>
        <v>25716.312000000002</v>
      </c>
      <c r="O32" s="90">
        <f>Cereal!N42</f>
        <v>25716.312000000002</v>
      </c>
      <c r="P32" s="146">
        <f>Cereal!O42</f>
        <v>0</v>
      </c>
      <c r="Q32" s="145">
        <v>1</v>
      </c>
      <c r="R32" s="87">
        <f>L32</f>
        <v>1</v>
      </c>
      <c r="S32" s="90">
        <f>Cereal!P42</f>
        <v>6425.71245</v>
      </c>
      <c r="T32" s="90">
        <f>Q32*S32*R32*F32</f>
        <v>6425.71245</v>
      </c>
      <c r="U32" s="90">
        <f>Cereal!Q42</f>
        <v>6425.71245</v>
      </c>
      <c r="V32" s="146">
        <f>Cereal!R42</f>
        <v>0</v>
      </c>
      <c r="W32" s="167">
        <f>I32+O32+U32</f>
        <v>50074.344449999997</v>
      </c>
      <c r="X32" s="90">
        <f>J32+P32+V32</f>
        <v>0</v>
      </c>
      <c r="Y32" s="146">
        <f>W32+X32</f>
        <v>50074.344449999997</v>
      </c>
      <c r="Z32" s="163">
        <f t="shared" si="10"/>
        <v>0</v>
      </c>
      <c r="AA32" s="130">
        <f t="shared" si="11"/>
        <v>0</v>
      </c>
      <c r="AB32" s="130">
        <f t="shared" si="11"/>
        <v>0</v>
      </c>
      <c r="AC32" s="130"/>
      <c r="AD32" s="130"/>
      <c r="AE32" s="130"/>
      <c r="AF32" s="130"/>
    </row>
    <row r="33" spans="1:32" ht="23.1">
      <c r="A33" s="177"/>
      <c r="B33" s="185" t="s">
        <v>489</v>
      </c>
      <c r="C33" s="87">
        <v>10</v>
      </c>
      <c r="D33" s="171" t="s">
        <v>324</v>
      </c>
      <c r="E33" s="87">
        <v>12</v>
      </c>
      <c r="F33" s="86">
        <v>1</v>
      </c>
      <c r="G33" s="90">
        <f>3000/$G$3</f>
        <v>46.153846153846153</v>
      </c>
      <c r="H33" s="91">
        <f>C33*G33*E33</f>
        <v>5538.461538461539</v>
      </c>
      <c r="I33" s="90">
        <v>0</v>
      </c>
      <c r="J33" s="146">
        <f>H33-I33</f>
        <v>5538.461538461539</v>
      </c>
      <c r="K33" s="145">
        <f>C33</f>
        <v>10</v>
      </c>
      <c r="L33" s="87">
        <f>E33</f>
        <v>12</v>
      </c>
      <c r="M33" s="90">
        <f>G33*1.05</f>
        <v>48.46153846153846</v>
      </c>
      <c r="N33" s="91">
        <f>6*E33*F33*G33</f>
        <v>3323.0769230769229</v>
      </c>
      <c r="O33" s="90">
        <v>0</v>
      </c>
      <c r="P33" s="146">
        <f>N33-O33</f>
        <v>3323.0769230769229</v>
      </c>
      <c r="Q33" s="145">
        <f>K33</f>
        <v>10</v>
      </c>
      <c r="R33" s="87">
        <f>L33</f>
        <v>12</v>
      </c>
      <c r="S33" s="90">
        <f>M33*1.05</f>
        <v>50.884615384615387</v>
      </c>
      <c r="T33" s="91">
        <f>4*E33*F33*G33</f>
        <v>2215.3846153846152</v>
      </c>
      <c r="U33" s="90">
        <v>0</v>
      </c>
      <c r="V33" s="146">
        <f>T33-U33</f>
        <v>2215.3846153846152</v>
      </c>
      <c r="W33" s="167">
        <f>I33+O33+U33</f>
        <v>0</v>
      </c>
      <c r="X33" s="90">
        <f>J33+P33+V33</f>
        <v>11076.923076923076</v>
      </c>
      <c r="Y33" s="146">
        <f>W33+X33</f>
        <v>11076.923076923076</v>
      </c>
      <c r="Z33" s="163">
        <f t="shared" si="10"/>
        <v>0</v>
      </c>
      <c r="AA33" s="130">
        <f t="shared" si="11"/>
        <v>0</v>
      </c>
      <c r="AB33" s="130">
        <f t="shared" si="11"/>
        <v>0</v>
      </c>
      <c r="AC33" s="130"/>
      <c r="AD33" s="130"/>
      <c r="AE33" s="130"/>
      <c r="AF33" s="130"/>
    </row>
    <row r="34" spans="1:32" s="92" customFormat="1">
      <c r="A34" s="132"/>
      <c r="B34" s="186" t="s">
        <v>490</v>
      </c>
      <c r="C34" s="84"/>
      <c r="D34" s="84"/>
      <c r="E34" s="113"/>
      <c r="F34" s="94"/>
      <c r="G34" s="113"/>
      <c r="H34" s="95">
        <f>SUM(H32:H33)</f>
        <v>23470.781538461539</v>
      </c>
      <c r="I34" s="95">
        <f t="shared" ref="I34:Y34" si="19">SUM(I32:I33)</f>
        <v>17932.32</v>
      </c>
      <c r="J34" s="148">
        <f t="shared" si="19"/>
        <v>5538.461538461539</v>
      </c>
      <c r="K34" s="154"/>
      <c r="L34" s="95"/>
      <c r="M34" s="95">
        <f t="shared" si="19"/>
        <v>25764.773538461541</v>
      </c>
      <c r="N34" s="95">
        <f t="shared" si="19"/>
        <v>29039.388923076924</v>
      </c>
      <c r="O34" s="95">
        <f t="shared" si="19"/>
        <v>25716.312000000002</v>
      </c>
      <c r="P34" s="148">
        <f t="shared" si="19"/>
        <v>3323.0769230769229</v>
      </c>
      <c r="Q34" s="154"/>
      <c r="R34" s="95"/>
      <c r="S34" s="95">
        <f t="shared" si="19"/>
        <v>6476.5970653846152</v>
      </c>
      <c r="T34" s="95">
        <f t="shared" si="19"/>
        <v>8641.0970653846161</v>
      </c>
      <c r="U34" s="95">
        <f t="shared" si="19"/>
        <v>6425.71245</v>
      </c>
      <c r="V34" s="148">
        <f t="shared" si="19"/>
        <v>2215.3846153846152</v>
      </c>
      <c r="W34" s="154">
        <f t="shared" si="19"/>
        <v>50074.344449999997</v>
      </c>
      <c r="X34" s="95">
        <f t="shared" si="19"/>
        <v>11076.923076923076</v>
      </c>
      <c r="Y34" s="148">
        <f t="shared" si="19"/>
        <v>61151.267526923075</v>
      </c>
      <c r="Z34" s="163">
        <f t="shared" si="10"/>
        <v>0</v>
      </c>
      <c r="AA34" s="130">
        <f t="shared" si="11"/>
        <v>0</v>
      </c>
      <c r="AB34" s="130">
        <f t="shared" si="11"/>
        <v>0</v>
      </c>
      <c r="AC34" s="205"/>
      <c r="AD34" s="205"/>
      <c r="AE34" s="205"/>
      <c r="AF34" s="130"/>
    </row>
    <row r="35" spans="1:32">
      <c r="A35" s="177"/>
      <c r="B35" s="187" t="s">
        <v>491</v>
      </c>
      <c r="C35" s="108"/>
      <c r="D35" s="108"/>
      <c r="E35" s="100"/>
      <c r="F35" s="114"/>
      <c r="G35" s="100"/>
      <c r="H35" s="115"/>
      <c r="I35" s="108"/>
      <c r="J35" s="153"/>
      <c r="K35" s="155"/>
      <c r="L35" s="108"/>
      <c r="M35" s="100"/>
      <c r="N35" s="115"/>
      <c r="O35" s="108"/>
      <c r="P35" s="153"/>
      <c r="Q35" s="155"/>
      <c r="R35" s="108"/>
      <c r="S35" s="100"/>
      <c r="T35" s="115"/>
      <c r="U35" s="108"/>
      <c r="V35" s="153"/>
      <c r="W35" s="155"/>
      <c r="X35" s="108"/>
      <c r="Y35" s="168"/>
      <c r="Z35" s="163">
        <f t="shared" si="10"/>
        <v>0</v>
      </c>
      <c r="AA35" s="130">
        <f t="shared" si="11"/>
        <v>0</v>
      </c>
      <c r="AB35" s="130">
        <f t="shared" si="11"/>
        <v>0</v>
      </c>
    </row>
    <row r="36" spans="1:32">
      <c r="A36" s="177"/>
      <c r="B36" s="185" t="s">
        <v>492</v>
      </c>
      <c r="C36" s="87">
        <v>1</v>
      </c>
      <c r="D36" s="105" t="s">
        <v>354</v>
      </c>
      <c r="E36" s="87">
        <v>1</v>
      </c>
      <c r="F36" s="86">
        <v>1</v>
      </c>
      <c r="G36" s="90">
        <f>60000/$G$3</f>
        <v>923.07692307692309</v>
      </c>
      <c r="H36" s="90">
        <f t="shared" ref="H36:H43" si="20">C36*G36*E36*F36</f>
        <v>923.07692307692309</v>
      </c>
      <c r="I36" s="90">
        <f>H36</f>
        <v>923.07692307692309</v>
      </c>
      <c r="J36" s="146">
        <f t="shared" ref="J36:J41" si="21">H36-I36</f>
        <v>0</v>
      </c>
      <c r="K36" s="145">
        <f>C36</f>
        <v>1</v>
      </c>
      <c r="L36" s="87">
        <v>1</v>
      </c>
      <c r="M36" s="90">
        <v>922.5</v>
      </c>
      <c r="N36" s="90">
        <f>K36*M36*L36*F36</f>
        <v>922.5</v>
      </c>
      <c r="O36" s="90">
        <f>N36</f>
        <v>922.5</v>
      </c>
      <c r="P36" s="146">
        <f t="shared" ref="P36:P43" si="22">N36-O36</f>
        <v>0</v>
      </c>
      <c r="Q36" s="145">
        <f>K36</f>
        <v>1</v>
      </c>
      <c r="R36" s="87">
        <f>L36</f>
        <v>1</v>
      </c>
      <c r="S36" s="198">
        <v>11385</v>
      </c>
      <c r="T36" s="90">
        <f>Q36*S36*R36*F36</f>
        <v>11385</v>
      </c>
      <c r="U36" s="90">
        <f>T36</f>
        <v>11385</v>
      </c>
      <c r="V36" s="146">
        <f>T36-U36</f>
        <v>0</v>
      </c>
      <c r="W36" s="167">
        <f t="shared" ref="W36:X43" si="23">I36+O36+U36</f>
        <v>13230.576923076924</v>
      </c>
      <c r="X36" s="90">
        <f t="shared" si="23"/>
        <v>0</v>
      </c>
      <c r="Y36" s="146">
        <f t="shared" ref="Y36:Y43" si="24">W36+X36</f>
        <v>13230.576923076924</v>
      </c>
      <c r="Z36" s="163">
        <f t="shared" si="10"/>
        <v>0</v>
      </c>
      <c r="AA36" s="130">
        <f t="shared" si="11"/>
        <v>0</v>
      </c>
      <c r="AB36" s="130">
        <f t="shared" si="11"/>
        <v>0</v>
      </c>
      <c r="AC36" s="130"/>
      <c r="AD36" s="130"/>
      <c r="AE36" s="130"/>
      <c r="AF36" s="130"/>
    </row>
    <row r="37" spans="1:32">
      <c r="A37" s="177"/>
      <c r="B37" s="185" t="s">
        <v>493</v>
      </c>
      <c r="C37" s="87">
        <v>1</v>
      </c>
      <c r="D37" s="111" t="s">
        <v>324</v>
      </c>
      <c r="E37" s="87">
        <v>1</v>
      </c>
      <c r="F37" s="86">
        <v>1</v>
      </c>
      <c r="G37" s="90">
        <f>40000/$G$3</f>
        <v>615.38461538461536</v>
      </c>
      <c r="H37" s="90">
        <f t="shared" si="20"/>
        <v>615.38461538461536</v>
      </c>
      <c r="I37" s="90">
        <f>H37</f>
        <v>615.38461538461536</v>
      </c>
      <c r="J37" s="146">
        <f t="shared" si="21"/>
        <v>0</v>
      </c>
      <c r="K37" s="145"/>
      <c r="L37" s="87"/>
      <c r="M37" s="90">
        <v>0</v>
      </c>
      <c r="N37" s="90">
        <v>0</v>
      </c>
      <c r="O37" s="90">
        <f>N37</f>
        <v>0</v>
      </c>
      <c r="P37" s="146">
        <f t="shared" si="22"/>
        <v>0</v>
      </c>
      <c r="Q37" s="145"/>
      <c r="R37" s="87"/>
      <c r="S37" s="90">
        <v>0</v>
      </c>
      <c r="T37" s="90">
        <v>0</v>
      </c>
      <c r="U37" s="90">
        <f>T37</f>
        <v>0</v>
      </c>
      <c r="V37" s="146">
        <v>0</v>
      </c>
      <c r="W37" s="167">
        <f t="shared" si="23"/>
        <v>615.38461538461536</v>
      </c>
      <c r="X37" s="90">
        <f t="shared" si="23"/>
        <v>0</v>
      </c>
      <c r="Y37" s="146">
        <f t="shared" si="24"/>
        <v>615.38461538461536</v>
      </c>
      <c r="Z37" s="163">
        <f t="shared" si="10"/>
        <v>0</v>
      </c>
      <c r="AA37" s="130">
        <f t="shared" si="11"/>
        <v>0</v>
      </c>
      <c r="AB37" s="130">
        <f t="shared" si="11"/>
        <v>0</v>
      </c>
      <c r="AC37" s="130"/>
      <c r="AD37" s="130"/>
      <c r="AE37" s="130"/>
      <c r="AF37" s="130"/>
    </row>
    <row r="38" spans="1:32">
      <c r="A38" s="177"/>
      <c r="B38" s="185" t="s">
        <v>494</v>
      </c>
      <c r="C38" s="87">
        <v>1</v>
      </c>
      <c r="D38" s="112" t="s">
        <v>414</v>
      </c>
      <c r="E38" s="87">
        <v>1</v>
      </c>
      <c r="F38" s="86">
        <v>1</v>
      </c>
      <c r="G38" s="90">
        <f>30000/$G$3</f>
        <v>461.53846153846155</v>
      </c>
      <c r="H38" s="90">
        <f t="shared" si="20"/>
        <v>461.53846153846155</v>
      </c>
      <c r="I38" s="90">
        <f>H38</f>
        <v>461.53846153846155</v>
      </c>
      <c r="J38" s="146">
        <f t="shared" si="21"/>
        <v>0</v>
      </c>
      <c r="K38" s="145"/>
      <c r="L38" s="87"/>
      <c r="M38" s="90">
        <v>0</v>
      </c>
      <c r="N38" s="90">
        <v>0</v>
      </c>
      <c r="O38" s="90">
        <f>N38</f>
        <v>0</v>
      </c>
      <c r="P38" s="146">
        <f t="shared" si="22"/>
        <v>0</v>
      </c>
      <c r="Q38" s="145"/>
      <c r="R38" s="87"/>
      <c r="S38" s="90">
        <v>0</v>
      </c>
      <c r="T38" s="90">
        <v>0</v>
      </c>
      <c r="U38" s="90">
        <f>T38</f>
        <v>0</v>
      </c>
      <c r="V38" s="146">
        <v>0</v>
      </c>
      <c r="W38" s="167">
        <f t="shared" si="23"/>
        <v>461.53846153846155</v>
      </c>
      <c r="X38" s="90">
        <f t="shared" si="23"/>
        <v>0</v>
      </c>
      <c r="Y38" s="146">
        <f t="shared" si="24"/>
        <v>461.53846153846155</v>
      </c>
      <c r="Z38" s="163">
        <f t="shared" si="10"/>
        <v>0</v>
      </c>
      <c r="AA38" s="130">
        <f t="shared" si="11"/>
        <v>0</v>
      </c>
      <c r="AB38" s="130">
        <f t="shared" si="11"/>
        <v>0</v>
      </c>
      <c r="AC38" s="130"/>
      <c r="AD38" s="130"/>
      <c r="AE38" s="130"/>
      <c r="AF38" s="130"/>
    </row>
    <row r="39" spans="1:32">
      <c r="A39" s="177"/>
      <c r="B39" s="185" t="s">
        <v>495</v>
      </c>
      <c r="C39" s="87">
        <v>1</v>
      </c>
      <c r="D39" s="87" t="s">
        <v>254</v>
      </c>
      <c r="E39" s="87">
        <v>12</v>
      </c>
      <c r="F39" s="86">
        <v>1</v>
      </c>
      <c r="G39" s="90">
        <f>15750/$G$3</f>
        <v>242.30769230769232</v>
      </c>
      <c r="H39" s="90">
        <f t="shared" si="20"/>
        <v>2907.6923076923076</v>
      </c>
      <c r="I39" s="90">
        <f>H39</f>
        <v>2907.6923076923076</v>
      </c>
      <c r="J39" s="146">
        <f t="shared" si="21"/>
        <v>0</v>
      </c>
      <c r="K39" s="145">
        <f>C39</f>
        <v>1</v>
      </c>
      <c r="L39" s="87">
        <f>E39</f>
        <v>12</v>
      </c>
      <c r="M39" s="90">
        <f>G39*1.05</f>
        <v>254.42307692307693</v>
      </c>
      <c r="N39" s="90">
        <f>K39*M39*L39*F39</f>
        <v>3053.0769230769233</v>
      </c>
      <c r="O39" s="90">
        <f>N39</f>
        <v>3053.0769230769233</v>
      </c>
      <c r="P39" s="146">
        <f t="shared" si="22"/>
        <v>0</v>
      </c>
      <c r="Q39" s="145">
        <f t="shared" ref="Q39:R43" si="25">K39</f>
        <v>1</v>
      </c>
      <c r="R39" s="87">
        <f t="shared" si="25"/>
        <v>12</v>
      </c>
      <c r="S39" s="90">
        <f>M39*1.05</f>
        <v>267.14423076923077</v>
      </c>
      <c r="T39" s="90">
        <f>Q39*S39*R39*F39</f>
        <v>3205.7307692307695</v>
      </c>
      <c r="U39" s="90">
        <f>T39</f>
        <v>3205.7307692307695</v>
      </c>
      <c r="V39" s="146">
        <f>T39-U39</f>
        <v>0</v>
      </c>
      <c r="W39" s="167">
        <f t="shared" si="23"/>
        <v>9166.5</v>
      </c>
      <c r="X39" s="90">
        <f t="shared" si="23"/>
        <v>0</v>
      </c>
      <c r="Y39" s="146">
        <f t="shared" si="24"/>
        <v>9166.5</v>
      </c>
      <c r="Z39" s="163">
        <f t="shared" si="10"/>
        <v>0</v>
      </c>
      <c r="AA39" s="130">
        <f t="shared" si="11"/>
        <v>0</v>
      </c>
      <c r="AB39" s="130">
        <f t="shared" si="11"/>
        <v>0</v>
      </c>
      <c r="AC39" s="130"/>
      <c r="AD39" s="130"/>
      <c r="AE39" s="130"/>
      <c r="AF39" s="130"/>
    </row>
    <row r="40" spans="1:32">
      <c r="A40" s="177"/>
      <c r="B40" s="190" t="s">
        <v>496</v>
      </c>
      <c r="C40" s="87">
        <v>1</v>
      </c>
      <c r="D40" s="87" t="s">
        <v>254</v>
      </c>
      <c r="E40" s="87">
        <v>12</v>
      </c>
      <c r="F40" s="86">
        <v>1</v>
      </c>
      <c r="G40" s="90">
        <f>70026.5/$G$3</f>
        <v>1077.3307692307692</v>
      </c>
      <c r="H40" s="90">
        <f t="shared" si="20"/>
        <v>12927.969230769231</v>
      </c>
      <c r="I40" s="90">
        <f>H40</f>
        <v>12927.969230769231</v>
      </c>
      <c r="J40" s="146">
        <f t="shared" si="21"/>
        <v>0</v>
      </c>
      <c r="K40" s="145">
        <f>C40</f>
        <v>1</v>
      </c>
      <c r="L40" s="87">
        <f>E40</f>
        <v>12</v>
      </c>
      <c r="M40" s="90">
        <f>G40*1.05</f>
        <v>1131.1973076923077</v>
      </c>
      <c r="N40" s="90">
        <f>K40*M40*L40*F40</f>
        <v>13574.367692307693</v>
      </c>
      <c r="O40" s="90">
        <f>N40</f>
        <v>13574.367692307693</v>
      </c>
      <c r="P40" s="146">
        <f t="shared" si="22"/>
        <v>0</v>
      </c>
      <c r="Q40" s="145">
        <f t="shared" si="25"/>
        <v>1</v>
      </c>
      <c r="R40" s="87">
        <f t="shared" si="25"/>
        <v>12</v>
      </c>
      <c r="S40" s="90">
        <f>M40*1.05</f>
        <v>1187.7571730769232</v>
      </c>
      <c r="T40" s="90">
        <f>Q40*S40*R40*F40</f>
        <v>14253.086076923079</v>
      </c>
      <c r="U40" s="90">
        <f>T40</f>
        <v>14253.086076923079</v>
      </c>
      <c r="V40" s="146">
        <f>T40-U40</f>
        <v>0</v>
      </c>
      <c r="W40" s="167">
        <f t="shared" si="23"/>
        <v>40755.423000000003</v>
      </c>
      <c r="X40" s="90">
        <f t="shared" si="23"/>
        <v>0</v>
      </c>
      <c r="Y40" s="146">
        <f t="shared" si="24"/>
        <v>40755.423000000003</v>
      </c>
      <c r="Z40" s="163">
        <f t="shared" si="10"/>
        <v>0</v>
      </c>
      <c r="AA40" s="130">
        <f t="shared" si="11"/>
        <v>0</v>
      </c>
      <c r="AB40" s="130">
        <f t="shared" si="11"/>
        <v>0</v>
      </c>
      <c r="AC40" s="130"/>
      <c r="AD40" s="130"/>
      <c r="AE40" s="130"/>
      <c r="AF40" s="130"/>
    </row>
    <row r="41" spans="1:32">
      <c r="A41" s="177"/>
      <c r="B41" s="185" t="s">
        <v>497</v>
      </c>
      <c r="C41" s="87">
        <v>1</v>
      </c>
      <c r="D41" s="87" t="s">
        <v>254</v>
      </c>
      <c r="E41" s="87">
        <v>12</v>
      </c>
      <c r="F41" s="89">
        <v>1</v>
      </c>
      <c r="G41" s="198">
        <v>90.25</v>
      </c>
      <c r="H41" s="198">
        <f t="shared" si="20"/>
        <v>1083</v>
      </c>
      <c r="I41" s="198">
        <v>851.28</v>
      </c>
      <c r="J41" s="199">
        <f t="shared" si="21"/>
        <v>231.72000000000003</v>
      </c>
      <c r="K41" s="145">
        <f>C41</f>
        <v>1</v>
      </c>
      <c r="L41" s="87">
        <f>E41</f>
        <v>12</v>
      </c>
      <c r="M41" s="198">
        <f>G41*$M$3</f>
        <v>123.5603725</v>
      </c>
      <c r="N41" s="198">
        <f>K41*M41*L41*F41</f>
        <v>1482.7244700000001</v>
      </c>
      <c r="O41" s="200">
        <f>I41*$O$3</f>
        <v>1106.578872</v>
      </c>
      <c r="P41" s="199">
        <f t="shared" si="22"/>
        <v>376.14559800000006</v>
      </c>
      <c r="Q41" s="145">
        <f t="shared" si="25"/>
        <v>1</v>
      </c>
      <c r="R41" s="87">
        <f t="shared" si="25"/>
        <v>12</v>
      </c>
      <c r="S41" s="198">
        <f>M41</f>
        <v>123.5603725</v>
      </c>
      <c r="T41" s="198">
        <f>Q41*S41*R41*F41</f>
        <v>1482.7244700000001</v>
      </c>
      <c r="U41" s="200">
        <f>O41+(O41*$U$3)</f>
        <v>1055.9971517608801</v>
      </c>
      <c r="V41" s="199">
        <f>T41-U41</f>
        <v>426.72731823912</v>
      </c>
      <c r="W41" s="201">
        <f t="shared" si="23"/>
        <v>3013.8560237608799</v>
      </c>
      <c r="X41" s="198">
        <f t="shared" si="23"/>
        <v>1034.5929162391201</v>
      </c>
      <c r="Y41" s="199">
        <f t="shared" si="24"/>
        <v>4048.4489400000002</v>
      </c>
      <c r="Z41" s="163">
        <f t="shared" si="10"/>
        <v>0</v>
      </c>
      <c r="AA41" s="130">
        <f t="shared" si="11"/>
        <v>0</v>
      </c>
      <c r="AB41" s="130">
        <f t="shared" si="11"/>
        <v>0</v>
      </c>
      <c r="AC41" s="130"/>
      <c r="AD41" s="130"/>
      <c r="AE41" s="130"/>
      <c r="AF41" s="130"/>
    </row>
    <row r="42" spans="1:32" ht="23.1">
      <c r="A42" s="177"/>
      <c r="B42" s="185" t="s">
        <v>498</v>
      </c>
      <c r="C42" s="87">
        <v>1</v>
      </c>
      <c r="D42" s="87" t="s">
        <v>254</v>
      </c>
      <c r="E42" s="87">
        <v>12</v>
      </c>
      <c r="F42" s="89">
        <v>1</v>
      </c>
      <c r="G42" s="198">
        <v>67.559999999999988</v>
      </c>
      <c r="H42" s="198">
        <f>C42*G42*E42*F42</f>
        <v>810.7199999999998</v>
      </c>
      <c r="I42" s="198">
        <v>805.31999999999994</v>
      </c>
      <c r="J42" s="199">
        <f>H42-I42</f>
        <v>5.3999999999998636</v>
      </c>
      <c r="K42" s="145">
        <f>C42</f>
        <v>1</v>
      </c>
      <c r="L42" s="87">
        <f>E42</f>
        <v>12</v>
      </c>
      <c r="M42" s="198">
        <f>G42*$M$3</f>
        <v>92.495720399999982</v>
      </c>
      <c r="N42" s="198">
        <f>K42*M42*L42*F42</f>
        <v>1109.9486447999998</v>
      </c>
      <c r="O42" s="200">
        <f>I42*$O$3</f>
        <v>1046.835468</v>
      </c>
      <c r="P42" s="199">
        <f t="shared" si="22"/>
        <v>63.113176799999792</v>
      </c>
      <c r="Q42" s="145">
        <f>K42</f>
        <v>1</v>
      </c>
      <c r="R42" s="87">
        <f>L42</f>
        <v>12</v>
      </c>
      <c r="S42" s="198">
        <f>M42</f>
        <v>92.495720399999982</v>
      </c>
      <c r="T42" s="198">
        <f>Q42*S42*R42*F42</f>
        <v>1109.9486447999998</v>
      </c>
      <c r="U42" s="200">
        <f>O42+(O42*$U$3)</f>
        <v>998.98461875772</v>
      </c>
      <c r="V42" s="199">
        <f>T42-U42</f>
        <v>110.96402604227978</v>
      </c>
      <c r="W42" s="201">
        <f>I42+O42+U42</f>
        <v>2851.1400867577199</v>
      </c>
      <c r="X42" s="198">
        <f>J42+P42+V42</f>
        <v>179.47720284227944</v>
      </c>
      <c r="Y42" s="199">
        <f>W42+X42</f>
        <v>3030.6172895999994</v>
      </c>
      <c r="Z42" s="163">
        <f t="shared" si="10"/>
        <v>0</v>
      </c>
      <c r="AA42" s="130">
        <f t="shared" si="11"/>
        <v>0</v>
      </c>
      <c r="AB42" s="130">
        <f t="shared" si="11"/>
        <v>0</v>
      </c>
      <c r="AC42" s="130"/>
      <c r="AD42" s="130"/>
      <c r="AE42" s="130"/>
      <c r="AF42" s="130"/>
    </row>
    <row r="43" spans="1:32" ht="28.5" customHeight="1">
      <c r="A43" s="177"/>
      <c r="B43" s="185" t="s">
        <v>499</v>
      </c>
      <c r="C43" s="87">
        <v>4</v>
      </c>
      <c r="D43" s="87" t="s">
        <v>500</v>
      </c>
      <c r="E43" s="87">
        <v>12</v>
      </c>
      <c r="F43" s="89">
        <v>1</v>
      </c>
      <c r="G43" s="198">
        <v>86.29</v>
      </c>
      <c r="H43" s="198">
        <f t="shared" si="20"/>
        <v>4141.92</v>
      </c>
      <c r="I43" s="198">
        <f>H43</f>
        <v>4141.92</v>
      </c>
      <c r="J43" s="199">
        <f>H43-I43</f>
        <v>0</v>
      </c>
      <c r="K43" s="145">
        <f>C43</f>
        <v>4</v>
      </c>
      <c r="L43" s="87">
        <f>E43</f>
        <v>12</v>
      </c>
      <c r="M43" s="198">
        <f>G43*$M$3</f>
        <v>118.1387761</v>
      </c>
      <c r="N43" s="198">
        <f>K43*M43*L43*F43</f>
        <v>5670.6612528000005</v>
      </c>
      <c r="O43" s="200">
        <f>I43*$O$3</f>
        <v>5384.0818079999999</v>
      </c>
      <c r="P43" s="199">
        <f t="shared" si="22"/>
        <v>286.5794448000006</v>
      </c>
      <c r="Q43" s="145">
        <f t="shared" si="25"/>
        <v>4</v>
      </c>
      <c r="R43" s="87">
        <f t="shared" si="25"/>
        <v>12</v>
      </c>
      <c r="S43" s="198">
        <f>M43</f>
        <v>118.1387761</v>
      </c>
      <c r="T43" s="198">
        <f>Q43*S43*R43*F43</f>
        <v>5670.6612528000005</v>
      </c>
      <c r="U43" s="200">
        <f>O43+(O43*$U$3)</f>
        <v>5137.9754285563195</v>
      </c>
      <c r="V43" s="199">
        <f>T43-U43</f>
        <v>532.68582424368105</v>
      </c>
      <c r="W43" s="201">
        <f t="shared" si="23"/>
        <v>14663.97723655632</v>
      </c>
      <c r="X43" s="198">
        <f t="shared" si="23"/>
        <v>819.26526904368166</v>
      </c>
      <c r="Y43" s="199">
        <f t="shared" si="24"/>
        <v>15483.242505600003</v>
      </c>
      <c r="Z43" s="163">
        <f t="shared" si="10"/>
        <v>0</v>
      </c>
      <c r="AA43" s="130">
        <f t="shared" si="11"/>
        <v>0</v>
      </c>
      <c r="AB43" s="130">
        <f t="shared" si="11"/>
        <v>0</v>
      </c>
      <c r="AC43" s="130"/>
      <c r="AD43" s="130"/>
      <c r="AE43" s="130"/>
      <c r="AF43" s="130"/>
    </row>
    <row r="44" spans="1:32" s="92" customFormat="1">
      <c r="A44" s="132"/>
      <c r="B44" s="186" t="s">
        <v>501</v>
      </c>
      <c r="C44" s="84"/>
      <c r="D44" s="84"/>
      <c r="E44" s="113"/>
      <c r="F44" s="94"/>
      <c r="G44" s="113"/>
      <c r="H44" s="95">
        <f t="shared" ref="H44:Y44" si="26">SUM(H36:H43)</f>
        <v>23871.301538461543</v>
      </c>
      <c r="I44" s="95">
        <f t="shared" si="26"/>
        <v>23634.18153846154</v>
      </c>
      <c r="J44" s="148">
        <f t="shared" si="26"/>
        <v>237.11999999999989</v>
      </c>
      <c r="K44" s="154"/>
      <c r="L44" s="95"/>
      <c r="M44" s="95">
        <f t="shared" si="26"/>
        <v>2642.3152536153852</v>
      </c>
      <c r="N44" s="95">
        <f t="shared" si="26"/>
        <v>25813.278982984615</v>
      </c>
      <c r="O44" s="95">
        <f t="shared" si="26"/>
        <v>25087.440763384613</v>
      </c>
      <c r="P44" s="148">
        <f t="shared" si="26"/>
        <v>725.83821960000046</v>
      </c>
      <c r="Q44" s="154"/>
      <c r="R44" s="95"/>
      <c r="S44" s="95">
        <f t="shared" si="26"/>
        <v>13174.096272846155</v>
      </c>
      <c r="T44" s="95">
        <f t="shared" si="26"/>
        <v>37107.151213753852</v>
      </c>
      <c r="U44" s="95">
        <f t="shared" si="26"/>
        <v>36036.774045228769</v>
      </c>
      <c r="V44" s="148">
        <f t="shared" si="26"/>
        <v>1070.3771685250808</v>
      </c>
      <c r="W44" s="154">
        <f t="shared" si="26"/>
        <v>84758.39634707493</v>
      </c>
      <c r="X44" s="95">
        <f t="shared" si="26"/>
        <v>2033.3353881250812</v>
      </c>
      <c r="Y44" s="148">
        <f t="shared" si="26"/>
        <v>86791.73173520001</v>
      </c>
      <c r="Z44" s="163">
        <f t="shared" si="10"/>
        <v>0</v>
      </c>
      <c r="AA44" s="130">
        <f t="shared" si="11"/>
        <v>0</v>
      </c>
      <c r="AB44" s="130">
        <f t="shared" si="11"/>
        <v>0</v>
      </c>
      <c r="AC44" s="205"/>
      <c r="AD44" s="207"/>
      <c r="AE44" s="205"/>
      <c r="AF44" s="130"/>
    </row>
    <row r="45" spans="1:32">
      <c r="A45" s="178"/>
      <c r="B45" s="191" t="s">
        <v>502</v>
      </c>
      <c r="C45" s="116"/>
      <c r="D45" s="116"/>
      <c r="E45" s="116"/>
      <c r="F45" s="117"/>
      <c r="G45" s="116"/>
      <c r="H45" s="118">
        <f>H12+H19+H26+H30+H34+H44</f>
        <v>106602.73648769884</v>
      </c>
      <c r="I45" s="118">
        <f>I12+I19+I26+I30+I34+I44</f>
        <v>97017.089512684586</v>
      </c>
      <c r="J45" s="157">
        <f>J12+J19+J26+J30+J34+J44</f>
        <v>9585.6469750142533</v>
      </c>
      <c r="K45" s="156"/>
      <c r="L45" s="116"/>
      <c r="M45" s="116"/>
      <c r="N45" s="118">
        <f>N12+N19+N26+N30+N34+N44</f>
        <v>124322.64048698012</v>
      </c>
      <c r="O45" s="118">
        <f>O12+O19+O26+O30+O34+O44</f>
        <v>113953.72886970277</v>
      </c>
      <c r="P45" s="157">
        <f>P12+P19+P26+P30+P34+P44</f>
        <v>10368.911617277334</v>
      </c>
      <c r="Q45" s="156"/>
      <c r="R45" s="116"/>
      <c r="S45" s="116"/>
      <c r="T45" s="118">
        <f t="shared" ref="T45:Y45" si="27">T12+T19+T26+T30+T34+T44</f>
        <v>117304.20752589199</v>
      </c>
      <c r="U45" s="118">
        <f t="shared" si="27"/>
        <v>106704.74660355455</v>
      </c>
      <c r="V45" s="157">
        <f t="shared" si="27"/>
        <v>10599.460922337437</v>
      </c>
      <c r="W45" s="169">
        <f t="shared" si="27"/>
        <v>317675.56498594192</v>
      </c>
      <c r="X45" s="118">
        <f t="shared" si="27"/>
        <v>30554.019514629021</v>
      </c>
      <c r="Y45" s="157">
        <f t="shared" si="27"/>
        <v>348229.5845005709</v>
      </c>
      <c r="Z45" s="163">
        <f t="shared" si="10"/>
        <v>0</v>
      </c>
      <c r="AA45" s="130">
        <f t="shared" si="11"/>
        <v>0</v>
      </c>
      <c r="AB45" s="130">
        <f t="shared" si="11"/>
        <v>0</v>
      </c>
      <c r="AC45" s="205"/>
      <c r="AD45" s="208"/>
    </row>
    <row r="46" spans="1:32">
      <c r="A46" s="179"/>
      <c r="B46" s="183" t="s">
        <v>503</v>
      </c>
      <c r="C46" s="77"/>
      <c r="D46" s="77"/>
      <c r="E46" s="77"/>
      <c r="F46" s="119"/>
      <c r="G46" s="77"/>
      <c r="H46" s="118">
        <v>0</v>
      </c>
      <c r="I46" s="118">
        <v>0</v>
      </c>
      <c r="J46" s="157">
        <v>0</v>
      </c>
      <c r="K46" s="158"/>
      <c r="L46" s="77"/>
      <c r="M46" s="77"/>
      <c r="N46" s="118">
        <v>0</v>
      </c>
      <c r="O46" s="118">
        <v>0</v>
      </c>
      <c r="P46" s="157">
        <v>0</v>
      </c>
      <c r="Q46" s="158"/>
      <c r="R46" s="77"/>
      <c r="S46" s="77"/>
      <c r="T46" s="118">
        <v>0</v>
      </c>
      <c r="U46" s="118">
        <v>0</v>
      </c>
      <c r="V46" s="157">
        <v>0</v>
      </c>
      <c r="W46" s="169">
        <v>0</v>
      </c>
      <c r="X46" s="118">
        <v>0</v>
      </c>
      <c r="Y46" s="157">
        <v>0</v>
      </c>
      <c r="Z46" s="163">
        <f t="shared" si="10"/>
        <v>0</v>
      </c>
      <c r="AA46" s="130">
        <f t="shared" si="11"/>
        <v>0</v>
      </c>
      <c r="AB46" s="130">
        <f t="shared" si="11"/>
        <v>0</v>
      </c>
    </row>
    <row r="47" spans="1:32">
      <c r="A47" s="179"/>
      <c r="B47" s="183" t="s">
        <v>504</v>
      </c>
      <c r="C47" s="77"/>
      <c r="D47" s="77"/>
      <c r="E47" s="77"/>
      <c r="F47" s="119"/>
      <c r="G47" s="77"/>
      <c r="H47" s="118">
        <f>H45-H46</f>
        <v>106602.73648769884</v>
      </c>
      <c r="I47" s="118">
        <f>I45-I46</f>
        <v>97017.089512684586</v>
      </c>
      <c r="J47" s="157">
        <f>J45-J46</f>
        <v>9585.6469750142533</v>
      </c>
      <c r="K47" s="158"/>
      <c r="L47" s="77"/>
      <c r="M47" s="77"/>
      <c r="N47" s="118">
        <f>N45-N46</f>
        <v>124322.64048698012</v>
      </c>
      <c r="O47" s="118">
        <f>O45-O46</f>
        <v>113953.72886970277</v>
      </c>
      <c r="P47" s="157">
        <f>P45-P46</f>
        <v>10368.911617277334</v>
      </c>
      <c r="Q47" s="158"/>
      <c r="R47" s="77"/>
      <c r="S47" s="77"/>
      <c r="T47" s="118">
        <f t="shared" ref="T47:Y47" si="28">T45-T46</f>
        <v>117304.20752589199</v>
      </c>
      <c r="U47" s="118">
        <f t="shared" si="28"/>
        <v>106704.74660355455</v>
      </c>
      <c r="V47" s="157">
        <f t="shared" si="28"/>
        <v>10599.460922337437</v>
      </c>
      <c r="W47" s="169">
        <f t="shared" si="28"/>
        <v>317675.56498594192</v>
      </c>
      <c r="X47" s="118">
        <f t="shared" si="28"/>
        <v>30554.019514629021</v>
      </c>
      <c r="Y47" s="157">
        <f t="shared" si="28"/>
        <v>348229.5845005709</v>
      </c>
      <c r="Z47" s="163">
        <f t="shared" si="10"/>
        <v>0</v>
      </c>
      <c r="AA47" s="130">
        <f t="shared" si="11"/>
        <v>0</v>
      </c>
      <c r="AB47" s="130">
        <f t="shared" si="11"/>
        <v>0</v>
      </c>
    </row>
    <row r="48" spans="1:32">
      <c r="A48" s="179" t="s">
        <v>505</v>
      </c>
      <c r="B48" s="183" t="s">
        <v>506</v>
      </c>
      <c r="C48" s="77"/>
      <c r="D48" s="196">
        <v>0.17879999999999999</v>
      </c>
      <c r="E48" s="77"/>
      <c r="F48" s="119"/>
      <c r="G48" s="77"/>
      <c r="H48" s="118">
        <f>H47*17.88/100</f>
        <v>19060.569284000554</v>
      </c>
      <c r="I48" s="118">
        <f>I47*17.88/100</f>
        <v>17346.655604868003</v>
      </c>
      <c r="J48" s="157">
        <f>J47*17.88/100</f>
        <v>1713.9136791325482</v>
      </c>
      <c r="K48" s="158"/>
      <c r="L48" s="77"/>
      <c r="M48" s="77"/>
      <c r="N48" s="118">
        <f>N47*17.88/100</f>
        <v>22228.888119072042</v>
      </c>
      <c r="O48" s="118">
        <f>O47*17.88/100</f>
        <v>20374.926721902852</v>
      </c>
      <c r="P48" s="118">
        <f>P47*17.88/100</f>
        <v>1853.9613971691872</v>
      </c>
      <c r="Q48" s="158"/>
      <c r="R48" s="77"/>
      <c r="S48" s="77"/>
      <c r="T48" s="118">
        <f>T47*17.88/100</f>
        <v>20973.992305629487</v>
      </c>
      <c r="U48" s="118">
        <f>U47*17.88/100</f>
        <v>19078.808692715553</v>
      </c>
      <c r="V48" s="118">
        <f>V47*17.88/100</f>
        <v>1895.1836129139338</v>
      </c>
      <c r="W48" s="169">
        <f>I48+O48+U48</f>
        <v>56800.391019486407</v>
      </c>
      <c r="X48" s="118">
        <f>J48+P48+V48</f>
        <v>5463.0586892156689</v>
      </c>
      <c r="Y48" s="157">
        <f>W48+X48</f>
        <v>62263.449708702079</v>
      </c>
      <c r="Z48" s="163">
        <f t="shared" si="10"/>
        <v>0</v>
      </c>
      <c r="AA48" s="130">
        <f t="shared" si="11"/>
        <v>0</v>
      </c>
      <c r="AB48" s="130">
        <f t="shared" si="11"/>
        <v>0</v>
      </c>
    </row>
    <row r="49" spans="1:28" ht="12" thickBot="1">
      <c r="A49" s="179"/>
      <c r="B49" s="192" t="s">
        <v>448</v>
      </c>
      <c r="C49" s="160"/>
      <c r="D49" s="160"/>
      <c r="E49" s="160"/>
      <c r="F49" s="193"/>
      <c r="G49" s="160"/>
      <c r="H49" s="161">
        <f>H48+H45</f>
        <v>125663.30577169939</v>
      </c>
      <c r="I49" s="161">
        <f>I48+I45</f>
        <v>114363.74511755259</v>
      </c>
      <c r="J49" s="162">
        <f>J48+J45</f>
        <v>11299.560654146801</v>
      </c>
      <c r="K49" s="159"/>
      <c r="L49" s="160"/>
      <c r="M49" s="160"/>
      <c r="N49" s="161">
        <f>N48+N45</f>
        <v>146551.52860605216</v>
      </c>
      <c r="O49" s="161">
        <f>O48+O45</f>
        <v>134328.65559160561</v>
      </c>
      <c r="P49" s="162">
        <f>P48+P45</f>
        <v>12222.873014446521</v>
      </c>
      <c r="Q49" s="159"/>
      <c r="R49" s="160"/>
      <c r="S49" s="160"/>
      <c r="T49" s="161">
        <f t="shared" ref="T49:Y49" si="29">T48+T45</f>
        <v>138278.19983152149</v>
      </c>
      <c r="U49" s="161">
        <f t="shared" si="29"/>
        <v>125783.5552962701</v>
      </c>
      <c r="V49" s="162">
        <f t="shared" si="29"/>
        <v>12494.644535251371</v>
      </c>
      <c r="W49" s="170">
        <f t="shared" si="29"/>
        <v>374475.95600542834</v>
      </c>
      <c r="X49" s="161">
        <f t="shared" si="29"/>
        <v>36017.078203844692</v>
      </c>
      <c r="Y49" s="162">
        <f t="shared" si="29"/>
        <v>410493.034209273</v>
      </c>
      <c r="Z49" s="163">
        <f t="shared" si="10"/>
        <v>0</v>
      </c>
      <c r="AA49" s="130">
        <f t="shared" si="11"/>
        <v>0</v>
      </c>
      <c r="AB49" s="130">
        <f t="shared" si="11"/>
        <v>0</v>
      </c>
    </row>
    <row r="50" spans="1:28">
      <c r="B50" s="180"/>
      <c r="C50" s="136"/>
      <c r="D50" s="136"/>
      <c r="E50" s="137"/>
      <c r="F50" s="181"/>
      <c r="G50" s="137"/>
      <c r="H50" s="138"/>
      <c r="I50" s="197"/>
      <c r="J50" s="197"/>
      <c r="K50" s="136"/>
      <c r="L50" s="136"/>
      <c r="M50" s="137"/>
      <c r="N50" s="138"/>
      <c r="O50" s="138"/>
      <c r="P50" s="138"/>
      <c r="Q50" s="136"/>
      <c r="R50" s="136"/>
      <c r="S50" s="137"/>
      <c r="T50" s="138"/>
      <c r="U50" s="138"/>
      <c r="V50" s="138"/>
      <c r="W50" s="138"/>
      <c r="X50" s="138"/>
      <c r="Y50" s="138"/>
    </row>
    <row r="51" spans="1:28" hidden="1">
      <c r="H51" s="85"/>
      <c r="I51" s="172"/>
      <c r="J51" s="85"/>
      <c r="N51" s="85"/>
      <c r="O51" s="172"/>
      <c r="P51" s="85"/>
      <c r="T51" s="85"/>
      <c r="U51" s="172"/>
      <c r="V51" s="85"/>
      <c r="W51" s="85"/>
      <c r="X51" s="85"/>
      <c r="Y51" s="85"/>
      <c r="Z51" s="163"/>
      <c r="AA51" s="130"/>
      <c r="AB51" s="130"/>
    </row>
    <row r="52" spans="1:28" hidden="1">
      <c r="F52" s="123"/>
      <c r="H52" s="85"/>
      <c r="I52" s="173"/>
      <c r="J52" s="85"/>
      <c r="K52" s="85"/>
      <c r="L52" s="85"/>
      <c r="N52" s="85"/>
      <c r="O52" s="173"/>
      <c r="P52" s="85"/>
      <c r="Q52" s="85"/>
      <c r="R52" s="85"/>
      <c r="T52" s="85"/>
      <c r="U52" s="173"/>
      <c r="V52" s="85"/>
      <c r="W52" s="85"/>
      <c r="X52" s="85"/>
      <c r="Y52" s="85"/>
      <c r="Z52" s="163"/>
      <c r="AA52" s="130"/>
      <c r="AB52" s="130"/>
    </row>
    <row r="53" spans="1:28" hidden="1">
      <c r="H53" s="124"/>
      <c r="I53" s="124"/>
      <c r="J53" s="124"/>
      <c r="K53" s="124"/>
      <c r="L53" s="124"/>
      <c r="M53" s="124"/>
      <c r="N53" s="124"/>
      <c r="O53" s="124"/>
      <c r="P53" s="124"/>
      <c r="Q53" s="124"/>
      <c r="R53" s="124"/>
      <c r="S53" s="124"/>
      <c r="T53" s="124"/>
      <c r="U53" s="124"/>
      <c r="V53" s="124"/>
      <c r="W53" s="124"/>
      <c r="X53" s="124"/>
      <c r="Y53" s="124"/>
    </row>
    <row r="54" spans="1:28" hidden="1">
      <c r="H54" s="85"/>
      <c r="N54" s="85"/>
      <c r="T54" s="85"/>
    </row>
    <row r="55" spans="1:28" hidden="1">
      <c r="H55" s="85"/>
      <c r="N55" s="85"/>
      <c r="T55" s="85"/>
    </row>
    <row r="56" spans="1:28" hidden="1">
      <c r="H56" s="85"/>
      <c r="N56" s="85"/>
      <c r="O56" s="85"/>
      <c r="P56" s="85"/>
      <c r="T56" s="85"/>
      <c r="U56" s="85"/>
      <c r="V56" s="85"/>
      <c r="X56" s="122"/>
    </row>
    <row r="57" spans="1:28" hidden="1">
      <c r="H57" s="85"/>
      <c r="N57" s="85"/>
      <c r="O57" s="85"/>
      <c r="T57" s="85"/>
      <c r="U57" s="85"/>
      <c r="X57" s="120"/>
    </row>
    <row r="58" spans="1:28" hidden="1">
      <c r="H58" s="85"/>
      <c r="N58" s="194"/>
      <c r="O58" s="194"/>
      <c r="T58" s="194"/>
      <c r="U58" s="194"/>
      <c r="Y58" s="130"/>
    </row>
    <row r="59" spans="1:28" hidden="1">
      <c r="H59" s="85"/>
      <c r="N59" s="85"/>
      <c r="T59" s="85"/>
    </row>
    <row r="60" spans="1:28" hidden="1">
      <c r="N60" s="85"/>
      <c r="AA60" s="174"/>
    </row>
    <row r="61" spans="1:28" hidden="1"/>
    <row r="62" spans="1:28" hidden="1"/>
    <row r="63" spans="1:28" hidden="1"/>
    <row r="64" spans="1:28" hidden="1">
      <c r="H64" s="85"/>
    </row>
    <row r="65" spans="2:26" hidden="1">
      <c r="H65" s="120"/>
      <c r="N65" s="120"/>
      <c r="T65" s="120"/>
    </row>
    <row r="66" spans="2:26" hidden="1">
      <c r="H66" s="85"/>
    </row>
    <row r="67" spans="2:26">
      <c r="H67" s="130"/>
      <c r="I67" s="130"/>
      <c r="J67" s="130"/>
      <c r="N67" s="130"/>
      <c r="O67" s="130"/>
      <c r="P67" s="130"/>
      <c r="T67" s="130"/>
      <c r="U67" s="130"/>
      <c r="V67" s="130"/>
      <c r="W67" s="130"/>
      <c r="X67" s="130"/>
      <c r="Y67" s="130"/>
    </row>
    <row r="69" spans="2:26">
      <c r="H69" s="120"/>
      <c r="N69" s="120"/>
      <c r="T69" s="120"/>
      <c r="Y69" s="120"/>
      <c r="Z69" s="122"/>
    </row>
    <row r="70" spans="2:26">
      <c r="H70" s="120"/>
      <c r="I70" s="130">
        <f>I47-I34</f>
        <v>79084.769512684579</v>
      </c>
      <c r="N70" s="120"/>
      <c r="T70" s="120"/>
      <c r="Y70" s="125"/>
    </row>
    <row r="71" spans="2:26">
      <c r="H71" s="120"/>
      <c r="N71" s="120"/>
      <c r="T71" s="120"/>
      <c r="Y71" s="120"/>
      <c r="Z71" s="120"/>
    </row>
    <row r="72" spans="2:26">
      <c r="H72" s="120"/>
      <c r="N72" s="120"/>
      <c r="T72" s="120"/>
      <c r="Y72" s="120"/>
    </row>
    <row r="73" spans="2:26">
      <c r="H73" s="120"/>
      <c r="N73" s="120"/>
      <c r="T73" s="120"/>
      <c r="U73" s="120"/>
      <c r="Y73" s="120"/>
    </row>
    <row r="74" spans="2:26" s="92" customFormat="1">
      <c r="B74" s="126"/>
      <c r="E74" s="113"/>
      <c r="F74" s="94"/>
      <c r="G74" s="113"/>
      <c r="H74" s="127"/>
      <c r="M74" s="113"/>
      <c r="N74" s="127"/>
      <c r="S74" s="113"/>
      <c r="T74" s="127"/>
      <c r="U74" s="127"/>
      <c r="Y74" s="127"/>
    </row>
    <row r="75" spans="2:26">
      <c r="H75" s="120"/>
      <c r="N75" s="128"/>
      <c r="T75" s="128"/>
      <c r="Y75" s="128"/>
    </row>
    <row r="76" spans="2:26">
      <c r="H76" s="129"/>
      <c r="N76" s="129"/>
      <c r="T76" s="129"/>
      <c r="Y76" s="129"/>
    </row>
    <row r="77" spans="2:26">
      <c r="H77" s="129"/>
    </row>
    <row r="78" spans="2:26">
      <c r="H78" s="120"/>
    </row>
    <row r="80" spans="2:26">
      <c r="H80" s="120"/>
      <c r="N80" s="120"/>
      <c r="T80" s="120"/>
      <c r="Y80" s="120"/>
    </row>
    <row r="81" spans="8:20">
      <c r="H81" s="120"/>
      <c r="N81" s="120"/>
      <c r="T81" s="120"/>
    </row>
    <row r="82" spans="8:20">
      <c r="H82" s="120"/>
      <c r="N82" s="120"/>
      <c r="T82" s="120"/>
    </row>
    <row r="83" spans="8:20">
      <c r="H83" s="120"/>
      <c r="N83" s="120"/>
      <c r="T83" s="120"/>
    </row>
    <row r="84" spans="8:20">
      <c r="H84" s="120"/>
      <c r="N84" s="120"/>
      <c r="T84" s="120"/>
    </row>
  </sheetData>
  <mergeCells count="4">
    <mergeCell ref="C1:J1"/>
    <mergeCell ref="K1:P1"/>
    <mergeCell ref="Q1:V1"/>
    <mergeCell ref="W1:Y1"/>
  </mergeCells>
  <printOptions horizontalCentered="1"/>
  <pageMargins left="0.25" right="0.25" top="0.75" bottom="0.75" header="0.3" footer="0.3"/>
  <pageSetup scale="62" fitToHeight="0" orientation="landscape" r:id="rId1"/>
  <headerFooter alignWithMargins="0">
    <oddHeader>&amp;C&amp;"Arial,Bold"&amp;12CRS CBDP Project in Orissa</oddHeader>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opLeftCell="A4" workbookViewId="0">
      <selection activeCell="F4" sqref="F4"/>
    </sheetView>
  </sheetViews>
  <sheetFormatPr defaultColWidth="8.85546875" defaultRowHeight="12.6"/>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F91"/>
  <sheetViews>
    <sheetView topLeftCell="B1" zoomScale="90" zoomScaleNormal="90" zoomScaleSheetLayoutView="100" workbookViewId="0">
      <pane ySplit="2" topLeftCell="A9" activePane="bottomLeft" state="frozen"/>
      <selection pane="bottomLeft" activeCell="B14" sqref="B14:Y21"/>
      <selection activeCell="B1" sqref="B1"/>
    </sheetView>
  </sheetViews>
  <sheetFormatPr defaultColWidth="9.140625" defaultRowHeight="11.45"/>
  <cols>
    <col min="1" max="1" width="9.42578125" style="74" hidden="1" customWidth="1"/>
    <col min="2" max="2" width="38.42578125" style="121" customWidth="1"/>
    <col min="3" max="3" width="4.42578125" style="74" hidden="1" customWidth="1"/>
    <col min="4" max="4" width="10.42578125" style="74" hidden="1" customWidth="1"/>
    <col min="5" max="5" width="5.85546875" style="85" hidden="1" customWidth="1"/>
    <col min="6" max="6" width="5.42578125" style="86" hidden="1" customWidth="1"/>
    <col min="7" max="7" width="9" style="85" hidden="1" customWidth="1"/>
    <col min="8" max="8" width="8.42578125" style="74" hidden="1" customWidth="1"/>
    <col min="9" max="9" width="9.85546875" style="74" hidden="1" customWidth="1"/>
    <col min="10" max="10" width="10" style="74" hidden="1" customWidth="1"/>
    <col min="11" max="12" width="5.42578125" style="74" hidden="1" customWidth="1"/>
    <col min="13" max="13" width="7.5703125" style="85" hidden="1" customWidth="1"/>
    <col min="14" max="14" width="8.140625" style="74" hidden="1" customWidth="1"/>
    <col min="15" max="15" width="7.85546875" style="74" hidden="1" customWidth="1"/>
    <col min="16" max="16" width="8.42578125" style="74" hidden="1" customWidth="1"/>
    <col min="17" max="18" width="5.42578125" style="74" hidden="1" customWidth="1"/>
    <col min="19" max="19" width="7" style="85" hidden="1" customWidth="1"/>
    <col min="20" max="20" width="9" style="74" hidden="1" customWidth="1"/>
    <col min="21" max="21" width="8.85546875" style="74" hidden="1" customWidth="1"/>
    <col min="22" max="22" width="7.85546875" style="74" hidden="1" customWidth="1"/>
    <col min="23" max="23" width="9.85546875" style="74" customWidth="1"/>
    <col min="24" max="24" width="11" style="74" customWidth="1"/>
    <col min="25" max="25" width="10.140625" style="74" customWidth="1"/>
    <col min="26" max="26" width="9.42578125" style="74" hidden="1" customWidth="1"/>
    <col min="27" max="27" width="3.140625" style="74" customWidth="1"/>
    <col min="28" max="28" width="2" style="74" customWidth="1"/>
    <col min="29" max="16384" width="9.140625" style="74"/>
  </cols>
  <sheetData>
    <row r="1" spans="1:32" ht="21" customHeight="1">
      <c r="A1" s="175" t="str">
        <f>'Budget Summary'!C4</f>
        <v>Year 1</v>
      </c>
      <c r="B1" s="182"/>
      <c r="C1" s="706">
        <v>2017</v>
      </c>
      <c r="D1" s="707"/>
      <c r="E1" s="707"/>
      <c r="F1" s="707"/>
      <c r="G1" s="707"/>
      <c r="H1" s="707"/>
      <c r="I1" s="707"/>
      <c r="J1" s="708"/>
      <c r="K1" s="709">
        <v>2018</v>
      </c>
      <c r="L1" s="710"/>
      <c r="M1" s="710"/>
      <c r="N1" s="710"/>
      <c r="O1" s="710"/>
      <c r="P1" s="711"/>
      <c r="Q1" s="709">
        <v>2019</v>
      </c>
      <c r="R1" s="710"/>
      <c r="S1" s="710"/>
      <c r="T1" s="710"/>
      <c r="U1" s="710"/>
      <c r="V1" s="711"/>
      <c r="W1" s="709" t="s">
        <v>240</v>
      </c>
      <c r="X1" s="710"/>
      <c r="Y1" s="711"/>
      <c r="Z1" s="134"/>
    </row>
    <row r="2" spans="1:32" s="75" customFormat="1" ht="32.25" customHeight="1">
      <c r="A2" s="131" t="s">
        <v>449</v>
      </c>
      <c r="B2" s="139" t="s">
        <v>239</v>
      </c>
      <c r="C2" s="75" t="s">
        <v>242</v>
      </c>
      <c r="D2" s="75" t="s">
        <v>243</v>
      </c>
      <c r="E2" s="75" t="s">
        <v>450</v>
      </c>
      <c r="F2" s="76" t="s">
        <v>245</v>
      </c>
      <c r="G2" s="75" t="s">
        <v>246</v>
      </c>
      <c r="H2" s="75" t="s">
        <v>130</v>
      </c>
      <c r="I2" s="75" t="s">
        <v>214</v>
      </c>
      <c r="J2" s="140" t="s">
        <v>451</v>
      </c>
      <c r="K2" s="139" t="s">
        <v>242</v>
      </c>
      <c r="L2" s="75" t="s">
        <v>244</v>
      </c>
      <c r="M2" s="75" t="s">
        <v>246</v>
      </c>
      <c r="N2" s="75" t="s">
        <v>130</v>
      </c>
      <c r="O2" s="75" t="s">
        <v>214</v>
      </c>
      <c r="P2" s="140" t="s">
        <v>451</v>
      </c>
      <c r="Q2" s="139" t="s">
        <v>242</v>
      </c>
      <c r="R2" s="75" t="s">
        <v>244</v>
      </c>
      <c r="S2" s="75" t="s">
        <v>246</v>
      </c>
      <c r="T2" s="75" t="s">
        <v>130</v>
      </c>
      <c r="U2" s="75" t="s">
        <v>214</v>
      </c>
      <c r="V2" s="140" t="s">
        <v>451</v>
      </c>
      <c r="W2" s="139" t="s">
        <v>214</v>
      </c>
      <c r="X2" s="75" t="s">
        <v>451</v>
      </c>
      <c r="Y2" s="140" t="s">
        <v>248</v>
      </c>
      <c r="Z2" s="133"/>
    </row>
    <row r="3" spans="1:32" s="77" customFormat="1">
      <c r="A3" s="176" t="s">
        <v>452</v>
      </c>
      <c r="B3" s="183" t="s">
        <v>453</v>
      </c>
      <c r="D3" s="78"/>
      <c r="E3" s="79"/>
      <c r="F3" s="80"/>
      <c r="G3" s="79">
        <v>65</v>
      </c>
      <c r="H3" s="81"/>
      <c r="I3" s="82">
        <v>0.85</v>
      </c>
      <c r="J3" s="142">
        <f>(100%-I3)</f>
        <v>0.15000000000000002</v>
      </c>
      <c r="K3" s="141"/>
      <c r="L3" s="83"/>
      <c r="M3" s="79">
        <v>1.3690899999999999</v>
      </c>
      <c r="N3" s="81"/>
      <c r="O3" s="81">
        <v>1.2999000000000001</v>
      </c>
      <c r="P3" s="142">
        <f>(100%-O3)</f>
        <v>-0.29990000000000006</v>
      </c>
      <c r="Q3" s="141"/>
      <c r="R3" s="83"/>
      <c r="S3" s="79">
        <v>1.3690899999999999</v>
      </c>
      <c r="T3" s="81"/>
      <c r="U3" s="81">
        <v>-4.5710000000000001E-2</v>
      </c>
      <c r="V3" s="142">
        <f>(100%-U3)</f>
        <v>1.0457099999999999</v>
      </c>
      <c r="W3" s="164"/>
      <c r="X3" s="82"/>
      <c r="Y3" s="165"/>
      <c r="Z3" s="135"/>
    </row>
    <row r="4" spans="1:32">
      <c r="A4" s="132"/>
      <c r="B4" s="184" t="s">
        <v>454</v>
      </c>
      <c r="H4" s="85"/>
      <c r="I4" s="84"/>
      <c r="J4" s="144"/>
      <c r="K4" s="143"/>
      <c r="N4" s="85"/>
      <c r="O4" s="84"/>
      <c r="P4" s="195"/>
      <c r="Q4" s="143"/>
      <c r="T4" s="85"/>
      <c r="U4" s="84"/>
      <c r="V4" s="195"/>
      <c r="W4" s="152"/>
      <c r="X4" s="84"/>
      <c r="Y4" s="166"/>
      <c r="Z4" s="134"/>
    </row>
    <row r="5" spans="1:32">
      <c r="A5" s="177"/>
      <c r="B5" s="185" t="s">
        <v>455</v>
      </c>
      <c r="C5" s="88">
        <v>0.3</v>
      </c>
      <c r="D5" s="87" t="s">
        <v>456</v>
      </c>
      <c r="E5" s="87">
        <v>12</v>
      </c>
      <c r="F5" s="89">
        <v>1</v>
      </c>
      <c r="G5" s="90">
        <f>(1391532.0682/$G$3)/12</f>
        <v>1784.0154720512821</v>
      </c>
      <c r="H5" s="90">
        <f>C5*G5*E5</f>
        <v>6422.4556993846154</v>
      </c>
      <c r="I5" s="90">
        <f>H5</f>
        <v>6422.4556993846154</v>
      </c>
      <c r="J5" s="146">
        <f>H5-I5</f>
        <v>0</v>
      </c>
      <c r="K5" s="145">
        <f t="shared" ref="K5:K11" si="0">C5</f>
        <v>0.3</v>
      </c>
      <c r="L5" s="87">
        <f t="shared" ref="L5:L11" si="1">E5</f>
        <v>12</v>
      </c>
      <c r="M5" s="90">
        <f>G5*1.05</f>
        <v>1873.2162456538463</v>
      </c>
      <c r="N5" s="91">
        <f>K5*M5*L5</f>
        <v>6743.5784843538459</v>
      </c>
      <c r="O5" s="90">
        <f>N5</f>
        <v>6743.5784843538459</v>
      </c>
      <c r="P5" s="146">
        <f t="shared" ref="P5:P11" si="2">N5-O5</f>
        <v>0</v>
      </c>
      <c r="Q5" s="145">
        <f>K5</f>
        <v>0.3</v>
      </c>
      <c r="R5" s="87">
        <f>L5</f>
        <v>12</v>
      </c>
      <c r="S5" s="90">
        <f>M5*1.05</f>
        <v>1966.8770579365387</v>
      </c>
      <c r="T5" s="91">
        <f>Q5*S5*R5</f>
        <v>7080.7574085715387</v>
      </c>
      <c r="U5" s="90">
        <f>T5</f>
        <v>7080.7574085715387</v>
      </c>
      <c r="V5" s="146">
        <f t="shared" ref="V5:V11" si="3">T5-U5</f>
        <v>0</v>
      </c>
      <c r="W5" s="167">
        <f t="shared" ref="W5:X11" si="4">I5+O5+U5</f>
        <v>20246.791592310001</v>
      </c>
      <c r="X5" s="90">
        <f t="shared" si="4"/>
        <v>0</v>
      </c>
      <c r="Y5" s="146">
        <f t="shared" ref="Y5:Y11" si="5">W5+X5</f>
        <v>20246.791592310001</v>
      </c>
      <c r="Z5" s="163">
        <f>H5+N5+T5-Y5</f>
        <v>0</v>
      </c>
      <c r="AA5" s="130">
        <f>I5+O5+U5-W5</f>
        <v>0</v>
      </c>
      <c r="AB5" s="130">
        <f>J5+P5+V5-X5</f>
        <v>0</v>
      </c>
      <c r="AC5" s="130"/>
      <c r="AD5" s="130"/>
      <c r="AE5" s="130"/>
      <c r="AF5" s="130"/>
    </row>
    <row r="6" spans="1:32">
      <c r="A6" s="177"/>
      <c r="B6" s="185" t="s">
        <v>457</v>
      </c>
      <c r="C6" s="88">
        <v>0.8</v>
      </c>
      <c r="D6" s="87" t="s">
        <v>456</v>
      </c>
      <c r="E6" s="87">
        <v>12</v>
      </c>
      <c r="F6" s="89">
        <v>1</v>
      </c>
      <c r="G6" s="90">
        <f>(881322/$G$3)/12</f>
        <v>1129.8999999999999</v>
      </c>
      <c r="H6" s="90">
        <f t="shared" ref="H6:H11" si="6">C6*G6*E6</f>
        <v>10847.039999999999</v>
      </c>
      <c r="I6" s="90">
        <f>H6</f>
        <v>10847.039999999999</v>
      </c>
      <c r="J6" s="146">
        <v>0</v>
      </c>
      <c r="K6" s="145">
        <f t="shared" si="0"/>
        <v>0.8</v>
      </c>
      <c r="L6" s="87">
        <f t="shared" si="1"/>
        <v>12</v>
      </c>
      <c r="M6" s="90">
        <f>G6*1.05</f>
        <v>1186.395</v>
      </c>
      <c r="N6" s="91">
        <f t="shared" ref="N6:N11" si="7">K6*M6*L6</f>
        <v>11389.392</v>
      </c>
      <c r="O6" s="90">
        <f>N6</f>
        <v>11389.392</v>
      </c>
      <c r="P6" s="146">
        <v>0</v>
      </c>
      <c r="Q6" s="145">
        <f t="shared" ref="Q6:R11" si="8">K6</f>
        <v>0.8</v>
      </c>
      <c r="R6" s="87">
        <f t="shared" si="8"/>
        <v>12</v>
      </c>
      <c r="S6" s="90">
        <f>M6*1.05</f>
        <v>1245.7147500000001</v>
      </c>
      <c r="T6" s="91">
        <f t="shared" ref="T6:T11" si="9">Q6*S6*R6</f>
        <v>11958.861600000002</v>
      </c>
      <c r="U6" s="90">
        <f>T6</f>
        <v>11958.861600000002</v>
      </c>
      <c r="V6" s="146">
        <v>0</v>
      </c>
      <c r="W6" s="167">
        <f t="shared" si="4"/>
        <v>34195.293600000005</v>
      </c>
      <c r="X6" s="90">
        <f t="shared" si="4"/>
        <v>0</v>
      </c>
      <c r="Y6" s="146">
        <f t="shared" si="5"/>
        <v>34195.293600000005</v>
      </c>
      <c r="Z6" s="163">
        <f t="shared" ref="Z6:Z56" si="10">H6+N6+T6-Y6</f>
        <v>0</v>
      </c>
      <c r="AA6" s="130">
        <f t="shared" ref="AA6:AB56" si="11">I6+O6+U6-W6</f>
        <v>0</v>
      </c>
      <c r="AB6" s="130">
        <f t="shared" si="11"/>
        <v>0</v>
      </c>
      <c r="AC6" s="130"/>
      <c r="AD6" s="130"/>
      <c r="AE6" s="130"/>
      <c r="AF6" s="130"/>
    </row>
    <row r="7" spans="1:32">
      <c r="A7" s="177"/>
      <c r="B7" s="185" t="s">
        <v>458</v>
      </c>
      <c r="C7" s="88">
        <v>0.2</v>
      </c>
      <c r="D7" s="87" t="s">
        <v>456</v>
      </c>
      <c r="E7" s="87">
        <v>12</v>
      </c>
      <c r="F7" s="89">
        <v>1</v>
      </c>
      <c r="G7" s="90">
        <f>(583144.65/$G$3)/12</f>
        <v>747.62134615384628</v>
      </c>
      <c r="H7" s="90">
        <f t="shared" si="6"/>
        <v>1794.2912307692309</v>
      </c>
      <c r="I7" s="90">
        <f>H7</f>
        <v>1794.2912307692309</v>
      </c>
      <c r="J7" s="146">
        <f>H7-I7</f>
        <v>0</v>
      </c>
      <c r="K7" s="145">
        <f t="shared" si="0"/>
        <v>0.2</v>
      </c>
      <c r="L7" s="87">
        <f t="shared" si="1"/>
        <v>12</v>
      </c>
      <c r="M7" s="90">
        <f>G7*1.05</f>
        <v>785.00241346153859</v>
      </c>
      <c r="N7" s="91">
        <f t="shared" si="7"/>
        <v>1884.0057923076929</v>
      </c>
      <c r="O7" s="90">
        <f>N7</f>
        <v>1884.0057923076929</v>
      </c>
      <c r="P7" s="146">
        <f t="shared" si="2"/>
        <v>0</v>
      </c>
      <c r="Q7" s="145">
        <f t="shared" si="8"/>
        <v>0.2</v>
      </c>
      <c r="R7" s="87">
        <f t="shared" si="8"/>
        <v>12</v>
      </c>
      <c r="S7" s="90">
        <f>M7*1.05</f>
        <v>824.25253413461553</v>
      </c>
      <c r="T7" s="91">
        <f t="shared" si="9"/>
        <v>1978.2060819230774</v>
      </c>
      <c r="U7" s="90">
        <f>T7</f>
        <v>1978.2060819230774</v>
      </c>
      <c r="V7" s="146">
        <f t="shared" si="3"/>
        <v>0</v>
      </c>
      <c r="W7" s="167">
        <f t="shared" si="4"/>
        <v>5656.5031050000016</v>
      </c>
      <c r="X7" s="90">
        <f t="shared" si="4"/>
        <v>0</v>
      </c>
      <c r="Y7" s="146">
        <f t="shared" si="5"/>
        <v>5656.5031050000016</v>
      </c>
      <c r="Z7" s="163">
        <f t="shared" si="10"/>
        <v>0</v>
      </c>
      <c r="AA7" s="130">
        <f t="shared" si="11"/>
        <v>0</v>
      </c>
      <c r="AB7" s="130">
        <f t="shared" si="11"/>
        <v>0</v>
      </c>
      <c r="AC7" s="130"/>
      <c r="AD7" s="130"/>
      <c r="AE7" s="130"/>
      <c r="AF7" s="130"/>
    </row>
    <row r="8" spans="1:32">
      <c r="A8" s="177"/>
      <c r="B8" s="185" t="s">
        <v>459</v>
      </c>
      <c r="C8" s="88">
        <v>0.6</v>
      </c>
      <c r="D8" s="87" t="s">
        <v>456</v>
      </c>
      <c r="E8" s="87">
        <v>12</v>
      </c>
      <c r="F8" s="89">
        <v>1</v>
      </c>
      <c r="G8" s="90">
        <f>(1126756.3725/$G$3)/4/12</f>
        <v>361.13986298076924</v>
      </c>
      <c r="H8" s="90">
        <f t="shared" si="6"/>
        <v>2600.2070134615387</v>
      </c>
      <c r="I8" s="90">
        <f>H8</f>
        <v>2600.2070134615387</v>
      </c>
      <c r="J8" s="146">
        <f>H8-I8</f>
        <v>0</v>
      </c>
      <c r="K8" s="145">
        <f t="shared" si="0"/>
        <v>0.6</v>
      </c>
      <c r="L8" s="87">
        <f t="shared" si="1"/>
        <v>12</v>
      </c>
      <c r="M8" s="90">
        <f>G8*1.05</f>
        <v>379.19685612980771</v>
      </c>
      <c r="N8" s="91">
        <f t="shared" si="7"/>
        <v>2730.2173641346153</v>
      </c>
      <c r="O8" s="90">
        <f>N8</f>
        <v>2730.2173641346153</v>
      </c>
      <c r="P8" s="146">
        <f t="shared" si="2"/>
        <v>0</v>
      </c>
      <c r="Q8" s="145">
        <f t="shared" si="8"/>
        <v>0.6</v>
      </c>
      <c r="R8" s="87">
        <f t="shared" si="8"/>
        <v>12</v>
      </c>
      <c r="S8" s="90">
        <f>M8*1.05</f>
        <v>398.15669893629814</v>
      </c>
      <c r="T8" s="91">
        <f t="shared" si="9"/>
        <v>2866.7282323413465</v>
      </c>
      <c r="U8" s="90">
        <f>T8</f>
        <v>2866.7282323413465</v>
      </c>
      <c r="V8" s="146">
        <f t="shared" si="3"/>
        <v>0</v>
      </c>
      <c r="W8" s="167">
        <f t="shared" si="4"/>
        <v>8197.1526099375005</v>
      </c>
      <c r="X8" s="90">
        <f t="shared" si="4"/>
        <v>0</v>
      </c>
      <c r="Y8" s="146">
        <f t="shared" si="5"/>
        <v>8197.1526099375005</v>
      </c>
      <c r="Z8" s="163">
        <f t="shared" si="10"/>
        <v>0</v>
      </c>
      <c r="AA8" s="130">
        <f t="shared" si="11"/>
        <v>0</v>
      </c>
      <c r="AB8" s="130">
        <f t="shared" si="11"/>
        <v>0</v>
      </c>
      <c r="AC8" s="130"/>
      <c r="AD8" s="130"/>
      <c r="AE8" s="130"/>
      <c r="AF8" s="130"/>
    </row>
    <row r="9" spans="1:32">
      <c r="A9" s="177"/>
      <c r="B9" s="185" t="s">
        <v>460</v>
      </c>
      <c r="C9" s="88">
        <v>0.4</v>
      </c>
      <c r="D9" s="87" t="s">
        <v>456</v>
      </c>
      <c r="E9" s="87">
        <v>12</v>
      </c>
      <c r="F9" s="89">
        <v>1</v>
      </c>
      <c r="G9" s="90">
        <f>(856059.4813/$G$3)/12</f>
        <v>1097.5121555128205</v>
      </c>
      <c r="H9" s="90">
        <f t="shared" si="6"/>
        <v>5268.0583464615393</v>
      </c>
      <c r="I9" s="90">
        <f>H9</f>
        <v>5268.0583464615393</v>
      </c>
      <c r="J9" s="146">
        <f>H9-I9</f>
        <v>0</v>
      </c>
      <c r="K9" s="145">
        <f t="shared" si="0"/>
        <v>0.4</v>
      </c>
      <c r="L9" s="87">
        <f t="shared" si="1"/>
        <v>12</v>
      </c>
      <c r="M9" s="90">
        <f>G9*1.05</f>
        <v>1152.3877632884617</v>
      </c>
      <c r="N9" s="91">
        <f t="shared" si="7"/>
        <v>5531.4612637846167</v>
      </c>
      <c r="O9" s="90">
        <f>N9</f>
        <v>5531.4612637846167</v>
      </c>
      <c r="P9" s="146">
        <f t="shared" si="2"/>
        <v>0</v>
      </c>
      <c r="Q9" s="145">
        <f t="shared" si="8"/>
        <v>0.4</v>
      </c>
      <c r="R9" s="87">
        <f t="shared" si="8"/>
        <v>12</v>
      </c>
      <c r="S9" s="90">
        <f>M9*1.05</f>
        <v>1210.0071514528847</v>
      </c>
      <c r="T9" s="91">
        <f t="shared" si="9"/>
        <v>5808.0343269738469</v>
      </c>
      <c r="U9" s="90">
        <f>T9</f>
        <v>5808.0343269738469</v>
      </c>
      <c r="V9" s="146">
        <f t="shared" si="3"/>
        <v>0</v>
      </c>
      <c r="W9" s="167">
        <f t="shared" si="4"/>
        <v>16607.553937220004</v>
      </c>
      <c r="X9" s="90">
        <f t="shared" si="4"/>
        <v>0</v>
      </c>
      <c r="Y9" s="146">
        <f t="shared" si="5"/>
        <v>16607.553937220004</v>
      </c>
      <c r="Z9" s="163">
        <f t="shared" si="10"/>
        <v>0</v>
      </c>
      <c r="AA9" s="130">
        <f t="shared" si="11"/>
        <v>0</v>
      </c>
      <c r="AB9" s="130">
        <f t="shared" si="11"/>
        <v>0</v>
      </c>
      <c r="AC9" s="130"/>
      <c r="AD9" s="130"/>
      <c r="AE9" s="130"/>
      <c r="AF9" s="130"/>
    </row>
    <row r="10" spans="1:32">
      <c r="A10" s="177"/>
      <c r="B10" s="185" t="s">
        <v>461</v>
      </c>
      <c r="C10" s="123">
        <v>0.04</v>
      </c>
      <c r="D10" s="87" t="s">
        <v>456</v>
      </c>
      <c r="E10" s="87">
        <v>12</v>
      </c>
      <c r="F10" s="89">
        <v>1</v>
      </c>
      <c r="G10" s="198">
        <v>2986.75</v>
      </c>
      <c r="H10" s="198">
        <f t="shared" si="6"/>
        <v>1433.6399999999999</v>
      </c>
      <c r="I10" s="198">
        <v>1075.23</v>
      </c>
      <c r="J10" s="199">
        <f>H10-I10</f>
        <v>358.40999999999985</v>
      </c>
      <c r="K10" s="145">
        <f t="shared" si="0"/>
        <v>0.04</v>
      </c>
      <c r="L10" s="87">
        <f t="shared" si="1"/>
        <v>12</v>
      </c>
      <c r="M10" s="198">
        <f>G10*$M$3</f>
        <v>4089.1295574999999</v>
      </c>
      <c r="N10" s="200">
        <f t="shared" si="7"/>
        <v>1962.7821876</v>
      </c>
      <c r="O10" s="200">
        <f>I10*$O$3</f>
        <v>1397.6914770000001</v>
      </c>
      <c r="P10" s="199">
        <f t="shared" si="2"/>
        <v>565.09071059999997</v>
      </c>
      <c r="Q10" s="145">
        <f t="shared" si="8"/>
        <v>0.04</v>
      </c>
      <c r="R10" s="87">
        <f t="shared" si="8"/>
        <v>12</v>
      </c>
      <c r="S10" s="198">
        <f>M10</f>
        <v>4089.1295574999999</v>
      </c>
      <c r="T10" s="200">
        <f t="shared" si="9"/>
        <v>1962.7821876</v>
      </c>
      <c r="U10" s="200">
        <f>O10+(O10*$U$3)</f>
        <v>1333.8029995863301</v>
      </c>
      <c r="V10" s="199">
        <f t="shared" si="3"/>
        <v>628.97918801366995</v>
      </c>
      <c r="W10" s="201">
        <f t="shared" si="4"/>
        <v>3806.7244765863297</v>
      </c>
      <c r="X10" s="198">
        <f t="shared" si="4"/>
        <v>1552.4798986136698</v>
      </c>
      <c r="Y10" s="199">
        <f t="shared" si="5"/>
        <v>5359.204375199999</v>
      </c>
      <c r="Z10" s="163">
        <f t="shared" si="10"/>
        <v>0</v>
      </c>
      <c r="AA10" s="130">
        <f t="shared" si="11"/>
        <v>0</v>
      </c>
      <c r="AB10" s="130">
        <f t="shared" si="11"/>
        <v>0</v>
      </c>
      <c r="AC10" s="130"/>
      <c r="AD10" s="130"/>
      <c r="AE10" s="130"/>
      <c r="AF10" s="130"/>
    </row>
    <row r="11" spans="1:32">
      <c r="A11" s="177"/>
      <c r="B11" s="185" t="s">
        <v>462</v>
      </c>
      <c r="C11" s="202">
        <v>0.65</v>
      </c>
      <c r="D11" s="87" t="s">
        <v>456</v>
      </c>
      <c r="E11" s="87">
        <v>12</v>
      </c>
      <c r="F11" s="89">
        <v>1</v>
      </c>
      <c r="G11" s="198">
        <v>1461</v>
      </c>
      <c r="H11" s="198">
        <f t="shared" si="6"/>
        <v>11395.8</v>
      </c>
      <c r="I11" s="198">
        <v>8941.32</v>
      </c>
      <c r="J11" s="199">
        <f>H11-I11</f>
        <v>2454.4799999999996</v>
      </c>
      <c r="K11" s="203">
        <f t="shared" si="0"/>
        <v>0.65</v>
      </c>
      <c r="L11" s="87">
        <f t="shared" si="1"/>
        <v>12</v>
      </c>
      <c r="M11" s="198">
        <f>G11*$M$3</f>
        <v>2000.2404899999999</v>
      </c>
      <c r="N11" s="200">
        <f t="shared" si="7"/>
        <v>15601.875822</v>
      </c>
      <c r="O11" s="200">
        <f>I11*$O$3</f>
        <v>11622.821868000001</v>
      </c>
      <c r="P11" s="199">
        <f t="shared" si="2"/>
        <v>3979.0539539999991</v>
      </c>
      <c r="Q11" s="145">
        <f t="shared" si="8"/>
        <v>0.65</v>
      </c>
      <c r="R11" s="87">
        <f t="shared" si="8"/>
        <v>12</v>
      </c>
      <c r="S11" s="198">
        <f>M11</f>
        <v>2000.2404899999999</v>
      </c>
      <c r="T11" s="200">
        <f t="shared" si="9"/>
        <v>15601.875822</v>
      </c>
      <c r="U11" s="200">
        <f>O11+(O11*$U$3)</f>
        <v>11091.542680413721</v>
      </c>
      <c r="V11" s="199">
        <f t="shared" si="3"/>
        <v>4510.3331415862795</v>
      </c>
      <c r="W11" s="201">
        <f t="shared" si="4"/>
        <v>31655.684548413719</v>
      </c>
      <c r="X11" s="198">
        <f t="shared" si="4"/>
        <v>10943.867095586278</v>
      </c>
      <c r="Y11" s="199">
        <f t="shared" si="5"/>
        <v>42599.551643999999</v>
      </c>
      <c r="Z11" s="163">
        <f t="shared" si="10"/>
        <v>0</v>
      </c>
      <c r="AA11" s="130">
        <f t="shared" si="11"/>
        <v>0</v>
      </c>
      <c r="AB11" s="130">
        <f t="shared" si="11"/>
        <v>0</v>
      </c>
      <c r="AC11" s="130"/>
      <c r="AD11" s="130"/>
      <c r="AE11" s="130"/>
      <c r="AF11" s="130"/>
    </row>
    <row r="12" spans="1:32" s="92" customFormat="1">
      <c r="A12" s="132"/>
      <c r="B12" s="186" t="s">
        <v>463</v>
      </c>
      <c r="E12" s="93"/>
      <c r="F12" s="94"/>
      <c r="G12" s="93"/>
      <c r="H12" s="95">
        <f>SUM(H5:H11)</f>
        <v>39761.492290076916</v>
      </c>
      <c r="I12" s="95">
        <f>SUM(I5:I11)</f>
        <v>36948.602290076917</v>
      </c>
      <c r="J12" s="148">
        <f>SUM(J5:J11)</f>
        <v>2812.8899999999994</v>
      </c>
      <c r="K12" s="147"/>
      <c r="M12" s="93"/>
      <c r="N12" s="95">
        <f>SUM(N5:N11)</f>
        <v>45843.312914180773</v>
      </c>
      <c r="O12" s="95">
        <f>SUM(O5:O11)</f>
        <v>41299.168249580769</v>
      </c>
      <c r="P12" s="148">
        <f>SUM(P5:P11)</f>
        <v>4544.1446645999986</v>
      </c>
      <c r="Q12" s="147"/>
      <c r="S12" s="93"/>
      <c r="T12" s="95">
        <f t="shared" ref="T12:Y12" si="12">SUM(T5:T11)</f>
        <v>47257.245659409811</v>
      </c>
      <c r="U12" s="95">
        <f t="shared" si="12"/>
        <v>42117.933329809865</v>
      </c>
      <c r="V12" s="148">
        <f t="shared" si="12"/>
        <v>5139.3123295999494</v>
      </c>
      <c r="W12" s="154">
        <f t="shared" si="12"/>
        <v>120365.70386946756</v>
      </c>
      <c r="X12" s="95">
        <f t="shared" si="12"/>
        <v>12496.346994199948</v>
      </c>
      <c r="Y12" s="148">
        <f t="shared" si="12"/>
        <v>132862.05086366751</v>
      </c>
      <c r="Z12" s="163">
        <f t="shared" si="10"/>
        <v>0</v>
      </c>
      <c r="AA12" s="130">
        <f t="shared" si="11"/>
        <v>0</v>
      </c>
      <c r="AB12" s="130">
        <f t="shared" si="11"/>
        <v>0</v>
      </c>
      <c r="AC12" s="205"/>
      <c r="AD12" s="205"/>
      <c r="AE12" s="205"/>
      <c r="AF12" s="130"/>
    </row>
    <row r="13" spans="1:32">
      <c r="A13" s="132" t="s">
        <v>464</v>
      </c>
      <c r="B13" s="187" t="s">
        <v>465</v>
      </c>
      <c r="C13" s="96"/>
      <c r="D13" s="96"/>
      <c r="E13" s="97"/>
      <c r="F13" s="98"/>
      <c r="G13" s="97"/>
      <c r="H13" s="97"/>
      <c r="I13" s="99"/>
      <c r="J13" s="150"/>
      <c r="K13" s="149"/>
      <c r="L13" s="96"/>
      <c r="M13" s="97"/>
      <c r="N13" s="97"/>
      <c r="O13" s="99"/>
      <c r="P13" s="150"/>
      <c r="Q13" s="149"/>
      <c r="R13" s="96"/>
      <c r="S13" s="97"/>
      <c r="T13" s="97"/>
      <c r="U13" s="99"/>
      <c r="V13" s="150"/>
      <c r="W13" s="151"/>
      <c r="X13" s="99"/>
      <c r="Y13" s="168"/>
      <c r="Z13" s="163">
        <f t="shared" si="10"/>
        <v>0</v>
      </c>
      <c r="AA13" s="130">
        <f t="shared" si="11"/>
        <v>0</v>
      </c>
      <c r="AB13" s="130">
        <f t="shared" si="11"/>
        <v>0</v>
      </c>
    </row>
    <row r="14" spans="1:32">
      <c r="A14" s="132"/>
      <c r="B14" s="126" t="s">
        <v>507</v>
      </c>
      <c r="C14" s="88"/>
      <c r="D14" s="87"/>
      <c r="E14" s="87"/>
      <c r="G14" s="91"/>
      <c r="H14" s="91"/>
      <c r="I14" s="90"/>
      <c r="J14" s="90"/>
      <c r="K14" s="87"/>
      <c r="L14" s="87"/>
      <c r="M14" s="90"/>
      <c r="N14" s="91"/>
      <c r="O14" s="90"/>
      <c r="P14" s="90"/>
      <c r="Q14" s="87"/>
      <c r="R14" s="87"/>
      <c r="S14" s="90"/>
      <c r="T14" s="91"/>
      <c r="U14" s="90"/>
      <c r="V14" s="90"/>
      <c r="W14" s="75" t="s">
        <v>214</v>
      </c>
      <c r="X14" s="75" t="s">
        <v>451</v>
      </c>
      <c r="Y14" s="75" t="s">
        <v>130</v>
      </c>
      <c r="Z14" s="163"/>
      <c r="AA14" s="130"/>
      <c r="AB14" s="130"/>
      <c r="AC14" s="130"/>
      <c r="AD14" s="130"/>
      <c r="AE14" s="130"/>
      <c r="AF14" s="130"/>
    </row>
    <row r="15" spans="1:32">
      <c r="A15" s="132"/>
      <c r="B15" s="121" t="str">
        <f t="shared" ref="B15:C19" si="13">B5</f>
        <v>Head of Office</v>
      </c>
      <c r="C15" s="88">
        <f t="shared" si="13"/>
        <v>0.3</v>
      </c>
      <c r="D15" s="87" t="s">
        <v>467</v>
      </c>
      <c r="E15" s="87">
        <v>12</v>
      </c>
      <c r="F15" s="86">
        <v>0.13500000000000001</v>
      </c>
      <c r="G15" s="91">
        <f>G5</f>
        <v>1784.0154720512821</v>
      </c>
      <c r="H15" s="90">
        <f>C15*G15*E15*F15</f>
        <v>867.03151941692317</v>
      </c>
      <c r="I15" s="90">
        <f>H15</f>
        <v>867.03151941692317</v>
      </c>
      <c r="J15" s="90">
        <v>0</v>
      </c>
      <c r="K15" s="87">
        <f>C15</f>
        <v>0.3</v>
      </c>
      <c r="L15" s="87">
        <f>E15</f>
        <v>12</v>
      </c>
      <c r="M15" s="91">
        <f>M5</f>
        <v>1873.2162456538463</v>
      </c>
      <c r="N15" s="90">
        <f>F15*M15*K15*L15</f>
        <v>910.38309538776923</v>
      </c>
      <c r="O15" s="90">
        <f>N15</f>
        <v>910.38309538776923</v>
      </c>
      <c r="P15" s="90">
        <f>N15-O15</f>
        <v>0</v>
      </c>
      <c r="Q15" s="87">
        <f>K15</f>
        <v>0.3</v>
      </c>
      <c r="R15" s="87">
        <f>L15</f>
        <v>12</v>
      </c>
      <c r="S15" s="91">
        <f>S5</f>
        <v>1966.8770579365387</v>
      </c>
      <c r="T15" s="90">
        <f>F15*S15*Q15*R15</f>
        <v>955.90225015715782</v>
      </c>
      <c r="U15" s="90">
        <f>T15</f>
        <v>955.90225015715782</v>
      </c>
      <c r="V15" s="90">
        <f>T15-U15</f>
        <v>0</v>
      </c>
      <c r="W15" s="209">
        <f>I15+O15+U15</f>
        <v>2733.3168649618501</v>
      </c>
      <c r="X15" s="209">
        <f>J15+P15+V15</f>
        <v>0</v>
      </c>
      <c r="Y15" s="209">
        <f>W15+X15</f>
        <v>2733.3168649618501</v>
      </c>
      <c r="Z15" s="163">
        <f t="shared" si="10"/>
        <v>0</v>
      </c>
      <c r="AA15" s="130">
        <f t="shared" si="11"/>
        <v>0</v>
      </c>
      <c r="AB15" s="130">
        <f t="shared" si="11"/>
        <v>0</v>
      </c>
      <c r="AC15" s="130"/>
      <c r="AD15" s="130"/>
      <c r="AE15" s="130"/>
      <c r="AF15" s="130"/>
    </row>
    <row r="16" spans="1:32">
      <c r="A16" s="132"/>
      <c r="B16" s="121" t="str">
        <f t="shared" si="13"/>
        <v xml:space="preserve">Program Coordinator </v>
      </c>
      <c r="C16" s="88">
        <f t="shared" si="13"/>
        <v>0.8</v>
      </c>
      <c r="D16" s="87" t="s">
        <v>467</v>
      </c>
      <c r="E16" s="87">
        <v>12</v>
      </c>
      <c r="F16" s="86">
        <v>0.13500000000000001</v>
      </c>
      <c r="G16" s="91">
        <f>G6</f>
        <v>1129.8999999999999</v>
      </c>
      <c r="H16" s="90">
        <f>C16*G16*E16*F16</f>
        <v>1464.3504</v>
      </c>
      <c r="I16" s="90">
        <f>H16</f>
        <v>1464.3504</v>
      </c>
      <c r="J16" s="90">
        <v>0</v>
      </c>
      <c r="K16" s="87">
        <f>C16</f>
        <v>0.8</v>
      </c>
      <c r="L16" s="87">
        <f>E16</f>
        <v>12</v>
      </c>
      <c r="M16" s="91">
        <f>M6</f>
        <v>1186.395</v>
      </c>
      <c r="N16" s="90">
        <f>F16*M16*K16*L16</f>
        <v>1537.56792</v>
      </c>
      <c r="O16" s="90">
        <f>N16</f>
        <v>1537.56792</v>
      </c>
      <c r="P16" s="90">
        <f>N16-O16</f>
        <v>0</v>
      </c>
      <c r="Q16" s="87">
        <f t="shared" ref="Q16:R19" si="14">K16</f>
        <v>0.8</v>
      </c>
      <c r="R16" s="87">
        <f t="shared" si="14"/>
        <v>12</v>
      </c>
      <c r="S16" s="91">
        <f>S6</f>
        <v>1245.7147500000001</v>
      </c>
      <c r="T16" s="90">
        <f>F16*S16*Q16*R16</f>
        <v>1614.4463160000005</v>
      </c>
      <c r="U16" s="90">
        <f>T16</f>
        <v>1614.4463160000005</v>
      </c>
      <c r="V16" s="90">
        <f>T16-U16</f>
        <v>0</v>
      </c>
      <c r="W16" s="209">
        <f t="shared" ref="W16:X24" si="15">I16+O16+U16</f>
        <v>4616.3646360000002</v>
      </c>
      <c r="X16" s="209">
        <f t="shared" si="15"/>
        <v>0</v>
      </c>
      <c r="Y16" s="209">
        <f>W16+X16</f>
        <v>4616.3646360000002</v>
      </c>
      <c r="Z16" s="163"/>
      <c r="AA16" s="130"/>
      <c r="AB16" s="130"/>
      <c r="AC16" s="130"/>
      <c r="AD16" s="130"/>
      <c r="AE16" s="130"/>
      <c r="AF16" s="130"/>
    </row>
    <row r="17" spans="1:32">
      <c r="A17" s="132"/>
      <c r="B17" s="121" t="str">
        <f t="shared" si="13"/>
        <v>Finance officer</v>
      </c>
      <c r="C17" s="88">
        <f t="shared" si="13"/>
        <v>0.2</v>
      </c>
      <c r="D17" s="87" t="s">
        <v>467</v>
      </c>
      <c r="E17" s="87">
        <v>12</v>
      </c>
      <c r="F17" s="86">
        <v>0.13500000000000001</v>
      </c>
      <c r="G17" s="91">
        <f>G7</f>
        <v>747.62134615384628</v>
      </c>
      <c r="H17" s="90">
        <f>C17*G17*E17*F17</f>
        <v>242.22931615384618</v>
      </c>
      <c r="I17" s="90">
        <f>H17</f>
        <v>242.22931615384618</v>
      </c>
      <c r="J17" s="90">
        <v>0</v>
      </c>
      <c r="K17" s="87">
        <f>C17</f>
        <v>0.2</v>
      </c>
      <c r="L17" s="87">
        <f>E17</f>
        <v>12</v>
      </c>
      <c r="M17" s="91">
        <f>M7</f>
        <v>785.00241346153859</v>
      </c>
      <c r="N17" s="90">
        <f>F17*M17*K17*L17</f>
        <v>254.34078196153854</v>
      </c>
      <c r="O17" s="90">
        <f>N17</f>
        <v>254.34078196153854</v>
      </c>
      <c r="P17" s="90">
        <f>N17-O17</f>
        <v>0</v>
      </c>
      <c r="Q17" s="87">
        <f t="shared" si="14"/>
        <v>0.2</v>
      </c>
      <c r="R17" s="87">
        <f t="shared" si="14"/>
        <v>12</v>
      </c>
      <c r="S17" s="91">
        <f>S7</f>
        <v>824.25253413461553</v>
      </c>
      <c r="T17" s="90">
        <f>F17*S17*Q17*R17</f>
        <v>267.05782105961549</v>
      </c>
      <c r="U17" s="90">
        <f>T17</f>
        <v>267.05782105961549</v>
      </c>
      <c r="V17" s="90">
        <f>T17-U17</f>
        <v>0</v>
      </c>
      <c r="W17" s="209">
        <f t="shared" si="15"/>
        <v>763.62791917500022</v>
      </c>
      <c r="X17" s="209">
        <f t="shared" si="15"/>
        <v>0</v>
      </c>
      <c r="Y17" s="209">
        <f>W17+X17</f>
        <v>763.62791917500022</v>
      </c>
      <c r="Z17" s="163"/>
      <c r="AA17" s="130"/>
      <c r="AB17" s="130"/>
      <c r="AC17" s="130"/>
      <c r="AD17" s="130"/>
      <c r="AE17" s="130"/>
      <c r="AF17" s="130"/>
    </row>
    <row r="18" spans="1:32">
      <c r="A18" s="132"/>
      <c r="B18" s="121" t="str">
        <f t="shared" si="13"/>
        <v>Administrative Staff</v>
      </c>
      <c r="C18" s="88">
        <f t="shared" si="13"/>
        <v>0.6</v>
      </c>
      <c r="D18" s="87" t="s">
        <v>467</v>
      </c>
      <c r="E18" s="87">
        <v>12</v>
      </c>
      <c r="F18" s="86">
        <v>0.13500000000000001</v>
      </c>
      <c r="G18" s="91">
        <f>G8</f>
        <v>361.13986298076924</v>
      </c>
      <c r="H18" s="90">
        <f>C18*G18*E18*F18</f>
        <v>351.02794681730774</v>
      </c>
      <c r="I18" s="90">
        <f>H18</f>
        <v>351.02794681730774</v>
      </c>
      <c r="J18" s="90">
        <v>0</v>
      </c>
      <c r="K18" s="87">
        <f>C18</f>
        <v>0.6</v>
      </c>
      <c r="L18" s="87">
        <f>E18</f>
        <v>12</v>
      </c>
      <c r="M18" s="91">
        <f>M8</f>
        <v>379.19685612980771</v>
      </c>
      <c r="N18" s="90">
        <f>F18*M18*K18*L18</f>
        <v>368.57934415817306</v>
      </c>
      <c r="O18" s="90">
        <f>N18</f>
        <v>368.57934415817306</v>
      </c>
      <c r="P18" s="90">
        <f>N18-O18</f>
        <v>0</v>
      </c>
      <c r="Q18" s="87">
        <f t="shared" si="14"/>
        <v>0.6</v>
      </c>
      <c r="R18" s="87">
        <f t="shared" si="14"/>
        <v>12</v>
      </c>
      <c r="S18" s="91">
        <f>S8</f>
        <v>398.15669893629814</v>
      </c>
      <c r="T18" s="90">
        <f>F18*S18*Q18*R18</f>
        <v>387.00831136608178</v>
      </c>
      <c r="U18" s="90">
        <f>T18</f>
        <v>387.00831136608178</v>
      </c>
      <c r="V18" s="90">
        <f>T18-U18</f>
        <v>0</v>
      </c>
      <c r="W18" s="209">
        <f t="shared" si="15"/>
        <v>1106.6156023415624</v>
      </c>
      <c r="X18" s="209">
        <f t="shared" si="15"/>
        <v>0</v>
      </c>
      <c r="Y18" s="209">
        <f>W18+X18</f>
        <v>1106.6156023415624</v>
      </c>
      <c r="Z18" s="163"/>
      <c r="AA18" s="130"/>
      <c r="AB18" s="130"/>
      <c r="AC18" s="130"/>
      <c r="AD18" s="130"/>
      <c r="AE18" s="130"/>
      <c r="AF18" s="130"/>
    </row>
    <row r="19" spans="1:32">
      <c r="A19" s="132"/>
      <c r="B19" s="121" t="str">
        <f t="shared" si="13"/>
        <v>MEAL Cordinator</v>
      </c>
      <c r="C19" s="88">
        <f t="shared" si="13"/>
        <v>0.4</v>
      </c>
      <c r="D19" s="87" t="s">
        <v>467</v>
      </c>
      <c r="E19" s="87">
        <v>12</v>
      </c>
      <c r="F19" s="86">
        <v>0.13500000000000001</v>
      </c>
      <c r="G19" s="91">
        <f>G9</f>
        <v>1097.5121555128205</v>
      </c>
      <c r="H19" s="90">
        <f>C19*G19*E19*F19</f>
        <v>711.18787677230785</v>
      </c>
      <c r="I19" s="90">
        <f>H19</f>
        <v>711.18787677230785</v>
      </c>
      <c r="J19" s="90">
        <v>0</v>
      </c>
      <c r="K19" s="87">
        <f>C19</f>
        <v>0.4</v>
      </c>
      <c r="L19" s="87">
        <f>E19</f>
        <v>12</v>
      </c>
      <c r="M19" s="91">
        <f>M9</f>
        <v>1152.3877632884617</v>
      </c>
      <c r="N19" s="90">
        <f>F19*M19*K19*L19</f>
        <v>746.74727061092324</v>
      </c>
      <c r="O19" s="90">
        <f>N19</f>
        <v>746.74727061092324</v>
      </c>
      <c r="P19" s="90">
        <f>N19-O19</f>
        <v>0</v>
      </c>
      <c r="Q19" s="87">
        <f t="shared" si="14"/>
        <v>0.4</v>
      </c>
      <c r="R19" s="87">
        <f t="shared" si="14"/>
        <v>12</v>
      </c>
      <c r="S19" s="91">
        <f>S9</f>
        <v>1210.0071514528847</v>
      </c>
      <c r="T19" s="90">
        <f>F19*S19*Q19*R19</f>
        <v>784.08463414146922</v>
      </c>
      <c r="U19" s="90">
        <f>T19</f>
        <v>784.08463414146922</v>
      </c>
      <c r="V19" s="90">
        <f>T19-U19</f>
        <v>0</v>
      </c>
      <c r="W19" s="209">
        <f t="shared" si="15"/>
        <v>2242.0197815247002</v>
      </c>
      <c r="X19" s="209">
        <f t="shared" si="15"/>
        <v>0</v>
      </c>
      <c r="Y19" s="209">
        <f>W19+X19</f>
        <v>2242.0197815247002</v>
      </c>
      <c r="Z19" s="163"/>
      <c r="AA19" s="130"/>
      <c r="AB19" s="130"/>
      <c r="AC19" s="130"/>
      <c r="AD19" s="130"/>
      <c r="AE19" s="130"/>
      <c r="AF19" s="130"/>
    </row>
    <row r="20" spans="1:32">
      <c r="A20" s="132"/>
      <c r="B20" s="121" t="str">
        <f>B25</f>
        <v>Mang.&amp; tech.advisors - Nat.staff-Fringe Benefits</v>
      </c>
      <c r="C20" s="88"/>
      <c r="D20" s="87"/>
      <c r="E20" s="87"/>
      <c r="G20" s="91"/>
      <c r="H20" s="90"/>
      <c r="I20" s="90"/>
      <c r="J20" s="90"/>
      <c r="K20" s="87"/>
      <c r="L20" s="87"/>
      <c r="M20" s="91"/>
      <c r="N20" s="90"/>
      <c r="O20" s="90"/>
      <c r="P20" s="90"/>
      <c r="Q20" s="87"/>
      <c r="R20" s="87"/>
      <c r="S20" s="91"/>
      <c r="T20" s="90"/>
      <c r="U20" s="90"/>
      <c r="V20" s="90"/>
      <c r="W20" s="209">
        <f>W25</f>
        <v>3636.2980854861744</v>
      </c>
      <c r="X20" s="209">
        <f>X25</f>
        <v>1256.9795345138255</v>
      </c>
      <c r="Y20" s="209">
        <f>Y25</f>
        <v>4893.2776199999998</v>
      </c>
      <c r="Z20" s="163"/>
      <c r="AA20" s="130"/>
      <c r="AB20" s="130"/>
      <c r="AC20" s="130"/>
      <c r="AD20" s="130"/>
      <c r="AE20" s="130"/>
      <c r="AF20" s="130"/>
    </row>
    <row r="21" spans="1:32">
      <c r="A21" s="132"/>
      <c r="C21" s="88"/>
      <c r="D21" s="87"/>
      <c r="E21" s="87"/>
      <c r="G21" s="91"/>
      <c r="H21" s="90"/>
      <c r="I21" s="90"/>
      <c r="J21" s="90"/>
      <c r="K21" s="87"/>
      <c r="L21" s="87"/>
      <c r="M21" s="91"/>
      <c r="N21" s="90"/>
      <c r="O21" s="90"/>
      <c r="P21" s="90"/>
      <c r="Q21" s="87"/>
      <c r="R21" s="87"/>
      <c r="S21" s="91"/>
      <c r="T21" s="90"/>
      <c r="U21" s="90"/>
      <c r="V21" s="90"/>
      <c r="W21" s="210">
        <f>SUM(W15:W20)</f>
        <v>15098.242889489287</v>
      </c>
      <c r="X21" s="210">
        <f>SUM(X15:X20)</f>
        <v>1256.9795345138255</v>
      </c>
      <c r="Y21" s="210">
        <f>SUM(Y15:Y20)</f>
        <v>16355.222424003114</v>
      </c>
      <c r="Z21" s="163"/>
      <c r="AA21" s="130"/>
      <c r="AB21" s="130"/>
      <c r="AC21" s="130"/>
      <c r="AD21" s="130"/>
      <c r="AE21" s="130"/>
      <c r="AF21" s="130"/>
    </row>
    <row r="22" spans="1:32" s="92" customFormat="1">
      <c r="A22" s="132"/>
      <c r="B22" s="185" t="s">
        <v>468</v>
      </c>
      <c r="C22" s="123">
        <f>C10</f>
        <v>0.04</v>
      </c>
      <c r="D22" s="87" t="s">
        <v>467</v>
      </c>
      <c r="E22" s="87">
        <v>12</v>
      </c>
      <c r="F22" s="86">
        <v>0.28999999999999998</v>
      </c>
      <c r="G22" s="198">
        <v>119.46999999999998</v>
      </c>
      <c r="H22" s="200">
        <f>G22*E22*F22</f>
        <v>415.75559999999996</v>
      </c>
      <c r="I22" s="198">
        <v>311.81669999999997</v>
      </c>
      <c r="J22" s="199">
        <f>H22-I22</f>
        <v>103.93889999999999</v>
      </c>
      <c r="K22" s="204">
        <f>C22</f>
        <v>0.04</v>
      </c>
      <c r="L22" s="87">
        <f>E22</f>
        <v>12</v>
      </c>
      <c r="M22" s="198">
        <f>G22*$M$3</f>
        <v>163.56518229999998</v>
      </c>
      <c r="N22" s="200">
        <f>M22*L22*F22</f>
        <v>569.20683440399989</v>
      </c>
      <c r="O22" s="200">
        <f>I22*$O$3</f>
        <v>405.33052832999999</v>
      </c>
      <c r="P22" s="199">
        <f>N22-O22</f>
        <v>163.8763060739999</v>
      </c>
      <c r="Q22" s="204">
        <f>K22</f>
        <v>0.04</v>
      </c>
      <c r="R22" s="87">
        <f>L22</f>
        <v>12</v>
      </c>
      <c r="S22" s="198">
        <f>M22</f>
        <v>163.56518229999998</v>
      </c>
      <c r="T22" s="200">
        <f>F22*S22*R22</f>
        <v>569.20683440399989</v>
      </c>
      <c r="U22" s="200">
        <f>O22+(O22*$U$3)</f>
        <v>386.8028698800357</v>
      </c>
      <c r="V22" s="199">
        <f>T22-U22</f>
        <v>182.40396452396419</v>
      </c>
      <c r="W22" s="201">
        <f t="shared" si="15"/>
        <v>1103.9500982100358</v>
      </c>
      <c r="X22" s="198">
        <f t="shared" si="15"/>
        <v>450.21917059796408</v>
      </c>
      <c r="Y22" s="199">
        <f>W22+X22</f>
        <v>1554.1692688079997</v>
      </c>
      <c r="Z22" s="163">
        <f t="shared" si="10"/>
        <v>0</v>
      </c>
      <c r="AA22" s="130">
        <f t="shared" si="11"/>
        <v>0</v>
      </c>
      <c r="AB22" s="130">
        <f t="shared" si="11"/>
        <v>0</v>
      </c>
      <c r="AC22" s="130"/>
      <c r="AD22" s="130"/>
      <c r="AE22" s="130"/>
      <c r="AF22" s="130"/>
    </row>
    <row r="23" spans="1:32" s="92" customFormat="1">
      <c r="A23" s="132"/>
      <c r="B23" s="185" t="s">
        <v>469</v>
      </c>
      <c r="C23" s="123">
        <f>C10</f>
        <v>0.04</v>
      </c>
      <c r="D23" s="87" t="s">
        <v>456</v>
      </c>
      <c r="E23" s="87">
        <v>12</v>
      </c>
      <c r="F23" s="86">
        <v>1</v>
      </c>
      <c r="G23" s="198">
        <v>2234.56</v>
      </c>
      <c r="H23" s="198">
        <f>C23*G23*E23</f>
        <v>1072.5888</v>
      </c>
      <c r="I23" s="198">
        <v>804.44159999999999</v>
      </c>
      <c r="J23" s="199">
        <f>H23-I23</f>
        <v>268.1472</v>
      </c>
      <c r="K23" s="145">
        <f>K10</f>
        <v>0.04</v>
      </c>
      <c r="L23" s="87">
        <f>E23</f>
        <v>12</v>
      </c>
      <c r="M23" s="198">
        <f>G23*$M$3</f>
        <v>3059.3137503999997</v>
      </c>
      <c r="N23" s="200">
        <f>K23*M23*L23</f>
        <v>1468.4706001919999</v>
      </c>
      <c r="O23" s="200">
        <f>I23*$O$3</f>
        <v>1045.6936358400001</v>
      </c>
      <c r="P23" s="199">
        <f>N23-O23</f>
        <v>422.77696435199982</v>
      </c>
      <c r="Q23" s="145">
        <f>Q10</f>
        <v>0.04</v>
      </c>
      <c r="R23" s="87">
        <f t="shared" ref="R23:S25" si="16">L23</f>
        <v>12</v>
      </c>
      <c r="S23" s="198">
        <f t="shared" si="16"/>
        <v>3059.3137503999997</v>
      </c>
      <c r="T23" s="200">
        <f>Q23*S23*R23</f>
        <v>1468.4706001919999</v>
      </c>
      <c r="U23" s="200">
        <f>O23+(O23*$U$3)</f>
        <v>997.89497974575363</v>
      </c>
      <c r="V23" s="199">
        <f>T23-U23</f>
        <v>470.57562044624626</v>
      </c>
      <c r="W23" s="201">
        <f t="shared" si="15"/>
        <v>2848.0302155857535</v>
      </c>
      <c r="X23" s="198">
        <f t="shared" si="15"/>
        <v>1161.4997847982461</v>
      </c>
      <c r="Y23" s="199">
        <f>W23+X23</f>
        <v>4009.5300003839993</v>
      </c>
      <c r="Z23" s="163">
        <f t="shared" si="10"/>
        <v>0</v>
      </c>
      <c r="AA23" s="130">
        <f t="shared" si="11"/>
        <v>0</v>
      </c>
      <c r="AB23" s="130">
        <f t="shared" si="11"/>
        <v>0</v>
      </c>
      <c r="AC23" s="130"/>
      <c r="AD23" s="130"/>
      <c r="AE23" s="130"/>
      <c r="AF23" s="130"/>
    </row>
    <row r="24" spans="1:32" s="92" customFormat="1">
      <c r="A24" s="132"/>
      <c r="B24" s="185" t="s">
        <v>470</v>
      </c>
      <c r="C24" s="123">
        <f>C10</f>
        <v>0.04</v>
      </c>
      <c r="D24" s="87" t="s">
        <v>456</v>
      </c>
      <c r="E24" s="87">
        <v>12</v>
      </c>
      <c r="F24" s="86">
        <v>1</v>
      </c>
      <c r="G24" s="198">
        <v>1002.19</v>
      </c>
      <c r="H24" s="198">
        <f>C24*G24*E24</f>
        <v>481.05119999999999</v>
      </c>
      <c r="I24" s="198">
        <v>360.78840000000002</v>
      </c>
      <c r="J24" s="199">
        <f>H24-I24</f>
        <v>120.26279999999997</v>
      </c>
      <c r="K24" s="145">
        <f>K10</f>
        <v>0.04</v>
      </c>
      <c r="L24" s="87">
        <f>E24</f>
        <v>12</v>
      </c>
      <c r="M24" s="198">
        <f>G24*$M$3</f>
        <v>1372.0883071000001</v>
      </c>
      <c r="N24" s="200">
        <f>K24*M24*L24</f>
        <v>658.60238740800003</v>
      </c>
      <c r="O24" s="200">
        <f>I24*$O$3</f>
        <v>468.98884116000005</v>
      </c>
      <c r="P24" s="199">
        <f>N24-O24</f>
        <v>189.61354624799998</v>
      </c>
      <c r="Q24" s="145">
        <f>Q10</f>
        <v>0.04</v>
      </c>
      <c r="R24" s="87">
        <f t="shared" si="16"/>
        <v>12</v>
      </c>
      <c r="S24" s="198">
        <f t="shared" si="16"/>
        <v>1372.0883071000001</v>
      </c>
      <c r="T24" s="200">
        <f>Q24*S24*R24</f>
        <v>658.60238740800003</v>
      </c>
      <c r="U24" s="200">
        <f>O24+(O24*$U$3)</f>
        <v>447.55136123057645</v>
      </c>
      <c r="V24" s="199">
        <f>T24-U24</f>
        <v>211.05102617742358</v>
      </c>
      <c r="W24" s="201">
        <f t="shared" si="15"/>
        <v>1277.3286023905766</v>
      </c>
      <c r="X24" s="198">
        <f t="shared" si="15"/>
        <v>520.92737242542353</v>
      </c>
      <c r="Y24" s="199">
        <f>W24+X24</f>
        <v>1798.2559748160002</v>
      </c>
      <c r="Z24" s="163">
        <f t="shared" si="10"/>
        <v>0</v>
      </c>
      <c r="AA24" s="130">
        <f t="shared" si="11"/>
        <v>0</v>
      </c>
      <c r="AB24" s="130">
        <f t="shared" si="11"/>
        <v>0</v>
      </c>
      <c r="AC24" s="130"/>
      <c r="AD24" s="130"/>
      <c r="AE24" s="130"/>
      <c r="AF24" s="130"/>
    </row>
    <row r="25" spans="1:32" s="92" customFormat="1">
      <c r="A25" s="132"/>
      <c r="B25" s="185" t="s">
        <v>471</v>
      </c>
      <c r="C25" s="202">
        <f>C11</f>
        <v>0.65</v>
      </c>
      <c r="D25" s="87" t="s">
        <v>467</v>
      </c>
      <c r="E25" s="87">
        <v>12</v>
      </c>
      <c r="F25" s="86">
        <v>1</v>
      </c>
      <c r="G25" s="198">
        <f>1309/(C25*12)</f>
        <v>167.82051282051282</v>
      </c>
      <c r="H25" s="198">
        <f>C25*G25*E25</f>
        <v>1309</v>
      </c>
      <c r="I25" s="198">
        <v>1027.0921403703619</v>
      </c>
      <c r="J25" s="199">
        <f>H25-I25</f>
        <v>281.9078596296381</v>
      </c>
      <c r="K25" s="203">
        <f>C25</f>
        <v>0.65</v>
      </c>
      <c r="L25" s="87">
        <f>E25</f>
        <v>12</v>
      </c>
      <c r="M25" s="198">
        <f>G25*$M$3</f>
        <v>229.76138589743587</v>
      </c>
      <c r="N25" s="200">
        <f>K25*M25*L25</f>
        <v>1792.1388099999999</v>
      </c>
      <c r="O25" s="200">
        <f>I25*$O$3</f>
        <v>1335.1170732674334</v>
      </c>
      <c r="P25" s="199">
        <f>N25-O25</f>
        <v>457.02173673256652</v>
      </c>
      <c r="Q25" s="145">
        <f>K25</f>
        <v>0.65</v>
      </c>
      <c r="R25" s="87">
        <f t="shared" si="16"/>
        <v>12</v>
      </c>
      <c r="S25" s="198">
        <f t="shared" si="16"/>
        <v>229.76138589743587</v>
      </c>
      <c r="T25" s="200">
        <f>Q25*S25*R25</f>
        <v>1792.1388099999999</v>
      </c>
      <c r="U25" s="200">
        <f>O25+(O25*$U$3)</f>
        <v>1274.0888718483791</v>
      </c>
      <c r="V25" s="199">
        <f>T25-U25</f>
        <v>518.04993815162084</v>
      </c>
      <c r="W25" s="201">
        <f>I25+O25+U25</f>
        <v>3636.2980854861744</v>
      </c>
      <c r="X25" s="198">
        <f>J25+P25+V25</f>
        <v>1256.9795345138255</v>
      </c>
      <c r="Y25" s="199">
        <f>W25+X25</f>
        <v>4893.2776199999998</v>
      </c>
      <c r="Z25" s="163">
        <f t="shared" si="10"/>
        <v>0</v>
      </c>
      <c r="AA25" s="130">
        <f t="shared" si="11"/>
        <v>0</v>
      </c>
      <c r="AB25" s="130">
        <f t="shared" si="11"/>
        <v>0</v>
      </c>
      <c r="AC25" s="130"/>
      <c r="AD25" s="130"/>
      <c r="AE25" s="130"/>
      <c r="AF25" s="130"/>
    </row>
    <row r="26" spans="1:32">
      <c r="A26" s="177"/>
      <c r="B26" s="186" t="s">
        <v>472</v>
      </c>
      <c r="C26" s="87"/>
      <c r="D26" s="87"/>
      <c r="E26" s="101"/>
      <c r="F26" s="87"/>
      <c r="G26" s="102"/>
      <c r="H26" s="95">
        <f>SUM(H15:H25)</f>
        <v>6914.2226591603849</v>
      </c>
      <c r="I26" s="95">
        <f>SUM(I15:I25)</f>
        <v>6139.9658995307473</v>
      </c>
      <c r="J26" s="148">
        <f>SUM(J15:J25)</f>
        <v>774.25675962963805</v>
      </c>
      <c r="K26" s="145"/>
      <c r="L26" s="87"/>
      <c r="M26" s="101"/>
      <c r="N26" s="95">
        <f>SUM(N15:N25)</f>
        <v>8306.037044122404</v>
      </c>
      <c r="O26" s="95">
        <f>SUM(O15:O25)</f>
        <v>7072.7484907158378</v>
      </c>
      <c r="P26" s="95">
        <f>SUM(P15:P25)</f>
        <v>1233.2885534065663</v>
      </c>
      <c r="Q26" s="145"/>
      <c r="R26" s="87"/>
      <c r="S26" s="103"/>
      <c r="T26" s="95">
        <f t="shared" ref="T26:Y26" si="17">SUM(T15:T25)</f>
        <v>8496.9179647283254</v>
      </c>
      <c r="U26" s="95">
        <f t="shared" si="17"/>
        <v>7114.8374154290696</v>
      </c>
      <c r="V26" s="95">
        <f t="shared" si="17"/>
        <v>1382.0805492992549</v>
      </c>
      <c r="W26" s="154">
        <f t="shared" si="17"/>
        <v>39062.092780651117</v>
      </c>
      <c r="X26" s="95">
        <f t="shared" si="17"/>
        <v>5903.5849313631097</v>
      </c>
      <c r="Y26" s="148">
        <f t="shared" si="17"/>
        <v>44965.677712014229</v>
      </c>
      <c r="Z26" s="163">
        <f t="shared" si="10"/>
        <v>-21248.500044003114</v>
      </c>
      <c r="AA26" s="130">
        <f t="shared" si="11"/>
        <v>-18734.540974975462</v>
      </c>
      <c r="AB26" s="130">
        <f t="shared" si="11"/>
        <v>-2513.9590690276505</v>
      </c>
      <c r="AC26" s="205"/>
      <c r="AD26" s="206"/>
      <c r="AE26" s="205"/>
      <c r="AF26" s="130"/>
    </row>
    <row r="27" spans="1:32">
      <c r="A27" s="132"/>
      <c r="B27" s="187" t="s">
        <v>473</v>
      </c>
      <c r="C27" s="99"/>
      <c r="D27" s="99"/>
      <c r="E27" s="97"/>
      <c r="F27" s="98"/>
      <c r="G27" s="97"/>
      <c r="H27" s="97"/>
      <c r="I27" s="99"/>
      <c r="J27" s="150"/>
      <c r="K27" s="151"/>
      <c r="L27" s="99"/>
      <c r="M27" s="97"/>
      <c r="N27" s="97"/>
      <c r="O27" s="99"/>
      <c r="P27" s="150"/>
      <c r="Q27" s="151"/>
      <c r="R27" s="99"/>
      <c r="S27" s="97"/>
      <c r="T27" s="97"/>
      <c r="U27" s="99"/>
      <c r="V27" s="150"/>
      <c r="W27" s="151"/>
      <c r="X27" s="99"/>
      <c r="Y27" s="168"/>
      <c r="Z27" s="163">
        <f t="shared" si="10"/>
        <v>0</v>
      </c>
      <c r="AA27" s="130">
        <f t="shared" si="11"/>
        <v>0</v>
      </c>
      <c r="AB27" s="130">
        <f t="shared" si="11"/>
        <v>0</v>
      </c>
    </row>
    <row r="28" spans="1:32">
      <c r="A28" s="177"/>
      <c r="B28" s="185" t="s">
        <v>474</v>
      </c>
      <c r="C28" s="104">
        <v>14</v>
      </c>
      <c r="D28" s="105" t="s">
        <v>475</v>
      </c>
      <c r="E28" s="104">
        <v>1</v>
      </c>
      <c r="F28" s="86">
        <v>1</v>
      </c>
      <c r="G28" s="198">
        <f>13000/$G$3</f>
        <v>200</v>
      </c>
      <c r="H28" s="200">
        <f>C28*G28*E28</f>
        <v>2800</v>
      </c>
      <c r="I28" s="198">
        <f>H28</f>
        <v>2800</v>
      </c>
      <c r="J28" s="199">
        <f>H28-I28</f>
        <v>0</v>
      </c>
      <c r="K28" s="145">
        <v>16</v>
      </c>
      <c r="L28" s="87">
        <v>1</v>
      </c>
      <c r="M28" s="198">
        <f>G28*1.05</f>
        <v>210</v>
      </c>
      <c r="N28" s="200">
        <f>K28*M28*L28</f>
        <v>3360</v>
      </c>
      <c r="O28" s="198">
        <f>N28</f>
        <v>3360</v>
      </c>
      <c r="P28" s="199">
        <f>N28-O28</f>
        <v>0</v>
      </c>
      <c r="Q28" s="145">
        <v>16</v>
      </c>
      <c r="R28" s="87">
        <f t="shared" ref="Q28:R32" si="18">L28</f>
        <v>1</v>
      </c>
      <c r="S28" s="90">
        <f>M28*1.05</f>
        <v>220.5</v>
      </c>
      <c r="T28" s="91">
        <f>Q28*S28*R28</f>
        <v>3528</v>
      </c>
      <c r="U28" s="90">
        <f>T28</f>
        <v>3528</v>
      </c>
      <c r="V28" s="146">
        <f>T28-U28</f>
        <v>0</v>
      </c>
      <c r="W28" s="167">
        <f t="shared" ref="W28:X32" si="19">I28+O28+U28</f>
        <v>9688</v>
      </c>
      <c r="X28" s="90">
        <f t="shared" si="19"/>
        <v>0</v>
      </c>
      <c r="Y28" s="146">
        <f>W28+X28</f>
        <v>9688</v>
      </c>
      <c r="Z28" s="163">
        <f t="shared" si="10"/>
        <v>0</v>
      </c>
      <c r="AA28" s="130">
        <f t="shared" si="11"/>
        <v>0</v>
      </c>
      <c r="AB28" s="130">
        <f t="shared" si="11"/>
        <v>0</v>
      </c>
      <c r="AC28" s="130"/>
      <c r="AD28" s="130"/>
      <c r="AE28" s="130"/>
      <c r="AF28" s="130"/>
    </row>
    <row r="29" spans="1:32">
      <c r="A29" s="177"/>
      <c r="B29" s="185" t="s">
        <v>476</v>
      </c>
      <c r="C29" s="104">
        <f>C28*3</f>
        <v>42</v>
      </c>
      <c r="D29" s="105" t="s">
        <v>477</v>
      </c>
      <c r="E29" s="104">
        <v>1</v>
      </c>
      <c r="F29" s="86">
        <v>1</v>
      </c>
      <c r="G29" s="198">
        <f>2700/$G$3</f>
        <v>41.53846153846154</v>
      </c>
      <c r="H29" s="200">
        <f>C29*G29*E29</f>
        <v>1744.6153846153848</v>
      </c>
      <c r="I29" s="198">
        <f>H29</f>
        <v>1744.6153846153848</v>
      </c>
      <c r="J29" s="199">
        <f>H29-I29</f>
        <v>0</v>
      </c>
      <c r="K29" s="145">
        <f>K28*3</f>
        <v>48</v>
      </c>
      <c r="L29" s="87">
        <v>1</v>
      </c>
      <c r="M29" s="198">
        <f>G29*1.05</f>
        <v>43.61538461538462</v>
      </c>
      <c r="N29" s="200">
        <f>K29*M29*L29</f>
        <v>2093.5384615384619</v>
      </c>
      <c r="O29" s="198">
        <f>N29</f>
        <v>2093.5384615384619</v>
      </c>
      <c r="P29" s="199">
        <f>N29-O29</f>
        <v>0</v>
      </c>
      <c r="Q29" s="145">
        <f>Q28*3</f>
        <v>48</v>
      </c>
      <c r="R29" s="87">
        <f t="shared" si="18"/>
        <v>1</v>
      </c>
      <c r="S29" s="90">
        <f>M29*1.05</f>
        <v>45.796153846153857</v>
      </c>
      <c r="T29" s="91">
        <f>Q29*S29*R29</f>
        <v>2198.2153846153851</v>
      </c>
      <c r="U29" s="90">
        <f>T29</f>
        <v>2198.2153846153851</v>
      </c>
      <c r="V29" s="146">
        <f>T29-U29</f>
        <v>0</v>
      </c>
      <c r="W29" s="167">
        <f t="shared" si="19"/>
        <v>6036.3692307692318</v>
      </c>
      <c r="X29" s="90">
        <f t="shared" si="19"/>
        <v>0</v>
      </c>
      <c r="Y29" s="146">
        <f>W29+X29</f>
        <v>6036.3692307692318</v>
      </c>
      <c r="Z29" s="163">
        <f t="shared" si="10"/>
        <v>0</v>
      </c>
      <c r="AA29" s="130">
        <f t="shared" si="11"/>
        <v>0</v>
      </c>
      <c r="AB29" s="130">
        <f t="shared" si="11"/>
        <v>0</v>
      </c>
      <c r="AC29" s="130"/>
      <c r="AD29" s="130"/>
      <c r="AE29" s="130"/>
      <c r="AF29" s="130"/>
    </row>
    <row r="30" spans="1:32">
      <c r="A30" s="177"/>
      <c r="B30" s="185" t="s">
        <v>478</v>
      </c>
      <c r="C30" s="104">
        <f>C28*3</f>
        <v>42</v>
      </c>
      <c r="D30" s="105" t="s">
        <v>479</v>
      </c>
      <c r="E30" s="104">
        <v>1</v>
      </c>
      <c r="F30" s="86">
        <v>1</v>
      </c>
      <c r="G30" s="198">
        <f>1000/$G$3</f>
        <v>15.384615384615385</v>
      </c>
      <c r="H30" s="200">
        <f>C30*G30*E30</f>
        <v>646.15384615384619</v>
      </c>
      <c r="I30" s="198">
        <f>H30</f>
        <v>646.15384615384619</v>
      </c>
      <c r="J30" s="199">
        <f>H30-I30</f>
        <v>0</v>
      </c>
      <c r="K30" s="145">
        <f>K28*3</f>
        <v>48</v>
      </c>
      <c r="L30" s="87">
        <v>1</v>
      </c>
      <c r="M30" s="198">
        <f>G30*1.05</f>
        <v>16.153846153846153</v>
      </c>
      <c r="N30" s="200">
        <f>K30*M30*L30</f>
        <v>775.38461538461536</v>
      </c>
      <c r="O30" s="198">
        <f>N30</f>
        <v>775.38461538461536</v>
      </c>
      <c r="P30" s="199">
        <f>N30-O30</f>
        <v>0</v>
      </c>
      <c r="Q30" s="145">
        <f>Q28*3</f>
        <v>48</v>
      </c>
      <c r="R30" s="87">
        <f t="shared" si="18"/>
        <v>1</v>
      </c>
      <c r="S30" s="90">
        <f>M30*1.05</f>
        <v>16.961538461538463</v>
      </c>
      <c r="T30" s="91">
        <f>Q30*S30*R30</f>
        <v>814.15384615384619</v>
      </c>
      <c r="U30" s="90">
        <f>T30</f>
        <v>814.15384615384619</v>
      </c>
      <c r="V30" s="146">
        <f>T30-U30</f>
        <v>0</v>
      </c>
      <c r="W30" s="167">
        <f t="shared" si="19"/>
        <v>2235.6923076923076</v>
      </c>
      <c r="X30" s="90">
        <f t="shared" si="19"/>
        <v>0</v>
      </c>
      <c r="Y30" s="146">
        <f>W30+X30</f>
        <v>2235.6923076923076</v>
      </c>
      <c r="Z30" s="163">
        <f t="shared" si="10"/>
        <v>0</v>
      </c>
      <c r="AA30" s="130">
        <f t="shared" si="11"/>
        <v>0</v>
      </c>
      <c r="AB30" s="130">
        <f t="shared" si="11"/>
        <v>0</v>
      </c>
      <c r="AC30" s="130"/>
      <c r="AD30" s="130"/>
      <c r="AE30" s="130"/>
      <c r="AF30" s="130"/>
    </row>
    <row r="31" spans="1:32">
      <c r="A31" s="177"/>
      <c r="B31" s="185" t="s">
        <v>480</v>
      </c>
      <c r="C31" s="87">
        <v>1</v>
      </c>
      <c r="D31" s="87" t="s">
        <v>254</v>
      </c>
      <c r="E31" s="87">
        <v>12</v>
      </c>
      <c r="F31" s="89">
        <v>1</v>
      </c>
      <c r="G31" s="198">
        <v>69.849999999999994</v>
      </c>
      <c r="H31" s="200">
        <f>C31*G31*E31</f>
        <v>838.19999999999993</v>
      </c>
      <c r="I31" s="198">
        <v>755.92439999999999</v>
      </c>
      <c r="J31" s="199">
        <f>H31-I31</f>
        <v>82.27559999999994</v>
      </c>
      <c r="K31" s="145">
        <v>12</v>
      </c>
      <c r="L31" s="87">
        <v>1</v>
      </c>
      <c r="M31" s="198">
        <f>G31*$M$3</f>
        <v>95.63093649999999</v>
      </c>
      <c r="N31" s="200">
        <f>K31*M31*L31</f>
        <v>1147.571238</v>
      </c>
      <c r="O31" s="200">
        <f>I31*$O$3</f>
        <v>982.62612755999999</v>
      </c>
      <c r="P31" s="199">
        <f>N31-O31</f>
        <v>164.94511044000001</v>
      </c>
      <c r="Q31" s="145">
        <f t="shared" si="18"/>
        <v>12</v>
      </c>
      <c r="R31" s="87">
        <f t="shared" si="18"/>
        <v>1</v>
      </c>
      <c r="S31" s="198">
        <f>M31</f>
        <v>95.63093649999999</v>
      </c>
      <c r="T31" s="200">
        <f>Q31*S31*R31</f>
        <v>1147.571238</v>
      </c>
      <c r="U31" s="200">
        <f>O31+(O31*$U$3)</f>
        <v>937.71028726923237</v>
      </c>
      <c r="V31" s="199">
        <f>T31-U31</f>
        <v>209.86095073076763</v>
      </c>
      <c r="W31" s="201">
        <f t="shared" si="19"/>
        <v>2676.260814829232</v>
      </c>
      <c r="X31" s="198">
        <f t="shared" si="19"/>
        <v>457.08166117076757</v>
      </c>
      <c r="Y31" s="199">
        <f>W31+X31</f>
        <v>3133.3424759999998</v>
      </c>
      <c r="Z31" s="163">
        <f t="shared" si="10"/>
        <v>0</v>
      </c>
      <c r="AA31" s="130">
        <f t="shared" si="11"/>
        <v>0</v>
      </c>
      <c r="AB31" s="130">
        <f t="shared" si="11"/>
        <v>0</v>
      </c>
      <c r="AC31" s="130"/>
      <c r="AD31" s="130"/>
      <c r="AE31" s="130"/>
      <c r="AF31" s="130"/>
    </row>
    <row r="32" spans="1:32" s="92" customFormat="1">
      <c r="A32" s="132"/>
      <c r="B32" s="185" t="s">
        <v>481</v>
      </c>
      <c r="C32" s="87">
        <v>1</v>
      </c>
      <c r="D32" s="87" t="s">
        <v>254</v>
      </c>
      <c r="E32" s="87">
        <v>12</v>
      </c>
      <c r="F32" s="86">
        <v>1</v>
      </c>
      <c r="G32" s="198">
        <f>18000/$G$3</f>
        <v>276.92307692307691</v>
      </c>
      <c r="H32" s="200">
        <f>C32*G32*E32</f>
        <v>3323.0769230769229</v>
      </c>
      <c r="I32" s="198">
        <v>3323</v>
      </c>
      <c r="J32" s="199">
        <f>H32-I32</f>
        <v>7.692307692286704E-2</v>
      </c>
      <c r="K32" s="145">
        <v>12</v>
      </c>
      <c r="L32" s="87">
        <v>1</v>
      </c>
      <c r="M32" s="198">
        <f>G32*$M$3</f>
        <v>379.13261538461535</v>
      </c>
      <c r="N32" s="200">
        <f>K32*M32*L32</f>
        <v>4549.5913846153844</v>
      </c>
      <c r="O32" s="200">
        <f>I32*$O$3</f>
        <v>4319.5677000000005</v>
      </c>
      <c r="P32" s="199">
        <f>N32-O32</f>
        <v>230.0236846153839</v>
      </c>
      <c r="Q32" s="145">
        <f t="shared" si="18"/>
        <v>12</v>
      </c>
      <c r="R32" s="87">
        <f t="shared" si="18"/>
        <v>1</v>
      </c>
      <c r="S32" s="198">
        <f>M32</f>
        <v>379.13261538461535</v>
      </c>
      <c r="T32" s="200">
        <f>Q32*S32*R32</f>
        <v>4549.5913846153844</v>
      </c>
      <c r="U32" s="200">
        <f>O32+(O32*$U$3)</f>
        <v>4122.1202604330001</v>
      </c>
      <c r="V32" s="199">
        <f>T32-U32</f>
        <v>427.4711241823843</v>
      </c>
      <c r="W32" s="201">
        <f t="shared" si="19"/>
        <v>11764.687960433001</v>
      </c>
      <c r="X32" s="198">
        <f t="shared" si="19"/>
        <v>657.57173187469107</v>
      </c>
      <c r="Y32" s="199">
        <f>W32+X32</f>
        <v>12422.259692307693</v>
      </c>
      <c r="Z32" s="163">
        <f t="shared" si="10"/>
        <v>0</v>
      </c>
      <c r="AA32" s="130">
        <f t="shared" si="11"/>
        <v>0</v>
      </c>
      <c r="AB32" s="130">
        <f t="shared" si="11"/>
        <v>0</v>
      </c>
      <c r="AC32" s="130"/>
      <c r="AD32" s="130"/>
      <c r="AE32" s="130"/>
      <c r="AF32" s="130"/>
    </row>
    <row r="33" spans="1:32" s="92" customFormat="1">
      <c r="A33" s="132"/>
      <c r="B33" s="186" t="s">
        <v>482</v>
      </c>
      <c r="C33" s="106"/>
      <c r="D33" s="84"/>
      <c r="E33" s="93"/>
      <c r="F33" s="94"/>
      <c r="G33" s="93"/>
      <c r="H33" s="95">
        <f>SUM(H28:H32)</f>
        <v>9352.0461538461532</v>
      </c>
      <c r="I33" s="95">
        <f>SUM(I28:I32)</f>
        <v>9269.6936307692304</v>
      </c>
      <c r="J33" s="148">
        <f>SUM(J28:J32)</f>
        <v>82.352523076922807</v>
      </c>
      <c r="K33" s="152"/>
      <c r="L33" s="84"/>
      <c r="M33" s="93"/>
      <c r="N33" s="95">
        <f>SUM(N28:N32)</f>
        <v>11926.08569953846</v>
      </c>
      <c r="O33" s="95">
        <f>SUM(O28:O32)</f>
        <v>11531.116904483079</v>
      </c>
      <c r="P33" s="148">
        <f>SUM(P28:P32)</f>
        <v>394.96879505538391</v>
      </c>
      <c r="Q33" s="152"/>
      <c r="R33" s="84"/>
      <c r="S33" s="93"/>
      <c r="T33" s="95">
        <f t="shared" ref="T33:Y33" si="20">SUM(T28:T32)</f>
        <v>12237.531853384615</v>
      </c>
      <c r="U33" s="95">
        <f t="shared" si="20"/>
        <v>11600.199778471462</v>
      </c>
      <c r="V33" s="148">
        <f t="shared" si="20"/>
        <v>637.33207491315193</v>
      </c>
      <c r="W33" s="154">
        <f t="shared" si="20"/>
        <v>32401.010313723775</v>
      </c>
      <c r="X33" s="95">
        <f t="shared" si="20"/>
        <v>1114.6533930454586</v>
      </c>
      <c r="Y33" s="148">
        <f t="shared" si="20"/>
        <v>33515.663706769235</v>
      </c>
      <c r="Z33" s="163">
        <f t="shared" si="10"/>
        <v>0</v>
      </c>
      <c r="AA33" s="130">
        <f t="shared" si="11"/>
        <v>0</v>
      </c>
      <c r="AB33" s="130">
        <f t="shared" si="11"/>
        <v>0</v>
      </c>
      <c r="AC33" s="205"/>
      <c r="AD33" s="205"/>
      <c r="AE33" s="205"/>
      <c r="AF33" s="130"/>
    </row>
    <row r="34" spans="1:32">
      <c r="A34" s="177"/>
      <c r="B34" s="187" t="s">
        <v>483</v>
      </c>
      <c r="C34" s="99"/>
      <c r="D34" s="99"/>
      <c r="E34" s="97"/>
      <c r="F34" s="98"/>
      <c r="G34" s="97"/>
      <c r="H34" s="107"/>
      <c r="I34" s="108"/>
      <c r="J34" s="153"/>
      <c r="K34" s="151"/>
      <c r="L34" s="99"/>
      <c r="M34" s="97"/>
      <c r="N34" s="107"/>
      <c r="O34" s="108"/>
      <c r="P34" s="153"/>
      <c r="Q34" s="151"/>
      <c r="R34" s="99"/>
      <c r="S34" s="97"/>
      <c r="T34" s="107"/>
      <c r="U34" s="108"/>
      <c r="V34" s="153"/>
      <c r="W34" s="155"/>
      <c r="X34" s="108"/>
      <c r="Y34" s="168"/>
      <c r="Z34" s="163">
        <f t="shared" si="10"/>
        <v>0</v>
      </c>
      <c r="AA34" s="130">
        <f t="shared" si="11"/>
        <v>0</v>
      </c>
      <c r="AB34" s="130">
        <f t="shared" si="11"/>
        <v>0</v>
      </c>
    </row>
    <row r="35" spans="1:32">
      <c r="A35" s="177"/>
      <c r="B35" s="188" t="s">
        <v>484</v>
      </c>
      <c r="C35" s="87">
        <v>1</v>
      </c>
      <c r="D35" s="87" t="s">
        <v>254</v>
      </c>
      <c r="E35" s="87">
        <v>12</v>
      </c>
      <c r="F35" s="86">
        <v>1</v>
      </c>
      <c r="G35" s="90">
        <v>223.25384615384615</v>
      </c>
      <c r="H35" s="90">
        <f>C35*G35*E35</f>
        <v>2679.0461538461541</v>
      </c>
      <c r="I35" s="90">
        <f>C35*E35*F35*211.54</f>
        <v>2538.48</v>
      </c>
      <c r="J35" s="146">
        <f>H35-I35</f>
        <v>140.56615384615407</v>
      </c>
      <c r="K35" s="145">
        <f>C35</f>
        <v>1</v>
      </c>
      <c r="L35" s="87">
        <f>E35</f>
        <v>12</v>
      </c>
      <c r="M35" s="90">
        <f>G35*1.05</f>
        <v>234.41653846153847</v>
      </c>
      <c r="N35" s="90">
        <f>K35*M35*L35*F35</f>
        <v>2812.9984615384615</v>
      </c>
      <c r="O35" s="90">
        <f>I35*1.05</f>
        <v>2665.404</v>
      </c>
      <c r="P35" s="146">
        <f>N35-O35</f>
        <v>147.59446153846147</v>
      </c>
      <c r="Q35" s="145">
        <f>K35</f>
        <v>1</v>
      </c>
      <c r="R35" s="87">
        <f>L35</f>
        <v>12</v>
      </c>
      <c r="S35" s="90">
        <f>M35*1.05</f>
        <v>246.13736538461541</v>
      </c>
      <c r="T35" s="90">
        <f>Q35*S35*R35*F35</f>
        <v>2953.6483846153851</v>
      </c>
      <c r="U35" s="90">
        <f>O35*1.05</f>
        <v>2798.6741999999999</v>
      </c>
      <c r="V35" s="146">
        <f>T35-U35</f>
        <v>154.97418461538518</v>
      </c>
      <c r="W35" s="167">
        <f>I35+O35+U35</f>
        <v>8002.5581999999995</v>
      </c>
      <c r="X35" s="90">
        <f>J35+P35+V35</f>
        <v>443.13480000000072</v>
      </c>
      <c r="Y35" s="146">
        <f>W35+X35</f>
        <v>8445.6929999999993</v>
      </c>
      <c r="Z35" s="163">
        <f t="shared" si="10"/>
        <v>0</v>
      </c>
      <c r="AA35" s="130">
        <f t="shared" si="11"/>
        <v>0</v>
      </c>
      <c r="AB35" s="130">
        <f t="shared" si="11"/>
        <v>0</v>
      </c>
      <c r="AC35" s="130"/>
      <c r="AD35" s="130"/>
      <c r="AE35" s="130"/>
      <c r="AF35" s="130"/>
    </row>
    <row r="36" spans="1:32">
      <c r="A36" s="177"/>
      <c r="B36" s="185" t="s">
        <v>485</v>
      </c>
      <c r="C36" s="87">
        <v>1</v>
      </c>
      <c r="D36" s="87" t="s">
        <v>254</v>
      </c>
      <c r="E36" s="87">
        <v>12</v>
      </c>
      <c r="F36" s="86">
        <v>1</v>
      </c>
      <c r="G36" s="90">
        <f>3000/$G$3</f>
        <v>46.153846153846153</v>
      </c>
      <c r="H36" s="90">
        <f>C36*G36*E36</f>
        <v>553.84615384615381</v>
      </c>
      <c r="I36" s="90">
        <f>H36</f>
        <v>553.84615384615381</v>
      </c>
      <c r="J36" s="146">
        <f>H36-I36</f>
        <v>0</v>
      </c>
      <c r="K36" s="145">
        <f>C36</f>
        <v>1</v>
      </c>
      <c r="L36" s="87">
        <f>E36</f>
        <v>12</v>
      </c>
      <c r="M36" s="90">
        <f>G36*1.05</f>
        <v>48.46153846153846</v>
      </c>
      <c r="N36" s="90">
        <f>K36*M36*L36*F36</f>
        <v>581.53846153846155</v>
      </c>
      <c r="O36" s="90">
        <f>N36</f>
        <v>581.53846153846155</v>
      </c>
      <c r="P36" s="146">
        <f>N36-O36</f>
        <v>0</v>
      </c>
      <c r="Q36" s="145">
        <f>K36</f>
        <v>1</v>
      </c>
      <c r="R36" s="87">
        <f>L36</f>
        <v>12</v>
      </c>
      <c r="S36" s="90">
        <f>M36*1.05</f>
        <v>50.884615384615387</v>
      </c>
      <c r="T36" s="90">
        <f>Q36*S36*R36*F36</f>
        <v>610.61538461538464</v>
      </c>
      <c r="U36" s="90">
        <f>T36</f>
        <v>610.61538461538464</v>
      </c>
      <c r="V36" s="146">
        <f>T36-U36</f>
        <v>0</v>
      </c>
      <c r="W36" s="167">
        <f>I36+O36+U36</f>
        <v>1746</v>
      </c>
      <c r="X36" s="90">
        <f>J36+P36+V36</f>
        <v>0</v>
      </c>
      <c r="Y36" s="146">
        <f>W36+X36</f>
        <v>1746</v>
      </c>
      <c r="Z36" s="163">
        <f t="shared" si="10"/>
        <v>0</v>
      </c>
      <c r="AA36" s="130">
        <f t="shared" si="11"/>
        <v>0</v>
      </c>
      <c r="AB36" s="130">
        <f t="shared" si="11"/>
        <v>0</v>
      </c>
      <c r="AC36" s="130"/>
      <c r="AD36" s="130"/>
      <c r="AE36" s="130"/>
      <c r="AF36" s="130"/>
    </row>
    <row r="37" spans="1:32">
      <c r="A37" s="177"/>
      <c r="B37" s="186" t="s">
        <v>486</v>
      </c>
      <c r="C37" s="87"/>
      <c r="D37" s="87"/>
      <c r="E37" s="109"/>
      <c r="G37" s="109"/>
      <c r="H37" s="95">
        <f>SUM(H35:H36)</f>
        <v>3232.8923076923079</v>
      </c>
      <c r="I37" s="95">
        <f>SUM(I35:I36)</f>
        <v>3092.3261538461538</v>
      </c>
      <c r="J37" s="148">
        <f>SUM(J35:J36)</f>
        <v>140.56615384615407</v>
      </c>
      <c r="K37" s="145"/>
      <c r="L37" s="87"/>
      <c r="M37" s="109"/>
      <c r="N37" s="95">
        <f>SUM(N35:N36)</f>
        <v>3394.5369230769229</v>
      </c>
      <c r="O37" s="95">
        <f>SUM(O35:O36)</f>
        <v>3246.9424615384614</v>
      </c>
      <c r="P37" s="148">
        <f>SUM(P35:P36)</f>
        <v>147.59446153846147</v>
      </c>
      <c r="Q37" s="145"/>
      <c r="R37" s="87"/>
      <c r="S37" s="90"/>
      <c r="T37" s="95">
        <f t="shared" ref="T37:Y37" si="21">SUM(T35:T36)</f>
        <v>3564.2637692307699</v>
      </c>
      <c r="U37" s="95">
        <f t="shared" si="21"/>
        <v>3409.2895846153847</v>
      </c>
      <c r="V37" s="148">
        <f t="shared" si="21"/>
        <v>154.97418461538518</v>
      </c>
      <c r="W37" s="154">
        <f t="shared" si="21"/>
        <v>9748.5581999999995</v>
      </c>
      <c r="X37" s="95">
        <f t="shared" si="21"/>
        <v>443.13480000000072</v>
      </c>
      <c r="Y37" s="148">
        <f t="shared" si="21"/>
        <v>10191.692999999999</v>
      </c>
      <c r="Z37" s="163">
        <f t="shared" si="10"/>
        <v>0</v>
      </c>
      <c r="AA37" s="130">
        <f t="shared" si="11"/>
        <v>0</v>
      </c>
      <c r="AB37" s="130">
        <f t="shared" si="11"/>
        <v>0</v>
      </c>
      <c r="AC37" s="205"/>
      <c r="AD37" s="205"/>
      <c r="AE37" s="205"/>
      <c r="AF37" s="130"/>
    </row>
    <row r="38" spans="1:32">
      <c r="A38" s="177"/>
      <c r="B38" s="187" t="s">
        <v>487</v>
      </c>
      <c r="C38" s="99"/>
      <c r="D38" s="99"/>
      <c r="E38" s="96"/>
      <c r="F38" s="98"/>
      <c r="G38" s="96"/>
      <c r="H38" s="107"/>
      <c r="I38" s="110"/>
      <c r="J38" s="189"/>
      <c r="K38" s="151"/>
      <c r="L38" s="99"/>
      <c r="M38" s="96"/>
      <c r="N38" s="107"/>
      <c r="O38" s="108"/>
      <c r="P38" s="153"/>
      <c r="Q38" s="151"/>
      <c r="R38" s="99"/>
      <c r="S38" s="96"/>
      <c r="T38" s="107"/>
      <c r="U38" s="108"/>
      <c r="V38" s="153"/>
      <c r="W38" s="155"/>
      <c r="X38" s="108"/>
      <c r="Y38" s="168"/>
      <c r="Z38" s="163">
        <f t="shared" si="10"/>
        <v>0</v>
      </c>
      <c r="AA38" s="130">
        <f t="shared" si="11"/>
        <v>0</v>
      </c>
      <c r="AB38" s="130">
        <f t="shared" si="11"/>
        <v>0</v>
      </c>
    </row>
    <row r="39" spans="1:32">
      <c r="A39" s="177"/>
      <c r="B39" s="185" t="s">
        <v>488</v>
      </c>
      <c r="C39" s="87">
        <v>1</v>
      </c>
      <c r="D39" s="171" t="s">
        <v>324</v>
      </c>
      <c r="E39" s="87">
        <v>1</v>
      </c>
      <c r="F39" s="86">
        <v>1</v>
      </c>
      <c r="G39" s="90">
        <f>Cereal!J42</f>
        <v>17932.32</v>
      </c>
      <c r="H39" s="90">
        <f>Cereal!J42</f>
        <v>17932.32</v>
      </c>
      <c r="I39" s="90">
        <f>Cereal!K42</f>
        <v>17932.32</v>
      </c>
      <c r="J39" s="146">
        <f>Cereal!L42</f>
        <v>0</v>
      </c>
      <c r="K39" s="145">
        <v>1</v>
      </c>
      <c r="L39" s="87">
        <v>1</v>
      </c>
      <c r="M39" s="90">
        <f>Cereal!M42</f>
        <v>25716.312000000002</v>
      </c>
      <c r="N39" s="90">
        <f>Cereal!M42</f>
        <v>25716.312000000002</v>
      </c>
      <c r="O39" s="90">
        <f>Cereal!N42</f>
        <v>25716.312000000002</v>
      </c>
      <c r="P39" s="146">
        <f>Cereal!O42</f>
        <v>0</v>
      </c>
      <c r="Q39" s="145">
        <v>1</v>
      </c>
      <c r="R39" s="87">
        <f>L39</f>
        <v>1</v>
      </c>
      <c r="S39" s="90">
        <f>Cereal!P42</f>
        <v>6425.71245</v>
      </c>
      <c r="T39" s="90">
        <f>Q39*S39*R39*F39</f>
        <v>6425.71245</v>
      </c>
      <c r="U39" s="90">
        <f>Cereal!Q42</f>
        <v>6425.71245</v>
      </c>
      <c r="V39" s="146">
        <f>Cereal!R42</f>
        <v>0</v>
      </c>
      <c r="W39" s="167">
        <f>I39+O39+U39</f>
        <v>50074.344449999997</v>
      </c>
      <c r="X39" s="90">
        <f>J39+P39+V39</f>
        <v>0</v>
      </c>
      <c r="Y39" s="146">
        <f>W39+X39</f>
        <v>50074.344449999997</v>
      </c>
      <c r="Z39" s="163">
        <f t="shared" si="10"/>
        <v>0</v>
      </c>
      <c r="AA39" s="130">
        <f t="shared" si="11"/>
        <v>0</v>
      </c>
      <c r="AB39" s="130">
        <f t="shared" si="11"/>
        <v>0</v>
      </c>
      <c r="AC39" s="130"/>
      <c r="AD39" s="130"/>
      <c r="AE39" s="130"/>
      <c r="AF39" s="130"/>
    </row>
    <row r="40" spans="1:32" ht="23.1">
      <c r="A40" s="177"/>
      <c r="B40" s="185" t="s">
        <v>489</v>
      </c>
      <c r="C40" s="87">
        <v>10</v>
      </c>
      <c r="D40" s="171" t="s">
        <v>324</v>
      </c>
      <c r="E40" s="87">
        <v>12</v>
      </c>
      <c r="F40" s="86">
        <v>1</v>
      </c>
      <c r="G40" s="90">
        <f>3000/$G$3</f>
        <v>46.153846153846153</v>
      </c>
      <c r="H40" s="91">
        <f>C40*G40*E40</f>
        <v>5538.461538461539</v>
      </c>
      <c r="I40" s="90">
        <v>0</v>
      </c>
      <c r="J40" s="146">
        <f>H40-I40</f>
        <v>5538.461538461539</v>
      </c>
      <c r="K40" s="145">
        <f>C40</f>
        <v>10</v>
      </c>
      <c r="L40" s="87">
        <f>E40</f>
        <v>12</v>
      </c>
      <c r="M40" s="90">
        <f>G40*1.05</f>
        <v>48.46153846153846</v>
      </c>
      <c r="N40" s="91">
        <f>6*E40*F40*G40</f>
        <v>3323.0769230769229</v>
      </c>
      <c r="O40" s="90">
        <v>0</v>
      </c>
      <c r="P40" s="146">
        <f>N40-O40</f>
        <v>3323.0769230769229</v>
      </c>
      <c r="Q40" s="145">
        <f>K40</f>
        <v>10</v>
      </c>
      <c r="R40" s="87">
        <f>L40</f>
        <v>12</v>
      </c>
      <c r="S40" s="90">
        <f>M40*1.05</f>
        <v>50.884615384615387</v>
      </c>
      <c r="T40" s="91">
        <f>4*E40*F40*G40</f>
        <v>2215.3846153846152</v>
      </c>
      <c r="U40" s="90">
        <v>0</v>
      </c>
      <c r="V40" s="146">
        <f>T40-U40</f>
        <v>2215.3846153846152</v>
      </c>
      <c r="W40" s="167">
        <f>I40+O40+U40</f>
        <v>0</v>
      </c>
      <c r="X40" s="90">
        <f>J40+P40+V40</f>
        <v>11076.923076923076</v>
      </c>
      <c r="Y40" s="146">
        <f>W40+X40</f>
        <v>11076.923076923076</v>
      </c>
      <c r="Z40" s="163">
        <f t="shared" si="10"/>
        <v>0</v>
      </c>
      <c r="AA40" s="130">
        <f t="shared" si="11"/>
        <v>0</v>
      </c>
      <c r="AB40" s="130">
        <f t="shared" si="11"/>
        <v>0</v>
      </c>
      <c r="AC40" s="130"/>
      <c r="AD40" s="130"/>
      <c r="AE40" s="130"/>
      <c r="AF40" s="130"/>
    </row>
    <row r="41" spans="1:32" s="92" customFormat="1">
      <c r="A41" s="132"/>
      <c r="B41" s="186" t="s">
        <v>490</v>
      </c>
      <c r="C41" s="84"/>
      <c r="D41" s="84"/>
      <c r="E41" s="113"/>
      <c r="F41" s="94"/>
      <c r="G41" s="113"/>
      <c r="H41" s="95">
        <f>SUM(H39:H40)</f>
        <v>23470.781538461539</v>
      </c>
      <c r="I41" s="95">
        <f t="shared" ref="I41:Y41" si="22">SUM(I39:I40)</f>
        <v>17932.32</v>
      </c>
      <c r="J41" s="148">
        <f t="shared" si="22"/>
        <v>5538.461538461539</v>
      </c>
      <c r="K41" s="154"/>
      <c r="L41" s="95"/>
      <c r="M41" s="95">
        <f t="shared" si="22"/>
        <v>25764.773538461541</v>
      </c>
      <c r="N41" s="95">
        <f t="shared" si="22"/>
        <v>29039.388923076924</v>
      </c>
      <c r="O41" s="95">
        <f t="shared" si="22"/>
        <v>25716.312000000002</v>
      </c>
      <c r="P41" s="148">
        <f t="shared" si="22"/>
        <v>3323.0769230769229</v>
      </c>
      <c r="Q41" s="154"/>
      <c r="R41" s="95"/>
      <c r="S41" s="95">
        <f t="shared" si="22"/>
        <v>6476.5970653846152</v>
      </c>
      <c r="T41" s="95">
        <f t="shared" si="22"/>
        <v>8641.0970653846161</v>
      </c>
      <c r="U41" s="95">
        <f t="shared" si="22"/>
        <v>6425.71245</v>
      </c>
      <c r="V41" s="148">
        <f t="shared" si="22"/>
        <v>2215.3846153846152</v>
      </c>
      <c r="W41" s="154">
        <f t="shared" si="22"/>
        <v>50074.344449999997</v>
      </c>
      <c r="X41" s="95">
        <f t="shared" si="22"/>
        <v>11076.923076923076</v>
      </c>
      <c r="Y41" s="148">
        <f t="shared" si="22"/>
        <v>61151.267526923075</v>
      </c>
      <c r="Z41" s="163">
        <f t="shared" si="10"/>
        <v>0</v>
      </c>
      <c r="AA41" s="130">
        <f t="shared" si="11"/>
        <v>0</v>
      </c>
      <c r="AB41" s="130">
        <f t="shared" si="11"/>
        <v>0</v>
      </c>
      <c r="AC41" s="205"/>
      <c r="AD41" s="205"/>
      <c r="AE41" s="205"/>
      <c r="AF41" s="130"/>
    </row>
    <row r="42" spans="1:32">
      <c r="A42" s="177"/>
      <c r="B42" s="187" t="s">
        <v>491</v>
      </c>
      <c r="C42" s="108"/>
      <c r="D42" s="108"/>
      <c r="E42" s="100"/>
      <c r="F42" s="114"/>
      <c r="G42" s="100"/>
      <c r="H42" s="115"/>
      <c r="I42" s="108"/>
      <c r="J42" s="153"/>
      <c r="K42" s="155"/>
      <c r="L42" s="108"/>
      <c r="M42" s="100"/>
      <c r="N42" s="115"/>
      <c r="O42" s="108"/>
      <c r="P42" s="153"/>
      <c r="Q42" s="155"/>
      <c r="R42" s="108"/>
      <c r="S42" s="100"/>
      <c r="T42" s="115"/>
      <c r="U42" s="108"/>
      <c r="V42" s="153"/>
      <c r="W42" s="155"/>
      <c r="X42" s="108"/>
      <c r="Y42" s="168"/>
      <c r="Z42" s="163">
        <f t="shared" si="10"/>
        <v>0</v>
      </c>
      <c r="AA42" s="130">
        <f t="shared" si="11"/>
        <v>0</v>
      </c>
      <c r="AB42" s="130">
        <f t="shared" si="11"/>
        <v>0</v>
      </c>
    </row>
    <row r="43" spans="1:32">
      <c r="A43" s="177"/>
      <c r="B43" s="185" t="s">
        <v>492</v>
      </c>
      <c r="C43" s="87">
        <v>1</v>
      </c>
      <c r="D43" s="105" t="s">
        <v>354</v>
      </c>
      <c r="E43" s="87">
        <v>1</v>
      </c>
      <c r="F43" s="86">
        <v>1</v>
      </c>
      <c r="G43" s="90">
        <f>60000/$G$3</f>
        <v>923.07692307692309</v>
      </c>
      <c r="H43" s="90">
        <f t="shared" ref="H43:H50" si="23">C43*G43*E43*F43</f>
        <v>923.07692307692309</v>
      </c>
      <c r="I43" s="90">
        <f>H43</f>
        <v>923.07692307692309</v>
      </c>
      <c r="J43" s="146">
        <f t="shared" ref="J43:J48" si="24">H43-I43</f>
        <v>0</v>
      </c>
      <c r="K43" s="145">
        <f>C43</f>
        <v>1</v>
      </c>
      <c r="L43" s="87">
        <v>1</v>
      </c>
      <c r="M43" s="90">
        <v>922.5</v>
      </c>
      <c r="N43" s="90">
        <f>K43*M43*L43*F43</f>
        <v>922.5</v>
      </c>
      <c r="O43" s="90">
        <f>N43</f>
        <v>922.5</v>
      </c>
      <c r="P43" s="146">
        <f t="shared" ref="P43:P50" si="25">N43-O43</f>
        <v>0</v>
      </c>
      <c r="Q43" s="145">
        <f>K43</f>
        <v>1</v>
      </c>
      <c r="R43" s="87">
        <f>L43</f>
        <v>1</v>
      </c>
      <c r="S43" s="198">
        <v>11385</v>
      </c>
      <c r="T43" s="90">
        <f>Q43*S43*R43*F43</f>
        <v>11385</v>
      </c>
      <c r="U43" s="90">
        <f>T43</f>
        <v>11385</v>
      </c>
      <c r="V43" s="146">
        <f>T43-U43</f>
        <v>0</v>
      </c>
      <c r="W43" s="167">
        <f t="shared" ref="W43:X50" si="26">I43+O43+U43</f>
        <v>13230.576923076924</v>
      </c>
      <c r="X43" s="90">
        <f t="shared" si="26"/>
        <v>0</v>
      </c>
      <c r="Y43" s="146">
        <f t="shared" ref="Y43:Y50" si="27">W43+X43</f>
        <v>13230.576923076924</v>
      </c>
      <c r="Z43" s="163">
        <f t="shared" si="10"/>
        <v>0</v>
      </c>
      <c r="AA43" s="130">
        <f t="shared" si="11"/>
        <v>0</v>
      </c>
      <c r="AB43" s="130">
        <f t="shared" si="11"/>
        <v>0</v>
      </c>
      <c r="AC43" s="130"/>
      <c r="AD43" s="130"/>
      <c r="AE43" s="130"/>
      <c r="AF43" s="130"/>
    </row>
    <row r="44" spans="1:32">
      <c r="A44" s="177"/>
      <c r="B44" s="185" t="s">
        <v>493</v>
      </c>
      <c r="C44" s="87">
        <v>1</v>
      </c>
      <c r="D44" s="111" t="s">
        <v>324</v>
      </c>
      <c r="E44" s="87">
        <v>1</v>
      </c>
      <c r="F44" s="86">
        <v>1</v>
      </c>
      <c r="G44" s="90">
        <f>40000/$G$3</f>
        <v>615.38461538461536</v>
      </c>
      <c r="H44" s="90">
        <f t="shared" si="23"/>
        <v>615.38461538461536</v>
      </c>
      <c r="I44" s="90">
        <f>H44</f>
        <v>615.38461538461536</v>
      </c>
      <c r="J44" s="146">
        <f t="shared" si="24"/>
        <v>0</v>
      </c>
      <c r="K44" s="145"/>
      <c r="L44" s="87"/>
      <c r="M44" s="90">
        <v>0</v>
      </c>
      <c r="N44" s="90">
        <v>0</v>
      </c>
      <c r="O44" s="90">
        <f>N44</f>
        <v>0</v>
      </c>
      <c r="P44" s="146">
        <f t="shared" si="25"/>
        <v>0</v>
      </c>
      <c r="Q44" s="145"/>
      <c r="R44" s="87"/>
      <c r="S44" s="90">
        <v>0</v>
      </c>
      <c r="T44" s="90">
        <v>0</v>
      </c>
      <c r="U44" s="90">
        <f>T44</f>
        <v>0</v>
      </c>
      <c r="V44" s="146">
        <v>0</v>
      </c>
      <c r="W44" s="167">
        <f t="shared" si="26"/>
        <v>615.38461538461536</v>
      </c>
      <c r="X44" s="90">
        <f t="shared" si="26"/>
        <v>0</v>
      </c>
      <c r="Y44" s="146">
        <f t="shared" si="27"/>
        <v>615.38461538461536</v>
      </c>
      <c r="Z44" s="163">
        <f t="shared" si="10"/>
        <v>0</v>
      </c>
      <c r="AA44" s="130">
        <f t="shared" si="11"/>
        <v>0</v>
      </c>
      <c r="AB44" s="130">
        <f t="shared" si="11"/>
        <v>0</v>
      </c>
      <c r="AC44" s="130"/>
      <c r="AD44" s="130"/>
      <c r="AE44" s="130"/>
      <c r="AF44" s="130"/>
    </row>
    <row r="45" spans="1:32">
      <c r="A45" s="177"/>
      <c r="B45" s="185" t="s">
        <v>494</v>
      </c>
      <c r="C45" s="87">
        <v>1</v>
      </c>
      <c r="D45" s="112" t="s">
        <v>414</v>
      </c>
      <c r="E45" s="87">
        <v>1</v>
      </c>
      <c r="F45" s="86">
        <v>1</v>
      </c>
      <c r="G45" s="90">
        <f>30000/$G$3</f>
        <v>461.53846153846155</v>
      </c>
      <c r="H45" s="90">
        <f t="shared" si="23"/>
        <v>461.53846153846155</v>
      </c>
      <c r="I45" s="90">
        <f>H45</f>
        <v>461.53846153846155</v>
      </c>
      <c r="J45" s="146">
        <f t="shared" si="24"/>
        <v>0</v>
      </c>
      <c r="K45" s="145"/>
      <c r="L45" s="87"/>
      <c r="M45" s="90">
        <v>0</v>
      </c>
      <c r="N45" s="90">
        <v>0</v>
      </c>
      <c r="O45" s="90">
        <f>N45</f>
        <v>0</v>
      </c>
      <c r="P45" s="146">
        <f t="shared" si="25"/>
        <v>0</v>
      </c>
      <c r="Q45" s="145"/>
      <c r="R45" s="87"/>
      <c r="S45" s="90">
        <v>0</v>
      </c>
      <c r="T45" s="90">
        <v>0</v>
      </c>
      <c r="U45" s="90">
        <f>T45</f>
        <v>0</v>
      </c>
      <c r="V45" s="146">
        <v>0</v>
      </c>
      <c r="W45" s="167">
        <f t="shared" si="26"/>
        <v>461.53846153846155</v>
      </c>
      <c r="X45" s="90">
        <f t="shared" si="26"/>
        <v>0</v>
      </c>
      <c r="Y45" s="146">
        <f t="shared" si="27"/>
        <v>461.53846153846155</v>
      </c>
      <c r="Z45" s="163">
        <f t="shared" si="10"/>
        <v>0</v>
      </c>
      <c r="AA45" s="130">
        <f t="shared" si="11"/>
        <v>0</v>
      </c>
      <c r="AB45" s="130">
        <f t="shared" si="11"/>
        <v>0</v>
      </c>
      <c r="AC45" s="130"/>
      <c r="AD45" s="130"/>
      <c r="AE45" s="130"/>
      <c r="AF45" s="130"/>
    </row>
    <row r="46" spans="1:32">
      <c r="A46" s="177"/>
      <c r="B46" s="185" t="s">
        <v>495</v>
      </c>
      <c r="C46" s="87">
        <v>1</v>
      </c>
      <c r="D46" s="87" t="s">
        <v>254</v>
      </c>
      <c r="E46" s="87">
        <v>12</v>
      </c>
      <c r="F46" s="86">
        <v>1</v>
      </c>
      <c r="G46" s="90">
        <f>15750/$G$3</f>
        <v>242.30769230769232</v>
      </c>
      <c r="H46" s="90">
        <f t="shared" si="23"/>
        <v>2907.6923076923076</v>
      </c>
      <c r="I46" s="90">
        <f>H46</f>
        <v>2907.6923076923076</v>
      </c>
      <c r="J46" s="146">
        <f t="shared" si="24"/>
        <v>0</v>
      </c>
      <c r="K46" s="145">
        <f>C46</f>
        <v>1</v>
      </c>
      <c r="L46" s="87">
        <f>E46</f>
        <v>12</v>
      </c>
      <c r="M46" s="90">
        <f>G46*1.05</f>
        <v>254.42307692307693</v>
      </c>
      <c r="N46" s="90">
        <f>K46*M46*L46*F46</f>
        <v>3053.0769230769233</v>
      </c>
      <c r="O46" s="90">
        <f>N46</f>
        <v>3053.0769230769233</v>
      </c>
      <c r="P46" s="146">
        <f t="shared" si="25"/>
        <v>0</v>
      </c>
      <c r="Q46" s="145">
        <f t="shared" ref="Q46:R50" si="28">K46</f>
        <v>1</v>
      </c>
      <c r="R46" s="87">
        <f t="shared" si="28"/>
        <v>12</v>
      </c>
      <c r="S46" s="90">
        <f>M46*1.05</f>
        <v>267.14423076923077</v>
      </c>
      <c r="T46" s="90">
        <f>Q46*S46*R46*F46</f>
        <v>3205.7307692307695</v>
      </c>
      <c r="U46" s="90">
        <f>T46</f>
        <v>3205.7307692307695</v>
      </c>
      <c r="V46" s="146">
        <f>T46-U46</f>
        <v>0</v>
      </c>
      <c r="W46" s="167">
        <f t="shared" si="26"/>
        <v>9166.5</v>
      </c>
      <c r="X46" s="90">
        <f t="shared" si="26"/>
        <v>0</v>
      </c>
      <c r="Y46" s="146">
        <f t="shared" si="27"/>
        <v>9166.5</v>
      </c>
      <c r="Z46" s="163">
        <f t="shared" si="10"/>
        <v>0</v>
      </c>
      <c r="AA46" s="130">
        <f t="shared" si="11"/>
        <v>0</v>
      </c>
      <c r="AB46" s="130">
        <f t="shared" si="11"/>
        <v>0</v>
      </c>
      <c r="AC46" s="130"/>
      <c r="AD46" s="130"/>
      <c r="AE46" s="130"/>
      <c r="AF46" s="130"/>
    </row>
    <row r="47" spans="1:32">
      <c r="A47" s="177"/>
      <c r="B47" s="190" t="s">
        <v>496</v>
      </c>
      <c r="C47" s="87">
        <v>1</v>
      </c>
      <c r="D47" s="87" t="s">
        <v>254</v>
      </c>
      <c r="E47" s="87">
        <v>12</v>
      </c>
      <c r="F47" s="86">
        <v>1</v>
      </c>
      <c r="G47" s="90">
        <f>70026.5/$G$3</f>
        <v>1077.3307692307692</v>
      </c>
      <c r="H47" s="90">
        <f t="shared" si="23"/>
        <v>12927.969230769231</v>
      </c>
      <c r="I47" s="90">
        <f>H47</f>
        <v>12927.969230769231</v>
      </c>
      <c r="J47" s="146">
        <f t="shared" si="24"/>
        <v>0</v>
      </c>
      <c r="K47" s="145">
        <f>C47</f>
        <v>1</v>
      </c>
      <c r="L47" s="87">
        <f>E47</f>
        <v>12</v>
      </c>
      <c r="M47" s="90">
        <f>G47*1.05</f>
        <v>1131.1973076923077</v>
      </c>
      <c r="N47" s="90">
        <f>K47*M47*L47*F47</f>
        <v>13574.367692307693</v>
      </c>
      <c r="O47" s="90">
        <f>N47</f>
        <v>13574.367692307693</v>
      </c>
      <c r="P47" s="146">
        <f t="shared" si="25"/>
        <v>0</v>
      </c>
      <c r="Q47" s="145">
        <f t="shared" si="28"/>
        <v>1</v>
      </c>
      <c r="R47" s="87">
        <f t="shared" si="28"/>
        <v>12</v>
      </c>
      <c r="S47" s="90">
        <f>M47*1.05</f>
        <v>1187.7571730769232</v>
      </c>
      <c r="T47" s="90">
        <f>Q47*S47*R47*F47</f>
        <v>14253.086076923079</v>
      </c>
      <c r="U47" s="90">
        <f>T47</f>
        <v>14253.086076923079</v>
      </c>
      <c r="V47" s="146">
        <f>T47-U47</f>
        <v>0</v>
      </c>
      <c r="W47" s="167">
        <f t="shared" si="26"/>
        <v>40755.423000000003</v>
      </c>
      <c r="X47" s="90">
        <f t="shared" si="26"/>
        <v>0</v>
      </c>
      <c r="Y47" s="146">
        <f t="shared" si="27"/>
        <v>40755.423000000003</v>
      </c>
      <c r="Z47" s="163">
        <f t="shared" si="10"/>
        <v>0</v>
      </c>
      <c r="AA47" s="130">
        <f t="shared" si="11"/>
        <v>0</v>
      </c>
      <c r="AB47" s="130">
        <f t="shared" si="11"/>
        <v>0</v>
      </c>
      <c r="AC47" s="130"/>
      <c r="AD47" s="130"/>
      <c r="AE47" s="130"/>
      <c r="AF47" s="130"/>
    </row>
    <row r="48" spans="1:32">
      <c r="A48" s="177"/>
      <c r="B48" s="185" t="s">
        <v>497</v>
      </c>
      <c r="C48" s="87">
        <v>1</v>
      </c>
      <c r="D48" s="87" t="s">
        <v>254</v>
      </c>
      <c r="E48" s="87">
        <v>12</v>
      </c>
      <c r="F48" s="89">
        <v>1</v>
      </c>
      <c r="G48" s="198">
        <v>90.25</v>
      </c>
      <c r="H48" s="198">
        <f t="shared" si="23"/>
        <v>1083</v>
      </c>
      <c r="I48" s="198">
        <v>851.28</v>
      </c>
      <c r="J48" s="199">
        <f t="shared" si="24"/>
        <v>231.72000000000003</v>
      </c>
      <c r="K48" s="145">
        <f>C48</f>
        <v>1</v>
      </c>
      <c r="L48" s="87">
        <f>E48</f>
        <v>12</v>
      </c>
      <c r="M48" s="198">
        <f>G48*$M$3</f>
        <v>123.5603725</v>
      </c>
      <c r="N48" s="198">
        <f>K48*M48*L48*F48</f>
        <v>1482.7244700000001</v>
      </c>
      <c r="O48" s="200">
        <f>I48*$O$3</f>
        <v>1106.578872</v>
      </c>
      <c r="P48" s="199">
        <f t="shared" si="25"/>
        <v>376.14559800000006</v>
      </c>
      <c r="Q48" s="145">
        <f t="shared" si="28"/>
        <v>1</v>
      </c>
      <c r="R48" s="87">
        <f t="shared" si="28"/>
        <v>12</v>
      </c>
      <c r="S48" s="198">
        <f>M48</f>
        <v>123.5603725</v>
      </c>
      <c r="T48" s="198">
        <f>Q48*S48*R48*F48</f>
        <v>1482.7244700000001</v>
      </c>
      <c r="U48" s="200">
        <f>O48+(O48*$U$3)</f>
        <v>1055.9971517608801</v>
      </c>
      <c r="V48" s="199">
        <f>T48-U48</f>
        <v>426.72731823912</v>
      </c>
      <c r="W48" s="201">
        <f t="shared" si="26"/>
        <v>3013.8560237608799</v>
      </c>
      <c r="X48" s="198">
        <f t="shared" si="26"/>
        <v>1034.5929162391201</v>
      </c>
      <c r="Y48" s="199">
        <f t="shared" si="27"/>
        <v>4048.4489400000002</v>
      </c>
      <c r="Z48" s="163">
        <f t="shared" si="10"/>
        <v>0</v>
      </c>
      <c r="AA48" s="130">
        <f t="shared" si="11"/>
        <v>0</v>
      </c>
      <c r="AB48" s="130">
        <f t="shared" si="11"/>
        <v>0</v>
      </c>
      <c r="AC48" s="130"/>
      <c r="AD48" s="130"/>
      <c r="AE48" s="130"/>
      <c r="AF48" s="130"/>
    </row>
    <row r="49" spans="1:32" ht="23.1">
      <c r="A49" s="177"/>
      <c r="B49" s="185" t="s">
        <v>498</v>
      </c>
      <c r="C49" s="87">
        <v>1</v>
      </c>
      <c r="D49" s="87" t="s">
        <v>254</v>
      </c>
      <c r="E49" s="87">
        <v>12</v>
      </c>
      <c r="F49" s="89">
        <v>1</v>
      </c>
      <c r="G49" s="198">
        <v>67.559999999999988</v>
      </c>
      <c r="H49" s="198">
        <f>C49*G49*E49*F49</f>
        <v>810.7199999999998</v>
      </c>
      <c r="I49" s="198">
        <v>805.31999999999994</v>
      </c>
      <c r="J49" s="199">
        <f>H49-I49</f>
        <v>5.3999999999998636</v>
      </c>
      <c r="K49" s="145">
        <f>C49</f>
        <v>1</v>
      </c>
      <c r="L49" s="87">
        <f>E49</f>
        <v>12</v>
      </c>
      <c r="M49" s="198">
        <f>G49*$M$3</f>
        <v>92.495720399999982</v>
      </c>
      <c r="N49" s="198">
        <f>K49*M49*L49*F49</f>
        <v>1109.9486447999998</v>
      </c>
      <c r="O49" s="200">
        <f>I49*$O$3</f>
        <v>1046.835468</v>
      </c>
      <c r="P49" s="199">
        <f t="shared" si="25"/>
        <v>63.113176799999792</v>
      </c>
      <c r="Q49" s="145">
        <f>K49</f>
        <v>1</v>
      </c>
      <c r="R49" s="87">
        <f>L49</f>
        <v>12</v>
      </c>
      <c r="S49" s="198">
        <f>M49</f>
        <v>92.495720399999982</v>
      </c>
      <c r="T49" s="198">
        <f>Q49*S49*R49*F49</f>
        <v>1109.9486447999998</v>
      </c>
      <c r="U49" s="200">
        <f>O49+(O49*$U$3)</f>
        <v>998.98461875772</v>
      </c>
      <c r="V49" s="199">
        <f>T49-U49</f>
        <v>110.96402604227978</v>
      </c>
      <c r="W49" s="201">
        <f>I49+O49+U49</f>
        <v>2851.1400867577199</v>
      </c>
      <c r="X49" s="198">
        <f>J49+P49+V49</f>
        <v>179.47720284227944</v>
      </c>
      <c r="Y49" s="199">
        <f>W49+X49</f>
        <v>3030.6172895999994</v>
      </c>
      <c r="Z49" s="163">
        <f t="shared" si="10"/>
        <v>0</v>
      </c>
      <c r="AA49" s="130">
        <f t="shared" si="11"/>
        <v>0</v>
      </c>
      <c r="AB49" s="130">
        <f t="shared" si="11"/>
        <v>0</v>
      </c>
      <c r="AC49" s="130"/>
      <c r="AD49" s="130"/>
      <c r="AE49" s="130"/>
      <c r="AF49" s="130"/>
    </row>
    <row r="50" spans="1:32" ht="28.5" customHeight="1">
      <c r="A50" s="177"/>
      <c r="B50" s="185" t="s">
        <v>499</v>
      </c>
      <c r="C50" s="87">
        <v>4</v>
      </c>
      <c r="D50" s="87" t="s">
        <v>500</v>
      </c>
      <c r="E50" s="87">
        <v>12</v>
      </c>
      <c r="F50" s="89">
        <v>1</v>
      </c>
      <c r="G50" s="198">
        <v>86.29</v>
      </c>
      <c r="H50" s="198">
        <f t="shared" si="23"/>
        <v>4141.92</v>
      </c>
      <c r="I50" s="198">
        <f>H50</f>
        <v>4141.92</v>
      </c>
      <c r="J50" s="199">
        <f>H50-I50</f>
        <v>0</v>
      </c>
      <c r="K50" s="145">
        <f>C50</f>
        <v>4</v>
      </c>
      <c r="L50" s="87">
        <f>E50</f>
        <v>12</v>
      </c>
      <c r="M50" s="198">
        <f>G50*$M$3</f>
        <v>118.1387761</v>
      </c>
      <c r="N50" s="198">
        <f>K50*M50*L50*F50</f>
        <v>5670.6612528000005</v>
      </c>
      <c r="O50" s="200">
        <f>I50*$O$3</f>
        <v>5384.0818079999999</v>
      </c>
      <c r="P50" s="199">
        <f t="shared" si="25"/>
        <v>286.5794448000006</v>
      </c>
      <c r="Q50" s="145">
        <f t="shared" si="28"/>
        <v>4</v>
      </c>
      <c r="R50" s="87">
        <f t="shared" si="28"/>
        <v>12</v>
      </c>
      <c r="S50" s="198">
        <f>M50</f>
        <v>118.1387761</v>
      </c>
      <c r="T50" s="198">
        <f>Q50*S50*R50*F50</f>
        <v>5670.6612528000005</v>
      </c>
      <c r="U50" s="200">
        <f>O50+(O50*$U$3)</f>
        <v>5137.9754285563195</v>
      </c>
      <c r="V50" s="199">
        <f>T50-U50</f>
        <v>532.68582424368105</v>
      </c>
      <c r="W50" s="201">
        <f t="shared" si="26"/>
        <v>14663.97723655632</v>
      </c>
      <c r="X50" s="198">
        <f>J50+P50+V50</f>
        <v>819.26526904368166</v>
      </c>
      <c r="Y50" s="199">
        <f t="shared" si="27"/>
        <v>15483.242505600003</v>
      </c>
      <c r="Z50" s="163">
        <f t="shared" si="10"/>
        <v>0</v>
      </c>
      <c r="AA50" s="130">
        <f t="shared" si="11"/>
        <v>0</v>
      </c>
      <c r="AB50" s="130">
        <f t="shared" si="11"/>
        <v>0</v>
      </c>
      <c r="AC50" s="130"/>
      <c r="AD50" s="130">
        <f>533+287</f>
        <v>820</v>
      </c>
      <c r="AE50" s="130"/>
      <c r="AF50" s="130"/>
    </row>
    <row r="51" spans="1:32" s="92" customFormat="1">
      <c r="A51" s="132"/>
      <c r="B51" s="186" t="s">
        <v>501</v>
      </c>
      <c r="C51" s="84"/>
      <c r="D51" s="84"/>
      <c r="E51" s="113"/>
      <c r="F51" s="94"/>
      <c r="G51" s="113"/>
      <c r="H51" s="95">
        <f t="shared" ref="H51:Y51" si="29">SUM(H43:H50)</f>
        <v>23871.301538461543</v>
      </c>
      <c r="I51" s="95">
        <f t="shared" si="29"/>
        <v>23634.18153846154</v>
      </c>
      <c r="J51" s="148">
        <f t="shared" si="29"/>
        <v>237.11999999999989</v>
      </c>
      <c r="K51" s="154"/>
      <c r="L51" s="95"/>
      <c r="M51" s="95">
        <f t="shared" si="29"/>
        <v>2642.3152536153852</v>
      </c>
      <c r="N51" s="95">
        <f t="shared" si="29"/>
        <v>25813.278982984615</v>
      </c>
      <c r="O51" s="95">
        <f t="shared" si="29"/>
        <v>25087.440763384613</v>
      </c>
      <c r="P51" s="148">
        <f t="shared" si="29"/>
        <v>725.83821960000046</v>
      </c>
      <c r="Q51" s="154"/>
      <c r="R51" s="95"/>
      <c r="S51" s="95">
        <f t="shared" si="29"/>
        <v>13174.096272846155</v>
      </c>
      <c r="T51" s="95">
        <f t="shared" si="29"/>
        <v>37107.151213753852</v>
      </c>
      <c r="U51" s="95">
        <f t="shared" si="29"/>
        <v>36036.774045228769</v>
      </c>
      <c r="V51" s="148">
        <f t="shared" si="29"/>
        <v>1070.3771685250808</v>
      </c>
      <c r="W51" s="154">
        <f t="shared" si="29"/>
        <v>84758.39634707493</v>
      </c>
      <c r="X51" s="95">
        <f t="shared" si="29"/>
        <v>2033.3353881250812</v>
      </c>
      <c r="Y51" s="148">
        <f t="shared" si="29"/>
        <v>86791.73173520001</v>
      </c>
      <c r="Z51" s="163">
        <f t="shared" si="10"/>
        <v>0</v>
      </c>
      <c r="AA51" s="130">
        <f t="shared" si="11"/>
        <v>0</v>
      </c>
      <c r="AB51" s="130">
        <f t="shared" si="11"/>
        <v>0</v>
      </c>
      <c r="AC51" s="205"/>
      <c r="AD51" s="207"/>
      <c r="AE51" s="205"/>
      <c r="AF51" s="130"/>
    </row>
    <row r="52" spans="1:32">
      <c r="A52" s="178"/>
      <c r="B52" s="191" t="s">
        <v>502</v>
      </c>
      <c r="C52" s="116"/>
      <c r="D52" s="116"/>
      <c r="E52" s="116"/>
      <c r="F52" s="117"/>
      <c r="G52" s="116"/>
      <c r="H52" s="118">
        <f>H12+H26+H33+H37+H41+H51</f>
        <v>106602.73648769884</v>
      </c>
      <c r="I52" s="118">
        <f>I12+I26+I33+I37+I41+I51</f>
        <v>97017.089512684586</v>
      </c>
      <c r="J52" s="157">
        <f>J12+J26+J33+J37+J41+J51</f>
        <v>9585.6469750142533</v>
      </c>
      <c r="K52" s="156"/>
      <c r="L52" s="116"/>
      <c r="M52" s="116"/>
      <c r="N52" s="118">
        <f>N12+N26+N33+N37+N41+N51</f>
        <v>124322.64048698012</v>
      </c>
      <c r="O52" s="118">
        <f>O12+O26+O33+O37+O41+O51</f>
        <v>113953.72886970277</v>
      </c>
      <c r="P52" s="157">
        <f>P12+P26+P33+P37+P41+P51</f>
        <v>10368.911617277334</v>
      </c>
      <c r="Q52" s="156"/>
      <c r="R52" s="116"/>
      <c r="S52" s="116"/>
      <c r="T52" s="118">
        <f t="shared" ref="T52:Y52" si="30">T12+T26+T33+T37+T41+T51</f>
        <v>117304.20752589199</v>
      </c>
      <c r="U52" s="118">
        <f t="shared" si="30"/>
        <v>106704.74660355455</v>
      </c>
      <c r="V52" s="157">
        <f t="shared" si="30"/>
        <v>10599.460922337437</v>
      </c>
      <c r="W52" s="169">
        <f t="shared" si="30"/>
        <v>336410.10596091737</v>
      </c>
      <c r="X52" s="118">
        <f t="shared" si="30"/>
        <v>33067.978583656673</v>
      </c>
      <c r="Y52" s="157">
        <f t="shared" si="30"/>
        <v>369478.08454457403</v>
      </c>
      <c r="Z52" s="163">
        <f t="shared" si="10"/>
        <v>-21248.500044003071</v>
      </c>
      <c r="AA52" s="130">
        <f t="shared" si="11"/>
        <v>-18734.540974975505</v>
      </c>
      <c r="AB52" s="130">
        <f t="shared" si="11"/>
        <v>-2513.9590690276527</v>
      </c>
      <c r="AC52" s="205"/>
      <c r="AD52" s="208"/>
    </row>
    <row r="53" spans="1:32">
      <c r="A53" s="179"/>
      <c r="B53" s="183" t="s">
        <v>503</v>
      </c>
      <c r="C53" s="77"/>
      <c r="D53" s="77"/>
      <c r="E53" s="77"/>
      <c r="F53" s="119"/>
      <c r="G53" s="77"/>
      <c r="H53" s="118">
        <v>0</v>
      </c>
      <c r="I53" s="118">
        <v>0</v>
      </c>
      <c r="J53" s="157">
        <v>0</v>
      </c>
      <c r="K53" s="158"/>
      <c r="L53" s="77"/>
      <c r="M53" s="77"/>
      <c r="N53" s="118">
        <v>0</v>
      </c>
      <c r="O53" s="118">
        <v>0</v>
      </c>
      <c r="P53" s="157">
        <v>0</v>
      </c>
      <c r="Q53" s="158"/>
      <c r="R53" s="77"/>
      <c r="S53" s="77"/>
      <c r="T53" s="118">
        <v>0</v>
      </c>
      <c r="U53" s="118">
        <v>0</v>
      </c>
      <c r="V53" s="157">
        <v>0</v>
      </c>
      <c r="W53" s="169">
        <v>0</v>
      </c>
      <c r="X53" s="118">
        <v>0</v>
      </c>
      <c r="Y53" s="157">
        <v>0</v>
      </c>
      <c r="Z53" s="163">
        <f t="shared" si="10"/>
        <v>0</v>
      </c>
      <c r="AA53" s="130">
        <f t="shared" si="11"/>
        <v>0</v>
      </c>
      <c r="AB53" s="130">
        <f t="shared" si="11"/>
        <v>0</v>
      </c>
    </row>
    <row r="54" spans="1:32">
      <c r="A54" s="179"/>
      <c r="B54" s="183" t="s">
        <v>504</v>
      </c>
      <c r="C54" s="77"/>
      <c r="D54" s="77"/>
      <c r="E54" s="77"/>
      <c r="F54" s="119"/>
      <c r="G54" s="77"/>
      <c r="H54" s="118">
        <f>H52-H53</f>
        <v>106602.73648769884</v>
      </c>
      <c r="I54" s="118">
        <f>I52-I53</f>
        <v>97017.089512684586</v>
      </c>
      <c r="J54" s="157">
        <f>J52-J53</f>
        <v>9585.6469750142533</v>
      </c>
      <c r="K54" s="158"/>
      <c r="L54" s="77"/>
      <c r="M54" s="77"/>
      <c r="N54" s="118">
        <f>N52-N53</f>
        <v>124322.64048698012</v>
      </c>
      <c r="O54" s="118">
        <f>O52-O53</f>
        <v>113953.72886970277</v>
      </c>
      <c r="P54" s="157">
        <f>P52-P53</f>
        <v>10368.911617277334</v>
      </c>
      <c r="Q54" s="158"/>
      <c r="R54" s="77"/>
      <c r="S54" s="77"/>
      <c r="T54" s="118">
        <f t="shared" ref="T54:Y54" si="31">T52-T53</f>
        <v>117304.20752589199</v>
      </c>
      <c r="U54" s="118">
        <f t="shared" si="31"/>
        <v>106704.74660355455</v>
      </c>
      <c r="V54" s="157">
        <f t="shared" si="31"/>
        <v>10599.460922337437</v>
      </c>
      <c r="W54" s="169">
        <f t="shared" si="31"/>
        <v>336410.10596091737</v>
      </c>
      <c r="X54" s="118">
        <f t="shared" si="31"/>
        <v>33067.978583656673</v>
      </c>
      <c r="Y54" s="157">
        <f t="shared" si="31"/>
        <v>369478.08454457403</v>
      </c>
      <c r="Z54" s="163">
        <f t="shared" si="10"/>
        <v>-21248.500044003071</v>
      </c>
      <c r="AA54" s="130">
        <f t="shared" si="11"/>
        <v>-18734.540974975505</v>
      </c>
      <c r="AB54" s="130">
        <f t="shared" si="11"/>
        <v>-2513.9590690276527</v>
      </c>
    </row>
    <row r="55" spans="1:32">
      <c r="A55" s="179" t="s">
        <v>505</v>
      </c>
      <c r="B55" s="183" t="s">
        <v>506</v>
      </c>
      <c r="C55" s="77"/>
      <c r="D55" s="196">
        <v>0.17879999999999999</v>
      </c>
      <c r="E55" s="77"/>
      <c r="F55" s="119"/>
      <c r="G55" s="77"/>
      <c r="H55" s="118">
        <f>H54*17.88/100</f>
        <v>19060.569284000554</v>
      </c>
      <c r="I55" s="118">
        <f>I54*17.88/100</f>
        <v>17346.655604868003</v>
      </c>
      <c r="J55" s="157">
        <f>J54*17.88/100</f>
        <v>1713.9136791325482</v>
      </c>
      <c r="K55" s="158"/>
      <c r="L55" s="77"/>
      <c r="M55" s="77"/>
      <c r="N55" s="118">
        <f>N54*17.88/100</f>
        <v>22228.888119072042</v>
      </c>
      <c r="O55" s="118">
        <f>O54*17.88/100</f>
        <v>20374.926721902852</v>
      </c>
      <c r="P55" s="118">
        <f>P54*17.88/100</f>
        <v>1853.9613971691872</v>
      </c>
      <c r="Q55" s="158"/>
      <c r="R55" s="77"/>
      <c r="S55" s="77"/>
      <c r="T55" s="118">
        <f>T54*17.88/100</f>
        <v>20973.992305629487</v>
      </c>
      <c r="U55" s="118">
        <f>U54*17.88/100</f>
        <v>19078.808692715553</v>
      </c>
      <c r="V55" s="118">
        <f>V54*17.88/100</f>
        <v>1895.1836129139338</v>
      </c>
      <c r="W55" s="169">
        <f>I55+O55+U55</f>
        <v>56800.391019486407</v>
      </c>
      <c r="X55" s="118">
        <f>J55+P55+V55</f>
        <v>5463.0586892156689</v>
      </c>
      <c r="Y55" s="157">
        <f>W55+X55</f>
        <v>62263.449708702079</v>
      </c>
      <c r="Z55" s="163">
        <f t="shared" si="10"/>
        <v>0</v>
      </c>
      <c r="AA55" s="130">
        <f t="shared" si="11"/>
        <v>0</v>
      </c>
      <c r="AB55" s="130">
        <f t="shared" si="11"/>
        <v>0</v>
      </c>
    </row>
    <row r="56" spans="1:32" ht="12" thickBot="1">
      <c r="A56" s="179"/>
      <c r="B56" s="192" t="s">
        <v>448</v>
      </c>
      <c r="C56" s="160"/>
      <c r="D56" s="160"/>
      <c r="E56" s="160"/>
      <c r="F56" s="193"/>
      <c r="G56" s="160"/>
      <c r="H56" s="161">
        <f>H55+H52</f>
        <v>125663.30577169939</v>
      </c>
      <c r="I56" s="161">
        <f>I55+I52</f>
        <v>114363.74511755259</v>
      </c>
      <c r="J56" s="162">
        <f>J55+J52</f>
        <v>11299.560654146801</v>
      </c>
      <c r="K56" s="159"/>
      <c r="L56" s="160"/>
      <c r="M56" s="160"/>
      <c r="N56" s="161">
        <f>N55+N52</f>
        <v>146551.52860605216</v>
      </c>
      <c r="O56" s="161">
        <f>O55+O52</f>
        <v>134328.65559160561</v>
      </c>
      <c r="P56" s="162">
        <f>P55+P52</f>
        <v>12222.873014446521</v>
      </c>
      <c r="Q56" s="159"/>
      <c r="R56" s="160"/>
      <c r="S56" s="160"/>
      <c r="T56" s="161">
        <f t="shared" ref="T56:Y56" si="32">T55+T52</f>
        <v>138278.19983152149</v>
      </c>
      <c r="U56" s="161">
        <f t="shared" si="32"/>
        <v>125783.5552962701</v>
      </c>
      <c r="V56" s="162">
        <f t="shared" si="32"/>
        <v>12494.644535251371</v>
      </c>
      <c r="W56" s="170">
        <f t="shared" si="32"/>
        <v>393210.49698040378</v>
      </c>
      <c r="X56" s="161">
        <f t="shared" si="32"/>
        <v>38531.037272872345</v>
      </c>
      <c r="Y56" s="162">
        <f t="shared" si="32"/>
        <v>431741.53425327613</v>
      </c>
      <c r="Z56" s="163">
        <f t="shared" si="10"/>
        <v>-21248.500044003071</v>
      </c>
      <c r="AA56" s="130">
        <f t="shared" si="11"/>
        <v>-18734.540974975447</v>
      </c>
      <c r="AB56" s="130">
        <f t="shared" si="11"/>
        <v>-2513.9590690276527</v>
      </c>
    </row>
    <row r="57" spans="1:32">
      <c r="B57" s="180"/>
      <c r="C57" s="136"/>
      <c r="D57" s="136"/>
      <c r="E57" s="137"/>
      <c r="F57" s="181"/>
      <c r="G57" s="137"/>
      <c r="H57" s="138"/>
      <c r="I57" s="197"/>
      <c r="J57" s="197"/>
      <c r="K57" s="136"/>
      <c r="L57" s="136"/>
      <c r="M57" s="137"/>
      <c r="N57" s="138"/>
      <c r="O57" s="138"/>
      <c r="P57" s="138"/>
      <c r="Q57" s="136"/>
      <c r="R57" s="136"/>
      <c r="S57" s="137"/>
      <c r="T57" s="138"/>
      <c r="U57" s="138"/>
      <c r="V57" s="138"/>
      <c r="W57" s="138"/>
      <c r="X57" s="138"/>
      <c r="Y57" s="138"/>
    </row>
    <row r="58" spans="1:32" hidden="1">
      <c r="H58" s="85"/>
      <c r="I58" s="172"/>
      <c r="J58" s="85"/>
      <c r="N58" s="85"/>
      <c r="O58" s="172"/>
      <c r="P58" s="85"/>
      <c r="T58" s="85"/>
      <c r="U58" s="172"/>
      <c r="V58" s="85"/>
      <c r="W58" s="85"/>
      <c r="X58" s="85"/>
      <c r="Y58" s="85"/>
      <c r="Z58" s="163"/>
      <c r="AA58" s="130"/>
      <c r="AB58" s="130"/>
    </row>
    <row r="59" spans="1:32" hidden="1">
      <c r="F59" s="123"/>
      <c r="H59" s="85"/>
      <c r="I59" s="173"/>
      <c r="J59" s="85"/>
      <c r="K59" s="85"/>
      <c r="L59" s="85"/>
      <c r="N59" s="85"/>
      <c r="O59" s="173"/>
      <c r="P59" s="85"/>
      <c r="Q59" s="85"/>
      <c r="R59" s="85"/>
      <c r="T59" s="85"/>
      <c r="U59" s="173"/>
      <c r="V59" s="85"/>
      <c r="W59" s="85"/>
      <c r="X59" s="85"/>
      <c r="Y59" s="85"/>
      <c r="Z59" s="163"/>
      <c r="AA59" s="130"/>
      <c r="AB59" s="130"/>
    </row>
    <row r="60" spans="1:32" hidden="1">
      <c r="H60" s="124"/>
      <c r="I60" s="124"/>
      <c r="J60" s="124"/>
      <c r="K60" s="124"/>
      <c r="L60" s="124"/>
      <c r="M60" s="124"/>
      <c r="N60" s="124"/>
      <c r="O60" s="124"/>
      <c r="P60" s="124"/>
      <c r="Q60" s="124"/>
      <c r="R60" s="124"/>
      <c r="S60" s="124"/>
      <c r="T60" s="124"/>
      <c r="U60" s="124"/>
      <c r="V60" s="124"/>
      <c r="W60" s="124"/>
      <c r="X60" s="124"/>
      <c r="Y60" s="124"/>
    </row>
    <row r="61" spans="1:32" hidden="1">
      <c r="H61" s="85"/>
      <c r="N61" s="85"/>
      <c r="T61" s="85"/>
    </row>
    <row r="62" spans="1:32" hidden="1">
      <c r="H62" s="85"/>
      <c r="N62" s="85"/>
      <c r="T62" s="85"/>
    </row>
    <row r="63" spans="1:32" hidden="1">
      <c r="H63" s="85"/>
      <c r="N63" s="85"/>
      <c r="O63" s="85"/>
      <c r="P63" s="85"/>
      <c r="T63" s="85"/>
      <c r="U63" s="85"/>
      <c r="V63" s="85"/>
      <c r="X63" s="122"/>
    </row>
    <row r="64" spans="1:32" hidden="1">
      <c r="H64" s="85"/>
      <c r="N64" s="85"/>
      <c r="O64" s="85"/>
      <c r="T64" s="85"/>
      <c r="U64" s="85"/>
      <c r="X64" s="120"/>
    </row>
    <row r="65" spans="8:27" hidden="1">
      <c r="H65" s="85"/>
      <c r="N65" s="194"/>
      <c r="O65" s="194"/>
      <c r="T65" s="194"/>
      <c r="U65" s="194"/>
      <c r="Y65" s="130"/>
    </row>
    <row r="66" spans="8:27" hidden="1">
      <c r="H66" s="85"/>
      <c r="N66" s="85"/>
      <c r="T66" s="85"/>
    </row>
    <row r="67" spans="8:27" hidden="1">
      <c r="N67" s="85"/>
      <c r="AA67" s="174"/>
    </row>
    <row r="68" spans="8:27" hidden="1"/>
    <row r="69" spans="8:27" hidden="1"/>
    <row r="70" spans="8:27" hidden="1"/>
    <row r="71" spans="8:27" hidden="1">
      <c r="H71" s="85"/>
    </row>
    <row r="72" spans="8:27" hidden="1">
      <c r="H72" s="120"/>
      <c r="N72" s="120"/>
      <c r="T72" s="120"/>
    </row>
    <row r="73" spans="8:27" hidden="1">
      <c r="H73" s="85"/>
    </row>
    <row r="74" spans="8:27">
      <c r="H74" s="130"/>
      <c r="I74" s="130"/>
      <c r="J74" s="130"/>
      <c r="N74" s="130"/>
      <c r="O74" s="130"/>
      <c r="P74" s="130"/>
      <c r="T74" s="130"/>
      <c r="U74" s="130"/>
      <c r="V74" s="130"/>
      <c r="W74" s="130"/>
      <c r="X74" s="130"/>
      <c r="Y74" s="130"/>
    </row>
    <row r="76" spans="8:27">
      <c r="H76" s="120"/>
      <c r="N76" s="120"/>
      <c r="T76" s="120"/>
      <c r="Y76" s="120"/>
      <c r="Z76" s="122"/>
    </row>
    <row r="77" spans="8:27">
      <c r="H77" s="120"/>
      <c r="N77" s="120"/>
      <c r="T77" s="120"/>
      <c r="Y77" s="125"/>
    </row>
    <row r="78" spans="8:27">
      <c r="H78" s="120"/>
      <c r="N78" s="120"/>
      <c r="T78" s="120"/>
      <c r="Y78" s="120"/>
      <c r="Z78" s="120"/>
    </row>
    <row r="79" spans="8:27">
      <c r="H79" s="120"/>
      <c r="N79" s="120"/>
      <c r="T79" s="120"/>
      <c r="Y79" s="120"/>
    </row>
    <row r="80" spans="8:27">
      <c r="H80" s="120"/>
      <c r="N80" s="120"/>
      <c r="T80" s="120"/>
      <c r="U80" s="120"/>
      <c r="Y80" s="120"/>
    </row>
    <row r="81" spans="2:25" s="92" customFormat="1">
      <c r="B81" s="126"/>
      <c r="E81" s="113"/>
      <c r="F81" s="94"/>
      <c r="G81" s="113"/>
      <c r="H81" s="127"/>
      <c r="M81" s="113"/>
      <c r="N81" s="127"/>
      <c r="S81" s="113"/>
      <c r="T81" s="127"/>
      <c r="U81" s="127"/>
      <c r="Y81" s="127"/>
    </row>
    <row r="82" spans="2:25">
      <c r="H82" s="120"/>
      <c r="N82" s="128"/>
      <c r="T82" s="128"/>
      <c r="Y82" s="128"/>
    </row>
    <row r="83" spans="2:25">
      <c r="H83" s="129"/>
      <c r="N83" s="129"/>
      <c r="T83" s="129"/>
      <c r="Y83" s="129"/>
    </row>
    <row r="84" spans="2:25">
      <c r="H84" s="129"/>
    </row>
    <row r="85" spans="2:25">
      <c r="H85" s="120"/>
    </row>
    <row r="87" spans="2:25">
      <c r="H87" s="120"/>
      <c r="N87" s="120"/>
      <c r="T87" s="120"/>
      <c r="Y87" s="120"/>
    </row>
    <row r="88" spans="2:25">
      <c r="H88" s="120"/>
      <c r="N88" s="120"/>
      <c r="T88" s="120"/>
    </row>
    <row r="89" spans="2:25">
      <c r="H89" s="120"/>
      <c r="N89" s="120"/>
      <c r="T89" s="120"/>
    </row>
    <row r="90" spans="2:25">
      <c r="H90" s="120"/>
      <c r="N90" s="120"/>
      <c r="T90" s="120"/>
    </row>
    <row r="91" spans="2:25">
      <c r="H91" s="120"/>
      <c r="N91" s="120"/>
      <c r="T91" s="120"/>
    </row>
  </sheetData>
  <mergeCells count="4">
    <mergeCell ref="C1:J1"/>
    <mergeCell ref="K1:P1"/>
    <mergeCell ref="Q1:V1"/>
    <mergeCell ref="W1:Y1"/>
  </mergeCells>
  <printOptions horizontalCentered="1"/>
  <pageMargins left="0.25" right="0.25" top="0.75" bottom="0.75" header="0.3" footer="0.3"/>
  <pageSetup scale="62" fitToHeight="0" orientation="landscape" r:id="rId1"/>
  <headerFooter alignWithMargins="0">
    <oddHeader>&amp;C&amp;"Arial,Bold"&amp;12CRS CBDP Project in Orissa</oddHeader>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9D8D-D7C0-4178-B42C-6B442C5C6015}">
  <sheetPr>
    <pageSetUpPr fitToPage="1"/>
  </sheetPr>
  <dimension ref="A1:Q21"/>
  <sheetViews>
    <sheetView zoomScale="60" zoomScaleNormal="60" zoomScaleSheetLayoutView="100" workbookViewId="0">
      <selection activeCell="B12" sqref="B12:P17"/>
    </sheetView>
  </sheetViews>
  <sheetFormatPr defaultColWidth="9.140625" defaultRowHeight="15.6"/>
  <cols>
    <col min="1" max="1" width="98.5703125" style="454" customWidth="1"/>
    <col min="2" max="2" width="10.85546875" style="454" bestFit="1" customWidth="1"/>
    <col min="3" max="3" width="12.42578125" style="454" bestFit="1" customWidth="1"/>
    <col min="4" max="5" width="10.85546875" style="454" bestFit="1" customWidth="1"/>
    <col min="6" max="6" width="12.42578125" style="454" bestFit="1" customWidth="1"/>
    <col min="7" max="7" width="10.85546875" style="454" bestFit="1" customWidth="1"/>
    <col min="8" max="10" width="10.85546875" style="454" customWidth="1"/>
    <col min="11" max="11" width="10.85546875" style="454" bestFit="1" customWidth="1"/>
    <col min="12" max="12" width="12.42578125" style="454" bestFit="1" customWidth="1"/>
    <col min="13" max="13" width="10.85546875" style="454" bestFit="1" customWidth="1"/>
    <col min="14" max="14" width="12.5703125" style="454" bestFit="1" customWidth="1"/>
    <col min="15" max="15" width="12.42578125" style="454" bestFit="1" customWidth="1"/>
    <col min="16" max="16" width="12.5703125" style="454" bestFit="1" customWidth="1"/>
    <col min="17" max="16384" width="9.140625" style="454"/>
  </cols>
  <sheetData>
    <row r="1" spans="1:17" ht="30.75" customHeight="1" thickBot="1">
      <c r="A1" s="669" t="s">
        <v>208</v>
      </c>
      <c r="B1" s="670"/>
      <c r="C1" s="670"/>
      <c r="D1" s="670"/>
      <c r="E1" s="670"/>
      <c r="F1" s="670"/>
      <c r="G1" s="670"/>
      <c r="H1" s="670"/>
      <c r="I1" s="670"/>
      <c r="J1" s="670"/>
      <c r="K1" s="670"/>
      <c r="L1" s="670"/>
      <c r="M1" s="670"/>
      <c r="N1" s="670"/>
      <c r="O1" s="670"/>
      <c r="P1" s="670"/>
    </row>
    <row r="2" spans="1:17" ht="18.75" customHeight="1" thickBot="1">
      <c r="A2" s="674" t="s">
        <v>508</v>
      </c>
      <c r="B2" s="675"/>
      <c r="C2" s="675"/>
      <c r="D2" s="675"/>
      <c r="E2" s="675"/>
      <c r="F2" s="675"/>
      <c r="G2" s="675"/>
      <c r="H2" s="675"/>
      <c r="I2" s="675"/>
      <c r="J2" s="675"/>
      <c r="K2" s="675"/>
      <c r="L2" s="675"/>
      <c r="M2" s="675"/>
      <c r="N2" s="675"/>
      <c r="O2" s="675"/>
      <c r="P2" s="676"/>
    </row>
    <row r="3" spans="1:17" s="456" customFormat="1">
      <c r="A3" s="455"/>
      <c r="B3" s="671" t="s">
        <v>210</v>
      </c>
      <c r="C3" s="672"/>
      <c r="D3" s="673"/>
      <c r="E3" s="671" t="s">
        <v>211</v>
      </c>
      <c r="F3" s="672"/>
      <c r="G3" s="673"/>
      <c r="H3" s="712" t="s">
        <v>212</v>
      </c>
      <c r="I3" s="713"/>
      <c r="J3" s="714"/>
      <c r="K3" s="671" t="s">
        <v>509</v>
      </c>
      <c r="L3" s="672"/>
      <c r="M3" s="673"/>
      <c r="N3" s="671" t="s">
        <v>130</v>
      </c>
      <c r="O3" s="672"/>
      <c r="P3" s="673"/>
    </row>
    <row r="4" spans="1:17" s="456" customFormat="1" ht="18" customHeight="1">
      <c r="A4" s="457" t="s">
        <v>213</v>
      </c>
      <c r="B4" s="458" t="s">
        <v>214</v>
      </c>
      <c r="C4" s="459" t="s">
        <v>215</v>
      </c>
      <c r="D4" s="460" t="s">
        <v>130</v>
      </c>
      <c r="E4" s="458" t="s">
        <v>214</v>
      </c>
      <c r="F4" s="459" t="s">
        <v>215</v>
      </c>
      <c r="G4" s="539" t="s">
        <v>130</v>
      </c>
      <c r="H4" s="459" t="s">
        <v>214</v>
      </c>
      <c r="I4" s="459" t="s">
        <v>215</v>
      </c>
      <c r="J4" s="459" t="s">
        <v>130</v>
      </c>
      <c r="K4" s="540" t="s">
        <v>214</v>
      </c>
      <c r="L4" s="459" t="s">
        <v>215</v>
      </c>
      <c r="M4" s="460" t="s">
        <v>130</v>
      </c>
      <c r="N4" s="458" t="s">
        <v>214</v>
      </c>
      <c r="O4" s="459" t="s">
        <v>215</v>
      </c>
      <c r="P4" s="460" t="s">
        <v>130</v>
      </c>
    </row>
    <row r="5" spans="1:17">
      <c r="A5" s="461" t="s">
        <v>216</v>
      </c>
      <c r="B5" s="465">
        <f>'Line Item Budget'!L15</f>
        <v>54250</v>
      </c>
      <c r="C5" s="583">
        <f>'Line Item Budget'!M15</f>
        <v>0</v>
      </c>
      <c r="D5" s="584">
        <f t="shared" ref="D5:D10" si="0">B5+C5</f>
        <v>54250</v>
      </c>
      <c r="E5" s="465">
        <f>'Line Item Budget'!R15</f>
        <v>59926.5</v>
      </c>
      <c r="F5" s="583">
        <f>'Line Item Budget'!S15</f>
        <v>0</v>
      </c>
      <c r="G5" s="584">
        <f t="shared" ref="G5:G12" si="1">E5+F5</f>
        <v>59926.5</v>
      </c>
      <c r="H5" s="585">
        <f>E5*1.035</f>
        <v>62023.927499999998</v>
      </c>
      <c r="I5" s="585">
        <v>0</v>
      </c>
      <c r="J5" s="585">
        <f>H5+I5</f>
        <v>62023.927499999998</v>
      </c>
      <c r="K5" s="465">
        <f>'Line Item Budget'!X15</f>
        <v>27101.992499999997</v>
      </c>
      <c r="L5" s="583">
        <f>'Line Item Budget'!Y15</f>
        <v>0</v>
      </c>
      <c r="M5" s="584">
        <f t="shared" ref="M5:M12" si="2">K5+L5</f>
        <v>27101.992499999997</v>
      </c>
      <c r="N5" s="465">
        <f>B5+E5+H5+K5</f>
        <v>203302.41999999998</v>
      </c>
      <c r="O5" s="583">
        <f>'Line Item Budget'!AA15</f>
        <v>0</v>
      </c>
      <c r="P5" s="584">
        <f t="shared" ref="P5:P10" si="3">N5+O5</f>
        <v>203302.41999999998</v>
      </c>
      <c r="Q5" s="466"/>
    </row>
    <row r="6" spans="1:17">
      <c r="A6" s="461" t="s">
        <v>217</v>
      </c>
      <c r="B6" s="465">
        <f>'Line Item Budget'!L24</f>
        <v>24793.819999999996</v>
      </c>
      <c r="C6" s="583">
        <f>'Line Item Budget'!M24</f>
        <v>0</v>
      </c>
      <c r="D6" s="584">
        <f t="shared" si="0"/>
        <v>24793.819999999996</v>
      </c>
      <c r="E6" s="465">
        <f>'Line Item Budget'!R24</f>
        <v>27582.211799999994</v>
      </c>
      <c r="F6" s="583">
        <f>'Line Item Budget'!S24</f>
        <v>0</v>
      </c>
      <c r="G6" s="584">
        <f t="shared" si="1"/>
        <v>27582.211799999994</v>
      </c>
      <c r="H6" s="585">
        <f>E6</f>
        <v>27582.211799999994</v>
      </c>
      <c r="I6" s="585">
        <v>0</v>
      </c>
      <c r="J6" s="585">
        <f t="shared" ref="J6:J7" si="4">H6+I6</f>
        <v>27582.211799999994</v>
      </c>
      <c r="K6" s="465">
        <f>'Line Item Budget'!X24</f>
        <v>12285.965222999996</v>
      </c>
      <c r="L6" s="583">
        <f>'Line Item Budget'!Y24</f>
        <v>0</v>
      </c>
      <c r="M6" s="584">
        <f t="shared" si="2"/>
        <v>12285.965222999996</v>
      </c>
      <c r="N6" s="465">
        <f t="shared" ref="N6:N7" si="5">B6+E6+H6+K6</f>
        <v>92244.208822999979</v>
      </c>
      <c r="O6" s="583">
        <f>'Line Item Budget'!AA24</f>
        <v>0</v>
      </c>
      <c r="P6" s="584">
        <f t="shared" si="3"/>
        <v>92244.208822999979</v>
      </c>
      <c r="Q6" s="466"/>
    </row>
    <row r="7" spans="1:17">
      <c r="A7" s="461" t="s">
        <v>218</v>
      </c>
      <c r="B7" s="465">
        <f>'Line Item Budget'!L38</f>
        <v>12429</v>
      </c>
      <c r="C7" s="583">
        <f>'Line Item Budget'!M38</f>
        <v>0</v>
      </c>
      <c r="D7" s="584">
        <f t="shared" si="0"/>
        <v>12429</v>
      </c>
      <c r="E7" s="465">
        <f>'Line Item Budget'!R38</f>
        <v>7883.58</v>
      </c>
      <c r="F7" s="583">
        <f>'Line Item Budget'!S38</f>
        <v>0</v>
      </c>
      <c r="G7" s="584">
        <f t="shared" si="1"/>
        <v>7883.58</v>
      </c>
      <c r="H7" s="585">
        <v>8672.4</v>
      </c>
      <c r="I7" s="585">
        <v>0</v>
      </c>
      <c r="J7" s="585">
        <f t="shared" si="4"/>
        <v>8672.4</v>
      </c>
      <c r="K7" s="465">
        <f>'Line Item Budget'!X38</f>
        <v>3595.1022000000003</v>
      </c>
      <c r="L7" s="583">
        <f>'Line Item Budget'!Y38</f>
        <v>0</v>
      </c>
      <c r="M7" s="584">
        <f t="shared" si="2"/>
        <v>3595.1022000000003</v>
      </c>
      <c r="N7" s="465">
        <f t="shared" si="5"/>
        <v>32580.082200000004</v>
      </c>
      <c r="O7" s="583">
        <f>'Line Item Budget'!AA38</f>
        <v>0</v>
      </c>
      <c r="P7" s="584">
        <f t="shared" si="3"/>
        <v>32580.082200000004</v>
      </c>
      <c r="Q7" s="466"/>
    </row>
    <row r="8" spans="1:17">
      <c r="A8" s="461" t="s">
        <v>219</v>
      </c>
      <c r="B8" s="467"/>
      <c r="C8" s="468"/>
      <c r="D8" s="469"/>
      <c r="E8" s="467"/>
      <c r="F8" s="468"/>
      <c r="G8" s="469"/>
      <c r="H8" s="537"/>
      <c r="I8" s="537"/>
      <c r="J8" s="537"/>
      <c r="K8" s="467"/>
      <c r="L8" s="468"/>
      <c r="M8" s="469"/>
      <c r="N8" s="467"/>
      <c r="O8" s="468"/>
      <c r="P8" s="469"/>
      <c r="Q8" s="466"/>
    </row>
    <row r="9" spans="1:17">
      <c r="A9" s="461" t="s">
        <v>220</v>
      </c>
      <c r="B9" s="462">
        <f>'Line Item Budget'!L48</f>
        <v>8550</v>
      </c>
      <c r="C9" s="463">
        <f>'Line Item Budget'!M48</f>
        <v>0</v>
      </c>
      <c r="D9" s="464">
        <f>B9+C9</f>
        <v>8550</v>
      </c>
      <c r="E9" s="462">
        <f>'Line Item Budget'!R48</f>
        <v>7440</v>
      </c>
      <c r="F9" s="463">
        <f>'Line Item Budget'!S48</f>
        <v>0</v>
      </c>
      <c r="G9" s="464">
        <f t="shared" si="1"/>
        <v>7440</v>
      </c>
      <c r="H9" s="536">
        <f>E9</f>
        <v>7440</v>
      </c>
      <c r="I9" s="536">
        <v>0</v>
      </c>
      <c r="J9" s="536">
        <f>H9+I9</f>
        <v>7440</v>
      </c>
      <c r="K9" s="462">
        <f>'Line Item Budget'!X48</f>
        <v>2380</v>
      </c>
      <c r="L9" s="463">
        <f>'Line Item Budget'!Y48</f>
        <v>0</v>
      </c>
      <c r="M9" s="464">
        <f t="shared" si="2"/>
        <v>2380</v>
      </c>
      <c r="N9" s="462">
        <f>B9+E9+H9+K9</f>
        <v>25810</v>
      </c>
      <c r="O9" s="463">
        <f>'Line Item Budget'!AA48</f>
        <v>0</v>
      </c>
      <c r="P9" s="464">
        <f t="shared" si="3"/>
        <v>25810</v>
      </c>
      <c r="Q9" s="466"/>
    </row>
    <row r="10" spans="1:17">
      <c r="A10" s="461" t="s">
        <v>221</v>
      </c>
      <c r="B10" s="465">
        <f>'Line Item Budget'!L57</f>
        <v>72393.759999999995</v>
      </c>
      <c r="C10" s="583">
        <f>'Line Item Budget'!M57</f>
        <v>0</v>
      </c>
      <c r="D10" s="584">
        <f t="shared" si="0"/>
        <v>72393.759999999995</v>
      </c>
      <c r="E10" s="465">
        <f>'Line Item Budget'!R57</f>
        <v>103345.736</v>
      </c>
      <c r="F10" s="583">
        <f>'Line Item Budget'!S57</f>
        <v>0</v>
      </c>
      <c r="G10" s="584">
        <f t="shared" si="1"/>
        <v>103345.736</v>
      </c>
      <c r="H10" s="585">
        <v>119249</v>
      </c>
      <c r="I10" s="585">
        <v>0</v>
      </c>
      <c r="J10" s="585">
        <f>H10+I10</f>
        <v>119249</v>
      </c>
      <c r="K10" s="465">
        <f>'Line Item Budget'!X57</f>
        <v>23573.137350000001</v>
      </c>
      <c r="L10" s="583">
        <f>'Line Item Budget'!Y57</f>
        <v>0</v>
      </c>
      <c r="M10" s="584">
        <f t="shared" si="2"/>
        <v>23573.137350000001</v>
      </c>
      <c r="N10" s="465">
        <f>B10+E10+H10+K10</f>
        <v>318561.63334999996</v>
      </c>
      <c r="O10" s="583">
        <f>'Line Item Budget'!AA57</f>
        <v>0</v>
      </c>
      <c r="P10" s="584">
        <f t="shared" si="3"/>
        <v>318561.63334999996</v>
      </c>
      <c r="Q10" s="466"/>
    </row>
    <row r="11" spans="1:17">
      <c r="A11" s="461" t="s">
        <v>222</v>
      </c>
      <c r="B11" s="467"/>
      <c r="C11" s="468"/>
      <c r="D11" s="469"/>
      <c r="E11" s="467"/>
      <c r="F11" s="468"/>
      <c r="G11" s="469"/>
      <c r="H11" s="537"/>
      <c r="I11" s="537"/>
      <c r="J11" s="537"/>
      <c r="K11" s="467"/>
      <c r="L11" s="468"/>
      <c r="M11" s="469"/>
      <c r="N11" s="467"/>
      <c r="O11" s="468"/>
      <c r="P11" s="469"/>
      <c r="Q11" s="466"/>
    </row>
    <row r="12" spans="1:17">
      <c r="A12" s="461" t="s">
        <v>223</v>
      </c>
      <c r="B12" s="465">
        <f>'Line Item Budget'!L89</f>
        <v>12075</v>
      </c>
      <c r="C12" s="583">
        <f>'Line Item Budget'!M89</f>
        <v>0</v>
      </c>
      <c r="D12" s="584">
        <f>B12+C12</f>
        <v>12075</v>
      </c>
      <c r="E12" s="465">
        <f>'Line Item Budget'!R89</f>
        <v>20371.5</v>
      </c>
      <c r="F12" s="583">
        <f>'Line Item Budget'!S89</f>
        <v>0</v>
      </c>
      <c r="G12" s="584">
        <f t="shared" si="1"/>
        <v>20371.5</v>
      </c>
      <c r="H12" s="585">
        <v>23028</v>
      </c>
      <c r="I12" s="585">
        <v>0</v>
      </c>
      <c r="J12" s="585">
        <f>H12+I12</f>
        <v>23028</v>
      </c>
      <c r="K12" s="465">
        <f>'Line Item Budget'!X89</f>
        <v>2275</v>
      </c>
      <c r="L12" s="583">
        <f>'Line Item Budget'!Y89</f>
        <v>0</v>
      </c>
      <c r="M12" s="584">
        <f t="shared" si="2"/>
        <v>2275</v>
      </c>
      <c r="N12" s="465">
        <f>B12+E12+H12+K12</f>
        <v>57749.5</v>
      </c>
      <c r="O12" s="583">
        <f>'Line Item Budget'!AA89</f>
        <v>0</v>
      </c>
      <c r="P12" s="584">
        <f>N12+O12</f>
        <v>57749.5</v>
      </c>
      <c r="Q12" s="466"/>
    </row>
    <row r="13" spans="1:17">
      <c r="A13" s="461"/>
      <c r="B13" s="465"/>
      <c r="C13" s="583"/>
      <c r="D13" s="584"/>
      <c r="E13" s="465"/>
      <c r="F13" s="583"/>
      <c r="G13" s="584"/>
      <c r="H13" s="585"/>
      <c r="I13" s="585"/>
      <c r="J13" s="585"/>
      <c r="K13" s="465"/>
      <c r="L13" s="583"/>
      <c r="M13" s="584"/>
      <c r="N13" s="465"/>
      <c r="O13" s="583"/>
      <c r="P13" s="584"/>
      <c r="Q13" s="466"/>
    </row>
    <row r="14" spans="1:17">
      <c r="A14" s="461" t="s">
        <v>224</v>
      </c>
      <c r="B14" s="465">
        <f>'Line Item Budget'!L90</f>
        <v>184491.58</v>
      </c>
      <c r="C14" s="583">
        <f>'Line Item Budget'!M90</f>
        <v>0</v>
      </c>
      <c r="D14" s="584">
        <f>B14+C14</f>
        <v>184491.58</v>
      </c>
      <c r="E14" s="465">
        <f>'Line Item Budget'!R90</f>
        <v>226549.52779999998</v>
      </c>
      <c r="F14" s="583">
        <f>'Line Item Budget'!S90</f>
        <v>0</v>
      </c>
      <c r="G14" s="584">
        <f>E14+F14</f>
        <v>226549.52779999998</v>
      </c>
      <c r="H14" s="585">
        <f>SUM(H12,H10,H9,H7,H6,H5)</f>
        <v>247995.53929999997</v>
      </c>
      <c r="I14" s="585">
        <v>0</v>
      </c>
      <c r="J14" s="585">
        <f>H14+I14</f>
        <v>247995.53929999997</v>
      </c>
      <c r="K14" s="465">
        <f>'Line Item Budget'!W90</f>
        <v>71211.197272999998</v>
      </c>
      <c r="L14" s="583">
        <f>'Line Item Budget'!Y90</f>
        <v>0</v>
      </c>
      <c r="M14" s="584">
        <f>K14+L14</f>
        <v>71211.197272999998</v>
      </c>
      <c r="N14" s="465">
        <f>B14+E14+H14+K14</f>
        <v>730247.84437299997</v>
      </c>
      <c r="O14" s="583">
        <f>SUM(O5:O12)</f>
        <v>0</v>
      </c>
      <c r="P14" s="584">
        <f>N14+O14</f>
        <v>730247.84437299997</v>
      </c>
      <c r="Q14" s="466"/>
    </row>
    <row r="15" spans="1:17">
      <c r="A15" s="461"/>
      <c r="B15" s="465"/>
      <c r="C15" s="583"/>
      <c r="D15" s="584"/>
      <c r="E15" s="465"/>
      <c r="F15" s="583"/>
      <c r="G15" s="584"/>
      <c r="H15" s="585"/>
      <c r="I15" s="585"/>
      <c r="J15" s="585"/>
      <c r="K15" s="465"/>
      <c r="L15" s="583"/>
      <c r="M15" s="584"/>
      <c r="N15" s="465"/>
      <c r="O15" s="583"/>
      <c r="P15" s="584"/>
      <c r="Q15" s="466"/>
    </row>
    <row r="16" spans="1:17">
      <c r="A16" s="461" t="s">
        <v>225</v>
      </c>
      <c r="B16" s="465">
        <f>'Line Item Budget'!L92</f>
        <v>51657.642400000004</v>
      </c>
      <c r="C16" s="583">
        <f>'Line Item Budget'!M92</f>
        <v>0</v>
      </c>
      <c r="D16" s="584">
        <f>B16+C16</f>
        <v>51657.642400000004</v>
      </c>
      <c r="E16" s="465">
        <f>'Line Item Budget'!R92</f>
        <v>63433.867784000002</v>
      </c>
      <c r="F16" s="583">
        <f>'Line Item Budget'!S92</f>
        <v>0</v>
      </c>
      <c r="G16" s="584">
        <f>E16+F16</f>
        <v>63433.867784000002</v>
      </c>
      <c r="H16" s="585">
        <f>H14*28%</f>
        <v>69438.751004000005</v>
      </c>
      <c r="I16" s="585">
        <v>0</v>
      </c>
      <c r="J16" s="585">
        <f>H16+I16</f>
        <v>69438.751004000005</v>
      </c>
      <c r="K16" s="465">
        <f>'Line Item Budget'!X92</f>
        <v>19939.135236440001</v>
      </c>
      <c r="L16" s="583">
        <f>'Line Item Budget'!Y92</f>
        <v>0</v>
      </c>
      <c r="M16" s="584">
        <f>K16+L16</f>
        <v>19939.135236440001</v>
      </c>
      <c r="N16" s="465">
        <f>B16+E16+H16+K16</f>
        <v>204469.39642444003</v>
      </c>
      <c r="O16" s="583">
        <f>'Line Item Budget'!AA92</f>
        <v>0</v>
      </c>
      <c r="P16" s="584">
        <f>N16+O16</f>
        <v>204469.39642444003</v>
      </c>
      <c r="Q16" s="466"/>
    </row>
    <row r="17" spans="1:17">
      <c r="A17" s="461"/>
      <c r="B17" s="465"/>
      <c r="C17" s="583"/>
      <c r="D17" s="584"/>
      <c r="E17" s="465"/>
      <c r="F17" s="583"/>
      <c r="G17" s="584"/>
      <c r="H17" s="585"/>
      <c r="I17" s="585"/>
      <c r="J17" s="585"/>
      <c r="K17" s="465"/>
      <c r="L17" s="583"/>
      <c r="M17" s="584"/>
      <c r="N17" s="465"/>
      <c r="O17" s="583"/>
      <c r="P17" s="584"/>
      <c r="Q17" s="466"/>
    </row>
    <row r="18" spans="1:17" s="456" customFormat="1" ht="15.95" thickBot="1">
      <c r="A18" s="470" t="s">
        <v>226</v>
      </c>
      <c r="B18" s="471">
        <f t="shared" ref="B18:K18" si="6">B14+B16</f>
        <v>236149.2224</v>
      </c>
      <c r="C18" s="472">
        <f t="shared" si="6"/>
        <v>0</v>
      </c>
      <c r="D18" s="473">
        <f t="shared" si="6"/>
        <v>236149.2224</v>
      </c>
      <c r="E18" s="471">
        <f t="shared" si="6"/>
        <v>289983.39558399998</v>
      </c>
      <c r="F18" s="472">
        <f t="shared" si="6"/>
        <v>0</v>
      </c>
      <c r="G18" s="473">
        <f t="shared" si="6"/>
        <v>289983.39558399998</v>
      </c>
      <c r="H18" s="538">
        <f>H14+H16</f>
        <v>317434.29030399997</v>
      </c>
      <c r="I18" s="538">
        <f>I14+I16</f>
        <v>0</v>
      </c>
      <c r="J18" s="538">
        <f>H18+I18</f>
        <v>317434.29030399997</v>
      </c>
      <c r="K18" s="471">
        <f t="shared" si="6"/>
        <v>91150.332509439992</v>
      </c>
      <c r="L18" s="472">
        <f>L14+L16</f>
        <v>0</v>
      </c>
      <c r="M18" s="473">
        <f>M14+M16</f>
        <v>91150.332509439992</v>
      </c>
      <c r="N18" s="471">
        <f>N14+N16</f>
        <v>934717.24079744006</v>
      </c>
      <c r="O18" s="472">
        <f>O14+O16</f>
        <v>0</v>
      </c>
      <c r="P18" s="473">
        <f>P14+P16</f>
        <v>934717.24079744006</v>
      </c>
      <c r="Q18" s="466"/>
    </row>
    <row r="20" spans="1:17">
      <c r="B20" s="474"/>
      <c r="C20" s="474"/>
      <c r="D20" s="474"/>
      <c r="O20" s="466"/>
    </row>
    <row r="21" spans="1:17">
      <c r="B21" s="475"/>
      <c r="C21" s="476"/>
      <c r="D21" s="476"/>
      <c r="E21" s="476"/>
      <c r="F21" s="476"/>
      <c r="G21" s="476"/>
      <c r="H21" s="476"/>
      <c r="I21" s="476"/>
      <c r="J21" s="476"/>
      <c r="K21" s="476"/>
      <c r="L21" s="476"/>
      <c r="M21" s="476"/>
      <c r="N21" s="476"/>
      <c r="O21" s="476"/>
      <c r="P21" s="476"/>
    </row>
  </sheetData>
  <mergeCells count="7">
    <mergeCell ref="A1:P1"/>
    <mergeCell ref="A2:P2"/>
    <mergeCell ref="B3:D3"/>
    <mergeCell ref="E3:G3"/>
    <mergeCell ref="K3:M3"/>
    <mergeCell ref="N3:P3"/>
    <mergeCell ref="H3:J3"/>
  </mergeCells>
  <printOptions horizontalCentered="1"/>
  <pageMargins left="1" right="1" top="1" bottom="1" header="0.5" footer="0.5"/>
  <pageSetup scale="49" fitToHeight="0" orientation="landscape" r:id="rId1"/>
  <headerFooter alignWithMargins="0">
    <oddHeader>&amp;CPartners of the Americas
Ñande Ko’ê</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c808d36-874f-4b27-aec2-2fd649817929">
      <UserInfo>
        <DisplayName/>
        <AccountId xsi:nil="true"/>
        <AccountType/>
      </UserInfo>
    </SharedWithUsers>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2EBD2F-39BF-4AE9-8CC4-37A479A0DDDE}"/>
</file>

<file path=customXml/itemProps2.xml><?xml version="1.0" encoding="utf-8"?>
<ds:datastoreItem xmlns:ds="http://schemas.openxmlformats.org/officeDocument/2006/customXml" ds:itemID="{D68B2A3C-D706-4BD2-B0D9-B2504331F978}"/>
</file>

<file path=customXml/itemProps3.xml><?xml version="1.0" encoding="utf-8"?>
<ds:datastoreItem xmlns:ds="http://schemas.openxmlformats.org/officeDocument/2006/customXml" ds:itemID="{B2269C7A-0CC3-4321-A64C-FCC463CEFFB3}"/>
</file>

<file path=docProps/app.xml><?xml version="1.0" encoding="utf-8"?>
<Properties xmlns="http://schemas.openxmlformats.org/officeDocument/2006/extended-properties" xmlns:vt="http://schemas.openxmlformats.org/officeDocument/2006/docPropsVTypes">
  <Application>Microsoft Excel Online</Application>
  <Manager/>
  <Company>Catholic Relief Services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Sauvik Sengupta</dc:creator>
  <cp:keywords/>
  <dc:description/>
  <cp:lastModifiedBy>Alma Rico Diaz</cp:lastModifiedBy>
  <cp:revision/>
  <dcterms:created xsi:type="dcterms:W3CDTF">2009-09-07T09:33:11Z</dcterms:created>
  <dcterms:modified xsi:type="dcterms:W3CDTF">2023-08-29T17:18:45Z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9708800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