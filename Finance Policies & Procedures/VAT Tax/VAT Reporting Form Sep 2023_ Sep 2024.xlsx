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maine Joseph\Desktop\F2F Closing out activities\"/>
    </mc:Choice>
  </mc:AlternateContent>
  <xr:revisionPtr revIDLastSave="0" documentId="8_{521C9185-51D1-48FA-A266-77CE59708206}" xr6:coauthVersionLast="47" xr6:coauthVersionMax="47" xr10:uidLastSave="{00000000-0000-0000-0000-000000000000}"/>
  <bookViews>
    <workbookView xWindow="20" yWindow="260" windowWidth="23980" windowHeight="15370" xr2:uid="{13F8A521-BCEF-4DBC-8256-94B777E9174C}"/>
  </bookViews>
  <sheets>
    <sheet name="Fina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22" i="1"/>
  <c r="J21" i="1"/>
  <c r="J20" i="1"/>
  <c r="J19" i="1"/>
  <c r="J18" i="1"/>
  <c r="J17" i="1"/>
  <c r="J15" i="1"/>
  <c r="H34" i="1"/>
  <c r="G34" i="1"/>
  <c r="I34" i="1"/>
  <c r="J34" i="1" l="1"/>
</calcChain>
</file>

<file path=xl/sharedStrings.xml><?xml version="1.0" encoding="utf-8"?>
<sst xmlns="http://schemas.openxmlformats.org/spreadsheetml/2006/main" count="49" uniqueCount="35">
  <si>
    <t>VAT TRACKING SHEET</t>
  </si>
  <si>
    <t>Country</t>
  </si>
  <si>
    <t>Project</t>
  </si>
  <si>
    <t>Invoice Date</t>
  </si>
  <si>
    <t>Invoice No</t>
  </si>
  <si>
    <t>Supplier Name</t>
  </si>
  <si>
    <t>Items Description</t>
  </si>
  <si>
    <t>Transaction Value (Pre-VAT)</t>
  </si>
  <si>
    <t>VAT Amount *</t>
  </si>
  <si>
    <t>Customs Amount (if applicable)*</t>
  </si>
  <si>
    <t>VAT and Customs Total*</t>
  </si>
  <si>
    <t>PLUG IN INFORMATION DIRECTLY AND THE USD TAB WILL PULL AUTOMATICALLY</t>
  </si>
  <si>
    <t>YELLOW IS FORMULA, DO NOT ERASE</t>
  </si>
  <si>
    <t xml:space="preserve">Total: </t>
  </si>
  <si>
    <t>Only include invoices relating to commodity purchases valued at USD 500 or more.</t>
  </si>
  <si>
    <t>For the purpose of this report, " Commodities" include any materials, article, supply, goods, or equipment.</t>
  </si>
  <si>
    <t xml:space="preserve">Only foreign taxes assessed by the foreign government in the country receiving U.S. assistance is to be reported.   </t>
  </si>
  <si>
    <t>Foreign taxes by a third party government are not to be reported</t>
  </si>
  <si>
    <r>
      <t xml:space="preserve">* </t>
    </r>
    <r>
      <rPr>
        <b/>
        <sz val="10"/>
        <rFont val="Arial"/>
        <family val="2"/>
      </rPr>
      <t>Amounts to be reported to USAID</t>
    </r>
  </si>
  <si>
    <t>Organization Name: Washington DC POA Guyana</t>
  </si>
  <si>
    <t>Country/Government: Guyana</t>
  </si>
  <si>
    <t>Contact Name: Jermaine Joseph</t>
  </si>
  <si>
    <t>Contact Email: jjoseph@partners.net</t>
  </si>
  <si>
    <t>Award Number (s) USAID650</t>
  </si>
  <si>
    <t>Period Covered: September 1st 2023 - September 30th 2024</t>
  </si>
  <si>
    <t>Guyana</t>
  </si>
  <si>
    <t>USAUD 650</t>
  </si>
  <si>
    <t>Beharry Automotive
Limited</t>
  </si>
  <si>
    <t xml:space="preserve">Regal Stationery &amp;
Computer Centre </t>
  </si>
  <si>
    <t>Muneshwers Limited</t>
  </si>
  <si>
    <t>Brandsville Suites</t>
  </si>
  <si>
    <t>General service of vehicle
GYY 1429</t>
  </si>
  <si>
    <t>General service of vehicle
GXX 6138</t>
  </si>
  <si>
    <t>Office Suppli8es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</si>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</sst>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_ [$R-1C09]\ * #,##0.00_ ;_ [$R-1C09]\ * \-#,##0.00_ ;_ [$R-1C09]\ * &quot;-&quot;??_ ;_ @_ "/>
    <numFmt numFmtId="166" formatCode="[$-F800]dddd\,\ mmmm\ dd\,\ yyyy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164" fontId="0" fillId="0" borderId="1" xfId="0" applyNumberFormat="1" applyBorder="1"/>
    <xf numFmtId="164" fontId="0" fillId="0" borderId="7" xfId="0" applyNumberFormat="1" applyBorder="1"/>
    <xf numFmtId="0" fontId="2" fillId="0" borderId="1" xfId="0" applyFont="1" applyBorder="1"/>
    <xf numFmtId="0" fontId="2" fillId="0" borderId="6" xfId="0" applyFont="1" applyBorder="1" applyAlignment="1">
      <alignment horizontal="left"/>
    </xf>
    <xf numFmtId="0" fontId="0" fillId="0" borderId="1" xfId="0" applyBorder="1" applyAlignment="1">
      <alignment horizontal="left"/>
    </xf>
    <xf numFmtId="166" fontId="1" fillId="0" borderId="0" xfId="0" applyNumberFormat="1" applyFont="1"/>
    <xf numFmtId="166" fontId="0" fillId="0" borderId="0" xfId="0" applyNumberFormat="1"/>
    <xf numFmtId="166" fontId="2" fillId="0" borderId="0" xfId="0" applyNumberFormat="1" applyFont="1"/>
    <xf numFmtId="165" fontId="0" fillId="2" borderId="1" xfId="0" applyNumberFormat="1" applyFill="1" applyBorder="1"/>
    <xf numFmtId="0" fontId="1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5" fontId="0" fillId="3" borderId="1" xfId="0" applyNumberFormat="1" applyFill="1" applyBorder="1"/>
    <xf numFmtId="0" fontId="0" fillId="3" borderId="2" xfId="0" applyFill="1" applyBorder="1" applyAlignment="1">
      <alignment horizontal="left"/>
    </xf>
    <xf numFmtId="0" fontId="2" fillId="3" borderId="2" xfId="0" applyFont="1" applyFill="1" applyBorder="1"/>
    <xf numFmtId="165" fontId="0" fillId="3" borderId="2" xfId="0" applyNumberFormat="1" applyFill="1" applyBorder="1"/>
    <xf numFmtId="0" fontId="2" fillId="3" borderId="2" xfId="0" applyFont="1" applyFill="1" applyBorder="1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3" fillId="0" borderId="0" xfId="1" applyAlignment="1" applyProtection="1"/>
    <xf numFmtId="4" fontId="0" fillId="0" borderId="1" xfId="0" applyNumberFormat="1" applyBorder="1"/>
    <xf numFmtId="4" fontId="1" fillId="0" borderId="6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2" fillId="0" borderId="10" xfId="0" applyNumberFormat="1" applyFont="1" applyBorder="1" applyAlignment="1">
      <alignment horizontal="left"/>
    </xf>
    <xf numFmtId="166" fontId="0" fillId="0" borderId="11" xfId="0" applyNumberFormat="1" applyBorder="1" applyAlignment="1">
      <alignment horizontal="left"/>
    </xf>
    <xf numFmtId="166" fontId="0" fillId="3" borderId="11" xfId="0" applyNumberFormat="1" applyFill="1" applyBorder="1" applyAlignment="1">
      <alignment horizontal="left"/>
    </xf>
    <xf numFmtId="166" fontId="2" fillId="3" borderId="12" xfId="0" applyNumberFormat="1" applyFont="1" applyFill="1" applyBorder="1" applyAlignment="1">
      <alignment horizontal="left"/>
    </xf>
    <xf numFmtId="166" fontId="0" fillId="3" borderId="12" xfId="0" applyNumberFormat="1" applyFill="1" applyBorder="1" applyAlignment="1">
      <alignment horizontal="left"/>
    </xf>
    <xf numFmtId="166" fontId="0" fillId="0" borderId="13" xfId="0" applyNumberFormat="1" applyBorder="1"/>
    <xf numFmtId="2" fontId="1" fillId="0" borderId="0" xfId="0" applyNumberFormat="1" applyFont="1"/>
    <xf numFmtId="166" fontId="3" fillId="0" borderId="0" xfId="1" applyNumberFormat="1" applyFill="1" applyAlignment="1" applyProtection="1"/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8" xfId="0" applyFont="1" applyBorder="1" applyAlignment="1">
      <alignment horizontal="center" wrapText="1"/>
    </xf>
    <xf numFmtId="166" fontId="1" fillId="0" borderId="19" xfId="0" applyNumberFormat="1" applyFont="1" applyBorder="1" applyAlignment="1">
      <alignment horizontal="center"/>
    </xf>
    <xf numFmtId="166" fontId="1" fillId="0" borderId="20" xfId="0" applyNumberFormat="1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15" fontId="4" fillId="0" borderId="21" xfId="0" applyNumberFormat="1" applyFont="1" applyBorder="1" applyAlignment="1">
      <alignment horizontal="justify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0" xfId="0" applyFont="1"/>
    <xf numFmtId="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D741-08E4-4099-BE1B-BB58BD8E9B73}">
  <sheetPr>
    <pageSetUpPr fitToPage="1"/>
  </sheetPr>
  <dimension ref="A1:J44"/>
  <sheetViews>
    <sheetView tabSelected="1" zoomScale="75" workbookViewId="0">
      <selection activeCell="N40" sqref="N40"/>
    </sheetView>
  </sheetViews>
  <sheetFormatPr defaultColWidth="11.42578125" defaultRowHeight="12.75" x14ac:dyDescent="0.2"/>
  <cols>
    <col min="1" max="1" width="10.140625" customWidth="1"/>
    <col min="2" max="2" width="19.7109375" customWidth="1"/>
    <col min="3" max="3" width="33.7109375" style="14" customWidth="1"/>
    <col min="4" max="4" width="14.42578125" customWidth="1"/>
    <col min="5" max="6" width="24.85546875" customWidth="1"/>
    <col min="7" max="7" width="15" customWidth="1"/>
    <col min="8" max="8" width="17.5703125" customWidth="1"/>
    <col min="9" max="9" width="26.140625" customWidth="1"/>
    <col min="10" max="10" width="15" customWidth="1"/>
  </cols>
  <sheetData>
    <row r="1" spans="1:10" x14ac:dyDescent="0.2">
      <c r="A1" s="2" t="s">
        <v>0</v>
      </c>
      <c r="B1" s="2"/>
      <c r="C1" s="13"/>
      <c r="D1" s="2"/>
      <c r="E1" s="2"/>
      <c r="F1" s="2"/>
      <c r="G1" s="2"/>
      <c r="H1" s="2"/>
      <c r="I1" s="2"/>
      <c r="J1" s="2"/>
    </row>
    <row r="2" spans="1:10" x14ac:dyDescent="0.2">
      <c r="A2" s="41" t="s">
        <v>19</v>
      </c>
      <c r="B2" s="41"/>
      <c r="C2" s="2"/>
      <c r="D2" s="2"/>
      <c r="F2" s="2"/>
      <c r="G2" s="2"/>
      <c r="H2" s="2"/>
      <c r="I2" s="2"/>
      <c r="J2" s="2"/>
    </row>
    <row r="3" spans="1:10" x14ac:dyDescent="0.2">
      <c r="A3" s="41" t="s">
        <v>20</v>
      </c>
      <c r="B3" s="41"/>
      <c r="C3" s="13"/>
      <c r="D3" s="2"/>
      <c r="E3" s="2"/>
      <c r="F3" s="2"/>
      <c r="G3" s="2"/>
      <c r="H3" s="2"/>
      <c r="I3" s="2"/>
      <c r="J3" s="2"/>
    </row>
    <row r="4" spans="1:10" x14ac:dyDescent="0.2">
      <c r="A4" s="41" t="s">
        <v>21</v>
      </c>
      <c r="B4" s="41"/>
      <c r="C4" s="13"/>
      <c r="D4" s="2"/>
      <c r="E4" s="2"/>
      <c r="F4" s="2"/>
      <c r="G4" s="2"/>
      <c r="H4" s="2"/>
      <c r="I4" s="2"/>
      <c r="J4" s="2"/>
    </row>
    <row r="5" spans="1:10" x14ac:dyDescent="0.2">
      <c r="A5" s="41" t="s">
        <v>22</v>
      </c>
      <c r="B5" s="41"/>
      <c r="C5" s="40"/>
      <c r="D5" s="27"/>
      <c r="E5" s="2"/>
      <c r="F5" s="2"/>
      <c r="G5" s="2"/>
      <c r="H5" s="2"/>
      <c r="I5" s="2"/>
      <c r="J5" s="2"/>
    </row>
    <row r="6" spans="1:10" x14ac:dyDescent="0.2">
      <c r="A6" s="41" t="s">
        <v>23</v>
      </c>
      <c r="B6" s="41"/>
      <c r="C6" s="39"/>
      <c r="D6" s="2"/>
      <c r="E6" s="2"/>
      <c r="F6" s="2"/>
      <c r="G6" s="2"/>
      <c r="H6" s="2"/>
      <c r="I6" s="2"/>
      <c r="J6" s="2"/>
    </row>
    <row r="7" spans="1:10" x14ac:dyDescent="0.2">
      <c r="A7" s="41" t="s">
        <v>24</v>
      </c>
      <c r="B7" s="41"/>
      <c r="C7" s="13"/>
      <c r="D7" s="2"/>
      <c r="E7" s="2"/>
      <c r="F7" s="2"/>
      <c r="G7" s="2"/>
      <c r="H7" s="2"/>
      <c r="I7" s="2"/>
      <c r="J7" s="2"/>
    </row>
    <row r="8" spans="1:10" x14ac:dyDescent="0.2">
      <c r="A8" s="2"/>
      <c r="B8" s="2"/>
      <c r="C8" s="13"/>
      <c r="D8" s="2"/>
      <c r="E8" s="2"/>
      <c r="F8" s="2"/>
      <c r="G8" s="2"/>
      <c r="H8" s="2"/>
      <c r="I8" s="2"/>
      <c r="J8" s="2"/>
    </row>
    <row r="9" spans="1:10" ht="13.5" thickBot="1" x14ac:dyDescent="0.25">
      <c r="A9" s="2"/>
      <c r="B9" s="2"/>
      <c r="C9" s="13"/>
      <c r="D9" s="2"/>
      <c r="E9" s="2"/>
      <c r="F9" s="2"/>
      <c r="G9" s="2"/>
      <c r="H9" s="2"/>
      <c r="I9" s="2"/>
      <c r="J9" s="2"/>
    </row>
    <row r="10" spans="1:10" ht="12.75" customHeight="1" x14ac:dyDescent="0.2">
      <c r="A10" s="45" t="s">
        <v>1</v>
      </c>
      <c r="B10" s="42" t="s">
        <v>2</v>
      </c>
      <c r="C10" s="52" t="s">
        <v>3</v>
      </c>
      <c r="D10" s="48" t="s">
        <v>4</v>
      </c>
      <c r="E10" s="48" t="s">
        <v>5</v>
      </c>
      <c r="F10" s="48" t="s">
        <v>6</v>
      </c>
      <c r="G10" s="51" t="s">
        <v>7</v>
      </c>
      <c r="H10" s="48" t="s">
        <v>8</v>
      </c>
      <c r="I10" s="51" t="s">
        <v>9</v>
      </c>
      <c r="J10" s="51" t="s">
        <v>10</v>
      </c>
    </row>
    <row r="11" spans="1:10" ht="19.5" customHeight="1" x14ac:dyDescent="0.2">
      <c r="A11" s="46"/>
      <c r="B11" s="43"/>
      <c r="C11" s="53"/>
      <c r="D11" s="49"/>
      <c r="E11" s="49"/>
      <c r="F11" s="49"/>
      <c r="G11" s="46"/>
      <c r="H11" s="49"/>
      <c r="I11" s="46"/>
      <c r="J11" s="46"/>
    </row>
    <row r="12" spans="1:10" x14ac:dyDescent="0.2">
      <c r="A12" s="46"/>
      <c r="B12" s="43"/>
      <c r="C12" s="53"/>
      <c r="D12" s="49"/>
      <c r="E12" s="49"/>
      <c r="F12" s="49"/>
      <c r="G12" s="46"/>
      <c r="H12" s="49"/>
      <c r="I12" s="46"/>
      <c r="J12" s="46"/>
    </row>
    <row r="13" spans="1:10" x14ac:dyDescent="0.2">
      <c r="A13" s="46"/>
      <c r="B13" s="43"/>
      <c r="C13" s="53"/>
      <c r="D13" s="49"/>
      <c r="E13" s="49"/>
      <c r="F13" s="49"/>
      <c r="G13" s="46"/>
      <c r="H13" s="49"/>
      <c r="I13" s="46"/>
      <c r="J13" s="46"/>
    </row>
    <row r="14" spans="1:10" ht="24" customHeight="1" thickBot="1" x14ac:dyDescent="0.25">
      <c r="A14" s="47"/>
      <c r="B14" s="44"/>
      <c r="C14" s="54"/>
      <c r="D14" s="50"/>
      <c r="E14" s="50"/>
      <c r="F14" s="50"/>
      <c r="G14" s="47"/>
      <c r="H14" s="50"/>
      <c r="I14" s="47"/>
      <c r="J14" s="47"/>
    </row>
    <row r="15" spans="1:10" ht="26.25" customHeight="1" thickBot="1" x14ac:dyDescent="0.3">
      <c r="A15" s="7" t="s">
        <v>25</v>
      </c>
      <c r="B15" s="30" t="s">
        <v>26</v>
      </c>
      <c r="C15" s="55">
        <v>45510</v>
      </c>
      <c r="D15" s="11"/>
      <c r="E15" s="57" t="s">
        <v>27</v>
      </c>
      <c r="F15" s="56" t="s">
        <v>31</v>
      </c>
      <c r="G15" s="60">
        <v>104463.6</v>
      </c>
      <c r="H15" s="60">
        <v>11075.18</v>
      </c>
      <c r="I15" s="29"/>
      <c r="J15" s="29">
        <f>H15+I15</f>
        <v>11075.18</v>
      </c>
    </row>
    <row r="16" spans="1:10" ht="27.75" customHeight="1" x14ac:dyDescent="0.25">
      <c r="A16" s="7" t="s">
        <v>25</v>
      </c>
      <c r="B16" s="30" t="s">
        <v>26</v>
      </c>
      <c r="C16" s="33">
        <v>45520</v>
      </c>
      <c r="D16" s="11"/>
      <c r="E16" s="57" t="s">
        <v>27</v>
      </c>
      <c r="F16" s="56" t="s">
        <v>32</v>
      </c>
      <c r="G16" s="60">
        <v>78462.960000000006</v>
      </c>
      <c r="H16" s="60">
        <v>7882.12</v>
      </c>
      <c r="I16" s="29"/>
      <c r="J16" s="29">
        <f>H16+I16</f>
        <v>7882.12</v>
      </c>
    </row>
    <row r="17" spans="1:10" ht="25.5" customHeight="1" x14ac:dyDescent="0.25">
      <c r="A17" s="7" t="s">
        <v>25</v>
      </c>
      <c r="B17" s="30" t="s">
        <v>26</v>
      </c>
      <c r="C17" s="33">
        <v>45534</v>
      </c>
      <c r="D17" s="11"/>
      <c r="E17" s="58" t="s">
        <v>28</v>
      </c>
      <c r="F17" s="10" t="s">
        <v>33</v>
      </c>
      <c r="G17" s="60">
        <v>356820</v>
      </c>
      <c r="H17" s="60">
        <v>43820</v>
      </c>
      <c r="I17" s="29"/>
      <c r="J17" s="29">
        <f t="shared" ref="J17:J22" si="0">H17+I17</f>
        <v>43820</v>
      </c>
    </row>
    <row r="18" spans="1:10" ht="25.5" customHeight="1" x14ac:dyDescent="0.25">
      <c r="A18" s="7" t="s">
        <v>25</v>
      </c>
      <c r="B18" s="30" t="s">
        <v>26</v>
      </c>
      <c r="C18" s="34">
        <v>45479</v>
      </c>
      <c r="D18" s="12"/>
      <c r="E18" s="58" t="s">
        <v>28</v>
      </c>
      <c r="F18" s="10" t="s">
        <v>33</v>
      </c>
      <c r="G18" s="60">
        <v>74100</v>
      </c>
      <c r="H18" s="60">
        <v>9100</v>
      </c>
      <c r="I18" s="29"/>
      <c r="J18" s="29">
        <f t="shared" si="0"/>
        <v>9100</v>
      </c>
    </row>
    <row r="19" spans="1:10" ht="24" customHeight="1" x14ac:dyDescent="0.25">
      <c r="A19" s="7" t="s">
        <v>25</v>
      </c>
      <c r="B19" s="30" t="s">
        <v>26</v>
      </c>
      <c r="C19" s="34">
        <v>45503</v>
      </c>
      <c r="D19" s="12"/>
      <c r="E19" s="10" t="s">
        <v>29</v>
      </c>
      <c r="F19" s="10" t="s">
        <v>33</v>
      </c>
      <c r="G19" s="60">
        <v>4710</v>
      </c>
      <c r="H19" s="59">
        <v>362</v>
      </c>
      <c r="I19" s="28"/>
      <c r="J19" s="29">
        <f t="shared" si="0"/>
        <v>362</v>
      </c>
    </row>
    <row r="20" spans="1:10" ht="26.25" customHeight="1" x14ac:dyDescent="0.25">
      <c r="A20" s="7" t="s">
        <v>25</v>
      </c>
      <c r="B20" s="30" t="s">
        <v>26</v>
      </c>
      <c r="C20" s="34">
        <v>45503</v>
      </c>
      <c r="D20" s="12"/>
      <c r="E20" s="10" t="s">
        <v>30</v>
      </c>
      <c r="F20" s="10" t="s">
        <v>34</v>
      </c>
      <c r="G20" s="60">
        <v>459240</v>
      </c>
      <c r="H20" s="60">
        <v>56397.9</v>
      </c>
      <c r="I20" s="28"/>
      <c r="J20" s="29">
        <f t="shared" si="0"/>
        <v>56397.9</v>
      </c>
    </row>
    <row r="21" spans="1:10" ht="18.75" customHeight="1" x14ac:dyDescent="0.2">
      <c r="A21" s="7"/>
      <c r="B21" s="30"/>
      <c r="C21" s="34"/>
      <c r="D21" s="12"/>
      <c r="E21" s="10"/>
      <c r="F21" s="10"/>
      <c r="G21" s="28"/>
      <c r="H21" s="28"/>
      <c r="I21" s="28"/>
      <c r="J21" s="29">
        <f t="shared" si="0"/>
        <v>0</v>
      </c>
    </row>
    <row r="22" spans="1:10" ht="18.75" customHeight="1" thickBot="1" x14ac:dyDescent="0.25">
      <c r="A22" s="7"/>
      <c r="B22" s="30"/>
      <c r="C22" s="34"/>
      <c r="D22" s="12"/>
      <c r="E22" s="10"/>
      <c r="F22" s="10"/>
      <c r="G22" s="28"/>
      <c r="H22" s="28"/>
      <c r="I22" s="28"/>
      <c r="J22" s="29">
        <f t="shared" si="0"/>
        <v>0</v>
      </c>
    </row>
    <row r="23" spans="1:10" ht="18.75" hidden="1" customHeight="1" x14ac:dyDescent="0.2">
      <c r="A23" s="17">
        <v>18</v>
      </c>
      <c r="B23" s="31"/>
      <c r="C23" s="35" t="s">
        <v>11</v>
      </c>
      <c r="D23" s="18"/>
      <c r="E23" s="19"/>
      <c r="F23" s="19"/>
      <c r="G23" s="20"/>
      <c r="H23" s="16"/>
      <c r="I23" s="8" t="s">
        <v>12</v>
      </c>
      <c r="J23" s="8"/>
    </row>
    <row r="24" spans="1:10" ht="18" hidden="1" customHeight="1" x14ac:dyDescent="0.2">
      <c r="A24" s="17">
        <v>19</v>
      </c>
      <c r="B24" s="31"/>
      <c r="C24" s="35"/>
      <c r="D24" s="18"/>
      <c r="E24" s="19"/>
      <c r="F24" s="19"/>
      <c r="G24" s="20"/>
      <c r="H24" s="16"/>
      <c r="I24" s="8"/>
      <c r="J24" s="8"/>
    </row>
    <row r="25" spans="1:10" ht="18.75" hidden="1" customHeight="1" x14ac:dyDescent="0.2">
      <c r="A25" s="17">
        <v>20</v>
      </c>
      <c r="B25" s="32"/>
      <c r="C25" s="36"/>
      <c r="D25" s="21"/>
      <c r="E25" s="22"/>
      <c r="F25" s="22"/>
      <c r="G25" s="23"/>
      <c r="H25" s="16"/>
      <c r="I25" s="8"/>
      <c r="J25" s="8"/>
    </row>
    <row r="26" spans="1:10" ht="19.5" hidden="1" customHeight="1" x14ac:dyDescent="0.2">
      <c r="A26" s="17">
        <v>21</v>
      </c>
      <c r="B26" s="32"/>
      <c r="C26" s="36"/>
      <c r="D26" s="24"/>
      <c r="E26" s="22"/>
      <c r="F26" s="22"/>
      <c r="G26" s="23"/>
      <c r="H26" s="16"/>
      <c r="I26" s="8"/>
      <c r="J26" s="8"/>
    </row>
    <row r="27" spans="1:10" ht="18.75" hidden="1" customHeight="1" x14ac:dyDescent="0.2">
      <c r="A27" s="17">
        <v>22</v>
      </c>
      <c r="B27" s="32"/>
      <c r="C27" s="37"/>
      <c r="D27" s="24"/>
      <c r="E27" s="22"/>
      <c r="F27" s="22"/>
      <c r="G27" s="23"/>
      <c r="H27" s="16"/>
      <c r="I27" s="1"/>
      <c r="J27" s="1"/>
    </row>
    <row r="28" spans="1:10" ht="18.75" hidden="1" customHeight="1" x14ac:dyDescent="0.2">
      <c r="A28" s="17">
        <v>23</v>
      </c>
      <c r="B28" s="31"/>
      <c r="C28" s="35"/>
      <c r="D28" s="25"/>
      <c r="E28" s="25"/>
      <c r="F28" s="25"/>
      <c r="G28" s="25"/>
      <c r="H28" s="16"/>
      <c r="I28" s="3"/>
      <c r="J28" s="3"/>
    </row>
    <row r="29" spans="1:10" ht="18.75" hidden="1" customHeight="1" x14ac:dyDescent="0.2">
      <c r="A29" s="17">
        <v>24</v>
      </c>
      <c r="B29" s="31"/>
      <c r="C29" s="35"/>
      <c r="D29" s="25"/>
      <c r="E29" s="25"/>
      <c r="F29" s="25"/>
      <c r="G29" s="25"/>
      <c r="H29" s="16"/>
      <c r="I29" s="3"/>
      <c r="J29" s="3"/>
    </row>
    <row r="30" spans="1:10" ht="18.75" hidden="1" customHeight="1" x14ac:dyDescent="0.2">
      <c r="A30" s="17">
        <v>25</v>
      </c>
      <c r="B30" s="31"/>
      <c r="C30" s="35"/>
      <c r="D30" s="25"/>
      <c r="E30" s="25"/>
      <c r="F30" s="25"/>
      <c r="G30" s="25"/>
      <c r="H30" s="16"/>
      <c r="I30" s="3"/>
      <c r="J30" s="3"/>
    </row>
    <row r="31" spans="1:10" ht="18.75" hidden="1" customHeight="1" x14ac:dyDescent="0.2">
      <c r="A31" s="17">
        <v>26</v>
      </c>
      <c r="B31" s="32"/>
      <c r="C31" s="37"/>
      <c r="D31" s="22"/>
      <c r="E31" s="22"/>
      <c r="F31" s="22"/>
      <c r="G31" s="23"/>
      <c r="H31" s="16"/>
      <c r="I31" s="3"/>
      <c r="J31" s="3"/>
    </row>
    <row r="32" spans="1:10" ht="18.75" hidden="1" customHeight="1" x14ac:dyDescent="0.2">
      <c r="A32" s="17">
        <v>27</v>
      </c>
      <c r="B32" s="32"/>
      <c r="C32" s="37"/>
      <c r="D32" s="22"/>
      <c r="E32" s="22"/>
      <c r="F32" s="22"/>
      <c r="G32" s="23"/>
      <c r="H32" s="16"/>
      <c r="I32" s="3"/>
      <c r="J32" s="3"/>
    </row>
    <row r="33" spans="1:10" ht="18" hidden="1" customHeight="1" thickBot="1" x14ac:dyDescent="0.25">
      <c r="A33" s="17">
        <v>28</v>
      </c>
      <c r="B33" s="32"/>
      <c r="C33" s="37"/>
      <c r="D33" s="26"/>
      <c r="E33" s="26"/>
      <c r="F33" s="26"/>
      <c r="G33" s="23"/>
      <c r="H33" s="16"/>
      <c r="I33" s="3"/>
      <c r="J33" s="3"/>
    </row>
    <row r="34" spans="1:10" ht="19.5" customHeight="1" thickBot="1" x14ac:dyDescent="0.25">
      <c r="A34" s="4" t="s">
        <v>13</v>
      </c>
      <c r="B34" s="5"/>
      <c r="C34" s="38"/>
      <c r="D34" s="5"/>
      <c r="E34" s="6"/>
      <c r="F34" s="6"/>
      <c r="G34" s="9">
        <f>SUM(G15:G33)</f>
        <v>1077796.56</v>
      </c>
      <c r="H34" s="9">
        <f>SUM(H15:H33)</f>
        <v>128637.20000000001</v>
      </c>
      <c r="I34" s="9">
        <f>SUM(I15:I33)</f>
        <v>0</v>
      </c>
      <c r="J34" s="9">
        <f>SUM(J15:J33)</f>
        <v>128637.20000000001</v>
      </c>
    </row>
    <row r="37" spans="1:10" x14ac:dyDescent="0.2">
      <c r="A37" s="13" t="s">
        <v>14</v>
      </c>
      <c r="B37" s="2"/>
      <c r="C37" s="2"/>
      <c r="D37" s="2"/>
      <c r="E37" s="2"/>
      <c r="F37" s="2"/>
      <c r="G37" s="2"/>
    </row>
    <row r="38" spans="1:10" x14ac:dyDescent="0.2">
      <c r="A38" s="13" t="s">
        <v>15</v>
      </c>
      <c r="B38" s="2"/>
      <c r="C38" s="2"/>
      <c r="D38" s="2"/>
      <c r="E38" s="2"/>
      <c r="F38" s="2"/>
      <c r="G38" s="2"/>
      <c r="J38" s="2"/>
    </row>
    <row r="39" spans="1:10" x14ac:dyDescent="0.2">
      <c r="A39" s="14"/>
      <c r="C39"/>
      <c r="J39" s="2"/>
    </row>
    <row r="40" spans="1:10" x14ac:dyDescent="0.2">
      <c r="A40" s="13" t="s">
        <v>16</v>
      </c>
      <c r="C40"/>
    </row>
    <row r="41" spans="1:10" x14ac:dyDescent="0.2">
      <c r="A41" s="13" t="s">
        <v>17</v>
      </c>
      <c r="C41"/>
    </row>
    <row r="42" spans="1:10" x14ac:dyDescent="0.2">
      <c r="A42" s="14"/>
      <c r="C42"/>
    </row>
    <row r="43" spans="1:10" x14ac:dyDescent="0.2">
      <c r="A43" s="15" t="s">
        <v>18</v>
      </c>
      <c r="C43"/>
    </row>
    <row r="44" spans="1:10" x14ac:dyDescent="0.2">
      <c r="A44" s="14"/>
      <c r="C44"/>
    </row>
  </sheetData>
  <mergeCells count="16">
    <mergeCell ref="B10:B14"/>
    <mergeCell ref="A10:A14"/>
    <mergeCell ref="H10:H14"/>
    <mergeCell ref="I10:I14"/>
    <mergeCell ref="J10:J14"/>
    <mergeCell ref="C10:C14"/>
    <mergeCell ref="D10:D14"/>
    <mergeCell ref="E10:E14"/>
    <mergeCell ref="F10:F14"/>
    <mergeCell ref="G10:G14"/>
    <mergeCell ref="A7:B7"/>
    <mergeCell ref="A2:B2"/>
    <mergeCell ref="A3:B3"/>
    <mergeCell ref="A4:B4"/>
    <mergeCell ref="A5:B5"/>
    <mergeCell ref="A6:B6"/>
  </mergeCells>
  <phoneticPr fontId="0" type="noConversion"/>
  <pageMargins left="0.75" right="0.75" top="1" bottom="1" header="0.5" footer="0.5"/>
  <pageSetup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1B553702-5CE6-411C-B57D-AEFD9F3EAD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D89373-5842-4282-B891-E1301215FC01}"/>
</file>

<file path=customXml/itemProps3.xml><?xml version="1.0" encoding="utf-8"?>
<ds:datastoreItem xmlns:ds="http://schemas.openxmlformats.org/officeDocument/2006/customXml" ds:itemID="{B92EC57F-ABA5-416F-8CC0-A2B97875E614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D0CE9C7-B498-4A6B-B8EB-34C268AF7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</vt:lpstr>
    </vt:vector>
  </TitlesOfParts>
  <Manager/>
  <Company>Asia Foundation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Nareth</dc:creator>
  <cp:keywords/>
  <dc:description/>
  <cp:lastModifiedBy>Jermaine Joseph</cp:lastModifiedBy>
  <cp:revision/>
  <dcterms:created xsi:type="dcterms:W3CDTF">2003-12-18T02:33:31Z</dcterms:created>
  <dcterms:modified xsi:type="dcterms:W3CDTF">2025-03-10T15:40:09Z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62800.0000000000</vt:lpwstr>
  </property>
  <property fmtid="{D5CDD505-2E9C-101B-9397-08002B2CF9AE}" pid="3" name="ContentTypeId">
    <vt:lpwstr>0x0101003206C8355D678A459F2EF8957171B231</vt:lpwstr>
  </property>
</Properties>
</file>