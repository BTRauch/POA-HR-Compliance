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eldman\Documents\"/>
    </mc:Choice>
  </mc:AlternateContent>
  <xr:revisionPtr revIDLastSave="0" documentId="13_ncr:1_{BB3237FA-C42E-48A6-9DBD-D8066A43EEDD}" xr6:coauthVersionLast="47" xr6:coauthVersionMax="47" xr10:uidLastSave="{00000000-0000-0000-0000-000000000000}"/>
  <bookViews>
    <workbookView xWindow="0" yWindow="0" windowWidth="28800" windowHeight="12915" xr2:uid="{00000000-000D-0000-FFFF-FFFF00000000}"/>
  </bookViews>
  <sheets>
    <sheet name="VAT tracking ENGINE" sheetId="2" r:id="rId1"/>
  </sheets>
  <definedNames>
    <definedName name="_xlnm.Print_Area" localSheetId="0">'VAT tracking ENGINE'!$B$2:$Q$45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/>
  <c r="J37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35" i="2"/>
  <c r="R21" i="2" l="1"/>
  <c r="R20" i="2"/>
  <c r="R19" i="2"/>
  <c r="R18" i="2"/>
  <c r="R17" i="2"/>
  <c r="R16" i="2"/>
  <c r="R15" i="2"/>
  <c r="R12" i="2"/>
  <c r="R13" i="2"/>
  <c r="R11" i="2"/>
  <c r="Q35" i="2"/>
  <c r="R14" i="2"/>
  <c r="R36" i="2" l="1"/>
  <c r="R37" i="2"/>
  <c r="O37" i="2"/>
  <c r="Q36" i="2"/>
  <c r="H37" i="2"/>
  <c r="I37" i="2"/>
  <c r="Q37" i="2" l="1"/>
</calcChain>
</file>

<file path=xl/sharedStrings.xml><?xml version="1.0" encoding="utf-8"?>
<sst xmlns="http://schemas.openxmlformats.org/spreadsheetml/2006/main" count="137" uniqueCount="110">
  <si>
    <t>VAT Tracking Sheet</t>
  </si>
  <si>
    <t>Attachment - A</t>
  </si>
  <si>
    <t>Organization Name: International Executive Service Corps</t>
  </si>
  <si>
    <t xml:space="preserve">Jaime Reibel, +255 22 2600540, and email: jreibel@iesc.org; </t>
  </si>
  <si>
    <t>Contract / Agreement No.: ENGINE CA No. AID-621-LA-16-00002</t>
  </si>
  <si>
    <t>Period Covered: 01 September 2016 - 30 September 2017</t>
  </si>
  <si>
    <t>Beneficiary Country: Tanzania</t>
  </si>
  <si>
    <t>No.</t>
  </si>
  <si>
    <t>Invoice Date</t>
  </si>
  <si>
    <t>Invoice No.</t>
  </si>
  <si>
    <t>Supplier Name</t>
  </si>
  <si>
    <t>Registration No.</t>
  </si>
  <si>
    <t>Invoice Description</t>
  </si>
  <si>
    <t>Total Invoice Amount US$</t>
  </si>
  <si>
    <t>VAT* Amount  US$</t>
  </si>
  <si>
    <t>TZS Invoice Amount</t>
  </si>
  <si>
    <t>TZS VAT Amount</t>
  </si>
  <si>
    <t>Customs* Amount</t>
  </si>
  <si>
    <t xml:space="preserve">Submitted under Claim </t>
  </si>
  <si>
    <t>Billed to USAID</t>
  </si>
  <si>
    <t xml:space="preserve">VAT and* Customs Refunded </t>
  </si>
  <si>
    <t>Date* Refund Received</t>
  </si>
  <si>
    <t>VAT and Customs Balance Due US$</t>
  </si>
  <si>
    <t>VAT and Customs Balance Due TZS</t>
  </si>
  <si>
    <t>24/10/2016</t>
  </si>
  <si>
    <t>1639/00003</t>
  </si>
  <si>
    <t>Simply Computers (T) Ltd</t>
  </si>
  <si>
    <t>40-007849-W</t>
  </si>
  <si>
    <t>Computer accessories</t>
  </si>
  <si>
    <t>28/10/2016</t>
  </si>
  <si>
    <t>Morco Textiles Limited</t>
  </si>
  <si>
    <t>10-008511-W</t>
  </si>
  <si>
    <t>Verticle Blind, Assorted colors, made to measure</t>
  </si>
  <si>
    <t>29/10/2016</t>
  </si>
  <si>
    <t>0457/003728</t>
  </si>
  <si>
    <t>Fatma Hussein Datoo</t>
  </si>
  <si>
    <t>40-021164-D</t>
  </si>
  <si>
    <t>Kitchen appliances for the Office</t>
  </si>
  <si>
    <t>31/10/2016</t>
  </si>
  <si>
    <t>Furniture Centre (DSM) Ltd</t>
  </si>
  <si>
    <t>10-005405B</t>
  </si>
  <si>
    <t>Office furniture</t>
  </si>
  <si>
    <t>07/11/2016</t>
  </si>
  <si>
    <t>1651/00002</t>
  </si>
  <si>
    <t>09/11/2016</t>
  </si>
  <si>
    <t>1653/00003</t>
  </si>
  <si>
    <t>11/11/2016</t>
  </si>
  <si>
    <t>Mather and Platt (T) Ltd</t>
  </si>
  <si>
    <t>0015566J</t>
  </si>
  <si>
    <t>Fire Safety Equipment</t>
  </si>
  <si>
    <t>18/11/2016</t>
  </si>
  <si>
    <t>1661/00009</t>
  </si>
  <si>
    <t>40007849W</t>
  </si>
  <si>
    <t>15/12/2016</t>
  </si>
  <si>
    <t>HQ6009547</t>
  </si>
  <si>
    <t>THE COPY CAT TANZANIA LTD</t>
  </si>
  <si>
    <t>10000118M</t>
  </si>
  <si>
    <t>Multfunction product copier machine</t>
  </si>
  <si>
    <t>06/01/2017</t>
  </si>
  <si>
    <t>00010027</t>
  </si>
  <si>
    <t>10005405B</t>
  </si>
  <si>
    <t>07/03/2017</t>
  </si>
  <si>
    <t>18365</t>
  </si>
  <si>
    <t>KANJI LALJI LIMITED</t>
  </si>
  <si>
    <t>19003680Y</t>
  </si>
  <si>
    <t>Supply of materials for office partitioning in Mbeya</t>
  </si>
  <si>
    <t>04/04/2017</t>
  </si>
  <si>
    <t>Computer Connections Limited</t>
  </si>
  <si>
    <t>10018354N</t>
  </si>
  <si>
    <t>HP Laser Jet Pro MFP M426dw</t>
  </si>
  <si>
    <t>02/05/2017</t>
  </si>
  <si>
    <t>0002/00000006</t>
  </si>
  <si>
    <t>CBM Construction Company Ltd</t>
  </si>
  <si>
    <t>40020042P</t>
  </si>
  <si>
    <t>Materials for office partitioning</t>
  </si>
  <si>
    <t>03/05/2017</t>
  </si>
  <si>
    <t>FURNITURE CENTRE (DSM) LTD</t>
  </si>
  <si>
    <t>04/05/2017</t>
  </si>
  <si>
    <t>0003/000040</t>
  </si>
  <si>
    <t>PRINCE ELECTRONICS</t>
  </si>
  <si>
    <t>40010078B</t>
  </si>
  <si>
    <t>Supply and installation of officeA/C Samsung 12000BTU</t>
  </si>
  <si>
    <t>10/05/2017</t>
  </si>
  <si>
    <t>1799/00008</t>
  </si>
  <si>
    <t>Simply Computers Tanzania Ltd</t>
  </si>
  <si>
    <t>29/05/2017</t>
  </si>
  <si>
    <t>1815/00005</t>
  </si>
  <si>
    <t>27/07/2017</t>
  </si>
  <si>
    <t>0001/00000042</t>
  </si>
  <si>
    <t>PRINT HOUSE LIMITED</t>
  </si>
  <si>
    <t>40017627L</t>
  </si>
  <si>
    <t>Printing and supply of office sign boards</t>
  </si>
  <si>
    <t>11/08/2017</t>
  </si>
  <si>
    <t>0001/000000440120</t>
  </si>
  <si>
    <t>Printing and supply of office stickers</t>
  </si>
  <si>
    <t>24/08/2017</t>
  </si>
  <si>
    <t>EMPRESS FURNITURE</t>
  </si>
  <si>
    <t>10015029E</t>
  </si>
  <si>
    <t>05/09/2017</t>
  </si>
  <si>
    <t>08/09/2017</t>
  </si>
  <si>
    <t>T-Inv77556</t>
  </si>
  <si>
    <t>Zamzam Stationery Supermarket</t>
  </si>
  <si>
    <t>10007798L</t>
  </si>
  <si>
    <t>Office stationary</t>
  </si>
  <si>
    <t>095459</t>
  </si>
  <si>
    <t>Total</t>
  </si>
  <si>
    <t>N.B.</t>
  </si>
  <si>
    <t>Only include invoices relating to commodity purchase transactions valued at USD 500 or more.</t>
  </si>
  <si>
    <t>For the purpose of this report, "Commodities" include any material, article, supply, goods, or equipment.</t>
  </si>
  <si>
    <t>*  Amounts to be reported to USAID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</si>
</sst>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right"/>
    </xf>
    <xf numFmtId="43" fontId="0" fillId="0" borderId="1" xfId="1" applyFont="1" applyBorder="1"/>
    <xf numFmtId="0" fontId="0" fillId="0" borderId="2" xfId="0" applyBorder="1"/>
    <xf numFmtId="0" fontId="0" fillId="0" borderId="3" xfId="0" applyBorder="1"/>
    <xf numFmtId="43" fontId="0" fillId="0" borderId="3" xfId="1" applyFont="1" applyBorder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7" xfId="0" applyBorder="1"/>
    <xf numFmtId="0" fontId="2" fillId="0" borderId="8" xfId="0" applyFont="1" applyBorder="1"/>
    <xf numFmtId="43" fontId="2" fillId="0" borderId="5" xfId="1" applyFont="1" applyBorder="1"/>
    <xf numFmtId="0" fontId="2" fillId="0" borderId="5" xfId="0" applyFont="1" applyBorder="1"/>
    <xf numFmtId="43" fontId="2" fillId="0" borderId="6" xfId="1" applyFont="1" applyBorder="1"/>
    <xf numFmtId="43" fontId="2" fillId="0" borderId="9" xfId="1" applyFont="1" applyBorder="1"/>
    <xf numFmtId="43" fontId="2" fillId="0" borderId="10" xfId="1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center" wrapText="1"/>
    </xf>
    <xf numFmtId="43" fontId="0" fillId="0" borderId="15" xfId="1" applyFont="1" applyBorder="1"/>
    <xf numFmtId="43" fontId="0" fillId="0" borderId="16" xfId="1" applyFont="1" applyBorder="1"/>
    <xf numFmtId="43" fontId="2" fillId="0" borderId="14" xfId="1" applyFont="1" applyBorder="1"/>
    <xf numFmtId="0" fontId="4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11" xfId="0" applyNumberFormat="1" applyFont="1" applyBorder="1" applyAlignment="1">
      <alignment horizontal="center" wrapText="1"/>
    </xf>
    <xf numFmtId="49" fontId="5" fillId="0" borderId="12" xfId="0" applyNumberFormat="1" applyFont="1" applyBorder="1"/>
    <xf numFmtId="49" fontId="0" fillId="0" borderId="12" xfId="0" applyNumberFormat="1" applyBorder="1"/>
    <xf numFmtId="49" fontId="0" fillId="0" borderId="13" xfId="0" applyNumberFormat="1" applyBorder="1"/>
    <xf numFmtId="49" fontId="2" fillId="0" borderId="7" xfId="0" applyNumberFormat="1" applyFont="1" applyBorder="1"/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0" fontId="5" fillId="0" borderId="3" xfId="0" applyFont="1" applyBorder="1"/>
    <xf numFmtId="49" fontId="5" fillId="0" borderId="13" xfId="0" applyNumberFormat="1" applyFont="1" applyBorder="1"/>
    <xf numFmtId="0" fontId="5" fillId="0" borderId="1" xfId="0" applyFont="1" applyBorder="1"/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5" xfId="0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0" fillId="0" borderId="7" xfId="0" applyNumberForma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2" borderId="3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46"/>
  <sheetViews>
    <sheetView tabSelected="1" topLeftCell="B5" workbookViewId="0">
      <selection activeCell="H25" sqref="H25"/>
    </sheetView>
  </sheetViews>
  <sheetFormatPr defaultRowHeight="12.75"/>
  <cols>
    <col min="2" max="2" width="5.28515625" customWidth="1"/>
    <col min="3" max="3" width="11" style="36" customWidth="1"/>
    <col min="4" max="4" width="11" style="41" customWidth="1"/>
    <col min="5" max="5" width="33.42578125" bestFit="1" customWidth="1"/>
    <col min="6" max="6" width="12" bestFit="1" customWidth="1"/>
    <col min="7" max="7" width="29.140625" customWidth="1"/>
    <col min="8" max="8" width="12.5703125" customWidth="1"/>
    <col min="9" max="9" width="12.140625" customWidth="1"/>
    <col min="10" max="10" width="16.5703125" bestFit="1" customWidth="1"/>
    <col min="11" max="11" width="15" bestFit="1" customWidth="1"/>
    <col min="12" max="12" width="12.85546875" bestFit="1" customWidth="1"/>
    <col min="13" max="14" width="14" bestFit="1" customWidth="1"/>
    <col min="15" max="17" width="11" customWidth="1"/>
    <col min="18" max="18" width="15" bestFit="1" customWidth="1"/>
  </cols>
  <sheetData>
    <row r="2" spans="2:20" ht="15.75">
      <c r="B2" s="20" t="s">
        <v>0</v>
      </c>
      <c r="C2" s="29"/>
      <c r="Q2" s="4" t="s">
        <v>1</v>
      </c>
      <c r="R2" s="4"/>
    </row>
    <row r="3" spans="2:20">
      <c r="B3" s="3" t="s">
        <v>2</v>
      </c>
      <c r="C3" s="29"/>
    </row>
    <row r="4" spans="2:20">
      <c r="B4" s="3" t="s">
        <v>3</v>
      </c>
      <c r="C4" s="29"/>
    </row>
    <row r="5" spans="2:20">
      <c r="B5" s="3" t="s">
        <v>4</v>
      </c>
      <c r="C5" s="29"/>
    </row>
    <row r="6" spans="2:20">
      <c r="B6" s="3" t="s">
        <v>5</v>
      </c>
      <c r="C6" s="29"/>
      <c r="D6" s="42"/>
    </row>
    <row r="7" spans="2:20">
      <c r="B7" s="26" t="s">
        <v>6</v>
      </c>
      <c r="C7" s="29"/>
    </row>
    <row r="9" spans="2:20" ht="13.5" thickBot="1">
      <c r="B9" s="19">
        <v>1</v>
      </c>
      <c r="C9" s="30">
        <v>2</v>
      </c>
      <c r="D9" s="30">
        <v>3</v>
      </c>
      <c r="E9" s="19">
        <v>4</v>
      </c>
      <c r="F9" s="19">
        <v>5</v>
      </c>
      <c r="G9" s="19">
        <v>6</v>
      </c>
      <c r="H9" s="19">
        <v>7</v>
      </c>
      <c r="I9" s="19">
        <v>8</v>
      </c>
      <c r="J9" s="19">
        <v>9</v>
      </c>
      <c r="K9" s="19">
        <v>10</v>
      </c>
      <c r="L9" s="19">
        <v>11</v>
      </c>
      <c r="M9" s="19">
        <v>12</v>
      </c>
      <c r="N9" s="19">
        <v>13</v>
      </c>
      <c r="O9" s="19">
        <v>14</v>
      </c>
      <c r="P9" s="19">
        <v>15</v>
      </c>
      <c r="Q9" s="19">
        <v>16</v>
      </c>
      <c r="R9" s="19">
        <v>17</v>
      </c>
    </row>
    <row r="10" spans="2:20" ht="54" customHeight="1" thickBot="1">
      <c r="B10" s="9" t="s">
        <v>7</v>
      </c>
      <c r="C10" s="31" t="s">
        <v>8</v>
      </c>
      <c r="D10" s="43" t="s">
        <v>9</v>
      </c>
      <c r="E10" s="10" t="s">
        <v>10</v>
      </c>
      <c r="F10" s="10" t="s">
        <v>11</v>
      </c>
      <c r="G10" s="10" t="s">
        <v>12</v>
      </c>
      <c r="H10" s="10" t="s">
        <v>13</v>
      </c>
      <c r="I10" s="10" t="s">
        <v>14</v>
      </c>
      <c r="J10" s="10" t="s">
        <v>15</v>
      </c>
      <c r="K10" s="10" t="s">
        <v>16</v>
      </c>
      <c r="L10" s="10" t="s">
        <v>17</v>
      </c>
      <c r="M10" s="10" t="s">
        <v>18</v>
      </c>
      <c r="N10" s="10" t="s">
        <v>19</v>
      </c>
      <c r="O10" s="10" t="s">
        <v>20</v>
      </c>
      <c r="P10" s="22" t="s">
        <v>21</v>
      </c>
      <c r="Q10" s="11" t="s">
        <v>22</v>
      </c>
      <c r="R10" s="11" t="s">
        <v>23</v>
      </c>
      <c r="S10" s="1"/>
      <c r="T10" s="1"/>
    </row>
    <row r="11" spans="2:20" ht="14.25" customHeight="1">
      <c r="B11" s="6">
        <v>1</v>
      </c>
      <c r="C11" s="33" t="s">
        <v>24</v>
      </c>
      <c r="D11" s="45" t="s">
        <v>25</v>
      </c>
      <c r="E11" s="38" t="s">
        <v>26</v>
      </c>
      <c r="F11" s="7" t="s">
        <v>27</v>
      </c>
      <c r="G11" s="7" t="s">
        <v>28</v>
      </c>
      <c r="H11" s="8"/>
      <c r="I11" s="8"/>
      <c r="J11" s="8">
        <v>1130000</v>
      </c>
      <c r="K11" s="8">
        <v>203400</v>
      </c>
      <c r="L11" s="5"/>
      <c r="M11" s="8">
        <v>203400</v>
      </c>
      <c r="N11" s="8">
        <v>203400</v>
      </c>
      <c r="O11" s="8"/>
      <c r="P11" s="24"/>
      <c r="Q11" s="17"/>
      <c r="R11" s="17">
        <f>K11</f>
        <v>203400</v>
      </c>
    </row>
    <row r="12" spans="2:20" ht="25.5">
      <c r="B12" s="6">
        <v>2</v>
      </c>
      <c r="C12" s="33" t="s">
        <v>29</v>
      </c>
      <c r="D12" s="45">
        <v>4170</v>
      </c>
      <c r="E12" s="7" t="s">
        <v>30</v>
      </c>
      <c r="F12" s="7" t="s">
        <v>31</v>
      </c>
      <c r="G12" s="49" t="s">
        <v>32</v>
      </c>
      <c r="H12" s="8"/>
      <c r="I12" s="8"/>
      <c r="J12" s="8">
        <v>3262711.86</v>
      </c>
      <c r="K12" s="8">
        <v>587288.14</v>
      </c>
      <c r="L12" s="5"/>
      <c r="M12" s="8">
        <v>587288.14</v>
      </c>
      <c r="N12" s="8">
        <v>587288.14</v>
      </c>
      <c r="O12" s="8"/>
      <c r="P12" s="24"/>
      <c r="Q12" s="17"/>
      <c r="R12" s="17">
        <f>K12</f>
        <v>587288.14</v>
      </c>
    </row>
    <row r="13" spans="2:20">
      <c r="B13" s="6">
        <v>3</v>
      </c>
      <c r="C13" s="33" t="s">
        <v>33</v>
      </c>
      <c r="D13" s="45" t="s">
        <v>34</v>
      </c>
      <c r="E13" s="7" t="s">
        <v>35</v>
      </c>
      <c r="F13" s="7" t="s">
        <v>36</v>
      </c>
      <c r="G13" s="49" t="s">
        <v>37</v>
      </c>
      <c r="H13" s="8"/>
      <c r="I13" s="8"/>
      <c r="J13" s="8">
        <v>1186440.68</v>
      </c>
      <c r="K13" s="8">
        <v>213559.32239999998</v>
      </c>
      <c r="L13" s="5"/>
      <c r="M13" s="8">
        <v>213559.32239999998</v>
      </c>
      <c r="N13" s="8">
        <v>213559.32239999998</v>
      </c>
      <c r="O13" s="8"/>
      <c r="P13" s="24"/>
      <c r="Q13" s="17"/>
      <c r="R13" s="17">
        <f t="shared" ref="R13" si="0">K13</f>
        <v>213559.32239999998</v>
      </c>
    </row>
    <row r="14" spans="2:20">
      <c r="B14" s="6">
        <v>4</v>
      </c>
      <c r="C14" s="33" t="s">
        <v>38</v>
      </c>
      <c r="D14" s="44">
        <v>16202</v>
      </c>
      <c r="E14" s="2" t="s">
        <v>39</v>
      </c>
      <c r="F14" s="2" t="s">
        <v>40</v>
      </c>
      <c r="G14" s="49" t="s">
        <v>41</v>
      </c>
      <c r="H14" s="5"/>
      <c r="I14" s="5"/>
      <c r="J14" s="5">
        <v>76635100</v>
      </c>
      <c r="K14" s="5">
        <v>13794318</v>
      </c>
      <c r="L14" s="5"/>
      <c r="M14" s="5">
        <v>13794318</v>
      </c>
      <c r="N14" s="5">
        <v>13794318</v>
      </c>
      <c r="O14" s="5"/>
      <c r="P14" s="23"/>
      <c r="Q14" s="17"/>
      <c r="R14" s="17">
        <f>K14</f>
        <v>13794318</v>
      </c>
    </row>
    <row r="15" spans="2:20">
      <c r="B15" s="6">
        <v>5</v>
      </c>
      <c r="C15" s="32" t="s">
        <v>42</v>
      </c>
      <c r="D15" s="47" t="s">
        <v>43</v>
      </c>
      <c r="E15" s="38" t="s">
        <v>26</v>
      </c>
      <c r="F15" s="7" t="s">
        <v>27</v>
      </c>
      <c r="G15" s="49" t="s">
        <v>28</v>
      </c>
      <c r="H15" s="8"/>
      <c r="I15" s="8"/>
      <c r="J15" s="8">
        <v>6740000</v>
      </c>
      <c r="K15" s="8">
        <v>1213200</v>
      </c>
      <c r="L15" s="5"/>
      <c r="M15" s="8">
        <v>1213200</v>
      </c>
      <c r="N15" s="8">
        <v>1213200</v>
      </c>
      <c r="O15" s="8"/>
      <c r="P15" s="24"/>
      <c r="Q15" s="17"/>
      <c r="R15" s="17">
        <f t="shared" ref="R15:R19" si="1">K15</f>
        <v>1213200</v>
      </c>
    </row>
    <row r="16" spans="2:20">
      <c r="B16" s="6">
        <v>6</v>
      </c>
      <c r="C16" s="32" t="s">
        <v>44</v>
      </c>
      <c r="D16" s="47" t="s">
        <v>45</v>
      </c>
      <c r="E16" s="38" t="s">
        <v>26</v>
      </c>
      <c r="F16" s="7" t="s">
        <v>27</v>
      </c>
      <c r="G16" s="49" t="s">
        <v>28</v>
      </c>
      <c r="H16" s="8"/>
      <c r="I16" s="8"/>
      <c r="J16" s="8">
        <v>13161000</v>
      </c>
      <c r="K16" s="8">
        <v>2368980</v>
      </c>
      <c r="L16" s="5"/>
      <c r="M16" s="8">
        <v>2368980</v>
      </c>
      <c r="N16" s="8">
        <v>2368980</v>
      </c>
      <c r="O16" s="8"/>
      <c r="P16" s="24"/>
      <c r="Q16" s="17"/>
      <c r="R16" s="17">
        <f t="shared" si="1"/>
        <v>2368980</v>
      </c>
    </row>
    <row r="17" spans="2:18">
      <c r="B17" s="6">
        <v>7</v>
      </c>
      <c r="C17" s="32" t="s">
        <v>46</v>
      </c>
      <c r="D17" s="46">
        <v>84347</v>
      </c>
      <c r="E17" s="38" t="s">
        <v>47</v>
      </c>
      <c r="F17" s="38" t="s">
        <v>48</v>
      </c>
      <c r="G17" s="49" t="s">
        <v>49</v>
      </c>
      <c r="H17" s="8"/>
      <c r="I17" s="8"/>
      <c r="J17" s="8">
        <v>2615000</v>
      </c>
      <c r="K17" s="8">
        <v>470700</v>
      </c>
      <c r="L17" s="5"/>
      <c r="M17" s="8">
        <v>470700</v>
      </c>
      <c r="N17" s="8">
        <v>470700</v>
      </c>
      <c r="O17" s="8"/>
      <c r="P17" s="24"/>
      <c r="Q17" s="17"/>
      <c r="R17" s="17">
        <f t="shared" si="1"/>
        <v>470700</v>
      </c>
    </row>
    <row r="18" spans="2:18">
      <c r="B18" s="6">
        <v>8</v>
      </c>
      <c r="C18" s="32" t="s">
        <v>50</v>
      </c>
      <c r="D18" s="47" t="s">
        <v>51</v>
      </c>
      <c r="E18" s="38" t="s">
        <v>26</v>
      </c>
      <c r="F18" s="38" t="s">
        <v>52</v>
      </c>
      <c r="G18" s="49" t="s">
        <v>28</v>
      </c>
      <c r="H18" s="8"/>
      <c r="I18" s="8"/>
      <c r="J18" s="8">
        <v>4958000</v>
      </c>
      <c r="K18" s="8">
        <v>892440</v>
      </c>
      <c r="L18" s="5"/>
      <c r="M18" s="8">
        <v>892440</v>
      </c>
      <c r="N18" s="8">
        <v>892440</v>
      </c>
      <c r="O18" s="8"/>
      <c r="P18" s="24"/>
      <c r="Q18" s="17"/>
      <c r="R18" s="17">
        <f t="shared" si="1"/>
        <v>892440</v>
      </c>
    </row>
    <row r="19" spans="2:18" ht="25.5">
      <c r="B19" s="6">
        <v>9</v>
      </c>
      <c r="C19" s="32" t="s">
        <v>53</v>
      </c>
      <c r="D19" s="47" t="s">
        <v>54</v>
      </c>
      <c r="E19" s="38" t="s">
        <v>55</v>
      </c>
      <c r="F19" s="38" t="s">
        <v>56</v>
      </c>
      <c r="G19" s="49" t="s">
        <v>57</v>
      </c>
      <c r="H19" s="8"/>
      <c r="I19" s="8"/>
      <c r="J19" s="8">
        <v>15180000</v>
      </c>
      <c r="K19" s="8">
        <v>2732400</v>
      </c>
      <c r="L19" s="5"/>
      <c r="M19" s="8">
        <v>2732400</v>
      </c>
      <c r="N19" s="8">
        <v>2732400</v>
      </c>
      <c r="O19" s="8"/>
      <c r="P19" s="24"/>
      <c r="Q19" s="17"/>
      <c r="R19" s="17">
        <f t="shared" si="1"/>
        <v>2732400</v>
      </c>
    </row>
    <row r="20" spans="2:18">
      <c r="B20" s="6">
        <v>10</v>
      </c>
      <c r="C20" s="39" t="s">
        <v>58</v>
      </c>
      <c r="D20" s="47" t="s">
        <v>59</v>
      </c>
      <c r="E20" s="2" t="s">
        <v>39</v>
      </c>
      <c r="F20" s="40" t="s">
        <v>60</v>
      </c>
      <c r="G20" s="2" t="s">
        <v>41</v>
      </c>
      <c r="H20" s="8"/>
      <c r="I20" s="8"/>
      <c r="J20" s="8">
        <v>1796610.17</v>
      </c>
      <c r="K20" s="8">
        <v>323389.83059999999</v>
      </c>
      <c r="L20" s="5"/>
      <c r="M20" s="8">
        <v>323389.83059999999</v>
      </c>
      <c r="N20" s="8">
        <v>323389.83059999999</v>
      </c>
      <c r="O20" s="8"/>
      <c r="P20" s="24"/>
      <c r="Q20" s="17"/>
      <c r="R20" s="17">
        <f>K20</f>
        <v>323389.83059999999</v>
      </c>
    </row>
    <row r="21" spans="2:18" ht="25.5">
      <c r="B21" s="6">
        <v>11</v>
      </c>
      <c r="C21" s="39" t="s">
        <v>61</v>
      </c>
      <c r="D21" s="46" t="s">
        <v>62</v>
      </c>
      <c r="E21" s="38" t="s">
        <v>63</v>
      </c>
      <c r="F21" s="7" t="s">
        <v>64</v>
      </c>
      <c r="G21" s="49" t="s">
        <v>65</v>
      </c>
      <c r="H21" s="8"/>
      <c r="I21" s="8"/>
      <c r="J21" s="8">
        <v>6000000</v>
      </c>
      <c r="K21" s="8">
        <v>1080000</v>
      </c>
      <c r="L21" s="5"/>
      <c r="M21" s="8">
        <v>1080000</v>
      </c>
      <c r="N21" s="8">
        <v>1080000</v>
      </c>
      <c r="O21" s="8"/>
      <c r="P21" s="24"/>
      <c r="Q21" s="17"/>
      <c r="R21" s="17">
        <f t="shared" ref="R21" si="2">K21</f>
        <v>1080000</v>
      </c>
    </row>
    <row r="22" spans="2:18">
      <c r="B22" s="6">
        <v>12</v>
      </c>
      <c r="C22" s="39" t="s">
        <v>66</v>
      </c>
      <c r="D22" s="46">
        <v>42397</v>
      </c>
      <c r="E22" s="2" t="s">
        <v>67</v>
      </c>
      <c r="F22" s="38" t="s">
        <v>68</v>
      </c>
      <c r="G22" s="49" t="s">
        <v>69</v>
      </c>
      <c r="H22" s="8"/>
      <c r="I22" s="8"/>
      <c r="J22" s="8">
        <v>4376000</v>
      </c>
      <c r="K22" s="8">
        <v>787680</v>
      </c>
      <c r="L22" s="5"/>
      <c r="M22" s="8">
        <v>787680</v>
      </c>
      <c r="N22" s="8">
        <v>787680</v>
      </c>
      <c r="O22" s="8"/>
      <c r="P22" s="24"/>
      <c r="Q22" s="17"/>
      <c r="R22" s="17">
        <f t="shared" ref="R22:R35" si="3">K22</f>
        <v>787680</v>
      </c>
    </row>
    <row r="23" spans="2:18" ht="25.5">
      <c r="B23" s="6">
        <v>13</v>
      </c>
      <c r="C23" s="39" t="s">
        <v>70</v>
      </c>
      <c r="D23" s="47" t="s">
        <v>71</v>
      </c>
      <c r="E23" s="2" t="s">
        <v>72</v>
      </c>
      <c r="F23" s="38" t="s">
        <v>73</v>
      </c>
      <c r="G23" s="50" t="s">
        <v>74</v>
      </c>
      <c r="H23" s="8"/>
      <c r="I23" s="8"/>
      <c r="J23" s="8">
        <v>11004150</v>
      </c>
      <c r="K23" s="8">
        <v>1980747</v>
      </c>
      <c r="L23" s="5"/>
      <c r="M23" s="8">
        <v>1980747</v>
      </c>
      <c r="N23" s="8">
        <v>1980747</v>
      </c>
      <c r="O23" s="8"/>
      <c r="P23" s="24"/>
      <c r="Q23" s="17"/>
      <c r="R23" s="17">
        <f t="shared" si="3"/>
        <v>1980747</v>
      </c>
    </row>
    <row r="24" spans="2:18" ht="13.5" customHeight="1">
      <c r="B24" s="6">
        <v>14</v>
      </c>
      <c r="C24" s="39" t="s">
        <v>75</v>
      </c>
      <c r="D24" s="46">
        <v>16632</v>
      </c>
      <c r="E24" s="2" t="s">
        <v>76</v>
      </c>
      <c r="F24" s="38" t="s">
        <v>60</v>
      </c>
      <c r="G24" s="49" t="s">
        <v>41</v>
      </c>
      <c r="H24" s="8"/>
      <c r="I24" s="8"/>
      <c r="J24" s="8">
        <v>9020000</v>
      </c>
      <c r="K24" s="8">
        <v>1623600</v>
      </c>
      <c r="L24" s="5"/>
      <c r="M24" s="8">
        <v>1623600</v>
      </c>
      <c r="N24" s="8">
        <v>1623600</v>
      </c>
      <c r="O24" s="8"/>
      <c r="P24" s="24"/>
      <c r="Q24" s="17"/>
      <c r="R24" s="17">
        <f t="shared" si="3"/>
        <v>1623600</v>
      </c>
    </row>
    <row r="25" spans="2:18" ht="25.5">
      <c r="B25" s="6">
        <v>15</v>
      </c>
      <c r="C25" s="39" t="s">
        <v>77</v>
      </c>
      <c r="D25" s="47" t="s">
        <v>78</v>
      </c>
      <c r="E25" s="2" t="s">
        <v>79</v>
      </c>
      <c r="F25" s="38" t="s">
        <v>80</v>
      </c>
      <c r="G25" s="49" t="s">
        <v>81</v>
      </c>
      <c r="H25" s="8"/>
      <c r="I25" s="8"/>
      <c r="J25" s="8">
        <v>1180000</v>
      </c>
      <c r="K25" s="8">
        <v>212400</v>
      </c>
      <c r="L25" s="5"/>
      <c r="M25" s="8">
        <v>212400</v>
      </c>
      <c r="N25" s="8">
        <v>212400</v>
      </c>
      <c r="O25" s="8"/>
      <c r="P25" s="24"/>
      <c r="Q25" s="17"/>
      <c r="R25" s="17">
        <f t="shared" si="3"/>
        <v>212400</v>
      </c>
    </row>
    <row r="26" spans="2:18">
      <c r="B26" s="6">
        <v>16</v>
      </c>
      <c r="C26" s="39" t="s">
        <v>82</v>
      </c>
      <c r="D26" s="47" t="s">
        <v>83</v>
      </c>
      <c r="E26" s="2" t="s">
        <v>84</v>
      </c>
      <c r="F26" s="40" t="s">
        <v>52</v>
      </c>
      <c r="G26" s="28" t="s">
        <v>28</v>
      </c>
      <c r="H26" s="8"/>
      <c r="I26" s="8"/>
      <c r="J26" s="8">
        <v>1040000</v>
      </c>
      <c r="K26" s="8">
        <v>187200</v>
      </c>
      <c r="L26" s="5"/>
      <c r="M26" s="8">
        <v>187200</v>
      </c>
      <c r="N26" s="8">
        <v>187200</v>
      </c>
      <c r="O26" s="8"/>
      <c r="P26" s="24"/>
      <c r="Q26" s="17"/>
      <c r="R26" s="17">
        <f t="shared" si="3"/>
        <v>187200</v>
      </c>
    </row>
    <row r="27" spans="2:18">
      <c r="B27" s="6">
        <v>17</v>
      </c>
      <c r="C27" s="39" t="s">
        <v>85</v>
      </c>
      <c r="D27" s="47" t="s">
        <v>86</v>
      </c>
      <c r="E27" s="2" t="s">
        <v>84</v>
      </c>
      <c r="F27" s="40" t="s">
        <v>52</v>
      </c>
      <c r="G27" s="28" t="s">
        <v>28</v>
      </c>
      <c r="H27" s="8"/>
      <c r="I27" s="8"/>
      <c r="J27" s="8">
        <v>2560000</v>
      </c>
      <c r="K27" s="8">
        <v>460800</v>
      </c>
      <c r="L27" s="5"/>
      <c r="M27" s="8">
        <v>460800</v>
      </c>
      <c r="N27" s="8">
        <v>460800</v>
      </c>
      <c r="O27" s="8"/>
      <c r="P27" s="24"/>
      <c r="Q27" s="17"/>
      <c r="R27" s="17">
        <f t="shared" si="3"/>
        <v>460800</v>
      </c>
    </row>
    <row r="28" spans="2:18" ht="25.5">
      <c r="B28" s="6">
        <v>18</v>
      </c>
      <c r="C28" s="39" t="s">
        <v>87</v>
      </c>
      <c r="D28" s="47" t="s">
        <v>88</v>
      </c>
      <c r="E28" s="7" t="s">
        <v>89</v>
      </c>
      <c r="F28" s="38" t="s">
        <v>90</v>
      </c>
      <c r="G28" s="49" t="s">
        <v>91</v>
      </c>
      <c r="H28" s="8"/>
      <c r="I28" s="8"/>
      <c r="J28" s="8">
        <v>2310000</v>
      </c>
      <c r="K28" s="8">
        <v>415800</v>
      </c>
      <c r="L28" s="5"/>
      <c r="M28" s="8">
        <v>415800</v>
      </c>
      <c r="N28" s="8">
        <v>415800</v>
      </c>
      <c r="O28" s="8"/>
      <c r="P28" s="24"/>
      <c r="Q28" s="17"/>
      <c r="R28" s="17">
        <f t="shared" si="3"/>
        <v>415800</v>
      </c>
    </row>
    <row r="29" spans="2:18" ht="25.5">
      <c r="B29" s="6">
        <v>19</v>
      </c>
      <c r="C29" s="39" t="s">
        <v>92</v>
      </c>
      <c r="D29" s="47" t="s">
        <v>93</v>
      </c>
      <c r="E29" s="7" t="s">
        <v>89</v>
      </c>
      <c r="F29" s="38" t="s">
        <v>90</v>
      </c>
      <c r="G29" s="49" t="s">
        <v>94</v>
      </c>
      <c r="H29" s="8"/>
      <c r="I29" s="8"/>
      <c r="J29" s="8">
        <v>1196610.17</v>
      </c>
      <c r="K29" s="8">
        <v>215389.83</v>
      </c>
      <c r="L29" s="5"/>
      <c r="M29" s="8">
        <v>215389.83</v>
      </c>
      <c r="N29" s="8">
        <v>215389.83</v>
      </c>
      <c r="O29" s="8"/>
      <c r="P29" s="24"/>
      <c r="Q29" s="17"/>
      <c r="R29" s="17">
        <f t="shared" si="3"/>
        <v>215389.83</v>
      </c>
    </row>
    <row r="30" spans="2:18">
      <c r="B30" s="6">
        <v>20</v>
      </c>
      <c r="C30" s="39" t="s">
        <v>95</v>
      </c>
      <c r="D30" s="47">
        <v>173834</v>
      </c>
      <c r="E30" s="7" t="s">
        <v>96</v>
      </c>
      <c r="F30" s="38" t="s">
        <v>97</v>
      </c>
      <c r="G30" s="49" t="s">
        <v>41</v>
      </c>
      <c r="H30" s="8"/>
      <c r="I30" s="8"/>
      <c r="J30" s="8">
        <v>3611000</v>
      </c>
      <c r="K30" s="8">
        <v>649980</v>
      </c>
      <c r="L30" s="5"/>
      <c r="M30" s="8">
        <v>649980</v>
      </c>
      <c r="N30" s="8">
        <v>649980</v>
      </c>
      <c r="O30" s="8"/>
      <c r="P30" s="24"/>
      <c r="Q30" s="17"/>
      <c r="R30" s="17">
        <f t="shared" si="3"/>
        <v>649980</v>
      </c>
    </row>
    <row r="31" spans="2:18">
      <c r="B31" s="6">
        <v>21</v>
      </c>
      <c r="C31" s="39" t="s">
        <v>98</v>
      </c>
      <c r="D31" s="47">
        <v>103723</v>
      </c>
      <c r="E31" s="7" t="s">
        <v>96</v>
      </c>
      <c r="F31" s="38" t="s">
        <v>97</v>
      </c>
      <c r="G31" s="49" t="s">
        <v>41</v>
      </c>
      <c r="H31" s="8"/>
      <c r="I31" s="8"/>
      <c r="J31" s="8">
        <v>935000</v>
      </c>
      <c r="K31" s="8">
        <v>168300</v>
      </c>
      <c r="L31" s="5"/>
      <c r="M31" s="8">
        <v>168300</v>
      </c>
      <c r="N31" s="8">
        <v>168300</v>
      </c>
      <c r="O31" s="8"/>
      <c r="P31" s="24"/>
      <c r="Q31" s="17"/>
      <c r="R31" s="17">
        <f t="shared" si="3"/>
        <v>168300</v>
      </c>
    </row>
    <row r="32" spans="2:18">
      <c r="B32" s="6">
        <v>22</v>
      </c>
      <c r="C32" s="39" t="s">
        <v>99</v>
      </c>
      <c r="D32" s="47" t="s">
        <v>100</v>
      </c>
      <c r="E32" s="7" t="s">
        <v>101</v>
      </c>
      <c r="F32" s="38" t="s">
        <v>102</v>
      </c>
      <c r="G32" s="49" t="s">
        <v>103</v>
      </c>
      <c r="H32" s="8"/>
      <c r="I32" s="8"/>
      <c r="J32" s="8">
        <v>1505000</v>
      </c>
      <c r="K32" s="8">
        <v>270900</v>
      </c>
      <c r="L32" s="5"/>
      <c r="M32" s="8">
        <v>270900</v>
      </c>
      <c r="N32" s="8">
        <v>270900</v>
      </c>
      <c r="O32" s="8"/>
      <c r="P32" s="24"/>
      <c r="Q32" s="17"/>
      <c r="R32" s="17">
        <f t="shared" si="3"/>
        <v>270900</v>
      </c>
    </row>
    <row r="33" spans="2:20">
      <c r="B33" s="6">
        <v>23</v>
      </c>
      <c r="C33" s="39" t="s">
        <v>99</v>
      </c>
      <c r="D33" s="47" t="s">
        <v>104</v>
      </c>
      <c r="E33" s="7" t="s">
        <v>96</v>
      </c>
      <c r="F33" s="38" t="s">
        <v>97</v>
      </c>
      <c r="G33" s="49" t="s">
        <v>41</v>
      </c>
      <c r="H33" s="8"/>
      <c r="I33" s="8"/>
      <c r="J33" s="8">
        <v>1929019</v>
      </c>
      <c r="K33" s="8">
        <v>347224</v>
      </c>
      <c r="L33" s="5"/>
      <c r="M33" s="8">
        <v>347224</v>
      </c>
      <c r="N33" s="8">
        <v>347224</v>
      </c>
      <c r="O33" s="8"/>
      <c r="P33" s="24"/>
      <c r="Q33" s="17"/>
      <c r="R33" s="17">
        <f t="shared" si="3"/>
        <v>347224</v>
      </c>
    </row>
    <row r="34" spans="2:20">
      <c r="B34" s="6"/>
      <c r="C34" s="39"/>
      <c r="D34" s="46"/>
      <c r="E34" s="7"/>
      <c r="F34" s="38"/>
      <c r="G34" s="49"/>
      <c r="H34" s="8"/>
      <c r="I34" s="8"/>
      <c r="J34" s="8"/>
      <c r="K34" s="8"/>
      <c r="L34" s="8"/>
      <c r="M34" s="7"/>
      <c r="N34" s="7"/>
      <c r="O34" s="8"/>
      <c r="P34" s="24"/>
      <c r="Q34" s="17"/>
      <c r="R34" s="17">
        <f t="shared" si="3"/>
        <v>0</v>
      </c>
    </row>
    <row r="35" spans="2:20">
      <c r="B35" s="6"/>
      <c r="C35" s="34"/>
      <c r="D35" s="45"/>
      <c r="E35" s="7"/>
      <c r="F35" s="7"/>
      <c r="G35" s="7"/>
      <c r="H35" s="8"/>
      <c r="I35" s="8"/>
      <c r="J35" s="8"/>
      <c r="K35" s="8"/>
      <c r="L35" s="8"/>
      <c r="M35" s="7"/>
      <c r="N35" s="7"/>
      <c r="O35" s="8"/>
      <c r="P35" s="24"/>
      <c r="Q35" s="17">
        <f t="shared" ref="Q35" si="4">+I35-O35</f>
        <v>0</v>
      </c>
      <c r="R35" s="17">
        <f t="shared" si="3"/>
        <v>0</v>
      </c>
    </row>
    <row r="36" spans="2:20" ht="13.5" thickBot="1">
      <c r="B36" s="6"/>
      <c r="C36" s="34"/>
      <c r="D36" s="45"/>
      <c r="E36" s="7"/>
      <c r="F36" s="7"/>
      <c r="G36" s="7"/>
      <c r="H36" s="8"/>
      <c r="I36" s="8"/>
      <c r="J36" s="8"/>
      <c r="K36" s="8"/>
      <c r="L36" s="8"/>
      <c r="M36" s="7"/>
      <c r="N36" s="7"/>
      <c r="O36" s="8"/>
      <c r="P36" s="24"/>
      <c r="Q36" s="18">
        <f t="shared" ref="Q36" si="5">+I36-O36</f>
        <v>0</v>
      </c>
      <c r="R36" s="18">
        <f t="shared" ref="R36:R37" si="6">K36</f>
        <v>0</v>
      </c>
    </row>
    <row r="37" spans="2:20" ht="13.5" thickBot="1">
      <c r="B37" s="13" t="s">
        <v>105</v>
      </c>
      <c r="C37" s="35"/>
      <c r="D37" s="48"/>
      <c r="E37" s="12"/>
      <c r="F37" s="12"/>
      <c r="G37" s="12"/>
      <c r="H37" s="14">
        <f>SUM(H11:H36)</f>
        <v>0</v>
      </c>
      <c r="I37" s="14">
        <f>SUM(I11:I36)</f>
        <v>0</v>
      </c>
      <c r="J37" s="14">
        <f>+SUM(J11:J36)</f>
        <v>173331641.87999997</v>
      </c>
      <c r="K37" s="14">
        <f>+SUM(K11:K36)</f>
        <v>31199696.123</v>
      </c>
      <c r="L37" s="14"/>
      <c r="M37" s="14"/>
      <c r="N37" s="15"/>
      <c r="O37" s="14">
        <f>SUM(O11:O36)</f>
        <v>0</v>
      </c>
      <c r="P37" s="25"/>
      <c r="Q37" s="16">
        <f>SUM(Q11:Q36)</f>
        <v>0</v>
      </c>
      <c r="R37" s="16">
        <f t="shared" si="6"/>
        <v>31199696.123</v>
      </c>
    </row>
    <row r="40" spans="2:20">
      <c r="B40" s="21" t="s">
        <v>106</v>
      </c>
      <c r="C40" s="29" t="s">
        <v>107</v>
      </c>
    </row>
    <row r="42" spans="2:20" s="27" customFormat="1">
      <c r="B42"/>
      <c r="C42" s="29" t="s">
        <v>108</v>
      </c>
      <c r="D42" s="41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4" spans="2:20" s="27" customFormat="1">
      <c r="B44"/>
      <c r="C44" s="37"/>
      <c r="D44" s="41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2:20" s="27" customFormat="1">
      <c r="B45"/>
      <c r="C45" s="37"/>
      <c r="D45" s="41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2:20" s="27" customFormat="1">
      <c r="B46" t="s">
        <v>109</v>
      </c>
      <c r="C46" s="36"/>
      <c r="D46" s="41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</sheetData>
  <pageMargins left="0.75" right="0.75" top="1" bottom="1" header="0.5" footer="0.5"/>
  <pageSetup scale="5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BE2389-26F2-4282-98A4-679C3C206520}"/>
</file>

<file path=customXml/itemProps2.xml><?xml version="1.0" encoding="utf-8"?>
<ds:datastoreItem xmlns:ds="http://schemas.openxmlformats.org/officeDocument/2006/customXml" ds:itemID="{F3788466-FA3C-4F64-80DC-F652CB613828}"/>
</file>

<file path=customXml/itemProps3.xml><?xml version="1.0" encoding="utf-8"?>
<ds:datastoreItem xmlns:ds="http://schemas.openxmlformats.org/officeDocument/2006/customXml" ds:itemID="{A5655357-3781-44D1-952A-6E348E968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USAID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mkopti</dc:creator>
  <cp:keywords/>
  <dc:description/>
  <cp:lastModifiedBy>Stephanie Verganza</cp:lastModifiedBy>
  <cp:revision/>
  <dcterms:created xsi:type="dcterms:W3CDTF">2003-08-19T10:38:31Z</dcterms:created>
  <dcterms:modified xsi:type="dcterms:W3CDTF">2023-11-22T18:58:20Z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123800</vt:r8>
  </property>
  <property fmtid="{D5CDD505-2E9C-101B-9397-08002B2CF9AE}" pid="4" name="MediaServiceImageTags">
    <vt:lpwstr/>
  </property>
</Properties>
</file>