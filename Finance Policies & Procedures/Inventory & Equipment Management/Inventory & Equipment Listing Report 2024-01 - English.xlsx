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filterPrivacy="1" codeName="ThisWorkbook" defaultThemeVersion="166925"/>
  <xr:revisionPtr revIDLastSave="374" documentId="13_ncr:1_{06F355F4-915E-436A-BBD7-50C1402AA5B4}" xr6:coauthVersionLast="47" xr6:coauthVersionMax="47" xr10:uidLastSave="{38BD42E8-F45F-4005-BDA8-9ED95D3CE4F7}"/>
  <bookViews>
    <workbookView xWindow="30612" yWindow="-108" windowWidth="30936" windowHeight="16776" xr2:uid="{9BFA2F43-58DE-4CAD-B544-3287367B84DA}"/>
  </bookViews>
  <sheets>
    <sheet name="Listing" sheetId="1" r:id="rId1"/>
    <sheet name="Sheet1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" i="1" l="1"/>
  <c r="O19" i="1"/>
  <c r="N19" i="1"/>
  <c r="M19" i="1" s="1"/>
  <c r="L19" i="1"/>
  <c r="M8" i="1"/>
  <c r="R8" i="1"/>
  <c r="L8" i="1"/>
  <c r="J49" i="1"/>
  <c r="L20" i="1"/>
  <c r="R20" i="1"/>
  <c r="N20" i="1" s="1"/>
  <c r="M20" i="1" s="1"/>
  <c r="O20" i="1" s="1"/>
  <c r="L21" i="1"/>
  <c r="R21" i="1"/>
  <c r="N21" i="1" s="1"/>
  <c r="M21" i="1" s="1"/>
  <c r="O21" i="1" s="1"/>
  <c r="L22" i="1"/>
  <c r="R22" i="1"/>
  <c r="N22" i="1" s="1"/>
  <c r="M22" i="1" s="1"/>
  <c r="O22" i="1" s="1"/>
  <c r="L23" i="1"/>
  <c r="R23" i="1"/>
  <c r="N23" i="1" s="1"/>
  <c r="M23" i="1" s="1"/>
  <c r="O23" i="1" s="1"/>
  <c r="L24" i="1"/>
  <c r="R24" i="1"/>
  <c r="N24" i="1" s="1"/>
  <c r="M24" i="1" s="1"/>
  <c r="O24" i="1" s="1"/>
  <c r="L25" i="1"/>
  <c r="R25" i="1"/>
  <c r="N25" i="1" s="1"/>
  <c r="M25" i="1" s="1"/>
  <c r="O25" i="1" s="1"/>
  <c r="L26" i="1"/>
  <c r="N26" i="1"/>
  <c r="M26" i="1" s="1"/>
  <c r="O26" i="1" s="1"/>
  <c r="R26" i="1"/>
  <c r="L27" i="1"/>
  <c r="R27" i="1"/>
  <c r="N27" i="1" s="1"/>
  <c r="M27" i="1" s="1"/>
  <c r="O27" i="1" s="1"/>
  <c r="L28" i="1"/>
  <c r="R28" i="1"/>
  <c r="N28" i="1" s="1"/>
  <c r="M28" i="1" s="1"/>
  <c r="O28" i="1" s="1"/>
  <c r="L29" i="1"/>
  <c r="R29" i="1"/>
  <c r="N29" i="1" s="1"/>
  <c r="M29" i="1" s="1"/>
  <c r="O29" i="1" s="1"/>
  <c r="L30" i="1"/>
  <c r="N30" i="1"/>
  <c r="M30" i="1" s="1"/>
  <c r="O30" i="1" s="1"/>
  <c r="R30" i="1"/>
  <c r="L31" i="1"/>
  <c r="R31" i="1"/>
  <c r="N31" i="1" s="1"/>
  <c r="M31" i="1" s="1"/>
  <c r="O31" i="1" s="1"/>
  <c r="L32" i="1"/>
  <c r="R32" i="1"/>
  <c r="N32" i="1" s="1"/>
  <c r="M32" i="1" s="1"/>
  <c r="O32" i="1" s="1"/>
  <c r="L33" i="1"/>
  <c r="R33" i="1"/>
  <c r="N33" i="1" s="1"/>
  <c r="M33" i="1" s="1"/>
  <c r="O33" i="1" s="1"/>
  <c r="L34" i="1"/>
  <c r="N34" i="1"/>
  <c r="M34" i="1" s="1"/>
  <c r="O34" i="1" s="1"/>
  <c r="R34" i="1"/>
  <c r="L35" i="1"/>
  <c r="R35" i="1"/>
  <c r="N35" i="1" s="1"/>
  <c r="M35" i="1" s="1"/>
  <c r="O35" i="1" s="1"/>
  <c r="L36" i="1"/>
  <c r="R36" i="1"/>
  <c r="N36" i="1" s="1"/>
  <c r="M36" i="1" s="1"/>
  <c r="O36" i="1" s="1"/>
  <c r="L37" i="1"/>
  <c r="R37" i="1"/>
  <c r="N37" i="1" s="1"/>
  <c r="M37" i="1" s="1"/>
  <c r="O37" i="1" s="1"/>
  <c r="L38" i="1"/>
  <c r="R38" i="1"/>
  <c r="N38" i="1" s="1"/>
  <c r="M38" i="1" s="1"/>
  <c r="O38" i="1" s="1"/>
  <c r="L39" i="1"/>
  <c r="R39" i="1"/>
  <c r="N39" i="1" s="1"/>
  <c r="M39" i="1" s="1"/>
  <c r="O39" i="1" s="1"/>
  <c r="L40" i="1"/>
  <c r="R40" i="1"/>
  <c r="N40" i="1" s="1"/>
  <c r="M40" i="1" s="1"/>
  <c r="O40" i="1" s="1"/>
  <c r="L41" i="1"/>
  <c r="R41" i="1"/>
  <c r="N41" i="1" s="1"/>
  <c r="M41" i="1" s="1"/>
  <c r="O41" i="1" s="1"/>
  <c r="L42" i="1"/>
  <c r="N42" i="1"/>
  <c r="M42" i="1" s="1"/>
  <c r="O42" i="1" s="1"/>
  <c r="R42" i="1"/>
  <c r="L43" i="1"/>
  <c r="R43" i="1"/>
  <c r="N43" i="1" s="1"/>
  <c r="M43" i="1" s="1"/>
  <c r="O43" i="1" s="1"/>
  <c r="L44" i="1"/>
  <c r="R44" i="1"/>
  <c r="N44" i="1" s="1"/>
  <c r="M44" i="1" s="1"/>
  <c r="O44" i="1" s="1"/>
  <c r="L45" i="1"/>
  <c r="R45" i="1"/>
  <c r="N45" i="1" s="1"/>
  <c r="M45" i="1" s="1"/>
  <c r="O45" i="1" s="1"/>
  <c r="L46" i="1"/>
  <c r="N46" i="1"/>
  <c r="M46" i="1" s="1"/>
  <c r="O46" i="1" s="1"/>
  <c r="R46" i="1"/>
  <c r="L47" i="1"/>
  <c r="R47" i="1"/>
  <c r="N47" i="1" s="1"/>
  <c r="M47" i="1" s="1"/>
  <c r="O47" i="1" s="1"/>
  <c r="L48" i="1"/>
  <c r="R48" i="1"/>
  <c r="N48" i="1" s="1"/>
  <c r="M48" i="1" s="1"/>
  <c r="O48" i="1" s="1"/>
  <c r="R19" i="1"/>
  <c r="L9" i="1"/>
  <c r="R9" i="1"/>
  <c r="N9" i="1" s="1"/>
  <c r="M9" i="1" s="1"/>
  <c r="O9" i="1" s="1"/>
  <c r="L10" i="1"/>
  <c r="N10" i="1"/>
  <c r="M10" i="1" s="1"/>
  <c r="O10" i="1" s="1"/>
  <c r="R10" i="1"/>
  <c r="L11" i="1"/>
  <c r="R11" i="1"/>
  <c r="N11" i="1" s="1"/>
  <c r="M11" i="1" s="1"/>
  <c r="O11" i="1" s="1"/>
  <c r="L12" i="1"/>
  <c r="N12" i="1"/>
  <c r="M12" i="1" s="1"/>
  <c r="O12" i="1" s="1"/>
  <c r="R12" i="1"/>
  <c r="L13" i="1"/>
  <c r="N13" i="1"/>
  <c r="M13" i="1" s="1"/>
  <c r="O13" i="1" s="1"/>
  <c r="R13" i="1"/>
  <c r="L14" i="1"/>
  <c r="R14" i="1"/>
  <c r="N14" i="1" s="1"/>
  <c r="M14" i="1" s="1"/>
  <c r="O14" i="1" s="1"/>
  <c r="L15" i="1"/>
  <c r="M15" i="1"/>
  <c r="O15" i="1" s="1"/>
  <c r="N15" i="1"/>
  <c r="R15" i="1"/>
  <c r="L16" i="1"/>
  <c r="R16" i="1"/>
  <c r="N16" i="1" s="1"/>
  <c r="M16" i="1" s="1"/>
  <c r="O16" i="1" s="1"/>
  <c r="L17" i="1"/>
  <c r="R17" i="1"/>
  <c r="N17" i="1" s="1"/>
  <c r="M17" i="1" s="1"/>
  <c r="O17" i="1" s="1"/>
  <c r="O8" i="1" l="1"/>
  <c r="R49" i="1"/>
  <c r="L49" i="1" l="1"/>
  <c r="M49" i="1" l="1"/>
  <c r="O49" i="1"/>
</calcChain>
</file>

<file path=xl/sharedStrings.xml><?xml version="1.0" encoding="utf-8"?>
<sst xmlns="http://schemas.openxmlformats.org/spreadsheetml/2006/main" count="92" uniqueCount="66">
  <si>
    <t>Inventory &amp; Equipment Listing Report</t>
  </si>
  <si>
    <t xml:space="preserve">Project Name or Admin Department: </t>
  </si>
  <si>
    <t>Grant Number (if applicable):</t>
  </si>
  <si>
    <t xml:space="preserve">Inventory as of: </t>
  </si>
  <si>
    <t>#</t>
  </si>
  <si>
    <t>Photo</t>
  </si>
  <si>
    <t>Description of Inventory &amp; Equipment</t>
  </si>
  <si>
    <t>Condition</t>
  </si>
  <si>
    <t>Brand</t>
  </si>
  <si>
    <t>Model</t>
  </si>
  <si>
    <t>Serial #</t>
  </si>
  <si>
    <t>Method of Acquisition</t>
  </si>
  <si>
    <t>Acquisition/ Purchase Date</t>
  </si>
  <si>
    <t>Purchase Price</t>
  </si>
  <si>
    <t xml:space="preserve">% Charged to Grant </t>
  </si>
  <si>
    <t>Amount Charged to Grant</t>
  </si>
  <si>
    <t>Current Price</t>
  </si>
  <si>
    <t>Useful Life in Days</t>
  </si>
  <si>
    <t>Current Price Charged to Grant</t>
  </si>
  <si>
    <t>Grant</t>
  </si>
  <si>
    <t>Type of Equipment/ Supply</t>
  </si>
  <si>
    <t>Useful Life</t>
  </si>
  <si>
    <t>City &amp; Physical Location</t>
  </si>
  <si>
    <t>Responsible Person</t>
  </si>
  <si>
    <t>Notes</t>
  </si>
  <si>
    <t>Equipment (over $5,000 USD)</t>
  </si>
  <si>
    <t>Vehicle</t>
  </si>
  <si>
    <t>Inventory &amp; Supplies (under $5,000 USD)</t>
  </si>
  <si>
    <t>General Supplies</t>
  </si>
  <si>
    <t>Total</t>
  </si>
  <si>
    <t>Submitted by name:</t>
  </si>
  <si>
    <t>Signature:</t>
  </si>
  <si>
    <t>Date:</t>
  </si>
  <si>
    <t>Reviewed &amp; Approved by name:</t>
  </si>
  <si>
    <t>New</t>
  </si>
  <si>
    <t>Good</t>
  </si>
  <si>
    <t>Bad</t>
  </si>
  <si>
    <t>Damaged</t>
  </si>
  <si>
    <t xml:space="preserve">Lost </t>
  </si>
  <si>
    <t>ADS Method Compliant with GAAP</t>
  </si>
  <si>
    <t>Agricultural machinery and equipment</t>
  </si>
  <si>
    <t>10 Years</t>
  </si>
  <si>
    <t>10</t>
  </si>
  <si>
    <t>https://www.irs.gov/publications/p946</t>
  </si>
  <si>
    <t>https://www.irs.gov/publications/p946#en_US_2022_publink1000107772</t>
  </si>
  <si>
    <t>Audio/Visual Equipment</t>
  </si>
  <si>
    <t>https://smallbusiness.chron.com/accounting-gaap-long-depreciate-used-fixed-assets-73880.html</t>
  </si>
  <si>
    <t>Computer/Laptop Tablet/Information Systems</t>
  </si>
  <si>
    <t>5 Years</t>
  </si>
  <si>
    <t>https://www.henssler.com/how-small-businesses-write-off-equipment-purchases-2/</t>
  </si>
  <si>
    <t>Furniture and fixtures (such as desks, files, and safes)</t>
  </si>
  <si>
    <t>1 Year</t>
  </si>
  <si>
    <t>1</t>
  </si>
  <si>
    <t>https://www.irs.gov/businesses/small-businesses-self-employed/tangible-property-final-regulations#:~:text=Section%20162%20of%20the%20Internal,supplies%2C%20repairs%2C%20and%20maintenance.</t>
  </si>
  <si>
    <t>Laboratory or Forensic Equipment</t>
  </si>
  <si>
    <t>https://www.irs.gov/irm/part1/irm_01-035-006</t>
  </si>
  <si>
    <t>Other Equipment ($5K+)</t>
  </si>
  <si>
    <t>Printer/Projector/Fax/Copier, etc.</t>
  </si>
  <si>
    <t>6 Years</t>
  </si>
  <si>
    <t>Telecommunications/Phone</t>
  </si>
  <si>
    <t>4 Years</t>
  </si>
  <si>
    <t>4</t>
  </si>
  <si>
    <t>https://www.ey.com/en_gl/tax-guides/worldwide-capital-and-fixed-assets-guideey-worldwide-capital-and-fixed-assets-guide-2023.pdf</t>
  </si>
  <si>
    <t>5</t>
  </si>
  <si>
    <t>Purchased</t>
  </si>
  <si>
    <t>Donated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</si>
</sst>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00000"/>
    <numFmt numFmtId="165" formatCode="&quot;$&quot;\ #,##0.00"/>
    <numFmt numFmtId="166" formatCode="&quot;$&quot;#,##0.00"/>
    <numFmt numFmtId="167" formatCode="_(* #,##0_);_(* \(#,##0\);_(* &quot;-&quot;??_);_(@_)"/>
  </numFmts>
  <fonts count="12"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2"/>
      <color theme="1"/>
      <name val="Calibri"/>
      <family val="2"/>
      <scheme val="minor"/>
    </font>
    <font>
      <sz val="14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Times New Roman"/>
      <family val="1"/>
    </font>
    <font>
      <b/>
      <i/>
      <sz val="13"/>
      <name val="Times New Roman"/>
      <family val="1"/>
    </font>
    <font>
      <b/>
      <sz val="13"/>
      <name val="Times New Roman"/>
      <family val="1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79">
    <xf numFmtId="0" fontId="0" fillId="0" borderId="0" xfId="0"/>
    <xf numFmtId="0" fontId="2" fillId="3" borderId="7" xfId="0" applyFont="1" applyFill="1" applyBorder="1" applyAlignment="1">
      <alignment horizontal="center" vertical="center" wrapText="1"/>
    </xf>
    <xf numFmtId="49" fontId="2" fillId="3" borderId="7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8" xfId="0" applyFont="1" applyBorder="1" applyAlignment="1">
      <alignment horizontal="center"/>
    </xf>
    <xf numFmtId="164" fontId="5" fillId="0" borderId="9" xfId="0" applyNumberFormat="1" applyFont="1" applyBorder="1" applyAlignment="1">
      <alignment horizontal="center"/>
    </xf>
    <xf numFmtId="0" fontId="5" fillId="0" borderId="9" xfId="0" applyFont="1" applyBorder="1" applyAlignment="1">
      <alignment horizontal="left"/>
    </xf>
    <xf numFmtId="0" fontId="0" fillId="0" borderId="10" xfId="0" applyBorder="1" applyAlignment="1">
      <alignment horizontal="center"/>
    </xf>
    <xf numFmtId="0" fontId="5" fillId="0" borderId="10" xfId="0" applyFont="1" applyBorder="1" applyAlignment="1">
      <alignment horizontal="center"/>
    </xf>
    <xf numFmtId="49" fontId="0" fillId="0" borderId="10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65" fontId="5" fillId="0" borderId="10" xfId="0" applyNumberFormat="1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49" fontId="0" fillId="0" borderId="9" xfId="0" applyNumberFormat="1" applyBorder="1" applyAlignment="1">
      <alignment horizontal="center"/>
    </xf>
    <xf numFmtId="0" fontId="5" fillId="0" borderId="9" xfId="0" applyFont="1" applyBorder="1" applyAlignment="1">
      <alignment horizontal="left" vertical="center"/>
    </xf>
    <xf numFmtId="0" fontId="0" fillId="0" borderId="9" xfId="0" applyBorder="1"/>
    <xf numFmtId="49" fontId="5" fillId="0" borderId="9" xfId="0" applyNumberFormat="1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9" xfId="0" applyBorder="1" applyAlignment="1">
      <alignment horizontal="left"/>
    </xf>
    <xf numFmtId="0" fontId="5" fillId="0" borderId="9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5" fillId="0" borderId="9" xfId="0" applyFont="1" applyBorder="1"/>
    <xf numFmtId="0" fontId="0" fillId="0" borderId="0" xfId="0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9" fontId="2" fillId="3" borderId="7" xfId="1" applyFont="1" applyFill="1" applyBorder="1" applyAlignment="1">
      <alignment horizontal="center" vertical="center" wrapText="1"/>
    </xf>
    <xf numFmtId="9" fontId="5" fillId="0" borderId="10" xfId="1" applyFont="1" applyBorder="1" applyAlignment="1">
      <alignment horizontal="center"/>
    </xf>
    <xf numFmtId="9" fontId="0" fillId="0" borderId="0" xfId="1" applyFont="1" applyAlignment="1">
      <alignment horizontal="center"/>
    </xf>
    <xf numFmtId="9" fontId="4" fillId="0" borderId="0" xfId="1" applyFont="1" applyAlignment="1">
      <alignment horizontal="center"/>
    </xf>
    <xf numFmtId="9" fontId="0" fillId="0" borderId="0" xfId="1" applyFont="1"/>
    <xf numFmtId="49" fontId="0" fillId="0" borderId="0" xfId="0" applyNumberFormat="1"/>
    <xf numFmtId="49" fontId="5" fillId="0" borderId="10" xfId="0" applyNumberFormat="1" applyFont="1" applyBorder="1" applyAlignment="1">
      <alignment horizontal="center"/>
    </xf>
    <xf numFmtId="164" fontId="5" fillId="0" borderId="10" xfId="0" applyNumberFormat="1" applyFont="1" applyBorder="1" applyAlignment="1">
      <alignment horizontal="center"/>
    </xf>
    <xf numFmtId="0" fontId="5" fillId="0" borderId="10" xfId="0" applyFont="1" applyBorder="1" applyAlignment="1">
      <alignment horizontal="left"/>
    </xf>
    <xf numFmtId="14" fontId="5" fillId="0" borderId="10" xfId="0" applyNumberFormat="1" applyFont="1" applyBorder="1" applyAlignment="1">
      <alignment horizontal="center"/>
    </xf>
    <xf numFmtId="44" fontId="0" fillId="0" borderId="0" xfId="2" applyFont="1"/>
    <xf numFmtId="166" fontId="0" fillId="0" borderId="0" xfId="0" applyNumberFormat="1"/>
    <xf numFmtId="164" fontId="4" fillId="0" borderId="13" xfId="0" applyNumberFormat="1" applyFont="1" applyBorder="1" applyAlignment="1">
      <alignment horizontal="center"/>
    </xf>
    <xf numFmtId="0" fontId="4" fillId="0" borderId="13" xfId="0" applyFont="1" applyBorder="1" applyAlignment="1">
      <alignment horizontal="left" vertical="center"/>
    </xf>
    <xf numFmtId="0" fontId="4" fillId="0" borderId="13" xfId="0" applyFont="1" applyBorder="1" applyAlignment="1">
      <alignment horizontal="center"/>
    </xf>
    <xf numFmtId="49" fontId="4" fillId="0" borderId="13" xfId="0" applyNumberFormat="1" applyFont="1" applyBorder="1" applyAlignment="1">
      <alignment horizontal="center"/>
    </xf>
    <xf numFmtId="165" fontId="4" fillId="0" borderId="13" xfId="0" applyNumberFormat="1" applyFont="1" applyBorder="1" applyAlignment="1">
      <alignment horizontal="center"/>
    </xf>
    <xf numFmtId="9" fontId="4" fillId="0" borderId="13" xfId="1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0" xfId="0" applyFont="1"/>
    <xf numFmtId="0" fontId="4" fillId="0" borderId="19" xfId="0" applyFont="1" applyBorder="1" applyAlignment="1">
      <alignment horizontal="center"/>
    </xf>
    <xf numFmtId="43" fontId="0" fillId="0" borderId="10" xfId="3" applyFont="1" applyBorder="1" applyAlignment="1">
      <alignment horizontal="center"/>
    </xf>
    <xf numFmtId="43" fontId="4" fillId="0" borderId="0" xfId="0" applyNumberFormat="1" applyFont="1" applyAlignment="1">
      <alignment horizontal="center"/>
    </xf>
    <xf numFmtId="44" fontId="4" fillId="0" borderId="0" xfId="2" applyFont="1" applyAlignment="1">
      <alignment horizontal="center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44" fontId="0" fillId="0" borderId="10" xfId="2" applyFont="1" applyBorder="1" applyAlignment="1">
      <alignment horizontal="center"/>
    </xf>
    <xf numFmtId="0" fontId="2" fillId="4" borderId="16" xfId="0" applyFont="1" applyFill="1" applyBorder="1" applyAlignment="1">
      <alignment vertical="center"/>
    </xf>
    <xf numFmtId="0" fontId="2" fillId="4" borderId="17" xfId="0" applyFont="1" applyFill="1" applyBorder="1" applyAlignment="1">
      <alignment vertical="center"/>
    </xf>
    <xf numFmtId="0" fontId="2" fillId="4" borderId="18" xfId="0" applyFont="1" applyFill="1" applyBorder="1" applyAlignment="1">
      <alignment vertical="center"/>
    </xf>
    <xf numFmtId="49" fontId="2" fillId="7" borderId="7" xfId="0" applyNumberFormat="1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/>
    </xf>
    <xf numFmtId="14" fontId="4" fillId="0" borderId="5" xfId="0" applyNumberFormat="1" applyFont="1" applyBorder="1" applyAlignment="1">
      <alignment horizontal="center"/>
    </xf>
    <xf numFmtId="0" fontId="4" fillId="0" borderId="0" xfId="0" applyFont="1" applyAlignment="1">
      <alignment horizontal="right"/>
    </xf>
    <xf numFmtId="0" fontId="8" fillId="0" borderId="0" xfId="0" applyFont="1"/>
    <xf numFmtId="0" fontId="9" fillId="0" borderId="0" xfId="0" applyFont="1" applyAlignment="1">
      <alignment horizontal="right"/>
    </xf>
    <xf numFmtId="167" fontId="0" fillId="0" borderId="0" xfId="3" applyNumberFormat="1" applyFont="1" applyAlignment="1">
      <alignment horizontal="left"/>
    </xf>
    <xf numFmtId="0" fontId="11" fillId="0" borderId="0" xfId="4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0" fontId="1" fillId="5" borderId="20" xfId="0" applyFont="1" applyFill="1" applyBorder="1" applyAlignment="1">
      <alignment horizontal="right" vertical="center" wrapText="1"/>
    </xf>
    <xf numFmtId="0" fontId="1" fillId="5" borderId="21" xfId="0" applyFont="1" applyFill="1" applyBorder="1" applyAlignment="1">
      <alignment horizontal="right" vertical="center" wrapText="1"/>
    </xf>
    <xf numFmtId="14" fontId="1" fillId="6" borderId="21" xfId="0" applyNumberFormat="1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/>
    </xf>
  </cellXfs>
  <cellStyles count="5">
    <cellStyle name="Hipervínculo" xfId="4" builtinId="8"/>
    <cellStyle name="Millares" xfId="3" builtinId="3"/>
    <cellStyle name="Moneda" xfId="2" builtinId="4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y.com/en_gl/tax-guides/worldwide-capital-and-fixed-assets-guideey-worldwide-capital-and-fixed-assets-guide-2023.pdf" TargetMode="External"/><Relationship Id="rId2" Type="http://schemas.openxmlformats.org/officeDocument/2006/relationships/hyperlink" Target="https://www.irs.gov/publications/p946" TargetMode="External"/><Relationship Id="rId1" Type="http://schemas.openxmlformats.org/officeDocument/2006/relationships/hyperlink" Target="https://smallbusiness.chron.com/accounting-gaap-long-depreciate-used-fixed-assets-73880.html" TargetMode="Externa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CA61A-90F3-44E3-98F9-2B6E0671A1F2}">
  <sheetPr codeName="Sheet1"/>
  <dimension ref="A1:V62"/>
  <sheetViews>
    <sheetView tabSelected="1" topLeftCell="H1" zoomScale="85" zoomScaleNormal="85" workbookViewId="0">
      <selection activeCell="N9" sqref="N9"/>
    </sheetView>
  </sheetViews>
  <sheetFormatPr defaultColWidth="9" defaultRowHeight="14.25"/>
  <cols>
    <col min="1" max="1" width="36.85546875" bestFit="1" customWidth="1"/>
    <col min="2" max="10" width="16.7109375" customWidth="1"/>
    <col min="11" max="11" width="16.7109375" style="31" customWidth="1"/>
    <col min="12" max="16" width="16.7109375" customWidth="1"/>
    <col min="17" max="17" width="42.42578125" bestFit="1" customWidth="1"/>
    <col min="18" max="21" width="16.7109375" customWidth="1"/>
    <col min="22" max="22" width="9.5703125" bestFit="1" customWidth="1"/>
  </cols>
  <sheetData>
    <row r="1" spans="1:22">
      <c r="A1" s="66" t="s">
        <v>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8"/>
    </row>
    <row r="2" spans="1:22" ht="14.65" thickBot="1">
      <c r="A2" s="69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1"/>
    </row>
    <row r="3" spans="1:22" s="62" customFormat="1" ht="16.5">
      <c r="A3" s="63" t="s">
        <v>1</v>
      </c>
      <c r="B3" s="78"/>
      <c r="C3" s="78"/>
      <c r="D3" s="78"/>
    </row>
    <row r="4" spans="1:22" s="62" customFormat="1" ht="16.899999999999999" thickBot="1">
      <c r="A4" s="63" t="s">
        <v>2</v>
      </c>
      <c r="B4" s="78"/>
      <c r="C4" s="78"/>
      <c r="D4" s="78"/>
    </row>
    <row r="5" spans="1:22" ht="18" thickBot="1">
      <c r="A5" s="75" t="s">
        <v>3</v>
      </c>
      <c r="B5" s="76"/>
      <c r="C5" s="77">
        <v>45322</v>
      </c>
      <c r="D5" s="77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3"/>
    </row>
    <row r="6" spans="1:22" s="3" customFormat="1" ht="47.65" thickBot="1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2" t="s">
        <v>9</v>
      </c>
      <c r="G6" s="2" t="s">
        <v>10</v>
      </c>
      <c r="H6" s="2" t="s">
        <v>11</v>
      </c>
      <c r="I6" s="2" t="s">
        <v>12</v>
      </c>
      <c r="J6" s="2" t="s">
        <v>13</v>
      </c>
      <c r="K6" s="27" t="s">
        <v>14</v>
      </c>
      <c r="L6" s="58" t="s">
        <v>15</v>
      </c>
      <c r="M6" s="58" t="s">
        <v>16</v>
      </c>
      <c r="N6" s="58" t="s">
        <v>17</v>
      </c>
      <c r="O6" s="58" t="s">
        <v>18</v>
      </c>
      <c r="P6" s="2" t="s">
        <v>19</v>
      </c>
      <c r="Q6" s="2" t="s">
        <v>20</v>
      </c>
      <c r="R6" s="58" t="s">
        <v>21</v>
      </c>
      <c r="S6" s="2" t="s">
        <v>22</v>
      </c>
      <c r="T6" s="2" t="s">
        <v>23</v>
      </c>
      <c r="U6" s="2" t="s">
        <v>24</v>
      </c>
    </row>
    <row r="7" spans="1:22" s="4" customFormat="1" ht="18">
      <c r="A7" s="72" t="s">
        <v>25</v>
      </c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4"/>
    </row>
    <row r="8" spans="1:22">
      <c r="A8" s="5">
        <v>1</v>
      </c>
      <c r="B8" s="6"/>
      <c r="C8" s="7"/>
      <c r="D8" s="8"/>
      <c r="E8" s="9"/>
      <c r="F8" s="10"/>
      <c r="G8" s="11"/>
      <c r="H8" s="8"/>
      <c r="I8" s="36">
        <v>45047</v>
      </c>
      <c r="J8" s="13">
        <v>18000</v>
      </c>
      <c r="K8" s="28">
        <v>1</v>
      </c>
      <c r="L8" s="12">
        <f>IF(J8="","",(K8*J8))</f>
        <v>18000</v>
      </c>
      <c r="M8" s="54">
        <f>IF(IF(J8="","",(1-((_xlfn.DAYS($C$5,I8)))/N8)*L8)&lt;0,0,(IF(J8="","",(1-((_xlfn.DAYS($C$5,I8)))/N8)*L8)))</f>
        <v>15287.671232876713</v>
      </c>
      <c r="N8" s="49">
        <f>IF(J8="", "", IF(R8=Sheet1!$B$13, 365, VLOOKUP(R8, Sheet1!$B$9:$C$18, 2, FALSE) * 365))</f>
        <v>1825</v>
      </c>
      <c r="O8" s="12">
        <f>IF(J8="","",(K8*M8))</f>
        <v>15287.671232876713</v>
      </c>
      <c r="P8" s="13"/>
      <c r="Q8" s="13" t="s">
        <v>26</v>
      </c>
      <c r="R8" s="13" t="str">
        <f>IF(Q8="","",(VLOOKUP(Q8,Sheet1!$A$9:$B$18,2)))</f>
        <v>5 Years</v>
      </c>
      <c r="S8" s="8"/>
      <c r="T8" s="9"/>
      <c r="U8" s="14"/>
      <c r="V8" s="38"/>
    </row>
    <row r="9" spans="1:22">
      <c r="A9" s="5">
        <v>2</v>
      </c>
      <c r="B9" s="6"/>
      <c r="C9" s="7"/>
      <c r="D9" s="8"/>
      <c r="E9" s="11"/>
      <c r="F9" s="10"/>
      <c r="G9" s="15"/>
      <c r="H9" s="8"/>
      <c r="I9" s="36"/>
      <c r="J9" s="13"/>
      <c r="K9" s="28"/>
      <c r="L9" s="12" t="str">
        <f t="shared" ref="L9:L17" si="0">IF(J9="","",(K9*J9))</f>
        <v/>
      </c>
      <c r="M9" s="54" t="str">
        <f t="shared" ref="M9:M17" si="1">IF(IF(J9="","",(1-((_xlfn.DAYS($C$5,I9)))/N9)*L9)&lt;0,0,(IF(J9="","",(1-((_xlfn.DAYS($C$5,I9)))/N9)*L9)))</f>
        <v/>
      </c>
      <c r="N9" s="49" t="str">
        <f>IF(J9="", "", IF(R9=Sheet1!$B$13, 365, VLOOKUP(R9, Sheet1!$B$9:$C$18, 2, FALSE) * 365))</f>
        <v/>
      </c>
      <c r="O9" s="12" t="str">
        <f t="shared" ref="O9:O17" si="2">IF(J9="","",(K9*M9))</f>
        <v/>
      </c>
      <c r="P9" s="13"/>
      <c r="Q9" s="13"/>
      <c r="R9" s="13" t="str">
        <f>IF(Q9="","",(VLOOKUP(Q9,Sheet1!$A$9:$B$18,2)))</f>
        <v/>
      </c>
      <c r="S9" s="8"/>
      <c r="T9" s="9"/>
      <c r="U9" s="14"/>
    </row>
    <row r="10" spans="1:22">
      <c r="A10" s="5">
        <v>3</v>
      </c>
      <c r="B10" s="6"/>
      <c r="C10" s="16"/>
      <c r="D10" s="8"/>
      <c r="E10" s="11"/>
      <c r="F10" s="17"/>
      <c r="G10" s="18"/>
      <c r="H10" s="8"/>
      <c r="I10" s="36"/>
      <c r="J10" s="13"/>
      <c r="K10" s="28"/>
      <c r="L10" s="12" t="str">
        <f t="shared" si="0"/>
        <v/>
      </c>
      <c r="M10" s="54" t="str">
        <f t="shared" si="1"/>
        <v/>
      </c>
      <c r="N10" s="49" t="str">
        <f>IF(J10="", "", IF(R10=Sheet1!$B$13, 365, VLOOKUP(R10, Sheet1!$B$9:$C$18, 2, FALSE) * 365))</f>
        <v/>
      </c>
      <c r="O10" s="12" t="str">
        <f t="shared" si="2"/>
        <v/>
      </c>
      <c r="P10" s="13"/>
      <c r="Q10" s="13"/>
      <c r="R10" s="13" t="str">
        <f>IF(Q10="","",(VLOOKUP(Q10,Sheet1!$A$9:$B$18,2)))</f>
        <v/>
      </c>
      <c r="S10" s="8"/>
      <c r="T10" s="8"/>
      <c r="U10" s="19"/>
    </row>
    <row r="11" spans="1:22">
      <c r="A11" s="5">
        <v>4</v>
      </c>
      <c r="B11" s="6"/>
      <c r="C11" s="20"/>
      <c r="D11" s="8"/>
      <c r="E11" s="11"/>
      <c r="F11" s="10"/>
      <c r="G11" s="18"/>
      <c r="H11" s="8"/>
      <c r="I11" s="36"/>
      <c r="J11" s="13"/>
      <c r="K11" s="28"/>
      <c r="L11" s="12" t="str">
        <f t="shared" si="0"/>
        <v/>
      </c>
      <c r="M11" s="54" t="str">
        <f t="shared" si="1"/>
        <v/>
      </c>
      <c r="N11" s="49" t="str">
        <f>IF(J11="", "", IF(R11=Sheet1!$B$13, 365, VLOOKUP(R11, Sheet1!$B$9:$C$18, 2, FALSE) * 365))</f>
        <v/>
      </c>
      <c r="O11" s="12" t="str">
        <f t="shared" si="2"/>
        <v/>
      </c>
      <c r="P11" s="13"/>
      <c r="Q11" s="13"/>
      <c r="R11" s="13" t="str">
        <f>IF(Q11="","",(VLOOKUP(Q11,Sheet1!$A$9:$B$18,2)))</f>
        <v/>
      </c>
      <c r="S11" s="8"/>
      <c r="T11" s="8"/>
      <c r="U11" s="19"/>
    </row>
    <row r="12" spans="1:22">
      <c r="A12" s="5">
        <v>5</v>
      </c>
      <c r="B12" s="6"/>
      <c r="C12" s="20"/>
      <c r="D12" s="8"/>
      <c r="E12" s="11"/>
      <c r="F12" s="21"/>
      <c r="G12" s="18"/>
      <c r="H12" s="8"/>
      <c r="I12" s="36"/>
      <c r="J12" s="13"/>
      <c r="K12" s="28"/>
      <c r="L12" s="12" t="str">
        <f t="shared" si="0"/>
        <v/>
      </c>
      <c r="M12" s="54" t="str">
        <f t="shared" si="1"/>
        <v/>
      </c>
      <c r="N12" s="49" t="str">
        <f>IF(J12="", "", IF(R12=Sheet1!$B$13, 365, VLOOKUP(R12, Sheet1!$B$9:$C$18, 2, FALSE) * 365))</f>
        <v/>
      </c>
      <c r="O12" s="12" t="str">
        <f t="shared" si="2"/>
        <v/>
      </c>
      <c r="P12" s="13"/>
      <c r="Q12" s="13"/>
      <c r="R12" s="13" t="str">
        <f>IF(Q12="","",(VLOOKUP(Q12,Sheet1!$A$9:$B$18,2)))</f>
        <v/>
      </c>
      <c r="S12" s="8"/>
      <c r="T12" s="8"/>
      <c r="U12" s="19"/>
    </row>
    <row r="13" spans="1:22">
      <c r="A13" s="5">
        <v>6</v>
      </c>
      <c r="B13" s="6"/>
      <c r="C13" s="20"/>
      <c r="D13" s="8"/>
      <c r="E13" s="11"/>
      <c r="F13" s="11"/>
      <c r="G13" s="15"/>
      <c r="H13" s="8"/>
      <c r="I13" s="36"/>
      <c r="J13" s="13"/>
      <c r="K13" s="28"/>
      <c r="L13" s="12" t="str">
        <f t="shared" si="0"/>
        <v/>
      </c>
      <c r="M13" s="54" t="str">
        <f t="shared" si="1"/>
        <v/>
      </c>
      <c r="N13" s="49" t="str">
        <f>IF(J13="", "", IF(R13=Sheet1!$B$13, 365, VLOOKUP(R13, Sheet1!$B$9:$C$18, 2, FALSE) * 365))</f>
        <v/>
      </c>
      <c r="O13" s="12" t="str">
        <f t="shared" si="2"/>
        <v/>
      </c>
      <c r="P13" s="13"/>
      <c r="Q13" s="13"/>
      <c r="R13" s="13" t="str">
        <f>IF(Q13="","",(VLOOKUP(Q13,Sheet1!$A$9:$B$18,2)))</f>
        <v/>
      </c>
      <c r="S13" s="8"/>
      <c r="T13" s="8"/>
      <c r="U13" s="19"/>
    </row>
    <row r="14" spans="1:22">
      <c r="A14" s="5">
        <v>7</v>
      </c>
      <c r="B14" s="6"/>
      <c r="C14" s="20"/>
      <c r="D14" s="8"/>
      <c r="E14" s="11"/>
      <c r="F14" s="11"/>
      <c r="G14" s="15"/>
      <c r="H14" s="8"/>
      <c r="I14" s="36"/>
      <c r="J14" s="13"/>
      <c r="K14" s="28"/>
      <c r="L14" s="12" t="str">
        <f t="shared" si="0"/>
        <v/>
      </c>
      <c r="M14" s="54" t="str">
        <f t="shared" si="1"/>
        <v/>
      </c>
      <c r="N14" s="49" t="str">
        <f>IF(J14="", "", IF(R14=Sheet1!$B$13, 365, VLOOKUP(R14, Sheet1!$B$9:$C$18, 2, FALSE) * 365))</f>
        <v/>
      </c>
      <c r="O14" s="12" t="str">
        <f t="shared" si="2"/>
        <v/>
      </c>
      <c r="P14" s="13"/>
      <c r="Q14" s="13"/>
      <c r="R14" s="13" t="str">
        <f>IF(Q14="","",(VLOOKUP(Q14,Sheet1!$A$9:$B$18,2)))</f>
        <v/>
      </c>
      <c r="S14" s="11"/>
      <c r="T14" s="11"/>
      <c r="U14" s="22"/>
    </row>
    <row r="15" spans="1:22">
      <c r="A15" s="5">
        <v>8</v>
      </c>
      <c r="B15" s="6"/>
      <c r="C15" s="20"/>
      <c r="D15" s="8"/>
      <c r="E15" s="11"/>
      <c r="F15" s="21"/>
      <c r="G15" s="18"/>
      <c r="H15" s="8"/>
      <c r="I15" s="36"/>
      <c r="J15" s="13"/>
      <c r="K15" s="28"/>
      <c r="L15" s="12" t="str">
        <f t="shared" si="0"/>
        <v/>
      </c>
      <c r="M15" s="54" t="str">
        <f t="shared" si="1"/>
        <v/>
      </c>
      <c r="N15" s="49" t="str">
        <f>IF(J15="", "", IF(R15=Sheet1!$B$13, 365, VLOOKUP(R15, Sheet1!$B$9:$C$18, 2, FALSE) * 365))</f>
        <v/>
      </c>
      <c r="O15" s="12" t="str">
        <f t="shared" si="2"/>
        <v/>
      </c>
      <c r="P15" s="13"/>
      <c r="Q15" s="13"/>
      <c r="R15" s="13" t="str">
        <f>IF(Q15="","",(VLOOKUP(Q15,Sheet1!$A$9:$B$18,2)))</f>
        <v/>
      </c>
      <c r="S15" s="11"/>
      <c r="T15" s="11"/>
      <c r="U15" s="22"/>
    </row>
    <row r="16" spans="1:22">
      <c r="A16" s="5">
        <v>9</v>
      </c>
      <c r="B16" s="6"/>
      <c r="C16" s="20"/>
      <c r="D16" s="8"/>
      <c r="E16" s="11"/>
      <c r="F16" s="23"/>
      <c r="G16" s="18"/>
      <c r="H16" s="8"/>
      <c r="I16" s="36"/>
      <c r="J16" s="13"/>
      <c r="K16" s="28"/>
      <c r="L16" s="12" t="str">
        <f t="shared" si="0"/>
        <v/>
      </c>
      <c r="M16" s="54" t="str">
        <f t="shared" si="1"/>
        <v/>
      </c>
      <c r="N16" s="49" t="str">
        <f>IF(J16="", "", IF(R16=Sheet1!$B$13, 365, VLOOKUP(R16, Sheet1!$B$9:$C$18, 2, FALSE) * 365))</f>
        <v/>
      </c>
      <c r="O16" s="12" t="str">
        <f t="shared" si="2"/>
        <v/>
      </c>
      <c r="P16" s="13"/>
      <c r="Q16" s="13"/>
      <c r="R16" s="13" t="str">
        <f>IF(Q16="","",(VLOOKUP(Q16,Sheet1!$A$9:$B$18,2)))</f>
        <v/>
      </c>
      <c r="S16" s="11"/>
      <c r="T16" s="11"/>
      <c r="U16" s="22"/>
    </row>
    <row r="17" spans="1:21">
      <c r="A17" s="5">
        <v>10</v>
      </c>
      <c r="B17" s="6"/>
      <c r="C17" s="20"/>
      <c r="D17" s="8"/>
      <c r="E17" s="11"/>
      <c r="F17" s="23"/>
      <c r="G17" s="18"/>
      <c r="H17" s="8"/>
      <c r="I17" s="36"/>
      <c r="J17" s="13"/>
      <c r="K17" s="28"/>
      <c r="L17" s="12" t="str">
        <f t="shared" si="0"/>
        <v/>
      </c>
      <c r="M17" s="54" t="str">
        <f t="shared" si="1"/>
        <v/>
      </c>
      <c r="N17" s="49" t="str">
        <f>IF(J17="", "", IF(R17=Sheet1!$B$13, 365, VLOOKUP(R17, Sheet1!$B$9:$C$18, 2, FALSE) * 365))</f>
        <v/>
      </c>
      <c r="O17" s="12" t="str">
        <f t="shared" si="2"/>
        <v/>
      </c>
      <c r="P17" s="13"/>
      <c r="Q17" s="13"/>
      <c r="R17" s="13" t="str">
        <f>IF(Q17="","",(VLOOKUP(Q17,Sheet1!$A$9:$B$18,2)))</f>
        <v/>
      </c>
      <c r="S17" s="11"/>
      <c r="T17" s="11"/>
      <c r="U17" s="22"/>
    </row>
    <row r="18" spans="1:21" s="4" customFormat="1" ht="18">
      <c r="A18" s="55" t="s">
        <v>27</v>
      </c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7"/>
    </row>
    <row r="19" spans="1:21">
      <c r="A19" s="5">
        <v>1</v>
      </c>
      <c r="B19" s="34"/>
      <c r="C19" s="35"/>
      <c r="D19" s="8"/>
      <c r="E19" s="9"/>
      <c r="F19" s="33"/>
      <c r="G19" s="33"/>
      <c r="H19" s="8"/>
      <c r="I19" s="36">
        <v>45047</v>
      </c>
      <c r="J19" s="13">
        <v>150</v>
      </c>
      <c r="K19" s="28">
        <v>1</v>
      </c>
      <c r="L19" s="12">
        <f>IF(J19="","",(K19*J19))</f>
        <v>150</v>
      </c>
      <c r="M19" s="54">
        <f>IF(IF(J19="","",(1-((_xlfn.DAYS($C$5,I19)))/N19)*L19)&lt;0,0,(IF(J19="","",(1-((_xlfn.DAYS($C$5,I19)))/N19)*L19)))</f>
        <v>36.986301369863014</v>
      </c>
      <c r="N19" s="49">
        <f>IF(J19="", "", IF(R19=Sheet1!$B$13, 365, VLOOKUP(R19, Sheet1!$B$9:$C$18, 2, FALSE) * 365))</f>
        <v>365</v>
      </c>
      <c r="O19" s="12">
        <f>IF(J19="","",(K19*M19))</f>
        <v>36.986301369863014</v>
      </c>
      <c r="P19" s="13"/>
      <c r="Q19" s="13" t="s">
        <v>28</v>
      </c>
      <c r="R19" s="13" t="str">
        <f>IF(Q19="","",(VLOOKUP(Q19,Sheet1!$A$9:$B$18,2)))</f>
        <v>1 Year</v>
      </c>
      <c r="S19" s="8"/>
      <c r="T19" s="8"/>
      <c r="U19" s="19"/>
    </row>
    <row r="20" spans="1:21">
      <c r="A20" s="5">
        <v>2</v>
      </c>
      <c r="B20" s="34"/>
      <c r="C20" s="35"/>
      <c r="D20" s="8"/>
      <c r="E20" s="9"/>
      <c r="F20" s="33"/>
      <c r="G20" s="33"/>
      <c r="H20" s="8"/>
      <c r="I20" s="36"/>
      <c r="J20" s="13"/>
      <c r="K20" s="28"/>
      <c r="L20" s="12" t="str">
        <f t="shared" ref="L20:L48" si="3">IF(J20="","",(K20*J20))</f>
        <v/>
      </c>
      <c r="M20" s="54" t="str">
        <f t="shared" ref="M20:M48" si="4">IF(IF(J20="","",(1-((_xlfn.DAYS($C$5,I20)))/N20)*L20)&lt;0,0,(IF(J20="","",(1-((_xlfn.DAYS($C$5,I20)))/N20)*L20)))</f>
        <v/>
      </c>
      <c r="N20" s="49" t="str">
        <f>IF(J20="", "", IF(R20=Sheet1!$B$13, 365, VLOOKUP(R20, Sheet1!$B$9:$C$18, 2, FALSE) * 365))</f>
        <v/>
      </c>
      <c r="O20" s="12" t="str">
        <f t="shared" ref="O20:O48" si="5">IF(J20="","",(K20*M20))</f>
        <v/>
      </c>
      <c r="P20" s="13"/>
      <c r="Q20" s="13"/>
      <c r="R20" s="13" t="str">
        <f>IF(Q20="","",(VLOOKUP(Q20,Sheet1!$A$9:$B$18,2)))</f>
        <v/>
      </c>
      <c r="S20" s="8"/>
      <c r="T20" s="8"/>
      <c r="U20" s="19"/>
    </row>
    <row r="21" spans="1:21">
      <c r="A21" s="5">
        <v>3</v>
      </c>
      <c r="B21" s="34"/>
      <c r="C21" s="35"/>
      <c r="D21" s="8"/>
      <c r="E21" s="9"/>
      <c r="F21" s="33"/>
      <c r="G21" s="33"/>
      <c r="H21" s="8"/>
      <c r="I21" s="36"/>
      <c r="J21" s="13"/>
      <c r="K21" s="28"/>
      <c r="L21" s="12" t="str">
        <f t="shared" si="3"/>
        <v/>
      </c>
      <c r="M21" s="54" t="str">
        <f t="shared" si="4"/>
        <v/>
      </c>
      <c r="N21" s="49" t="str">
        <f>IF(J21="", "", IF(R21=Sheet1!$B$13, 365, VLOOKUP(R21, Sheet1!$B$9:$C$18, 2, FALSE) * 365))</f>
        <v/>
      </c>
      <c r="O21" s="12" t="str">
        <f t="shared" si="5"/>
        <v/>
      </c>
      <c r="P21" s="13"/>
      <c r="Q21" s="13"/>
      <c r="R21" s="13" t="str">
        <f>IF(Q21="","",(VLOOKUP(Q21,Sheet1!$A$9:$B$18,2)))</f>
        <v/>
      </c>
      <c r="S21" s="8"/>
      <c r="T21" s="8"/>
      <c r="U21" s="19"/>
    </row>
    <row r="22" spans="1:21">
      <c r="A22" s="5">
        <v>4</v>
      </c>
      <c r="B22" s="34"/>
      <c r="C22" s="35"/>
      <c r="D22" s="8"/>
      <c r="E22" s="9"/>
      <c r="F22" s="33"/>
      <c r="G22" s="33"/>
      <c r="H22" s="8"/>
      <c r="I22" s="36"/>
      <c r="J22" s="13"/>
      <c r="K22" s="28"/>
      <c r="L22" s="12" t="str">
        <f t="shared" si="3"/>
        <v/>
      </c>
      <c r="M22" s="54" t="str">
        <f t="shared" si="4"/>
        <v/>
      </c>
      <c r="N22" s="49" t="str">
        <f>IF(J22="", "", IF(R22=Sheet1!$B$13, 365, VLOOKUP(R22, Sheet1!$B$9:$C$18, 2, FALSE) * 365))</f>
        <v/>
      </c>
      <c r="O22" s="12" t="str">
        <f t="shared" si="5"/>
        <v/>
      </c>
      <c r="P22" s="13"/>
      <c r="Q22" s="13"/>
      <c r="R22" s="13" t="str">
        <f>IF(Q22="","",(VLOOKUP(Q22,Sheet1!$A$9:$B$18,2)))</f>
        <v/>
      </c>
      <c r="S22" s="8"/>
      <c r="T22" s="8"/>
      <c r="U22" s="19"/>
    </row>
    <row r="23" spans="1:21">
      <c r="A23" s="5">
        <v>5</v>
      </c>
      <c r="B23" s="34"/>
      <c r="C23" s="35"/>
      <c r="D23" s="8"/>
      <c r="E23" s="9"/>
      <c r="F23" s="33"/>
      <c r="G23" s="33"/>
      <c r="H23" s="8"/>
      <c r="I23" s="36"/>
      <c r="J23" s="13"/>
      <c r="K23" s="28"/>
      <c r="L23" s="12" t="str">
        <f t="shared" si="3"/>
        <v/>
      </c>
      <c r="M23" s="54" t="str">
        <f t="shared" si="4"/>
        <v/>
      </c>
      <c r="N23" s="49" t="str">
        <f>IF(J23="", "", IF(R23=Sheet1!$B$13, 365, VLOOKUP(R23, Sheet1!$B$9:$C$18, 2, FALSE) * 365))</f>
        <v/>
      </c>
      <c r="O23" s="12" t="str">
        <f t="shared" si="5"/>
        <v/>
      </c>
      <c r="P23" s="13"/>
      <c r="Q23" s="13"/>
      <c r="R23" s="13" t="str">
        <f>IF(Q23="","",(VLOOKUP(Q23,Sheet1!$A$9:$B$18,2)))</f>
        <v/>
      </c>
      <c r="S23" s="8"/>
      <c r="T23" s="8"/>
      <c r="U23" s="19"/>
    </row>
    <row r="24" spans="1:21">
      <c r="A24" s="5">
        <v>6</v>
      </c>
      <c r="B24" s="34"/>
      <c r="C24" s="35"/>
      <c r="D24" s="8"/>
      <c r="E24" s="9"/>
      <c r="F24" s="33"/>
      <c r="G24" s="33"/>
      <c r="H24" s="8"/>
      <c r="I24" s="36"/>
      <c r="J24" s="13"/>
      <c r="K24" s="28"/>
      <c r="L24" s="12" t="str">
        <f t="shared" si="3"/>
        <v/>
      </c>
      <c r="M24" s="54" t="str">
        <f t="shared" si="4"/>
        <v/>
      </c>
      <c r="N24" s="49" t="str">
        <f>IF(J24="", "", IF(R24=Sheet1!$B$13, 365, VLOOKUP(R24, Sheet1!$B$9:$C$18, 2, FALSE) * 365))</f>
        <v/>
      </c>
      <c r="O24" s="12" t="str">
        <f t="shared" si="5"/>
        <v/>
      </c>
      <c r="P24" s="13"/>
      <c r="Q24" s="13"/>
      <c r="R24" s="13" t="str">
        <f>IF(Q24="","",(VLOOKUP(Q24,Sheet1!$A$9:$B$18,2)))</f>
        <v/>
      </c>
      <c r="S24" s="8"/>
      <c r="T24" s="8"/>
      <c r="U24" s="19"/>
    </row>
    <row r="25" spans="1:21">
      <c r="A25" s="5">
        <v>7</v>
      </c>
      <c r="B25" s="34"/>
      <c r="C25" s="35"/>
      <c r="D25" s="8"/>
      <c r="E25" s="9"/>
      <c r="F25" s="33"/>
      <c r="G25" s="33"/>
      <c r="H25" s="8"/>
      <c r="I25" s="36"/>
      <c r="J25" s="13"/>
      <c r="K25" s="28"/>
      <c r="L25" s="12" t="str">
        <f t="shared" si="3"/>
        <v/>
      </c>
      <c r="M25" s="54" t="str">
        <f t="shared" si="4"/>
        <v/>
      </c>
      <c r="N25" s="49" t="str">
        <f>IF(J25="", "", IF(R25=Sheet1!$B$13, 365, VLOOKUP(R25, Sheet1!$B$9:$C$18, 2, FALSE) * 365))</f>
        <v/>
      </c>
      <c r="O25" s="12" t="str">
        <f t="shared" si="5"/>
        <v/>
      </c>
      <c r="P25" s="13"/>
      <c r="Q25" s="13"/>
      <c r="R25" s="13" t="str">
        <f>IF(Q25="","",(VLOOKUP(Q25,Sheet1!$A$9:$B$18,2)))</f>
        <v/>
      </c>
      <c r="S25" s="8"/>
      <c r="T25" s="8"/>
      <c r="U25" s="19"/>
    </row>
    <row r="26" spans="1:21">
      <c r="A26" s="5">
        <v>8</v>
      </c>
      <c r="B26" s="34"/>
      <c r="C26" s="35"/>
      <c r="D26" s="8"/>
      <c r="E26" s="9"/>
      <c r="F26" s="33"/>
      <c r="G26" s="33"/>
      <c r="H26" s="8"/>
      <c r="I26" s="36"/>
      <c r="J26" s="13"/>
      <c r="K26" s="28"/>
      <c r="L26" s="12" t="str">
        <f t="shared" si="3"/>
        <v/>
      </c>
      <c r="M26" s="54" t="str">
        <f t="shared" si="4"/>
        <v/>
      </c>
      <c r="N26" s="49" t="str">
        <f>IF(J26="", "", IF(R26=Sheet1!$B$13, 365, VLOOKUP(R26, Sheet1!$B$9:$C$18, 2, FALSE) * 365))</f>
        <v/>
      </c>
      <c r="O26" s="12" t="str">
        <f t="shared" si="5"/>
        <v/>
      </c>
      <c r="P26" s="13"/>
      <c r="Q26" s="13"/>
      <c r="R26" s="13" t="str">
        <f>IF(Q26="","",(VLOOKUP(Q26,Sheet1!$A$9:$B$18,2)))</f>
        <v/>
      </c>
      <c r="S26" s="8"/>
      <c r="T26" s="8"/>
      <c r="U26" s="19"/>
    </row>
    <row r="27" spans="1:21">
      <c r="A27" s="5">
        <v>9</v>
      </c>
      <c r="B27" s="34"/>
      <c r="C27" s="35"/>
      <c r="D27" s="8"/>
      <c r="E27" s="9"/>
      <c r="F27" s="33"/>
      <c r="G27" s="33"/>
      <c r="H27" s="8"/>
      <c r="I27" s="36"/>
      <c r="J27" s="13"/>
      <c r="K27" s="28"/>
      <c r="L27" s="12" t="str">
        <f t="shared" si="3"/>
        <v/>
      </c>
      <c r="M27" s="54" t="str">
        <f t="shared" si="4"/>
        <v/>
      </c>
      <c r="N27" s="49" t="str">
        <f>IF(J27="", "", IF(R27=Sheet1!$B$13, 365, VLOOKUP(R27, Sheet1!$B$9:$C$18, 2, FALSE) * 365))</f>
        <v/>
      </c>
      <c r="O27" s="12" t="str">
        <f t="shared" si="5"/>
        <v/>
      </c>
      <c r="P27" s="13"/>
      <c r="Q27" s="13"/>
      <c r="R27" s="13" t="str">
        <f>IF(Q27="","",(VLOOKUP(Q27,Sheet1!$A$9:$B$18,2)))</f>
        <v/>
      </c>
      <c r="S27" s="8"/>
      <c r="T27" s="8"/>
      <c r="U27" s="19"/>
    </row>
    <row r="28" spans="1:21">
      <c r="A28" s="5">
        <v>10</v>
      </c>
      <c r="B28" s="34"/>
      <c r="C28" s="35"/>
      <c r="D28" s="8"/>
      <c r="E28" s="9"/>
      <c r="F28" s="33"/>
      <c r="G28" s="33"/>
      <c r="H28" s="8"/>
      <c r="I28" s="36"/>
      <c r="J28" s="13"/>
      <c r="K28" s="28"/>
      <c r="L28" s="12" t="str">
        <f t="shared" si="3"/>
        <v/>
      </c>
      <c r="M28" s="54" t="str">
        <f t="shared" si="4"/>
        <v/>
      </c>
      <c r="N28" s="49" t="str">
        <f>IF(J28="", "", IF(R28=Sheet1!$B$13, 365, VLOOKUP(R28, Sheet1!$B$9:$C$18, 2, FALSE) * 365))</f>
        <v/>
      </c>
      <c r="O28" s="12" t="str">
        <f t="shared" si="5"/>
        <v/>
      </c>
      <c r="P28" s="13"/>
      <c r="Q28" s="13"/>
      <c r="R28" s="13" t="str">
        <f>IF(Q28="","",(VLOOKUP(Q28,Sheet1!$A$9:$B$18,2)))</f>
        <v/>
      </c>
      <c r="S28" s="8"/>
      <c r="T28" s="8"/>
      <c r="U28" s="19"/>
    </row>
    <row r="29" spans="1:21">
      <c r="A29" s="5">
        <v>11</v>
      </c>
      <c r="B29" s="34"/>
      <c r="C29" s="35"/>
      <c r="D29" s="8"/>
      <c r="E29" s="9"/>
      <c r="F29" s="33"/>
      <c r="G29" s="33"/>
      <c r="H29" s="8"/>
      <c r="I29" s="36"/>
      <c r="J29" s="13"/>
      <c r="K29" s="28"/>
      <c r="L29" s="12" t="str">
        <f t="shared" si="3"/>
        <v/>
      </c>
      <c r="M29" s="54" t="str">
        <f t="shared" si="4"/>
        <v/>
      </c>
      <c r="N29" s="49" t="str">
        <f>IF(J29="", "", IF(R29=Sheet1!$B$13, 365, VLOOKUP(R29, Sheet1!$B$9:$C$18, 2, FALSE) * 365))</f>
        <v/>
      </c>
      <c r="O29" s="12" t="str">
        <f t="shared" si="5"/>
        <v/>
      </c>
      <c r="P29" s="13"/>
      <c r="Q29" s="13"/>
      <c r="R29" s="13" t="str">
        <f>IF(Q29="","",(VLOOKUP(Q29,Sheet1!$A$9:$B$18,2)))</f>
        <v/>
      </c>
      <c r="S29" s="8"/>
      <c r="T29" s="8"/>
      <c r="U29" s="19"/>
    </row>
    <row r="30" spans="1:21">
      <c r="A30" s="5">
        <v>12</v>
      </c>
      <c r="B30" s="34"/>
      <c r="C30" s="35"/>
      <c r="D30" s="8"/>
      <c r="E30" s="9"/>
      <c r="F30" s="33"/>
      <c r="G30" s="33"/>
      <c r="H30" s="8"/>
      <c r="I30" s="36"/>
      <c r="J30" s="13"/>
      <c r="K30" s="28"/>
      <c r="L30" s="12" t="str">
        <f t="shared" si="3"/>
        <v/>
      </c>
      <c r="M30" s="54" t="str">
        <f t="shared" si="4"/>
        <v/>
      </c>
      <c r="N30" s="49" t="str">
        <f>IF(J30="", "", IF(R30=Sheet1!$B$13, 365, VLOOKUP(R30, Sheet1!$B$9:$C$18, 2, FALSE) * 365))</f>
        <v/>
      </c>
      <c r="O30" s="12" t="str">
        <f t="shared" si="5"/>
        <v/>
      </c>
      <c r="P30" s="13"/>
      <c r="Q30" s="13"/>
      <c r="R30" s="13" t="str">
        <f>IF(Q30="","",(VLOOKUP(Q30,Sheet1!$A$9:$B$18,2)))</f>
        <v/>
      </c>
      <c r="S30" s="8"/>
      <c r="T30" s="8"/>
      <c r="U30" s="19"/>
    </row>
    <row r="31" spans="1:21">
      <c r="A31" s="5">
        <v>13</v>
      </c>
      <c r="B31" s="34"/>
      <c r="C31" s="35"/>
      <c r="D31" s="8"/>
      <c r="E31" s="9"/>
      <c r="F31" s="33"/>
      <c r="G31" s="33"/>
      <c r="H31" s="8"/>
      <c r="I31" s="36"/>
      <c r="J31" s="13"/>
      <c r="K31" s="28"/>
      <c r="L31" s="12" t="str">
        <f t="shared" si="3"/>
        <v/>
      </c>
      <c r="M31" s="54" t="str">
        <f t="shared" si="4"/>
        <v/>
      </c>
      <c r="N31" s="49" t="str">
        <f>IF(J31="", "", IF(R31=Sheet1!$B$13, 365, VLOOKUP(R31, Sheet1!$B$9:$C$18, 2, FALSE) * 365))</f>
        <v/>
      </c>
      <c r="O31" s="12" t="str">
        <f t="shared" si="5"/>
        <v/>
      </c>
      <c r="P31" s="13"/>
      <c r="Q31" s="13"/>
      <c r="R31" s="13" t="str">
        <f>IF(Q31="","",(VLOOKUP(Q31,Sheet1!$A$9:$B$18,2)))</f>
        <v/>
      </c>
      <c r="S31" s="8"/>
      <c r="T31" s="8"/>
      <c r="U31" s="19"/>
    </row>
    <row r="32" spans="1:21">
      <c r="A32" s="5">
        <v>14</v>
      </c>
      <c r="B32" s="34"/>
      <c r="C32" s="35"/>
      <c r="D32" s="8"/>
      <c r="E32" s="9"/>
      <c r="F32" s="33"/>
      <c r="G32" s="33"/>
      <c r="H32" s="8"/>
      <c r="I32" s="36"/>
      <c r="J32" s="13"/>
      <c r="K32" s="28"/>
      <c r="L32" s="12" t="str">
        <f t="shared" si="3"/>
        <v/>
      </c>
      <c r="M32" s="54" t="str">
        <f t="shared" si="4"/>
        <v/>
      </c>
      <c r="N32" s="49" t="str">
        <f>IF(J32="", "", IF(R32=Sheet1!$B$13, 365, VLOOKUP(R32, Sheet1!$B$9:$C$18, 2, FALSE) * 365))</f>
        <v/>
      </c>
      <c r="O32" s="12" t="str">
        <f t="shared" si="5"/>
        <v/>
      </c>
      <c r="P32" s="13"/>
      <c r="Q32" s="13"/>
      <c r="R32" s="13" t="str">
        <f>IF(Q32="","",(VLOOKUP(Q32,Sheet1!$A$9:$B$18,2)))</f>
        <v/>
      </c>
      <c r="S32" s="8"/>
      <c r="T32" s="8"/>
      <c r="U32" s="19"/>
    </row>
    <row r="33" spans="1:21">
      <c r="A33" s="5">
        <v>15</v>
      </c>
      <c r="B33" s="34"/>
      <c r="C33" s="35"/>
      <c r="D33" s="8"/>
      <c r="E33" s="9"/>
      <c r="F33" s="33"/>
      <c r="G33" s="33"/>
      <c r="H33" s="8"/>
      <c r="I33" s="36"/>
      <c r="J33" s="13"/>
      <c r="K33" s="28"/>
      <c r="L33" s="12" t="str">
        <f t="shared" si="3"/>
        <v/>
      </c>
      <c r="M33" s="54" t="str">
        <f t="shared" si="4"/>
        <v/>
      </c>
      <c r="N33" s="49" t="str">
        <f>IF(J33="", "", IF(R33=Sheet1!$B$13, 365, VLOOKUP(R33, Sheet1!$B$9:$C$18, 2, FALSE) * 365))</f>
        <v/>
      </c>
      <c r="O33" s="12" t="str">
        <f t="shared" si="5"/>
        <v/>
      </c>
      <c r="P33" s="13"/>
      <c r="Q33" s="13"/>
      <c r="R33" s="13" t="str">
        <f>IF(Q33="","",(VLOOKUP(Q33,Sheet1!$A$9:$B$18,2)))</f>
        <v/>
      </c>
      <c r="S33" s="8"/>
      <c r="T33" s="8"/>
      <c r="U33" s="19"/>
    </row>
    <row r="34" spans="1:21">
      <c r="A34" s="5">
        <v>16</v>
      </c>
      <c r="B34" s="34"/>
      <c r="C34" s="35"/>
      <c r="D34" s="8"/>
      <c r="E34" s="9"/>
      <c r="F34" s="33"/>
      <c r="G34" s="33"/>
      <c r="H34" s="8"/>
      <c r="I34" s="36"/>
      <c r="J34" s="13"/>
      <c r="K34" s="28"/>
      <c r="L34" s="12" t="str">
        <f t="shared" si="3"/>
        <v/>
      </c>
      <c r="M34" s="54" t="str">
        <f t="shared" si="4"/>
        <v/>
      </c>
      <c r="N34" s="49" t="str">
        <f>IF(J34="", "", IF(R34=Sheet1!$B$13, 365, VLOOKUP(R34, Sheet1!$B$9:$C$18, 2, FALSE) * 365))</f>
        <v/>
      </c>
      <c r="O34" s="12" t="str">
        <f t="shared" si="5"/>
        <v/>
      </c>
      <c r="P34" s="13"/>
      <c r="Q34" s="13"/>
      <c r="R34" s="13" t="str">
        <f>IF(Q34="","",(VLOOKUP(Q34,Sheet1!$A$9:$B$18,2)))</f>
        <v/>
      </c>
      <c r="S34" s="8"/>
      <c r="T34" s="8"/>
      <c r="U34" s="19"/>
    </row>
    <row r="35" spans="1:21">
      <c r="A35" s="5">
        <v>17</v>
      </c>
      <c r="B35" s="34"/>
      <c r="C35" s="35"/>
      <c r="D35" s="8"/>
      <c r="E35" s="9"/>
      <c r="F35" s="33"/>
      <c r="G35" s="33"/>
      <c r="H35" s="8"/>
      <c r="I35" s="36"/>
      <c r="J35" s="13"/>
      <c r="K35" s="28"/>
      <c r="L35" s="12" t="str">
        <f t="shared" si="3"/>
        <v/>
      </c>
      <c r="M35" s="54" t="str">
        <f t="shared" si="4"/>
        <v/>
      </c>
      <c r="N35" s="49" t="str">
        <f>IF(J35="", "", IF(R35=Sheet1!$B$13, 365, VLOOKUP(R35, Sheet1!$B$9:$C$18, 2, FALSE) * 365))</f>
        <v/>
      </c>
      <c r="O35" s="12" t="str">
        <f t="shared" si="5"/>
        <v/>
      </c>
      <c r="P35" s="13"/>
      <c r="Q35" s="13"/>
      <c r="R35" s="13" t="str">
        <f>IF(Q35="","",(VLOOKUP(Q35,Sheet1!$A$9:$B$18,2)))</f>
        <v/>
      </c>
      <c r="S35" s="8"/>
      <c r="T35" s="8"/>
      <c r="U35" s="19"/>
    </row>
    <row r="36" spans="1:21">
      <c r="A36" s="5">
        <v>18</v>
      </c>
      <c r="B36" s="34"/>
      <c r="C36" s="35"/>
      <c r="D36" s="8"/>
      <c r="E36" s="9"/>
      <c r="F36" s="33"/>
      <c r="G36" s="33"/>
      <c r="H36" s="8"/>
      <c r="I36" s="36"/>
      <c r="J36" s="13"/>
      <c r="K36" s="28"/>
      <c r="L36" s="12" t="str">
        <f t="shared" si="3"/>
        <v/>
      </c>
      <c r="M36" s="54" t="str">
        <f t="shared" si="4"/>
        <v/>
      </c>
      <c r="N36" s="49" t="str">
        <f>IF(J36="", "", IF(R36=Sheet1!$B$13, 365, VLOOKUP(R36, Sheet1!$B$9:$C$18, 2, FALSE) * 365))</f>
        <v/>
      </c>
      <c r="O36" s="12" t="str">
        <f t="shared" si="5"/>
        <v/>
      </c>
      <c r="P36" s="13"/>
      <c r="Q36" s="13"/>
      <c r="R36" s="13" t="str">
        <f>IF(Q36="","",(VLOOKUP(Q36,Sheet1!$A$9:$B$18,2)))</f>
        <v/>
      </c>
      <c r="S36" s="8"/>
      <c r="T36" s="8"/>
      <c r="U36" s="19"/>
    </row>
    <row r="37" spans="1:21">
      <c r="A37" s="5">
        <v>19</v>
      </c>
      <c r="B37" s="34"/>
      <c r="C37" s="35"/>
      <c r="D37" s="8"/>
      <c r="E37" s="9"/>
      <c r="F37" s="33"/>
      <c r="G37" s="33"/>
      <c r="H37" s="8"/>
      <c r="I37" s="36"/>
      <c r="J37" s="13"/>
      <c r="K37" s="28"/>
      <c r="L37" s="12" t="str">
        <f t="shared" si="3"/>
        <v/>
      </c>
      <c r="M37" s="54" t="str">
        <f t="shared" si="4"/>
        <v/>
      </c>
      <c r="N37" s="49" t="str">
        <f>IF(J37="", "", IF(R37=Sheet1!$B$13, 365, VLOOKUP(R37, Sheet1!$B$9:$C$18, 2, FALSE) * 365))</f>
        <v/>
      </c>
      <c r="O37" s="12" t="str">
        <f t="shared" si="5"/>
        <v/>
      </c>
      <c r="P37" s="13"/>
      <c r="Q37" s="13"/>
      <c r="R37" s="13" t="str">
        <f>IF(Q37="","",(VLOOKUP(Q37,Sheet1!$A$9:$B$18,2)))</f>
        <v/>
      </c>
      <c r="S37" s="8"/>
      <c r="T37" s="8"/>
      <c r="U37" s="19"/>
    </row>
    <row r="38" spans="1:21">
      <c r="A38" s="5">
        <v>20</v>
      </c>
      <c r="B38" s="34"/>
      <c r="C38" s="35"/>
      <c r="D38" s="8"/>
      <c r="E38" s="9"/>
      <c r="F38" s="33"/>
      <c r="G38" s="33"/>
      <c r="H38" s="8"/>
      <c r="I38" s="36"/>
      <c r="J38" s="13"/>
      <c r="K38" s="28"/>
      <c r="L38" s="12" t="str">
        <f t="shared" si="3"/>
        <v/>
      </c>
      <c r="M38" s="54" t="str">
        <f t="shared" si="4"/>
        <v/>
      </c>
      <c r="N38" s="49" t="str">
        <f>IF(J38="", "", IF(R38=Sheet1!$B$13, 365, VLOOKUP(R38, Sheet1!$B$9:$C$18, 2, FALSE) * 365))</f>
        <v/>
      </c>
      <c r="O38" s="12" t="str">
        <f t="shared" si="5"/>
        <v/>
      </c>
      <c r="P38" s="13"/>
      <c r="Q38" s="13"/>
      <c r="R38" s="13" t="str">
        <f>IF(Q38="","",(VLOOKUP(Q38,Sheet1!$A$9:$B$18,2)))</f>
        <v/>
      </c>
      <c r="S38" s="8"/>
      <c r="T38" s="8"/>
      <c r="U38" s="19"/>
    </row>
    <row r="39" spans="1:21">
      <c r="A39" s="5">
        <v>21</v>
      </c>
      <c r="B39" s="34"/>
      <c r="C39" s="35"/>
      <c r="D39" s="8"/>
      <c r="E39" s="9"/>
      <c r="F39" s="33"/>
      <c r="G39" s="33"/>
      <c r="H39" s="8"/>
      <c r="I39" s="36"/>
      <c r="J39" s="13"/>
      <c r="K39" s="28"/>
      <c r="L39" s="12" t="str">
        <f t="shared" si="3"/>
        <v/>
      </c>
      <c r="M39" s="54" t="str">
        <f t="shared" si="4"/>
        <v/>
      </c>
      <c r="N39" s="49" t="str">
        <f>IF(J39="", "", IF(R39=Sheet1!$B$13, 365, VLOOKUP(R39, Sheet1!$B$9:$C$18, 2, FALSE) * 365))</f>
        <v/>
      </c>
      <c r="O39" s="12" t="str">
        <f t="shared" si="5"/>
        <v/>
      </c>
      <c r="P39" s="13"/>
      <c r="Q39" s="13"/>
      <c r="R39" s="13" t="str">
        <f>IF(Q39="","",(VLOOKUP(Q39,Sheet1!$A$9:$B$18,2)))</f>
        <v/>
      </c>
      <c r="S39" s="8"/>
      <c r="T39" s="8"/>
      <c r="U39" s="19"/>
    </row>
    <row r="40" spans="1:21">
      <c r="A40" s="5">
        <v>22</v>
      </c>
      <c r="B40" s="34"/>
      <c r="C40" s="35"/>
      <c r="D40" s="8"/>
      <c r="E40" s="9"/>
      <c r="F40" s="33"/>
      <c r="G40" s="33"/>
      <c r="H40" s="8"/>
      <c r="I40" s="36"/>
      <c r="J40" s="13"/>
      <c r="K40" s="28"/>
      <c r="L40" s="12" t="str">
        <f t="shared" si="3"/>
        <v/>
      </c>
      <c r="M40" s="54" t="str">
        <f t="shared" si="4"/>
        <v/>
      </c>
      <c r="N40" s="49" t="str">
        <f>IF(J40="", "", IF(R40=Sheet1!$B$13, 365, VLOOKUP(R40, Sheet1!$B$9:$C$18, 2, FALSE) * 365))</f>
        <v/>
      </c>
      <c r="O40" s="12" t="str">
        <f t="shared" si="5"/>
        <v/>
      </c>
      <c r="P40" s="13"/>
      <c r="Q40" s="13"/>
      <c r="R40" s="13" t="str">
        <f>IF(Q40="","",(VLOOKUP(Q40,Sheet1!$A$9:$B$18,2)))</f>
        <v/>
      </c>
      <c r="S40" s="8"/>
      <c r="T40" s="8"/>
      <c r="U40" s="19"/>
    </row>
    <row r="41" spans="1:21">
      <c r="A41" s="5">
        <v>23</v>
      </c>
      <c r="B41" s="34"/>
      <c r="C41" s="35"/>
      <c r="D41" s="8"/>
      <c r="E41" s="9"/>
      <c r="F41" s="33"/>
      <c r="G41" s="33"/>
      <c r="H41" s="8"/>
      <c r="I41" s="36"/>
      <c r="J41" s="13"/>
      <c r="K41" s="28"/>
      <c r="L41" s="12" t="str">
        <f t="shared" si="3"/>
        <v/>
      </c>
      <c r="M41" s="54" t="str">
        <f t="shared" si="4"/>
        <v/>
      </c>
      <c r="N41" s="49" t="str">
        <f>IF(J41="", "", IF(R41=Sheet1!$B$13, 365, VLOOKUP(R41, Sheet1!$B$9:$C$18, 2, FALSE) * 365))</f>
        <v/>
      </c>
      <c r="O41" s="12" t="str">
        <f t="shared" si="5"/>
        <v/>
      </c>
      <c r="P41" s="13"/>
      <c r="Q41" s="13"/>
      <c r="R41" s="13" t="str">
        <f>IF(Q41="","",(VLOOKUP(Q41,Sheet1!$A$9:$B$18,2)))</f>
        <v/>
      </c>
      <c r="S41" s="8"/>
      <c r="T41" s="8"/>
      <c r="U41" s="19"/>
    </row>
    <row r="42" spans="1:21">
      <c r="A42" s="5">
        <v>24</v>
      </c>
      <c r="B42" s="34"/>
      <c r="C42" s="35"/>
      <c r="D42" s="8"/>
      <c r="E42" s="9"/>
      <c r="F42" s="33"/>
      <c r="G42" s="33"/>
      <c r="H42" s="8"/>
      <c r="I42" s="36"/>
      <c r="J42" s="13"/>
      <c r="K42" s="28"/>
      <c r="L42" s="12" t="str">
        <f t="shared" si="3"/>
        <v/>
      </c>
      <c r="M42" s="54" t="str">
        <f t="shared" si="4"/>
        <v/>
      </c>
      <c r="N42" s="49" t="str">
        <f>IF(J42="", "", IF(R42=Sheet1!$B$13, 365, VLOOKUP(R42, Sheet1!$B$9:$C$18, 2, FALSE) * 365))</f>
        <v/>
      </c>
      <c r="O42" s="12" t="str">
        <f t="shared" si="5"/>
        <v/>
      </c>
      <c r="P42" s="13"/>
      <c r="Q42" s="13"/>
      <c r="R42" s="13" t="str">
        <f>IF(Q42="","",(VLOOKUP(Q42,Sheet1!$A$9:$B$18,2)))</f>
        <v/>
      </c>
      <c r="S42" s="8"/>
      <c r="T42" s="8"/>
      <c r="U42" s="19"/>
    </row>
    <row r="43" spans="1:21">
      <c r="A43" s="5">
        <v>25</v>
      </c>
      <c r="B43" s="34"/>
      <c r="C43" s="35"/>
      <c r="D43" s="8"/>
      <c r="E43" s="9"/>
      <c r="F43" s="33"/>
      <c r="G43" s="33"/>
      <c r="H43" s="8"/>
      <c r="I43" s="36"/>
      <c r="J43" s="13"/>
      <c r="K43" s="28"/>
      <c r="L43" s="12" t="str">
        <f t="shared" si="3"/>
        <v/>
      </c>
      <c r="M43" s="54" t="str">
        <f t="shared" si="4"/>
        <v/>
      </c>
      <c r="N43" s="49" t="str">
        <f>IF(J43="", "", IF(R43=Sheet1!$B$13, 365, VLOOKUP(R43, Sheet1!$B$9:$C$18, 2, FALSE) * 365))</f>
        <v/>
      </c>
      <c r="O43" s="12" t="str">
        <f t="shared" si="5"/>
        <v/>
      </c>
      <c r="P43" s="13"/>
      <c r="Q43" s="13"/>
      <c r="R43" s="13" t="str">
        <f>IF(Q43="","",(VLOOKUP(Q43,Sheet1!$A$9:$B$18,2)))</f>
        <v/>
      </c>
      <c r="S43" s="8"/>
      <c r="T43" s="8"/>
      <c r="U43" s="19"/>
    </row>
    <row r="44" spans="1:21">
      <c r="A44" s="5">
        <v>26</v>
      </c>
      <c r="B44" s="34"/>
      <c r="C44" s="35"/>
      <c r="D44" s="8"/>
      <c r="E44" s="9"/>
      <c r="F44" s="33"/>
      <c r="G44" s="33"/>
      <c r="H44" s="8"/>
      <c r="I44" s="36"/>
      <c r="J44" s="13"/>
      <c r="K44" s="28"/>
      <c r="L44" s="12" t="str">
        <f t="shared" si="3"/>
        <v/>
      </c>
      <c r="M44" s="54" t="str">
        <f t="shared" si="4"/>
        <v/>
      </c>
      <c r="N44" s="49" t="str">
        <f>IF(J44="", "", IF(R44=Sheet1!$B$13, 365, VLOOKUP(R44, Sheet1!$B$9:$C$18, 2, FALSE) * 365))</f>
        <v/>
      </c>
      <c r="O44" s="12" t="str">
        <f t="shared" si="5"/>
        <v/>
      </c>
      <c r="P44" s="13"/>
      <c r="Q44" s="13"/>
      <c r="R44" s="13" t="str">
        <f>IF(Q44="","",(VLOOKUP(Q44,Sheet1!$A$9:$B$18,2)))</f>
        <v/>
      </c>
      <c r="S44" s="8"/>
      <c r="T44" s="8"/>
      <c r="U44" s="19"/>
    </row>
    <row r="45" spans="1:21">
      <c r="A45" s="5">
        <v>27</v>
      </c>
      <c r="B45" s="34"/>
      <c r="C45" s="35"/>
      <c r="D45" s="8"/>
      <c r="E45" s="9"/>
      <c r="F45" s="33"/>
      <c r="G45" s="33"/>
      <c r="H45" s="8"/>
      <c r="I45" s="36"/>
      <c r="J45" s="13"/>
      <c r="K45" s="28"/>
      <c r="L45" s="12" t="str">
        <f t="shared" si="3"/>
        <v/>
      </c>
      <c r="M45" s="54" t="str">
        <f t="shared" si="4"/>
        <v/>
      </c>
      <c r="N45" s="49" t="str">
        <f>IF(J45="", "", IF(R45=Sheet1!$B$13, 365, VLOOKUP(R45, Sheet1!$B$9:$C$18, 2, FALSE) * 365))</f>
        <v/>
      </c>
      <c r="O45" s="12" t="str">
        <f t="shared" si="5"/>
        <v/>
      </c>
      <c r="P45" s="13"/>
      <c r="Q45" s="13"/>
      <c r="R45" s="13" t="str">
        <f>IF(Q45="","",(VLOOKUP(Q45,Sheet1!$A$9:$B$18,2)))</f>
        <v/>
      </c>
      <c r="S45" s="8"/>
      <c r="T45" s="8"/>
      <c r="U45" s="19"/>
    </row>
    <row r="46" spans="1:21">
      <c r="A46" s="5">
        <v>28</v>
      </c>
      <c r="B46" s="34"/>
      <c r="C46" s="35"/>
      <c r="D46" s="8"/>
      <c r="E46" s="9"/>
      <c r="F46" s="33"/>
      <c r="G46" s="33"/>
      <c r="H46" s="8"/>
      <c r="I46" s="36"/>
      <c r="J46" s="13"/>
      <c r="K46" s="28"/>
      <c r="L46" s="12" t="str">
        <f t="shared" si="3"/>
        <v/>
      </c>
      <c r="M46" s="54" t="str">
        <f t="shared" si="4"/>
        <v/>
      </c>
      <c r="N46" s="49" t="str">
        <f>IF(J46="", "", IF(R46=Sheet1!$B$13, 365, VLOOKUP(R46, Sheet1!$B$9:$C$18, 2, FALSE) * 365))</f>
        <v/>
      </c>
      <c r="O46" s="12" t="str">
        <f t="shared" si="5"/>
        <v/>
      </c>
      <c r="P46" s="13"/>
      <c r="Q46" s="13"/>
      <c r="R46" s="13" t="str">
        <f>IF(Q46="","",(VLOOKUP(Q46,Sheet1!$A$9:$B$18,2)))</f>
        <v/>
      </c>
      <c r="S46" s="8"/>
      <c r="T46" s="8"/>
      <c r="U46" s="19"/>
    </row>
    <row r="47" spans="1:21">
      <c r="A47" s="5">
        <v>29</v>
      </c>
      <c r="B47" s="34"/>
      <c r="C47" s="35"/>
      <c r="D47" s="8"/>
      <c r="E47" s="9"/>
      <c r="F47" s="33"/>
      <c r="G47" s="33"/>
      <c r="H47" s="8"/>
      <c r="I47" s="36"/>
      <c r="J47" s="13"/>
      <c r="K47" s="28"/>
      <c r="L47" s="12" t="str">
        <f t="shared" si="3"/>
        <v/>
      </c>
      <c r="M47" s="54" t="str">
        <f t="shared" si="4"/>
        <v/>
      </c>
      <c r="N47" s="49" t="str">
        <f>IF(J47="", "", IF(R47=Sheet1!$B$13, 365, VLOOKUP(R47, Sheet1!$B$9:$C$18, 2, FALSE) * 365))</f>
        <v/>
      </c>
      <c r="O47" s="12" t="str">
        <f t="shared" si="5"/>
        <v/>
      </c>
      <c r="P47" s="13"/>
      <c r="Q47" s="13"/>
      <c r="R47" s="13" t="str">
        <f>IF(Q47="","",(VLOOKUP(Q47,Sheet1!$A$9:$B$18,2)))</f>
        <v/>
      </c>
      <c r="S47" s="8"/>
      <c r="T47" s="8"/>
      <c r="U47" s="19"/>
    </row>
    <row r="48" spans="1:21">
      <c r="A48" s="5">
        <v>30</v>
      </c>
      <c r="B48" s="34"/>
      <c r="C48" s="35"/>
      <c r="D48" s="8"/>
      <c r="E48" s="9"/>
      <c r="F48" s="33"/>
      <c r="G48" s="33"/>
      <c r="H48" s="8"/>
      <c r="I48" s="36"/>
      <c r="J48" s="13"/>
      <c r="K48" s="28"/>
      <c r="L48" s="12" t="str">
        <f t="shared" si="3"/>
        <v/>
      </c>
      <c r="M48" s="54" t="str">
        <f t="shared" si="4"/>
        <v/>
      </c>
      <c r="N48" s="49" t="str">
        <f>IF(J48="", "", IF(R48=Sheet1!$B$13, 365, VLOOKUP(R48, Sheet1!$B$9:$C$18, 2, FALSE) * 365))</f>
        <v/>
      </c>
      <c r="O48" s="12" t="str">
        <f t="shared" si="5"/>
        <v/>
      </c>
      <c r="P48" s="13"/>
      <c r="Q48" s="13"/>
      <c r="R48" s="13" t="str">
        <f>IF(Q48="","",(VLOOKUP(Q48,Sheet1!$A$9:$B$18,2)))</f>
        <v/>
      </c>
      <c r="S48" s="8"/>
      <c r="T48" s="8"/>
      <c r="U48" s="19"/>
    </row>
    <row r="49" spans="1:21" s="47" customFormat="1" ht="14.65" thickBot="1">
      <c r="A49" s="48" t="s">
        <v>29</v>
      </c>
      <c r="B49" s="39"/>
      <c r="C49" s="40"/>
      <c r="D49" s="45"/>
      <c r="E49" s="41"/>
      <c r="F49" s="42"/>
      <c r="G49" s="42"/>
      <c r="H49" s="42"/>
      <c r="I49" s="42"/>
      <c r="J49" s="43">
        <f>SUM(J8:J17,J20:J48)</f>
        <v>18000</v>
      </c>
      <c r="K49" s="44"/>
      <c r="L49" s="43">
        <f>SUM(L8:L17,L20:L48)</f>
        <v>18000</v>
      </c>
      <c r="M49" s="43">
        <f>SUM(M8:M17,M20:M48)</f>
        <v>15287.671232876713</v>
      </c>
      <c r="N49" s="43"/>
      <c r="O49" s="43">
        <f>SUM(O8:O17,O20:O48)</f>
        <v>15287.671232876713</v>
      </c>
      <c r="P49" s="43"/>
      <c r="Q49" s="43"/>
      <c r="R49" s="45" t="str">
        <f>IF(Q49="","",(VLOOKUP(Q49,Sheet1!$A$9:$B$18,2)))</f>
        <v/>
      </c>
      <c r="S49" s="45"/>
      <c r="T49" s="45"/>
      <c r="U49" s="46"/>
    </row>
    <row r="50" spans="1:21">
      <c r="B50" s="24"/>
      <c r="C50" s="24"/>
      <c r="D50" s="24"/>
      <c r="E50" s="24"/>
      <c r="F50" s="24"/>
      <c r="G50" s="24"/>
      <c r="H50" s="24"/>
      <c r="I50" s="24"/>
      <c r="J50" s="24"/>
      <c r="K50" s="29"/>
      <c r="L50" s="24"/>
      <c r="M50" s="24"/>
      <c r="N50" s="24"/>
      <c r="O50" s="24"/>
      <c r="P50" s="24"/>
      <c r="Q50" s="24"/>
      <c r="R50" s="24"/>
      <c r="S50" s="24"/>
      <c r="T50" s="24"/>
      <c r="U50" s="24"/>
    </row>
    <row r="51" spans="1:21">
      <c r="B51" s="24"/>
      <c r="C51" s="24"/>
      <c r="D51" s="24"/>
      <c r="E51" s="24"/>
      <c r="F51" s="24"/>
      <c r="G51" s="24"/>
      <c r="H51" s="24"/>
      <c r="I51" s="24"/>
      <c r="J51" s="24"/>
      <c r="K51" s="29"/>
      <c r="L51" s="24"/>
      <c r="M51" s="24"/>
      <c r="N51" s="24"/>
      <c r="O51" s="24"/>
      <c r="P51" s="24"/>
      <c r="Q51" s="24"/>
      <c r="R51" s="24"/>
      <c r="S51" s="24"/>
      <c r="T51" s="24"/>
      <c r="U51" s="24"/>
    </row>
    <row r="52" spans="1:21" s="25" customFormat="1" ht="14.65" thickBot="1">
      <c r="A52" s="61" t="s">
        <v>30</v>
      </c>
      <c r="B52" s="59"/>
      <c r="C52" s="59"/>
      <c r="D52" s="24"/>
      <c r="E52" s="24"/>
      <c r="F52" s="26"/>
      <c r="G52" s="26"/>
      <c r="H52" s="26"/>
      <c r="I52" s="26"/>
      <c r="J52" s="26"/>
      <c r="K52" s="30"/>
      <c r="L52" s="26"/>
      <c r="M52" s="26"/>
      <c r="N52" s="26"/>
      <c r="O52" s="26"/>
      <c r="P52" s="26"/>
      <c r="Q52" s="26"/>
      <c r="R52" s="26"/>
      <c r="S52" s="26"/>
      <c r="T52" s="26"/>
      <c r="U52" s="26"/>
    </row>
    <row r="53" spans="1:21" s="25" customFormat="1" ht="26.45" customHeight="1">
      <c r="B53" s="26"/>
      <c r="C53" s="26"/>
      <c r="D53" s="24"/>
      <c r="E53" s="24"/>
      <c r="F53" s="26"/>
      <c r="G53" s="26"/>
      <c r="H53" s="26"/>
      <c r="I53" s="26"/>
      <c r="J53" s="26"/>
      <c r="K53" s="30"/>
      <c r="L53" s="26"/>
      <c r="M53" s="50"/>
      <c r="N53" s="26"/>
      <c r="O53" s="26"/>
      <c r="P53" s="26"/>
      <c r="Q53" s="26"/>
      <c r="R53" s="26"/>
      <c r="S53" s="26"/>
      <c r="T53" s="26"/>
      <c r="U53" s="26"/>
    </row>
    <row r="54" spans="1:21" s="25" customFormat="1" ht="13.5" thickBot="1">
      <c r="A54" s="61" t="s">
        <v>31</v>
      </c>
      <c r="B54" s="59"/>
      <c r="C54" s="59"/>
      <c r="D54" s="26" t="s">
        <v>32</v>
      </c>
      <c r="E54" s="60"/>
      <c r="F54" s="26"/>
      <c r="G54" s="26"/>
      <c r="H54" s="26"/>
      <c r="I54" s="26"/>
      <c r="J54" s="26"/>
      <c r="K54" s="30"/>
      <c r="L54" s="26"/>
      <c r="M54" s="50"/>
      <c r="N54" s="26"/>
      <c r="O54" s="26"/>
      <c r="P54" s="26"/>
      <c r="Q54" s="26"/>
      <c r="R54" s="26"/>
      <c r="S54" s="26"/>
      <c r="T54" s="26"/>
      <c r="U54" s="26"/>
    </row>
    <row r="55" spans="1:21" s="25" customFormat="1" ht="13.15">
      <c r="B55" s="26"/>
      <c r="C55" s="26"/>
      <c r="D55" s="26"/>
      <c r="E55" s="26"/>
      <c r="F55" s="26"/>
      <c r="G55" s="26"/>
      <c r="H55" s="26"/>
      <c r="I55" s="26"/>
      <c r="J55" s="26"/>
      <c r="K55" s="30"/>
      <c r="L55" s="26"/>
      <c r="M55" s="50"/>
      <c r="N55" s="26"/>
      <c r="O55" s="26"/>
      <c r="P55" s="26"/>
      <c r="Q55" s="26"/>
      <c r="R55" s="26"/>
      <c r="S55" s="26"/>
      <c r="T55" s="26"/>
      <c r="U55" s="26"/>
    </row>
    <row r="56" spans="1:21" s="25" customFormat="1" ht="13.15">
      <c r="B56" s="26"/>
      <c r="C56" s="26"/>
      <c r="D56" s="26"/>
      <c r="E56" s="26"/>
      <c r="F56" s="26"/>
      <c r="G56" s="26"/>
      <c r="H56" s="26"/>
      <c r="I56" s="26"/>
      <c r="J56" s="26"/>
      <c r="K56" s="30"/>
      <c r="L56" s="26"/>
      <c r="M56" s="51"/>
      <c r="N56" s="26"/>
      <c r="O56" s="26"/>
      <c r="P56" s="26"/>
      <c r="Q56" s="26"/>
      <c r="R56" s="26"/>
      <c r="S56" s="26"/>
      <c r="T56" s="26"/>
      <c r="U56" s="26"/>
    </row>
    <row r="57" spans="1:21" s="25" customFormat="1" ht="13.15">
      <c r="B57" s="26"/>
      <c r="C57" s="26"/>
      <c r="D57" s="26"/>
      <c r="E57" s="26"/>
      <c r="F57" s="26"/>
      <c r="G57" s="26"/>
      <c r="H57" s="26"/>
      <c r="I57" s="26"/>
      <c r="J57" s="26"/>
      <c r="K57" s="30"/>
      <c r="L57" s="26"/>
      <c r="M57" s="51"/>
      <c r="N57" s="26"/>
      <c r="O57" s="26"/>
      <c r="P57" s="26"/>
      <c r="Q57" s="26"/>
      <c r="R57" s="26"/>
      <c r="S57" s="26"/>
      <c r="T57" s="26"/>
      <c r="U57" s="26"/>
    </row>
    <row r="58" spans="1:21" s="25" customFormat="1" ht="13.5" thickBot="1">
      <c r="A58" s="61" t="s">
        <v>33</v>
      </c>
      <c r="B58" s="59"/>
      <c r="C58" s="59"/>
      <c r="D58" s="26"/>
      <c r="E58" s="26"/>
      <c r="F58" s="26"/>
      <c r="G58" s="26"/>
      <c r="H58" s="26"/>
      <c r="I58" s="26"/>
      <c r="J58" s="26"/>
      <c r="K58" s="30"/>
      <c r="L58" s="26"/>
      <c r="M58" s="51"/>
      <c r="N58" s="26"/>
      <c r="O58" s="26"/>
      <c r="P58" s="26"/>
      <c r="Q58" s="26"/>
      <c r="R58" s="26"/>
      <c r="S58" s="26"/>
      <c r="T58" s="26"/>
      <c r="U58" s="26"/>
    </row>
    <row r="59" spans="1:21" s="25" customFormat="1" ht="24.95" customHeight="1">
      <c r="B59" s="26"/>
      <c r="C59" s="26"/>
      <c r="D59" s="26"/>
      <c r="E59" s="26"/>
      <c r="F59" s="26"/>
      <c r="G59" s="26"/>
      <c r="H59" s="26"/>
      <c r="I59" s="26"/>
      <c r="J59" s="26"/>
      <c r="K59" s="30"/>
      <c r="L59" s="26"/>
      <c r="M59" s="51"/>
      <c r="N59" s="26"/>
      <c r="O59" s="26"/>
      <c r="P59" s="26"/>
      <c r="Q59" s="26"/>
      <c r="R59" s="26"/>
      <c r="S59" s="26"/>
      <c r="T59" s="26"/>
      <c r="U59" s="26"/>
    </row>
    <row r="60" spans="1:21" s="25" customFormat="1" ht="13.5" thickBot="1">
      <c r="A60" s="61" t="s">
        <v>31</v>
      </c>
      <c r="B60" s="59"/>
      <c r="C60" s="59"/>
      <c r="D60" s="26" t="s">
        <v>32</v>
      </c>
      <c r="E60" s="60"/>
      <c r="F60" s="26"/>
      <c r="G60" s="26"/>
      <c r="H60" s="26"/>
      <c r="I60" s="26"/>
      <c r="J60" s="26"/>
      <c r="K60" s="30"/>
      <c r="L60" s="26"/>
      <c r="M60" s="26"/>
      <c r="N60" s="26"/>
      <c r="O60" s="26"/>
      <c r="P60" s="26"/>
      <c r="Q60" s="26"/>
      <c r="R60" s="26"/>
      <c r="S60" s="26"/>
      <c r="T60" s="26"/>
      <c r="U60" s="26"/>
    </row>
    <row r="61" spans="1:21" s="25" customFormat="1" ht="13.15">
      <c r="B61" s="26"/>
      <c r="C61" s="26"/>
      <c r="D61" s="26"/>
      <c r="E61" s="26"/>
      <c r="F61" s="26"/>
      <c r="G61" s="26"/>
      <c r="H61" s="26"/>
      <c r="I61" s="26"/>
      <c r="J61" s="26"/>
      <c r="K61" s="30"/>
      <c r="L61" s="26"/>
      <c r="M61" s="26"/>
      <c r="N61" s="26"/>
      <c r="O61" s="26"/>
      <c r="P61" s="26"/>
      <c r="Q61" s="26"/>
      <c r="R61" s="26"/>
      <c r="S61" s="26"/>
      <c r="T61" s="26"/>
      <c r="U61" s="26"/>
    </row>
    <row r="62" spans="1:21" s="25" customFormat="1" ht="13.15">
      <c r="B62" s="26"/>
      <c r="C62" s="26"/>
      <c r="D62" s="26"/>
      <c r="E62" s="26"/>
      <c r="F62" s="26"/>
      <c r="G62" s="26"/>
      <c r="H62" s="26"/>
      <c r="I62" s="26"/>
      <c r="J62" s="26"/>
      <c r="K62" s="30"/>
      <c r="L62" s="26"/>
      <c r="M62" s="26"/>
      <c r="N62" s="26"/>
      <c r="O62" s="26"/>
      <c r="P62" s="26"/>
      <c r="Q62" s="26"/>
      <c r="R62" s="26"/>
      <c r="S62" s="26"/>
      <c r="T62" s="26"/>
      <c r="U62" s="26"/>
    </row>
  </sheetData>
  <mergeCells count="6">
    <mergeCell ref="A1:U2"/>
    <mergeCell ref="A7:U7"/>
    <mergeCell ref="A5:B5"/>
    <mergeCell ref="C5:D5"/>
    <mergeCell ref="B3:D3"/>
    <mergeCell ref="B4:D4"/>
  </mergeCells>
  <pageMargins left="0.7" right="0.7" top="0.75" bottom="0.75" header="0.3" footer="0.3"/>
  <pageSetup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D67A702-5B3F-485E-934B-1EB4AF941C44}">
          <x14:formula1>
            <xm:f>Sheet1!$A$2:$A$6</xm:f>
          </x14:formula1>
          <xm:sqref>D8:D17 D19:D49</xm:sqref>
        </x14:dataValidation>
        <x14:dataValidation type="list" allowBlank="1" showInputMessage="1" showErrorMessage="1" xr:uid="{7FD2FD7A-FBD2-40E0-A978-13A31FA7F34F}">
          <x14:formula1>
            <xm:f>Sheet1!$A$21:$A$22</xm:f>
          </x14:formula1>
          <xm:sqref>H8:H17 H19:H49</xm:sqref>
        </x14:dataValidation>
        <x14:dataValidation type="list" allowBlank="1" showInputMessage="1" showErrorMessage="1" xr:uid="{7A588674-8389-4A74-9EA0-F947AD4E090F}">
          <x14:formula1>
            <xm:f>Sheet1!$A$8:$A$17</xm:f>
          </x14:formula1>
          <xm:sqref>Q49</xm:sqref>
        </x14:dataValidation>
        <x14:dataValidation type="list" allowBlank="1" showInputMessage="1" showErrorMessage="1" xr:uid="{19B883A4-18ED-4BD2-A195-BED73789E005}">
          <x14:formula1>
            <xm:f>Sheet1!$A$9:$A$18</xm:f>
          </x14:formula1>
          <xm:sqref>Q8:Q17 Q19:Q48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7E409-B514-4587-B242-8616E005B97D}">
  <dimension ref="A2:F22"/>
  <sheetViews>
    <sheetView workbookViewId="0">
      <selection activeCell="A16" sqref="A16:XFD16"/>
    </sheetView>
  </sheetViews>
  <sheetFormatPr defaultColWidth="9" defaultRowHeight="14.25"/>
  <cols>
    <col min="1" max="1" width="42" bestFit="1" customWidth="1"/>
    <col min="4" max="4" width="77.42578125" bestFit="1" customWidth="1"/>
  </cols>
  <sheetData>
    <row r="2" spans="1:6">
      <c r="A2" t="s">
        <v>34</v>
      </c>
    </row>
    <row r="3" spans="1:6">
      <c r="A3" t="s">
        <v>35</v>
      </c>
    </row>
    <row r="4" spans="1:6">
      <c r="A4" t="s">
        <v>36</v>
      </c>
    </row>
    <row r="5" spans="1:6">
      <c r="A5" t="s">
        <v>37</v>
      </c>
    </row>
    <row r="6" spans="1:6">
      <c r="A6" t="s">
        <v>38</v>
      </c>
    </row>
    <row r="8" spans="1:6">
      <c r="A8" s="32"/>
      <c r="B8" t="s">
        <v>39</v>
      </c>
      <c r="C8" s="32"/>
    </row>
    <row r="9" spans="1:6">
      <c r="A9" s="32" t="s">
        <v>40</v>
      </c>
      <c r="B9" t="s">
        <v>41</v>
      </c>
      <c r="C9" s="37" t="s">
        <v>42</v>
      </c>
      <c r="D9" t="s">
        <v>43</v>
      </c>
      <c r="E9" t="s">
        <v>44</v>
      </c>
    </row>
    <row r="10" spans="1:6">
      <c r="A10" s="32" t="s">
        <v>45</v>
      </c>
      <c r="B10" t="s">
        <v>41</v>
      </c>
      <c r="C10" s="37" t="s">
        <v>42</v>
      </c>
      <c r="D10" t="s">
        <v>46</v>
      </c>
    </row>
    <row r="11" spans="1:6">
      <c r="A11" s="32" t="s">
        <v>47</v>
      </c>
      <c r="B11" t="s">
        <v>48</v>
      </c>
      <c r="C11" s="64">
        <v>5</v>
      </c>
      <c r="D11" s="65" t="s">
        <v>46</v>
      </c>
      <c r="E11" t="s">
        <v>49</v>
      </c>
      <c r="F11" t="s">
        <v>44</v>
      </c>
    </row>
    <row r="12" spans="1:6">
      <c r="A12" s="32" t="s">
        <v>50</v>
      </c>
      <c r="B12" t="s">
        <v>41</v>
      </c>
      <c r="C12" s="37" t="s">
        <v>42</v>
      </c>
      <c r="D12" t="s">
        <v>43</v>
      </c>
      <c r="E12" t="s">
        <v>49</v>
      </c>
      <c r="F12" t="s">
        <v>44</v>
      </c>
    </row>
    <row r="13" spans="1:6">
      <c r="A13" s="32" t="s">
        <v>28</v>
      </c>
      <c r="B13" t="s">
        <v>51</v>
      </c>
      <c r="C13" s="37" t="s">
        <v>52</v>
      </c>
      <c r="D13" t="s">
        <v>49</v>
      </c>
      <c r="E13" t="s">
        <v>53</v>
      </c>
    </row>
    <row r="14" spans="1:6">
      <c r="A14" s="32" t="s">
        <v>54</v>
      </c>
      <c r="B14" t="s">
        <v>41</v>
      </c>
      <c r="C14" s="37" t="s">
        <v>42</v>
      </c>
      <c r="D14" t="s">
        <v>55</v>
      </c>
    </row>
    <row r="15" spans="1:6">
      <c r="A15" s="32" t="s">
        <v>56</v>
      </c>
      <c r="B15" t="s">
        <v>41</v>
      </c>
      <c r="C15" s="37" t="s">
        <v>42</v>
      </c>
      <c r="D15" t="s">
        <v>46</v>
      </c>
      <c r="E15" t="s">
        <v>55</v>
      </c>
      <c r="F15" t="s">
        <v>44</v>
      </c>
    </row>
    <row r="16" spans="1:6">
      <c r="A16" s="32" t="s">
        <v>57</v>
      </c>
      <c r="B16" t="s">
        <v>58</v>
      </c>
      <c r="C16" s="64">
        <v>6</v>
      </c>
      <c r="D16" s="65" t="s">
        <v>43</v>
      </c>
      <c r="E16" t="s">
        <v>44</v>
      </c>
    </row>
    <row r="17" spans="1:5">
      <c r="A17" s="32" t="s">
        <v>59</v>
      </c>
      <c r="B17" t="s">
        <v>60</v>
      </c>
      <c r="C17" s="37" t="s">
        <v>61</v>
      </c>
      <c r="D17" s="65" t="s">
        <v>62</v>
      </c>
    </row>
    <row r="18" spans="1:5">
      <c r="A18" s="32" t="s">
        <v>26</v>
      </c>
      <c r="B18" t="s">
        <v>48</v>
      </c>
      <c r="C18" s="37" t="s">
        <v>63</v>
      </c>
      <c r="D18" t="s">
        <v>55</v>
      </c>
      <c r="E18" t="s">
        <v>49</v>
      </c>
    </row>
    <row r="21" spans="1:5">
      <c r="A21" t="s">
        <v>64</v>
      </c>
    </row>
    <row r="22" spans="1:5">
      <c r="A22" t="s">
        <v>65</v>
      </c>
    </row>
  </sheetData>
  <sheetProtection sheet="1" objects="1" scenarios="1"/>
  <hyperlinks>
    <hyperlink ref="D11" r:id="rId1" xr:uid="{09FC8DFB-A4A6-4119-80DE-AFF643D51BB9}"/>
    <hyperlink ref="D16" r:id="rId2" xr:uid="{1F3DE395-681C-4B18-AC10-5810B7CD750D}"/>
    <hyperlink ref="D17" r:id="rId3" xr:uid="{163CE9F8-8525-4422-9FB8-5E691A252B15}"/>
  </hyperlinks>
  <pageMargins left="0.7" right="0.7" top="0.75" bottom="0.75" header="0.3" footer="0.3"/>
  <pageSetup orientation="portrait"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206C8355D678A459F2EF8957171B231" ma:contentTypeVersion="18" ma:contentTypeDescription="Crear nuevo documento." ma:contentTypeScope="" ma:versionID="2e75368e33d2ef203d08b1eb8711185b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deca49b1148d9f513ef6847c9ab419e2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  <SharedWithUsers xmlns="dc808d36-874f-4b27-aec2-2fd649817929">
      <UserInfo>
        <DisplayName>Julia Tahuite</DisplayName>
        <AccountId>924</AccountId>
        <AccountType/>
      </UserInfo>
      <UserInfo>
        <DisplayName>Jose Cano</DisplayName>
        <AccountId>1763</AccountId>
        <AccountType/>
      </UserInfo>
      <UserInfo>
        <DisplayName>Rosa Almonte</DisplayName>
        <AccountId>1764</AccountId>
        <AccountType/>
      </UserInfo>
      <UserInfo>
        <DisplayName>Rossy Samboys</DisplayName>
        <AccountId>1470</AccountId>
        <AccountType/>
      </UserInfo>
      <UserInfo>
        <DisplayName>Ai Thanda Kyaw</DisplayName>
        <AccountId>1765</AccountId>
        <AccountType/>
      </UserInfo>
      <UserInfo>
        <DisplayName>Rosy Mi Mi</DisplayName>
        <AccountId>640</AccountId>
        <AccountType/>
      </UserInfo>
      <UserInfo>
        <DisplayName>Kelvin Craig</DisplayName>
        <AccountId>1766</AccountId>
        <AccountType/>
      </UserInfo>
      <UserInfo>
        <DisplayName>Shirlene Croal</DisplayName>
        <AccountId>1457</AccountId>
        <AccountType/>
      </UserInfo>
      <UserInfo>
        <DisplayName>Angelica Leguizamo</DisplayName>
        <AccountId>1581</AccountId>
        <AccountType/>
      </UserInfo>
      <UserInfo>
        <DisplayName>Melady Corredor</DisplayName>
        <AccountId>1099</AccountId>
        <AccountType/>
      </UserInfo>
      <UserInfo>
        <DisplayName>Alma Rico Diaz</DisplayName>
        <AccountId>723</AccountId>
        <AccountType/>
      </UserInfo>
      <UserInfo>
        <DisplayName>Azucena Sandoval</DisplayName>
        <AccountId>1438</AccountId>
        <AccountType/>
      </UserInfo>
      <UserInfo>
        <DisplayName>Saskia Cabrera Padilla</DisplayName>
        <AccountId>989</AccountId>
        <AccountType/>
      </UserInfo>
      <UserInfo>
        <DisplayName>Gustavo Galdo</DisplayName>
        <AccountId>706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A4399B34-D4A9-4232-AE49-1EB05B9B8D9A}"/>
</file>

<file path=customXml/itemProps2.xml><?xml version="1.0" encoding="utf-8"?>
<ds:datastoreItem xmlns:ds="http://schemas.openxmlformats.org/officeDocument/2006/customXml" ds:itemID="{5EB65A9F-60E7-45DF-B332-0F10B7026425}"/>
</file>

<file path=customXml/itemProps3.xml><?xml version="1.0" encoding="utf-8"?>
<ds:datastoreItem xmlns:ds="http://schemas.openxmlformats.org/officeDocument/2006/customXml" ds:itemID="{C58B647D-7A07-4CC3-8334-FF52469AC8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Guido Granizo</cp:lastModifiedBy>
  <cp:revision/>
  <dcterms:created xsi:type="dcterms:W3CDTF">2021-09-14T06:49:40Z</dcterms:created>
  <dcterms:modified xsi:type="dcterms:W3CDTF">2025-04-08T20:32:02Z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MediaServiceImageTags">
    <vt:lpwstr/>
  </property>
</Properties>
</file>