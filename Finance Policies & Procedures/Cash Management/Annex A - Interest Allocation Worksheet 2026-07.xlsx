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artnersnet107.sharepoint.com/sites/FA/Organizational FA/Finance Policies &amp; Procedures/Cash Management/"/>
    </mc:Choice>
  </mc:AlternateContent>
  <xr:revisionPtr revIDLastSave="3" documentId="13_ncr:1_{E3D88161-9AE0-4814-9E9F-9A30A5E6ABB0}" xr6:coauthVersionLast="47" xr6:coauthVersionMax="47" xr10:uidLastSave="{34CBE4E9-2224-4AA9-9235-9A8E644FA4D4}"/>
  <bookViews>
    <workbookView xWindow="11520" yWindow="0" windowWidth="11520" windowHeight="12360" tabRatio="500" xr2:uid="{00000000-000D-0000-FFFF-FFFF00000000}"/>
  </bookViews>
  <sheets>
    <sheet name="Instructions" sheetId="1" r:id="rId1"/>
    <sheet name="Summary" sheetId="6" r:id="rId2"/>
    <sheet name="Ledger - Jan 2026" sheetId="2" r:id="rId3"/>
    <sheet name="Alloc - Jan 2026" sheetId="3" r:id="rId4"/>
    <sheet name="Ledger - Feb 2026" sheetId="4" r:id="rId5"/>
    <sheet name="Alloc - Feb 2026" sheetId="5" r:id="rId6"/>
    <sheet name="Ledger - Mar 2026" sheetId="7" r:id="rId7"/>
    <sheet name="Alloc - Mar 2026" sheetId="8" r:id="rId8"/>
    <sheet name="Ledger - Apr 2026" sheetId="9" r:id="rId9"/>
    <sheet name="Alloc - Apr 2026" sheetId="10" r:id="rId10"/>
    <sheet name="Ledger - May 2026" sheetId="11" r:id="rId11"/>
    <sheet name="Alloc - May 2026" sheetId="12" r:id="rId12"/>
    <sheet name="Ledger - June 2026" sheetId="13" r:id="rId13"/>
    <sheet name="Alloc - June 2026"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0" i="6" l="1"/>
  <c r="H9" i="6"/>
  <c r="H8" i="6"/>
  <c r="H7" i="6"/>
  <c r="G10" i="6"/>
  <c r="G9" i="6"/>
  <c r="G8" i="6"/>
  <c r="G7" i="6"/>
  <c r="C10" i="6"/>
  <c r="C9" i="6"/>
  <c r="C8" i="6"/>
  <c r="C7" i="6"/>
  <c r="D10" i="6"/>
  <c r="D9" i="6"/>
  <c r="B14" i="10"/>
  <c r="D8" i="6"/>
  <c r="D7" i="6"/>
  <c r="F10" i="6"/>
  <c r="F9" i="6"/>
  <c r="F8" i="6"/>
  <c r="F7" i="6"/>
  <c r="E10" i="6"/>
  <c r="E9" i="6"/>
  <c r="E8" i="6"/>
  <c r="E7" i="6"/>
  <c r="B10" i="6"/>
  <c r="B9" i="6"/>
  <c r="B8" i="6"/>
  <c r="B7" i="6"/>
  <c r="A10" i="6"/>
  <c r="A9" i="6"/>
  <c r="A8" i="6"/>
  <c r="A7" i="6"/>
  <c r="B11" i="14"/>
  <c r="B10" i="14"/>
  <c r="B9" i="14"/>
  <c r="B4" i="14"/>
  <c r="B11" i="12"/>
  <c r="B10" i="12"/>
  <c r="B9" i="12"/>
  <c r="B11" i="8"/>
  <c r="B11" i="10"/>
  <c r="H9" i="9"/>
  <c r="B10" i="10"/>
  <c r="B9" i="10"/>
  <c r="H7" i="9"/>
  <c r="B10" i="8"/>
  <c r="B9" i="8"/>
  <c r="J8" i="7"/>
  <c r="I8" i="7"/>
  <c r="F8" i="7"/>
  <c r="H8" i="7" s="1"/>
  <c r="D8" i="7"/>
  <c r="J8" i="2"/>
  <c r="J8" i="4"/>
  <c r="J8" i="13"/>
  <c r="E8" i="13"/>
  <c r="G8" i="13" s="1"/>
  <c r="J7" i="13"/>
  <c r="E7" i="13"/>
  <c r="G7" i="13" s="1"/>
  <c r="E4" i="13"/>
  <c r="J16" i="13" s="1"/>
  <c r="B4" i="12"/>
  <c r="J9" i="11"/>
  <c r="J8" i="11"/>
  <c r="F9" i="11"/>
  <c r="J7" i="11"/>
  <c r="G8" i="11"/>
  <c r="E8" i="11"/>
  <c r="E7" i="11"/>
  <c r="G7" i="11" s="1"/>
  <c r="E4" i="11"/>
  <c r="J16" i="11" s="1"/>
  <c r="B4" i="8"/>
  <c r="B4" i="10"/>
  <c r="J9" i="9"/>
  <c r="J8" i="9"/>
  <c r="J7" i="9"/>
  <c r="F8" i="9"/>
  <c r="D8" i="9"/>
  <c r="E8" i="9"/>
  <c r="G8" i="9" s="1"/>
  <c r="F9" i="9"/>
  <c r="J7" i="7"/>
  <c r="B8" i="10" s="1"/>
  <c r="J7" i="4"/>
  <c r="F7" i="9"/>
  <c r="H8" i="9" s="1"/>
  <c r="F7" i="11" s="1"/>
  <c r="H7" i="11" s="1"/>
  <c r="E7" i="9"/>
  <c r="G7" i="9" s="1"/>
  <c r="E4" i="9"/>
  <c r="J16" i="9" s="1"/>
  <c r="E7" i="7"/>
  <c r="G7" i="7" s="1"/>
  <c r="E4" i="7"/>
  <c r="J14" i="7" s="1"/>
  <c r="F7" i="4"/>
  <c r="F8" i="2"/>
  <c r="H8" i="2" s="1"/>
  <c r="I8" i="2" s="1"/>
  <c r="G8" i="2"/>
  <c r="B6" i="6"/>
  <c r="B5" i="6"/>
  <c r="B4" i="5"/>
  <c r="A6" i="6" s="1"/>
  <c r="E4" i="4"/>
  <c r="B11" i="5" s="1"/>
  <c r="B4" i="3"/>
  <c r="A5" i="6" s="1"/>
  <c r="J7" i="2"/>
  <c r="H7" i="2"/>
  <c r="G7" i="2"/>
  <c r="I7" i="2" s="1"/>
  <c r="E4" i="2"/>
  <c r="J14" i="2" s="1"/>
  <c r="I7" i="11" l="1"/>
  <c r="J15" i="13"/>
  <c r="J15" i="11"/>
  <c r="I8" i="9"/>
  <c r="G9" i="9"/>
  <c r="I7" i="9"/>
  <c r="J15" i="9"/>
  <c r="J13" i="7"/>
  <c r="J15" i="4"/>
  <c r="J14" i="4"/>
  <c r="B11" i="3"/>
  <c r="J13" i="2"/>
  <c r="I9" i="9" l="1"/>
  <c r="E7" i="4" l="1"/>
  <c r="G7" i="4" s="1"/>
  <c r="B8" i="3"/>
  <c r="B13" i="3" s="1"/>
  <c r="H7" i="4" l="1"/>
  <c r="H8" i="4" s="1"/>
  <c r="H7" i="7" s="1"/>
  <c r="B9" i="3"/>
  <c r="B14" i="3" s="1"/>
  <c r="C5" i="6"/>
  <c r="I7" i="4"/>
  <c r="B10" i="3"/>
  <c r="D5" i="6" l="1"/>
  <c r="B15" i="3"/>
  <c r="B18" i="3" s="1"/>
  <c r="B21" i="3" l="1"/>
  <c r="E5" i="6"/>
  <c r="B19" i="3"/>
  <c r="B22" i="3" l="1"/>
  <c r="D8" i="4" s="1"/>
  <c r="G8" i="4" s="1"/>
  <c r="I8" i="4" s="1"/>
  <c r="F5" i="6"/>
  <c r="B23" i="3"/>
  <c r="G5" i="6"/>
  <c r="H5" i="6" l="1"/>
  <c r="B8" i="12" l="1"/>
  <c r="B13" i="12" s="1"/>
  <c r="B8" i="8"/>
  <c r="B13" i="8" s="1"/>
  <c r="B13" i="10" l="1"/>
  <c r="B8" i="14"/>
  <c r="B13" i="14" s="1"/>
  <c r="B14" i="8"/>
  <c r="B15" i="8" s="1"/>
  <c r="F7" i="7"/>
  <c r="I7" i="7" s="1"/>
  <c r="B14" i="14"/>
  <c r="B14" i="12"/>
  <c r="B19" i="8" l="1"/>
  <c r="B22" i="8" s="1"/>
  <c r="B18" i="8"/>
  <c r="B21" i="8" s="1"/>
  <c r="B23" i="8" s="1"/>
  <c r="B15" i="12"/>
  <c r="B18" i="12" s="1"/>
  <c r="B21" i="12" s="1"/>
  <c r="B15" i="10"/>
  <c r="B18" i="10" s="1"/>
  <c r="B21" i="10" s="1"/>
  <c r="B15" i="14"/>
  <c r="B18" i="14" s="1"/>
  <c r="B21" i="14" s="1"/>
  <c r="B9" i="5"/>
  <c r="B14" i="5" s="1"/>
  <c r="B19" i="14" l="1"/>
  <c r="B22" i="14" s="1"/>
  <c r="B23" i="14" s="1"/>
  <c r="B19" i="10"/>
  <c r="B22" i="10" s="1"/>
  <c r="B23" i="10" s="1"/>
  <c r="B19" i="12"/>
  <c r="B22" i="12" s="1"/>
  <c r="F8" i="13" s="1"/>
  <c r="D6" i="6"/>
  <c r="B23" i="12" l="1"/>
  <c r="D8" i="11"/>
  <c r="F8" i="11" s="1"/>
  <c r="H8" i="11" s="1"/>
  <c r="D8" i="13"/>
  <c r="B10" i="5"/>
  <c r="B8" i="5"/>
  <c r="B13" i="5" s="1"/>
  <c r="H9" i="11" l="1"/>
  <c r="I8" i="11"/>
  <c r="C6" i="6"/>
  <c r="B15" i="5"/>
  <c r="B19" i="5" s="1"/>
  <c r="F7" i="13" l="1"/>
  <c r="H7" i="13" s="1"/>
  <c r="I9" i="11"/>
  <c r="B18" i="5"/>
  <c r="B22" i="5"/>
  <c r="H6" i="6" s="1"/>
  <c r="H12" i="6" s="1"/>
  <c r="F6" i="6"/>
  <c r="H8" i="13" l="1"/>
  <c r="I8" i="13" s="1"/>
  <c r="I7" i="13"/>
  <c r="E6" i="6"/>
  <c r="B21" i="5"/>
  <c r="B23" i="5" l="1"/>
  <c r="G6" i="6"/>
  <c r="G12" i="6" s="1"/>
</calcChain>
</file>

<file path=xl/sharedStrings.xml><?xml version="1.0" encoding="utf-8"?>
<sst xmlns="http://schemas.openxmlformats.org/spreadsheetml/2006/main" count="327" uniqueCount="94">
  <si>
    <t>Disaggregating interest earned between CCC Cash Advances and Monetization Proceeds</t>
  </si>
  <si>
    <t>Step 1:  CCC funds advance is received in the POA general operating bank account.</t>
  </si>
  <si>
    <t xml:space="preserve">Step 3: Determine the total amount of funds required to cover the programmatic expenses to be paid. </t>
  </si>
  <si>
    <t>Step 6:  The worksheet automatically allocates the monthly interest between CCC Advances and Monetization Proceeds, proportional to each source's AVERAGE DAILY BALANCE for the month (not just the ending balance).</t>
  </si>
  <si>
    <t>Cumulative Interest Allocation Summary</t>
  </si>
  <si>
    <t>One row per month, linked live to that month's Alloc tab. Add a new row each time you add a new month's tab pair.</t>
  </si>
  <si>
    <t>Month</t>
  </si>
  <si>
    <t>Total Interest Posted</t>
  </si>
  <si>
    <t>CCC Avg Daily Bal</t>
  </si>
  <si>
    <t>Monetization Avg Daily Bal</t>
  </si>
  <si>
    <t>CCC %</t>
  </si>
  <si>
    <t>Monetization %</t>
  </si>
  <si>
    <t>CCC Interest ($)</t>
  </si>
  <si>
    <t>Monetization Interest ($)</t>
  </si>
  <si>
    <t>Notes</t>
  </si>
  <si>
    <t>First month - opening balances = 0</t>
  </si>
  <si>
    <t>Opening balances linked from March close</t>
  </si>
  <si>
    <t>Running Totals -&gt;</t>
  </si>
  <si>
    <t>(Extend the SUM ranges above as you add monthly rows.)</t>
  </si>
  <si>
    <t>USDA602 Transaction Ledger - Mar 2026</t>
  </si>
  <si>
    <t>Enter every transaction affecting the interest-bearing account. Balances and days-held calculate automatically.</t>
  </si>
  <si>
    <t>Month Start Date</t>
  </si>
  <si>
    <t>Month End Date</t>
  </si>
  <si>
    <t>Date</t>
  </si>
  <si>
    <t>Transaction Description</t>
  </si>
  <si>
    <t>Source / Type</t>
  </si>
  <si>
    <t>Amount (+/-)</t>
  </si>
  <si>
    <t>CCC Portion ($)</t>
  </si>
  <si>
    <t>Monetization Portion ($)</t>
  </si>
  <si>
    <t>CCC Advance Balance</t>
  </si>
  <si>
    <t>Monetization Balance</t>
  </si>
  <si>
    <t>Total Balance</t>
  </si>
  <si>
    <t>Days Held</t>
  </si>
  <si>
    <t>Notes / Source Doc</t>
  </si>
  <si>
    <t>Beginning balance carried forward</t>
  </si>
  <si>
    <t>Other</t>
  </si>
  <si>
    <t>First month on this worksheet - opening balances = 0</t>
  </si>
  <si>
    <t>Commodity monetization sale proceeds deposited</t>
  </si>
  <si>
    <t>Monetization Deposit</t>
  </si>
  <si>
    <t>Source: CCC advance letter, tranche #4</t>
  </si>
  <si>
    <t>Source: monetization sale settlement stmt</t>
  </si>
  <si>
    <t>Check: Days Held should sum to total days in month -&gt;</t>
  </si>
  <si>
    <t>Days in month -&gt;</t>
  </si>
  <si>
    <t>Monthly Interest Allocation - Mar 2026</t>
  </si>
  <si>
    <t>Allocates the interest posted this month between CCC Advances and Monetization Proceeds, proportional to average daily balance.</t>
  </si>
  <si>
    <t>Bank Statement Month</t>
  </si>
  <si>
    <t>Total Interest Posted This Month ($)</t>
  </si>
  <si>
    <t>&lt;- Enter from bank statement (blue input)</t>
  </si>
  <si>
    <t>Average Daily Balance Calculation</t>
  </si>
  <si>
    <t>CCC Advance - Sum(Balance x Days Held)</t>
  </si>
  <si>
    <t>Monetization - Sum(Balance x Days Held)</t>
  </si>
  <si>
    <t>Total - Sum(Balance x Days Held)</t>
  </si>
  <si>
    <t>Days in Month</t>
  </si>
  <si>
    <t>CCC Advance - Average Daily Balance</t>
  </si>
  <si>
    <t>Monetization - Average Daily Balance</t>
  </si>
  <si>
    <t>Total - Average Daily Balance</t>
  </si>
  <si>
    <t>Interest Allocation</t>
  </si>
  <si>
    <t>CCC Share of Average Daily Balance (%)</t>
  </si>
  <si>
    <t>Monetization Share of Average Daily Balance (%)</t>
  </si>
  <si>
    <t>CCC Advance - Interest Allocated ($)</t>
  </si>
  <si>
    <t>Monetization - Interest Allocated ($)</t>
  </si>
  <si>
    <t>Check: CCC + Monetization = Total Interest Posted</t>
  </si>
  <si>
    <t>Next Step</t>
  </si>
  <si>
    <t>Record the two amounts above as 'CCC Interest' and 'Monetization Interest' transactions in NEXT month's Ledger tab (dated the day the interest posted), then record the CCC remittance separately once wired to Treasury.</t>
  </si>
  <si>
    <t>Disposition Reminder</t>
  </si>
  <si>
    <t>CCC interest: remit to federal government via PMS, unless within the $500/year retention threshold across all federal awards (2 CFR 200.305). Monetization interest: generally added to program income per award terms - confirm with USDA602 Amendment.</t>
  </si>
  <si>
    <t>USDA602 Transaction Ledger - Feb 2026</t>
  </si>
  <si>
    <t>Beginning balance carried forward from March</t>
  </si>
  <si>
    <t>Linked to March closing balances - see formula</t>
  </si>
  <si>
    <t>Jan interest earned</t>
  </si>
  <si>
    <t>CCC Interest</t>
  </si>
  <si>
    <t>Linked to Alloc - Mar 2026 CCC interest allocation</t>
  </si>
  <si>
    <t>Linked to Alloc - Mar 2026 Monetization interest allocation</t>
  </si>
  <si>
    <t>Source: CCC advance letter, tranche #5</t>
  </si>
  <si>
    <t>Remitted per 2 CFR 200.305 - confirm PMS confirmation # on file</t>
  </si>
  <si>
    <t>Pro-rata draw based on prior day's ending balances</t>
  </si>
  <si>
    <t>Monthly Interest Allocation - Feb 2026</t>
  </si>
  <si>
    <t>Feb Interest</t>
  </si>
  <si>
    <t>Monetization Interest</t>
  </si>
  <si>
    <t>USDA602 Transaction Ledger - Apr 2026</t>
  </si>
  <si>
    <t>March Interest</t>
  </si>
  <si>
    <t>Monthly Interest Allocation - Apr 2026</t>
  </si>
  <si>
    <t>USDA602 Transaction Ledger - May 2026</t>
  </si>
  <si>
    <t>Apr Interest</t>
  </si>
  <si>
    <t>Interest Adj with April Analysis fee</t>
  </si>
  <si>
    <t>Monthly Interest Allocation - May 2026</t>
  </si>
  <si>
    <t>USDA602 Transaction Ledger - June 2026</t>
  </si>
  <si>
    <t>May Interest</t>
  </si>
  <si>
    <t>Monthly Interest Allocation - June 2026</t>
  </si>
  <si>
    <t xml:space="preserve">Step 2:  Funds received for award XXX, monetization sales proceeds and/or CCC cash advances, are transferred from the general operating bank account into bank interest-bearing account XXX. </t>
  </si>
  <si>
    <t xml:space="preserve">Step 4:  Transfer the amount determined on step 3 from account XXX to operating bank account, from which payments are processed. This is designed to maximize the time porgram funds remain in the interest-bearing account, allowing them to earn interest until the funds are needed for disbursement. By transferring only the amount required at the time payments are made, the organization minimizes idle balances in the opertaing account while maintaining efficient cash management and compliance with program requirements. </t>
  </si>
  <si>
    <t xml:space="preserve">Step 5:  Interest accrues and posts to XXX account monthly, per the bank statement. </t>
  </si>
  <si>
    <t>Partners of the Americas</t>
  </si>
  <si>
    <t>Interest Allocation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</si>
</sst>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mm/dd/yyyy"/>
    <numFmt numFmtId="165" formatCode="\$#,##0;&quot;($&quot;#,##0\);\-"/>
    <numFmt numFmtId="166" formatCode="mmmm\ yyyy"/>
    <numFmt numFmtId="167" formatCode="\$#,##0.00"/>
    <numFmt numFmtId="168" formatCode="\$#,##0"/>
    <numFmt numFmtId="169" formatCode="0.0%"/>
  </numFmts>
  <fonts count="16" x14ac:knownFonts="1">
    <font>
      <sz val="11"/>
      <color theme="1"/>
      <name val="Calibri"/>
      <family val="2"/>
      <charset val="1"/>
    </font>
    <font>
      <sz val="10"/>
      <name val="Arial"/>
    </font>
    <font>
      <b/>
      <sz val="14"/>
      <color rgb="FF1F3864"/>
      <name val="Arial"/>
      <charset val="1"/>
    </font>
    <font>
      <i/>
      <sz val="10"/>
      <color rgb="FF555555"/>
      <name val="Arial"/>
      <charset val="1"/>
    </font>
    <font>
      <sz val="10"/>
      <name val="Arial"/>
      <charset val="1"/>
    </font>
    <font>
      <b/>
      <sz val="11"/>
      <color rgb="FF1F3864"/>
      <name val="Arial"/>
      <charset val="1"/>
    </font>
    <font>
      <sz val="11"/>
      <color rgb="FF0000FF"/>
      <name val="Arial"/>
      <charset val="1"/>
    </font>
    <font>
      <sz val="11"/>
      <color rgb="FF000000"/>
      <name val="Arial"/>
      <charset val="1"/>
    </font>
    <font>
      <b/>
      <sz val="11"/>
      <color rgb="FFFFFFFF"/>
      <name val="Arial"/>
      <charset val="1"/>
    </font>
    <font>
      <i/>
      <sz val="9"/>
      <color rgb="FF808080"/>
      <name val="Arial"/>
      <charset val="1"/>
    </font>
    <font>
      <i/>
      <sz val="9"/>
      <name val="Arial"/>
      <charset val="1"/>
    </font>
    <font>
      <sz val="11"/>
      <color rgb="FF008000"/>
      <name val="Arial"/>
      <charset val="1"/>
    </font>
    <font>
      <b/>
      <sz val="11"/>
      <color rgb="FF000000"/>
      <name val="Arial"/>
      <family val="2"/>
    </font>
    <font>
      <sz val="10"/>
      <name val="Arial"/>
      <family val="2"/>
    </font>
    <font>
      <b/>
      <sz val="16"/>
      <color rgb="FF1F3864"/>
      <name val="Arial"/>
      <charset val="1"/>
    </font>
    <font>
      <b/>
      <sz val="13"/>
      <color rgb="FF8C6D1F"/>
      <name val="Arial"/>
      <charset val="1"/>
    </font>
  </fonts>
  <fills count="4">
    <fill>
      <patternFill patternType="none"/>
    </fill>
    <fill>
      <patternFill patternType="gray125"/>
    </fill>
    <fill>
      <patternFill patternType="solid">
        <fgColor rgb="FF1F3864"/>
        <bgColor rgb="FF333333"/>
      </patternFill>
    </fill>
    <fill>
      <patternFill patternType="solid">
        <fgColor theme="4" tint="0.79998168889431442"/>
        <bgColor indexed="64"/>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Border="0" applyAlignment="0" applyProtection="0"/>
  </cellStyleXfs>
  <cellXfs count="43">
    <xf numFmtId="0" fontId="0" fillId="0" borderId="0" xfId="0"/>
    <xf numFmtId="0" fontId="2" fillId="0" borderId="0" xfId="0" applyFont="1"/>
    <xf numFmtId="0" fontId="3" fillId="0" borderId="0" xfId="0" applyFont="1"/>
    <xf numFmtId="0" fontId="4" fillId="0" borderId="0" xfId="0" applyFont="1" applyAlignment="1">
      <alignment horizontal="left" vertical="center" wrapText="1"/>
    </xf>
    <xf numFmtId="0" fontId="5" fillId="0" borderId="0" xfId="0" applyFont="1"/>
    <xf numFmtId="164" fontId="6" fillId="0" borderId="0" xfId="0" applyNumberFormat="1" applyFont="1"/>
    <xf numFmtId="164" fontId="7" fillId="0" borderId="0" xfId="0" applyNumberFormat="1" applyFont="1"/>
    <xf numFmtId="0" fontId="8" fillId="2" borderId="1" xfId="0" applyFont="1" applyFill="1" applyBorder="1" applyAlignment="1">
      <alignment horizontal="center" vertical="center" wrapText="1"/>
    </xf>
    <xf numFmtId="164" fontId="6" fillId="0" borderId="1" xfId="0" applyNumberFormat="1" applyFont="1" applyBorder="1"/>
    <xf numFmtId="0" fontId="6" fillId="0" borderId="1" xfId="0" applyFont="1" applyBorder="1"/>
    <xf numFmtId="0" fontId="0" fillId="0" borderId="1" xfId="0" applyBorder="1"/>
    <xf numFmtId="165" fontId="6" fillId="0" borderId="1" xfId="0" applyNumberFormat="1" applyFont="1" applyBorder="1"/>
    <xf numFmtId="165" fontId="7" fillId="0" borderId="1" xfId="0" applyNumberFormat="1" applyFont="1" applyBorder="1"/>
    <xf numFmtId="0" fontId="7" fillId="0" borderId="1" xfId="0" applyFont="1" applyBorder="1" applyAlignment="1">
      <alignment horizontal="center" vertical="center" wrapText="1"/>
    </xf>
    <xf numFmtId="0" fontId="9" fillId="0" borderId="1" xfId="0" applyFont="1" applyBorder="1"/>
    <xf numFmtId="0" fontId="10" fillId="0" borderId="0" xfId="0" applyFont="1"/>
    <xf numFmtId="0" fontId="7" fillId="0" borderId="1" xfId="0" applyFont="1" applyBorder="1"/>
    <xf numFmtId="0" fontId="5" fillId="0" borderId="1" xfId="0" applyFont="1" applyBorder="1"/>
    <xf numFmtId="166" fontId="11" fillId="0" borderId="1" xfId="0" applyNumberFormat="1" applyFont="1" applyBorder="1"/>
    <xf numFmtId="167" fontId="6" fillId="0" borderId="1" xfId="0" applyNumberFormat="1" applyFont="1" applyBorder="1"/>
    <xf numFmtId="0" fontId="9" fillId="0" borderId="0" xfId="0" applyFont="1"/>
    <xf numFmtId="0" fontId="4" fillId="0" borderId="1" xfId="0" applyFont="1" applyBorder="1"/>
    <xf numFmtId="1" fontId="11" fillId="0" borderId="1" xfId="0" applyNumberFormat="1" applyFont="1" applyBorder="1"/>
    <xf numFmtId="168" fontId="7" fillId="0" borderId="1" xfId="0" applyNumberFormat="1" applyFont="1" applyBorder="1"/>
    <xf numFmtId="169" fontId="7" fillId="0" borderId="1" xfId="0" applyNumberFormat="1" applyFont="1" applyBorder="1"/>
    <xf numFmtId="167" fontId="7" fillId="0" borderId="1" xfId="0" applyNumberFormat="1" applyFont="1" applyBorder="1"/>
    <xf numFmtId="0" fontId="10" fillId="0" borderId="1" xfId="0" applyFont="1" applyBorder="1"/>
    <xf numFmtId="165" fontId="11" fillId="0" borderId="1" xfId="0" applyNumberFormat="1" applyFont="1" applyBorder="1"/>
    <xf numFmtId="168" fontId="11" fillId="0" borderId="1" xfId="0" applyNumberFormat="1" applyFont="1" applyBorder="1"/>
    <xf numFmtId="169" fontId="11" fillId="0" borderId="1" xfId="0" applyNumberFormat="1" applyFont="1" applyBorder="1"/>
    <xf numFmtId="166" fontId="11" fillId="0" borderId="0" xfId="0" applyNumberFormat="1" applyFont="1"/>
    <xf numFmtId="168" fontId="11" fillId="0" borderId="0" xfId="0" applyNumberFormat="1" applyFont="1"/>
    <xf numFmtId="169" fontId="11" fillId="0" borderId="0" xfId="0" applyNumberFormat="1" applyFont="1"/>
    <xf numFmtId="43" fontId="1" fillId="0" borderId="1" xfId="1" applyBorder="1"/>
    <xf numFmtId="43" fontId="1" fillId="0" borderId="0" xfId="1" applyBorder="1"/>
    <xf numFmtId="167" fontId="11" fillId="3" borderId="1" xfId="0" applyNumberFormat="1" applyFont="1" applyFill="1" applyBorder="1"/>
    <xf numFmtId="167" fontId="11" fillId="3" borderId="0" xfId="0" applyNumberFormat="1" applyFont="1" applyFill="1"/>
    <xf numFmtId="167" fontId="12" fillId="0" borderId="3" xfId="0" applyNumberFormat="1" applyFont="1" applyBorder="1"/>
    <xf numFmtId="167" fontId="12" fillId="0" borderId="4" xfId="0" applyNumberFormat="1" applyFont="1" applyBorder="1"/>
    <xf numFmtId="0" fontId="13" fillId="0" borderId="0" xfId="0" applyFont="1" applyAlignment="1">
      <alignment horizontal="left" vertical="center" wrapText="1"/>
    </xf>
    <xf numFmtId="0" fontId="10" fillId="0" borderId="2" xfId="0" applyFont="1" applyBorder="1" applyAlignment="1">
      <alignment horizontal="left" vertical="center" wrapText="1"/>
    </xf>
    <xf numFmtId="0" fontId="14" fillId="0" borderId="0" xfId="0" applyFont="1"/>
    <xf numFmtId="0" fontId="15" fillId="0" borderId="0" xfId="0" applyFont="1"/>
  </cellXfs>
  <cellStyles count="2">
    <cellStyle name="Comma"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5"/>
  <sheetViews>
    <sheetView tabSelected="1" topLeftCell="B1" zoomScaleNormal="100" workbookViewId="0">
      <selection activeCell="B11" sqref="B11"/>
    </sheetView>
  </sheetViews>
  <sheetFormatPr defaultColWidth="8.578125" defaultRowHeight="14.4" x14ac:dyDescent="0.55000000000000004"/>
  <cols>
    <col min="1" max="1" width="4" customWidth="1"/>
    <col min="2" max="2" width="100" customWidth="1"/>
  </cols>
  <sheetData>
    <row r="1" spans="2:2" ht="20.100000000000001" x14ac:dyDescent="0.7">
      <c r="B1" s="41" t="s">
        <v>92</v>
      </c>
    </row>
    <row r="2" spans="2:2" ht="16.5" x14ac:dyDescent="0.6">
      <c r="B2" s="42" t="s">
        <v>93</v>
      </c>
    </row>
    <row r="3" spans="2:2" x14ac:dyDescent="0.55000000000000004">
      <c r="B3" s="2" t="s">
        <v>0</v>
      </c>
    </row>
    <row r="5" spans="2:2" ht="31.5" customHeight="1" x14ac:dyDescent="0.55000000000000004">
      <c r="B5" s="3" t="s">
        <v>1</v>
      </c>
    </row>
    <row r="7" spans="2:2" ht="39" customHeight="1" x14ac:dyDescent="0.55000000000000004">
      <c r="B7" s="3" t="s">
        <v>89</v>
      </c>
    </row>
    <row r="9" spans="2:2" ht="31.5" customHeight="1" x14ac:dyDescent="0.55000000000000004">
      <c r="B9" s="39" t="s">
        <v>2</v>
      </c>
    </row>
    <row r="11" spans="2:2" ht="87" customHeight="1" x14ac:dyDescent="0.55000000000000004">
      <c r="B11" s="3" t="s">
        <v>90</v>
      </c>
    </row>
    <row r="13" spans="2:2" ht="31.5" customHeight="1" x14ac:dyDescent="0.55000000000000004">
      <c r="B13" s="3" t="s">
        <v>91</v>
      </c>
    </row>
    <row r="15" spans="2:2" ht="31.5" customHeight="1" x14ac:dyDescent="0.55000000000000004">
      <c r="B15" s="3" t="s">
        <v>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
  <sheetViews>
    <sheetView zoomScaleNormal="100" workbookViewId="0">
      <selection activeCell="C15" sqref="C15"/>
    </sheetView>
  </sheetViews>
  <sheetFormatPr defaultColWidth="8.578125" defaultRowHeight="14.4" x14ac:dyDescent="0.55000000000000004"/>
  <cols>
    <col min="1" max="1" width="14" customWidth="1"/>
    <col min="2" max="4" width="18" customWidth="1"/>
    <col min="5" max="8" width="16" customWidth="1"/>
    <col min="9" max="9" width="34" customWidth="1"/>
  </cols>
  <sheetData>
    <row r="1" spans="1:9" ht="17.7" x14ac:dyDescent="0.6">
      <c r="A1" s="1" t="s">
        <v>4</v>
      </c>
    </row>
    <row r="2" spans="1:9" x14ac:dyDescent="0.55000000000000004">
      <c r="A2" s="2" t="s">
        <v>5</v>
      </c>
    </row>
    <row r="4" spans="1:9" ht="30" customHeight="1" x14ac:dyDescent="0.55000000000000004">
      <c r="A4" s="7" t="s">
        <v>6</v>
      </c>
      <c r="B4" s="7" t="s">
        <v>7</v>
      </c>
      <c r="C4" s="7" t="s">
        <v>8</v>
      </c>
      <c r="D4" s="7" t="s">
        <v>9</v>
      </c>
      <c r="E4" s="7" t="s">
        <v>10</v>
      </c>
      <c r="F4" s="7" t="s">
        <v>11</v>
      </c>
      <c r="G4" s="7" t="s">
        <v>12</v>
      </c>
      <c r="H4" s="7" t="s">
        <v>13</v>
      </c>
      <c r="I4" s="7" t="s">
        <v>14</v>
      </c>
    </row>
    <row r="5" spans="1:9" x14ac:dyDescent="0.55000000000000004">
      <c r="A5" s="18">
        <f>'Alloc - Jan 2026'!B4</f>
        <v>46023</v>
      </c>
      <c r="B5" s="33">
        <f>'Alloc - Jan 2026'!B5</f>
        <v>279.68</v>
      </c>
      <c r="C5" s="28">
        <f>'Alloc - Jan 2026'!B13</f>
        <v>0</v>
      </c>
      <c r="D5" s="28">
        <f>'Alloc - Jan 2026'!B14</f>
        <v>174100.80645161291</v>
      </c>
      <c r="E5" s="29">
        <f>'Alloc - Jan 2026'!B18</f>
        <v>0</v>
      </c>
      <c r="F5" s="29">
        <f>'Alloc - Jan 2026'!B19</f>
        <v>1</v>
      </c>
      <c r="G5" s="35">
        <f>'Alloc - Jan 2026'!B21</f>
        <v>0</v>
      </c>
      <c r="H5" s="35">
        <f>'Alloc - Jan 2026'!B22</f>
        <v>279.68</v>
      </c>
      <c r="I5" s="14" t="s">
        <v>15</v>
      </c>
    </row>
    <row r="6" spans="1:9" x14ac:dyDescent="0.55000000000000004">
      <c r="A6" s="18">
        <f>'Alloc - Feb 2026'!B4</f>
        <v>46054</v>
      </c>
      <c r="B6" s="33">
        <f>'Alloc - Feb 2026'!B5</f>
        <v>2748.77</v>
      </c>
      <c r="C6" s="28">
        <f>'Alloc - Feb 2026'!B13</f>
        <v>0</v>
      </c>
      <c r="D6" s="28">
        <f>'Alloc - Feb 2026'!B14</f>
        <v>1079705</v>
      </c>
      <c r="E6" s="29">
        <f>'Alloc - Feb 2026'!B18</f>
        <v>0</v>
      </c>
      <c r="F6" s="29">
        <f>'Alloc - Feb 2026'!B19</f>
        <v>1</v>
      </c>
      <c r="G6" s="35">
        <f>'Alloc - Feb 2026'!B21</f>
        <v>0</v>
      </c>
      <c r="H6" s="35">
        <f>'Alloc - Feb 2026'!B22</f>
        <v>2748.77</v>
      </c>
      <c r="I6" s="14" t="s">
        <v>16</v>
      </c>
    </row>
    <row r="7" spans="1:9" x14ac:dyDescent="0.55000000000000004">
      <c r="A7" s="18">
        <f>'Alloc - Mar 2026'!B4</f>
        <v>46082</v>
      </c>
      <c r="B7" s="34">
        <f>'Alloc - Mar 2026'!B5</f>
        <v>2987.86</v>
      </c>
      <c r="C7" s="31">
        <f>'Alloc - Mar 2026'!B13</f>
        <v>0</v>
      </c>
      <c r="D7" s="31">
        <f>'Alloc - Mar 2026'!B14</f>
        <v>1082453.77</v>
      </c>
      <c r="E7" s="32">
        <f>'Alloc - Mar 2026'!B18</f>
        <v>0</v>
      </c>
      <c r="F7" s="32">
        <f>'Alloc - Mar 2026'!B19</f>
        <v>1</v>
      </c>
      <c r="G7" s="36">
        <f>'Alloc - Mar 2026'!B21</f>
        <v>0</v>
      </c>
      <c r="H7" s="36">
        <f>'Alloc - Mar 2026'!B22</f>
        <v>2987.86</v>
      </c>
      <c r="I7" s="20"/>
    </row>
    <row r="8" spans="1:9" x14ac:dyDescent="0.55000000000000004">
      <c r="A8" s="18">
        <f>'Alloc - Apr 2026'!B4</f>
        <v>46113</v>
      </c>
      <c r="B8" s="33">
        <f>'Alloc - Apr 2026'!B5</f>
        <v>24716.639999999999</v>
      </c>
      <c r="C8" s="31">
        <f>'Alloc - Apr 2026'!B13</f>
        <v>0</v>
      </c>
      <c r="D8" s="31">
        <f>'Alloc - Apr 2026'!B14</f>
        <v>9252904.4460000005</v>
      </c>
      <c r="E8" s="32">
        <f>'Alloc - Apr 2026'!B18</f>
        <v>0</v>
      </c>
      <c r="F8" s="32">
        <f>'Alloc - Apr 2026'!B19</f>
        <v>1</v>
      </c>
      <c r="G8" s="36">
        <f>'Alloc - Apr 2026'!B21</f>
        <v>0</v>
      </c>
      <c r="H8" s="36">
        <f>'Alloc - Apr 2026'!B22</f>
        <v>24716.639999999999</v>
      </c>
      <c r="I8" s="20"/>
    </row>
    <row r="9" spans="1:9" x14ac:dyDescent="0.55000000000000004">
      <c r="A9" s="18">
        <f>'Alloc - May 2026'!B4</f>
        <v>46143</v>
      </c>
      <c r="B9" s="33">
        <f>'Alloc - May 2026'!B5</f>
        <v>31244.79</v>
      </c>
      <c r="C9" s="31">
        <f>'Alloc - May 2026'!B13</f>
        <v>0</v>
      </c>
      <c r="D9" s="31">
        <f>'Alloc - May 2026'!B14</f>
        <v>11319463.362903226</v>
      </c>
      <c r="E9" s="32">
        <f>'Alloc - May 2026'!B18</f>
        <v>0</v>
      </c>
      <c r="F9" s="32">
        <f>'Alloc - May 2026'!B19</f>
        <v>1</v>
      </c>
      <c r="G9" s="36">
        <f>'Alloc - May 2026'!B21</f>
        <v>0</v>
      </c>
      <c r="H9" s="36">
        <f>'Alloc - May 2026'!B22</f>
        <v>31244.79</v>
      </c>
      <c r="I9" s="20"/>
    </row>
    <row r="10" spans="1:9" x14ac:dyDescent="0.55000000000000004">
      <c r="A10" s="30">
        <f>'Alloc - June 2026'!B4</f>
        <v>46174</v>
      </c>
      <c r="B10" s="33">
        <f>'Alloc - June 2026'!B5</f>
        <v>30319.77</v>
      </c>
      <c r="C10" s="31">
        <f>'Alloc - June 2026'!B13</f>
        <v>0</v>
      </c>
      <c r="D10" s="31">
        <f>'Alloc - June 2026'!B14</f>
        <v>11350489.5</v>
      </c>
      <c r="E10" s="32">
        <f>'Alloc - June 2026'!B18</f>
        <v>0</v>
      </c>
      <c r="F10" s="32">
        <f>'Alloc - June 2026'!B19</f>
        <v>1</v>
      </c>
      <c r="G10" s="36">
        <f>'Alloc - June 2026'!B21</f>
        <v>0</v>
      </c>
      <c r="H10" s="36">
        <f>'Alloc - June 2026'!B22</f>
        <v>30319.77</v>
      </c>
      <c r="I10" s="20"/>
    </row>
    <row r="12" spans="1:9" x14ac:dyDescent="0.55000000000000004">
      <c r="A12" s="4" t="s">
        <v>17</v>
      </c>
      <c r="G12" s="37">
        <f>SUM(G5:G11)</f>
        <v>0</v>
      </c>
      <c r="H12" s="38">
        <f>SUM(H5:H11)</f>
        <v>92297.51</v>
      </c>
    </row>
    <row r="13" spans="1:9" x14ac:dyDescent="0.55000000000000004">
      <c r="A13" s="20" t="s">
        <v>18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topLeftCell="B1" zoomScaleNormal="100" workbookViewId="0">
      <pane ySplit="6" topLeftCell="A7" activePane="bottomLeft" state="frozen"/>
      <selection pane="bottomLeft" activeCell="C13" sqref="C13"/>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0" customWidth="1"/>
    <col min="11" max="11" width="34" customWidth="1"/>
  </cols>
  <sheetData>
    <row r="1" spans="1:11" ht="17.7" x14ac:dyDescent="0.6">
      <c r="A1" s="1" t="s">
        <v>19</v>
      </c>
    </row>
    <row r="2" spans="1:11" x14ac:dyDescent="0.55000000000000004">
      <c r="A2" s="2" t="s">
        <v>20</v>
      </c>
    </row>
    <row r="4" spans="1:11" x14ac:dyDescent="0.55000000000000004">
      <c r="A4" s="4" t="s">
        <v>21</v>
      </c>
      <c r="B4" s="5">
        <v>46023</v>
      </c>
      <c r="D4" s="4" t="s">
        <v>22</v>
      </c>
      <c r="E4" s="6">
        <f>EOMONTH(B4,0)</f>
        <v>46053</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46023</v>
      </c>
      <c r="B7" s="9" t="s">
        <v>34</v>
      </c>
      <c r="C7" s="9" t="s">
        <v>35</v>
      </c>
      <c r="D7" s="10"/>
      <c r="E7" s="11">
        <v>0</v>
      </c>
      <c r="F7" s="11">
        <v>0</v>
      </c>
      <c r="G7" s="12">
        <f>E7</f>
        <v>0</v>
      </c>
      <c r="H7" s="12">
        <f>F7</f>
        <v>0</v>
      </c>
      <c r="I7" s="12">
        <f>G7+H7</f>
        <v>0</v>
      </c>
      <c r="J7" s="13">
        <f>A8-A7</f>
        <v>26</v>
      </c>
      <c r="K7" s="14" t="s">
        <v>36</v>
      </c>
    </row>
    <row r="8" spans="1:11" x14ac:dyDescent="0.55000000000000004">
      <c r="A8" s="8">
        <v>46049</v>
      </c>
      <c r="B8" s="9" t="s">
        <v>37</v>
      </c>
      <c r="C8" s="9" t="s">
        <v>38</v>
      </c>
      <c r="D8" s="11">
        <v>1079425</v>
      </c>
      <c r="E8" s="12">
        <v>0</v>
      </c>
      <c r="F8" s="11">
        <f>D8</f>
        <v>1079425</v>
      </c>
      <c r="G8" s="12">
        <f>G7+E8</f>
        <v>0</v>
      </c>
      <c r="H8" s="12">
        <f>H7+F8</f>
        <v>1079425</v>
      </c>
      <c r="I8" s="12">
        <f>G8+H8</f>
        <v>1079425</v>
      </c>
      <c r="J8" s="13">
        <f>E4-A8+1</f>
        <v>5</v>
      </c>
      <c r="K8" s="14" t="s">
        <v>39</v>
      </c>
    </row>
    <row r="9" spans="1:11" x14ac:dyDescent="0.55000000000000004">
      <c r="A9" s="8"/>
      <c r="B9" s="9"/>
      <c r="C9" s="9"/>
      <c r="D9" s="11"/>
      <c r="E9" s="11">
        <v>0</v>
      </c>
      <c r="F9" s="12"/>
      <c r="G9" s="12"/>
      <c r="H9" s="12"/>
      <c r="I9" s="12"/>
      <c r="J9" s="13"/>
      <c r="K9" s="14" t="s">
        <v>40</v>
      </c>
    </row>
    <row r="10" spans="1:11" x14ac:dyDescent="0.55000000000000004">
      <c r="A10" s="8"/>
      <c r="B10" s="9"/>
      <c r="C10" s="9"/>
      <c r="D10" s="11"/>
      <c r="E10" s="12"/>
      <c r="F10" s="12"/>
      <c r="G10" s="12"/>
      <c r="H10" s="12"/>
      <c r="I10" s="12"/>
      <c r="J10" s="13"/>
      <c r="K10" s="14"/>
    </row>
    <row r="11" spans="1:11" x14ac:dyDescent="0.55000000000000004">
      <c r="A11" s="8"/>
      <c r="B11" s="9"/>
      <c r="C11" s="9"/>
      <c r="D11" s="11"/>
      <c r="E11" s="12"/>
      <c r="F11" s="12"/>
      <c r="G11" s="12"/>
      <c r="H11" s="12"/>
      <c r="I11" s="12"/>
      <c r="J11" s="13"/>
      <c r="K11" s="14"/>
    </row>
    <row r="13" spans="1:11" x14ac:dyDescent="0.55000000000000004">
      <c r="B13" s="15" t="s">
        <v>41</v>
      </c>
      <c r="J13" s="16">
        <f>SUM(J7:J11)</f>
        <v>31</v>
      </c>
    </row>
    <row r="14" spans="1:11" x14ac:dyDescent="0.55000000000000004">
      <c r="B14" s="15" t="s">
        <v>42</v>
      </c>
      <c r="J14" s="16">
        <f>E4-B4+1</f>
        <v>31</v>
      </c>
    </row>
  </sheetData>
  <dataValidations count="1">
    <dataValidation type="list" allowBlank="1" sqref="C7:C11" xr:uid="{00000000-0002-0000-0100-000000000000}">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
  <sheetViews>
    <sheetView topLeftCell="A13" zoomScaleNormal="100" workbookViewId="0">
      <selection activeCell="B6" sqref="B6"/>
    </sheetView>
  </sheetViews>
  <sheetFormatPr defaultColWidth="8.578125" defaultRowHeight="14.4" x14ac:dyDescent="0.55000000000000004"/>
  <cols>
    <col min="1" max="1" width="41.41796875" customWidth="1"/>
    <col min="2" max="2" width="20" customWidth="1"/>
    <col min="3" max="3" width="3" customWidth="1"/>
    <col min="4" max="4" width="30" customWidth="1"/>
    <col min="5" max="5" width="20" customWidth="1"/>
  </cols>
  <sheetData>
    <row r="1" spans="1:4" ht="17.7" x14ac:dyDescent="0.6">
      <c r="A1" s="1" t="s">
        <v>43</v>
      </c>
    </row>
    <row r="2" spans="1:4" x14ac:dyDescent="0.55000000000000004">
      <c r="A2" s="2" t="s">
        <v>44</v>
      </c>
    </row>
    <row r="4" spans="1:4" x14ac:dyDescent="0.55000000000000004">
      <c r="A4" s="17" t="s">
        <v>45</v>
      </c>
      <c r="B4" s="18">
        <f>'Ledger - Jan 2026'!B4</f>
        <v>46023</v>
      </c>
    </row>
    <row r="5" spans="1:4" x14ac:dyDescent="0.55000000000000004">
      <c r="A5" s="17" t="s">
        <v>46</v>
      </c>
      <c r="B5" s="19">
        <v>279.68</v>
      </c>
      <c r="D5" s="20" t="s">
        <v>47</v>
      </c>
    </row>
    <row r="7" spans="1:4" x14ac:dyDescent="0.55000000000000004">
      <c r="A7" s="17" t="s">
        <v>48</v>
      </c>
    </row>
    <row r="8" spans="1:4" x14ac:dyDescent="0.55000000000000004">
      <c r="A8" s="21" t="s">
        <v>49</v>
      </c>
      <c r="B8" s="22">
        <f>SUMPRODUCT('Ledger - Jan 2026'!G7:G11,'Ledger - Jan 2026'!J7:J11)</f>
        <v>0</v>
      </c>
    </row>
    <row r="9" spans="1:4" x14ac:dyDescent="0.55000000000000004">
      <c r="A9" s="21" t="s">
        <v>50</v>
      </c>
      <c r="B9" s="22">
        <f>SUMPRODUCT('Ledger - Jan 2026'!H7:H11,'Ledger - Jan 2026'!J7:J11)</f>
        <v>5397125</v>
      </c>
    </row>
    <row r="10" spans="1:4" x14ac:dyDescent="0.55000000000000004">
      <c r="A10" s="21" t="s">
        <v>51</v>
      </c>
      <c r="B10" s="22">
        <f>SUMPRODUCT('Ledger - Jan 2026'!I7:I11,'Ledger - Jan 2026'!J7:J11)</f>
        <v>5397125</v>
      </c>
    </row>
    <row r="11" spans="1:4" x14ac:dyDescent="0.55000000000000004">
      <c r="A11" s="21" t="s">
        <v>52</v>
      </c>
      <c r="B11" s="22">
        <f>'Ledger - Jan 2026'!E4-'Ledger - Jan 2026'!B4+1</f>
        <v>31</v>
      </c>
    </row>
    <row r="13" spans="1:4" x14ac:dyDescent="0.55000000000000004">
      <c r="A13" s="17" t="s">
        <v>53</v>
      </c>
      <c r="B13" s="23">
        <f>B8/B11</f>
        <v>0</v>
      </c>
    </row>
    <row r="14" spans="1:4" x14ac:dyDescent="0.55000000000000004">
      <c r="A14" s="17" t="s">
        <v>54</v>
      </c>
      <c r="B14" s="23">
        <f>B9/B11</f>
        <v>174100.80645161291</v>
      </c>
    </row>
    <row r="15" spans="1:4" x14ac:dyDescent="0.55000000000000004">
      <c r="A15" s="17" t="s">
        <v>55</v>
      </c>
      <c r="B15" s="23">
        <f>B13+B14</f>
        <v>174100.80645161291</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279.68</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zoomScaleNormal="100" workbookViewId="0">
      <pane ySplit="6" topLeftCell="A7" activePane="bottomLeft" state="frozen"/>
      <selection pane="bottomLeft" activeCell="B8" sqref="B8"/>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0" customWidth="1"/>
    <col min="11" max="11" width="34" customWidth="1"/>
  </cols>
  <sheetData>
    <row r="1" spans="1:11" ht="17.7" x14ac:dyDescent="0.6">
      <c r="A1" s="1" t="s">
        <v>66</v>
      </c>
    </row>
    <row r="2" spans="1:11" x14ac:dyDescent="0.55000000000000004">
      <c r="A2" s="2" t="s">
        <v>20</v>
      </c>
    </row>
    <row r="4" spans="1:11" x14ac:dyDescent="0.55000000000000004">
      <c r="A4" s="4" t="s">
        <v>21</v>
      </c>
      <c r="B4" s="5">
        <v>46054</v>
      </c>
      <c r="D4" s="4" t="s">
        <v>22</v>
      </c>
      <c r="E4" s="6">
        <f>EOMONTH(B4,0)</f>
        <v>46081</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46054</v>
      </c>
      <c r="B7" s="9" t="s">
        <v>67</v>
      </c>
      <c r="C7" s="9" t="s">
        <v>35</v>
      </c>
      <c r="D7" s="10"/>
      <c r="E7" s="27">
        <f>'Ledger - Jan 2026'!G11</f>
        <v>0</v>
      </c>
      <c r="F7" s="27">
        <f>'Ledger - Jan 2026'!F8</f>
        <v>1079425</v>
      </c>
      <c r="G7" s="12">
        <f>E7</f>
        <v>0</v>
      </c>
      <c r="H7" s="12">
        <f>F7</f>
        <v>1079425</v>
      </c>
      <c r="I7" s="12">
        <f t="shared" ref="I7:I8" si="0">G7+H7</f>
        <v>1079425</v>
      </c>
      <c r="J7" s="13">
        <f>A8-A7</f>
        <v>0</v>
      </c>
      <c r="K7" s="14" t="s">
        <v>68</v>
      </c>
    </row>
    <row r="8" spans="1:11" x14ac:dyDescent="0.55000000000000004">
      <c r="A8" s="8">
        <v>46054</v>
      </c>
      <c r="B8" s="9" t="s">
        <v>69</v>
      </c>
      <c r="C8" s="9" t="s">
        <v>70</v>
      </c>
      <c r="D8" s="27">
        <f>'Alloc - Jan 2026'!B22</f>
        <v>279.68</v>
      </c>
      <c r="E8" s="12"/>
      <c r="F8" s="11">
        <v>280</v>
      </c>
      <c r="G8" s="12">
        <f t="shared" ref="G8:H8" si="1">G7+E8</f>
        <v>0</v>
      </c>
      <c r="H8" s="12">
        <f t="shared" si="1"/>
        <v>1079705</v>
      </c>
      <c r="I8" s="12">
        <f t="shared" si="0"/>
        <v>1079705</v>
      </c>
      <c r="J8" s="13">
        <f>E4-A8+1</f>
        <v>28</v>
      </c>
      <c r="K8" s="14" t="s">
        <v>71</v>
      </c>
    </row>
    <row r="9" spans="1:11" x14ac:dyDescent="0.55000000000000004">
      <c r="A9" s="8"/>
      <c r="B9" s="9"/>
      <c r="C9" s="9"/>
      <c r="D9" s="27"/>
      <c r="E9" s="11"/>
      <c r="F9" s="12"/>
      <c r="G9" s="12"/>
      <c r="H9" s="12"/>
      <c r="I9" s="12"/>
      <c r="J9" s="13"/>
      <c r="K9" s="14" t="s">
        <v>72</v>
      </c>
    </row>
    <row r="10" spans="1:11" x14ac:dyDescent="0.55000000000000004">
      <c r="A10" s="8"/>
      <c r="B10" s="9"/>
      <c r="C10" s="9"/>
      <c r="D10" s="11"/>
      <c r="E10" s="12"/>
      <c r="F10" s="11"/>
      <c r="G10" s="12"/>
      <c r="H10" s="12"/>
      <c r="I10" s="12"/>
      <c r="J10" s="13"/>
      <c r="K10" s="14" t="s">
        <v>73</v>
      </c>
    </row>
    <row r="11" spans="1:11" x14ac:dyDescent="0.55000000000000004">
      <c r="A11" s="8"/>
      <c r="B11" s="9"/>
      <c r="C11" s="9"/>
      <c r="D11" s="27"/>
      <c r="E11" s="12"/>
      <c r="F11" s="11"/>
      <c r="G11" s="12"/>
      <c r="H11" s="12"/>
      <c r="I11" s="12"/>
      <c r="J11" s="13"/>
      <c r="K11" s="14" t="s">
        <v>74</v>
      </c>
    </row>
    <row r="12" spans="1:11" x14ac:dyDescent="0.55000000000000004">
      <c r="A12" s="8"/>
      <c r="B12" s="9"/>
      <c r="C12" s="9"/>
      <c r="D12" s="11"/>
      <c r="E12" s="12"/>
      <c r="F12" s="12"/>
      <c r="G12" s="12"/>
      <c r="H12" s="12"/>
      <c r="I12" s="12"/>
      <c r="J12" s="13"/>
      <c r="K12" s="14" t="s">
        <v>75</v>
      </c>
    </row>
    <row r="14" spans="1:11" x14ac:dyDescent="0.55000000000000004">
      <c r="B14" s="15" t="s">
        <v>41</v>
      </c>
      <c r="J14" s="16">
        <f>SUM(J7:J12)</f>
        <v>28</v>
      </c>
    </row>
    <row r="15" spans="1:11" x14ac:dyDescent="0.55000000000000004">
      <c r="B15" s="15" t="s">
        <v>42</v>
      </c>
      <c r="J15" s="16">
        <f>E4-B4+1</f>
        <v>28</v>
      </c>
    </row>
  </sheetData>
  <dataValidations count="1">
    <dataValidation type="list" allowBlank="1" sqref="C7:C12" xr:uid="{00000000-0002-0000-0300-000000000000}">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
  <sheetViews>
    <sheetView topLeftCell="A3" zoomScaleNormal="100" workbookViewId="0">
      <selection activeCell="B11" sqref="B11"/>
    </sheetView>
  </sheetViews>
  <sheetFormatPr defaultColWidth="8.578125" defaultRowHeight="14.4" x14ac:dyDescent="0.55000000000000004"/>
  <cols>
    <col min="1" max="1" width="32" customWidth="1"/>
    <col min="2" max="2" width="20" customWidth="1"/>
    <col min="3" max="3" width="3" customWidth="1"/>
    <col min="4" max="4" width="30" customWidth="1"/>
    <col min="5" max="5" width="20" customWidth="1"/>
  </cols>
  <sheetData>
    <row r="1" spans="1:4" ht="17.7" x14ac:dyDescent="0.6">
      <c r="A1" s="1" t="s">
        <v>76</v>
      </c>
    </row>
    <row r="2" spans="1:4" x14ac:dyDescent="0.55000000000000004">
      <c r="A2" s="2" t="s">
        <v>44</v>
      </c>
    </row>
    <row r="4" spans="1:4" x14ac:dyDescent="0.55000000000000004">
      <c r="A4" s="17" t="s">
        <v>45</v>
      </c>
      <c r="B4" s="18">
        <f>'Ledger - Feb 2026'!B4</f>
        <v>46054</v>
      </c>
    </row>
    <row r="5" spans="1:4" x14ac:dyDescent="0.55000000000000004">
      <c r="A5" s="17" t="s">
        <v>46</v>
      </c>
      <c r="B5" s="19">
        <v>2748.77</v>
      </c>
      <c r="D5" s="20" t="s">
        <v>47</v>
      </c>
    </row>
    <row r="7" spans="1:4" x14ac:dyDescent="0.55000000000000004">
      <c r="A7" s="17" t="s">
        <v>48</v>
      </c>
    </row>
    <row r="8" spans="1:4" x14ac:dyDescent="0.55000000000000004">
      <c r="A8" s="21" t="s">
        <v>49</v>
      </c>
      <c r="B8" s="22">
        <f>SUMPRODUCT('Ledger - Feb 2026'!G7:G12,'Ledger - Feb 2026'!J7:J12)</f>
        <v>0</v>
      </c>
    </row>
    <row r="9" spans="1:4" x14ac:dyDescent="0.55000000000000004">
      <c r="A9" s="21" t="s">
        <v>50</v>
      </c>
      <c r="B9" s="22">
        <f>SUMPRODUCT('Ledger - Feb 2026'!H7:H12,'Ledger - Feb 2026'!J7:J12)</f>
        <v>30231740</v>
      </c>
    </row>
    <row r="10" spans="1:4" x14ac:dyDescent="0.55000000000000004">
      <c r="A10" s="21" t="s">
        <v>51</v>
      </c>
      <c r="B10" s="22">
        <f>SUMPRODUCT('Ledger - Feb 2026'!I7:I12,'Ledger - Feb 2026'!J7:J12)</f>
        <v>30231740</v>
      </c>
    </row>
    <row r="11" spans="1:4" x14ac:dyDescent="0.55000000000000004">
      <c r="A11" s="21" t="s">
        <v>52</v>
      </c>
      <c r="B11" s="22">
        <f>'Ledger - Feb 2026'!E4-'Ledger - Feb 2026'!B4+1</f>
        <v>28</v>
      </c>
    </row>
    <row r="13" spans="1:4" x14ac:dyDescent="0.55000000000000004">
      <c r="A13" s="17" t="s">
        <v>53</v>
      </c>
      <c r="B13" s="23">
        <f>B8/B11</f>
        <v>0</v>
      </c>
    </row>
    <row r="14" spans="1:4" x14ac:dyDescent="0.55000000000000004">
      <c r="A14" s="17" t="s">
        <v>54</v>
      </c>
      <c r="B14" s="23">
        <f>B9/B11</f>
        <v>1079705</v>
      </c>
    </row>
    <row r="15" spans="1:4" x14ac:dyDescent="0.55000000000000004">
      <c r="A15" s="17" t="s">
        <v>55</v>
      </c>
      <c r="B15" s="23">
        <f>B13+B14</f>
        <v>1079705</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2748.77</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506E-1E06-48A6-8D27-B5909E0354F6}">
  <dimension ref="A1:K14"/>
  <sheetViews>
    <sheetView topLeftCell="B1" zoomScaleNormal="100" workbookViewId="0">
      <pane ySplit="6" topLeftCell="A7" activePane="bottomLeft" state="frozen"/>
      <selection pane="bottomLeft" activeCell="D18" sqref="D18"/>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3.41796875" customWidth="1"/>
    <col min="11" max="11" width="34" customWidth="1"/>
  </cols>
  <sheetData>
    <row r="1" spans="1:11" ht="17.7" x14ac:dyDescent="0.6">
      <c r="A1" s="1" t="s">
        <v>19</v>
      </c>
    </row>
    <row r="2" spans="1:11" x14ac:dyDescent="0.55000000000000004">
      <c r="A2" s="2" t="s">
        <v>20</v>
      </c>
    </row>
    <row r="4" spans="1:11" x14ac:dyDescent="0.55000000000000004">
      <c r="A4" s="4" t="s">
        <v>21</v>
      </c>
      <c r="B4" s="5">
        <v>46082</v>
      </c>
      <c r="D4" s="4" t="s">
        <v>22</v>
      </c>
      <c r="E4" s="6">
        <f>EOMONTH(B4,0)</f>
        <v>46112</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46082</v>
      </c>
      <c r="B7" s="9" t="s">
        <v>67</v>
      </c>
      <c r="C7" s="9" t="s">
        <v>35</v>
      </c>
      <c r="D7" s="10"/>
      <c r="E7" s="27">
        <f>'Ledger - Jan 2026'!G11</f>
        <v>0</v>
      </c>
      <c r="F7" s="27">
        <f>'Ledger - Feb 2026'!H10</f>
        <v>0</v>
      </c>
      <c r="G7" s="12">
        <f>E7</f>
        <v>0</v>
      </c>
      <c r="H7" s="12">
        <f>'Ledger - Feb 2026'!H8</f>
        <v>1079705</v>
      </c>
      <c r="I7" s="12">
        <f t="shared" ref="I7:I8" si="0">G7+H7</f>
        <v>1079705</v>
      </c>
      <c r="J7" s="13">
        <f>A8-A7</f>
        <v>0</v>
      </c>
      <c r="K7" s="14" t="s">
        <v>68</v>
      </c>
    </row>
    <row r="8" spans="1:11" x14ac:dyDescent="0.55000000000000004">
      <c r="A8" s="8">
        <v>46082</v>
      </c>
      <c r="B8" s="9" t="s">
        <v>77</v>
      </c>
      <c r="C8" s="9" t="s">
        <v>78</v>
      </c>
      <c r="D8" s="27">
        <f>'Alloc - Feb 2026'!B22</f>
        <v>2748.77</v>
      </c>
      <c r="E8" s="11"/>
      <c r="F8" s="12">
        <f>D8</f>
        <v>2748.77</v>
      </c>
      <c r="G8" s="12"/>
      <c r="H8" s="12">
        <f>H7+F8</f>
        <v>1082453.77</v>
      </c>
      <c r="I8" s="12">
        <f t="shared" si="0"/>
        <v>1082453.77</v>
      </c>
      <c r="J8" s="13">
        <f>E4-A8+1</f>
        <v>31</v>
      </c>
      <c r="K8" s="14" t="s">
        <v>72</v>
      </c>
    </row>
    <row r="9" spans="1:11" x14ac:dyDescent="0.55000000000000004">
      <c r="A9" s="8"/>
      <c r="B9" s="9"/>
      <c r="C9" s="9"/>
      <c r="D9" s="11"/>
      <c r="E9" s="12"/>
      <c r="F9" s="11"/>
      <c r="G9" s="12"/>
      <c r="H9" s="12"/>
      <c r="I9" s="12"/>
      <c r="J9" s="13"/>
      <c r="K9" s="14" t="s">
        <v>73</v>
      </c>
    </row>
    <row r="10" spans="1:11" x14ac:dyDescent="0.55000000000000004">
      <c r="A10" s="8"/>
      <c r="B10" s="9"/>
      <c r="C10" s="9"/>
      <c r="D10" s="27"/>
      <c r="E10" s="12"/>
      <c r="F10" s="11"/>
      <c r="G10" s="12"/>
      <c r="H10" s="12"/>
      <c r="I10" s="12"/>
      <c r="J10" s="13"/>
      <c r="K10" s="14" t="s">
        <v>74</v>
      </c>
    </row>
    <row r="11" spans="1:11" x14ac:dyDescent="0.55000000000000004">
      <c r="A11" s="8"/>
      <c r="B11" s="9"/>
      <c r="C11" s="9"/>
      <c r="D11" s="11"/>
      <c r="E11" s="12"/>
      <c r="F11" s="12"/>
      <c r="G11" s="12"/>
      <c r="H11" s="12"/>
      <c r="I11" s="12"/>
      <c r="J11" s="13"/>
      <c r="K11" s="14" t="s">
        <v>75</v>
      </c>
    </row>
    <row r="13" spans="1:11" x14ac:dyDescent="0.55000000000000004">
      <c r="B13" s="15" t="s">
        <v>41</v>
      </c>
      <c r="J13" s="16">
        <f>SUM(J7:J11)</f>
        <v>31</v>
      </c>
    </row>
    <row r="14" spans="1:11" x14ac:dyDescent="0.55000000000000004">
      <c r="B14" s="15" t="s">
        <v>42</v>
      </c>
      <c r="J14" s="16">
        <f>E4-B4+1</f>
        <v>31</v>
      </c>
    </row>
  </sheetData>
  <dataValidations count="1">
    <dataValidation type="list" allowBlank="1" sqref="C7:C11" xr:uid="{2B48041F-E4D9-4461-8C45-8F018F524994}">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7D4F0-D5FC-471E-9573-AA0FD83727F9}">
  <dimension ref="A1:D29"/>
  <sheetViews>
    <sheetView topLeftCell="A6" zoomScaleNormal="100" workbookViewId="0">
      <selection activeCell="B12" sqref="B12"/>
    </sheetView>
  </sheetViews>
  <sheetFormatPr defaultColWidth="8.578125" defaultRowHeight="14.4" x14ac:dyDescent="0.55000000000000004"/>
  <cols>
    <col min="1" max="1" width="32" customWidth="1"/>
    <col min="2" max="2" width="20" customWidth="1"/>
    <col min="3" max="3" width="3" customWidth="1"/>
    <col min="4" max="4" width="30" customWidth="1"/>
    <col min="5" max="5" width="20" customWidth="1"/>
  </cols>
  <sheetData>
    <row r="1" spans="1:4" ht="17.7" x14ac:dyDescent="0.6">
      <c r="A1" s="1" t="s">
        <v>43</v>
      </c>
    </row>
    <row r="2" spans="1:4" x14ac:dyDescent="0.55000000000000004">
      <c r="A2" s="2" t="s">
        <v>44</v>
      </c>
    </row>
    <row r="4" spans="1:4" x14ac:dyDescent="0.55000000000000004">
      <c r="A4" s="17" t="s">
        <v>45</v>
      </c>
      <c r="B4" s="18">
        <f>'Ledger - Mar 2026'!B4</f>
        <v>46082</v>
      </c>
    </row>
    <row r="5" spans="1:4" x14ac:dyDescent="0.55000000000000004">
      <c r="A5" s="17" t="s">
        <v>46</v>
      </c>
      <c r="B5" s="19">
        <v>2987.86</v>
      </c>
      <c r="D5" s="20" t="s">
        <v>47</v>
      </c>
    </row>
    <row r="7" spans="1:4" x14ac:dyDescent="0.55000000000000004">
      <c r="A7" s="17" t="s">
        <v>48</v>
      </c>
    </row>
    <row r="8" spans="1:4" x14ac:dyDescent="0.55000000000000004">
      <c r="A8" s="21" t="s">
        <v>49</v>
      </c>
      <c r="B8" s="22">
        <f>SUMPRODUCT('Ledger - Feb 2026'!G7:G12,'Ledger - Feb 2026'!J7:J12)</f>
        <v>0</v>
      </c>
    </row>
    <row r="9" spans="1:4" x14ac:dyDescent="0.55000000000000004">
      <c r="A9" s="21" t="s">
        <v>50</v>
      </c>
      <c r="B9" s="22">
        <f>SUMPRODUCT('Ledger - Mar 2026'!H7:H12,'Ledger - Mar 2026'!J7:J12)</f>
        <v>33556066.869999997</v>
      </c>
    </row>
    <row r="10" spans="1:4" x14ac:dyDescent="0.55000000000000004">
      <c r="A10" s="21" t="s">
        <v>51</v>
      </c>
      <c r="B10" s="22">
        <f>SUMPRODUCT('Ledger - Mar 2026'!I7:I12,'Ledger - Mar 2026'!J7:J12)</f>
        <v>33556066.869999997</v>
      </c>
    </row>
    <row r="11" spans="1:4" x14ac:dyDescent="0.55000000000000004">
      <c r="A11" s="21" t="s">
        <v>52</v>
      </c>
      <c r="B11" s="22">
        <f>'Ledger - Mar 2026'!E4-'Ledger - Mar 2026'!B4+1</f>
        <v>31</v>
      </c>
    </row>
    <row r="13" spans="1:4" x14ac:dyDescent="0.55000000000000004">
      <c r="A13" s="17" t="s">
        <v>53</v>
      </c>
      <c r="B13" s="23">
        <f>B8/B11</f>
        <v>0</v>
      </c>
    </row>
    <row r="14" spans="1:4" x14ac:dyDescent="0.55000000000000004">
      <c r="A14" s="17" t="s">
        <v>54</v>
      </c>
      <c r="B14" s="23">
        <f>B9/B11</f>
        <v>1082453.77</v>
      </c>
    </row>
    <row r="15" spans="1:4" x14ac:dyDescent="0.55000000000000004">
      <c r="A15" s="17" t="s">
        <v>55</v>
      </c>
      <c r="B15" s="23">
        <f>B13+B14</f>
        <v>1082453.77</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2987.86</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87C2-0541-499E-9BE8-5870BCB95DC3}">
  <dimension ref="A1:K16"/>
  <sheetViews>
    <sheetView topLeftCell="B1" zoomScaleNormal="100" workbookViewId="0">
      <pane ySplit="6" topLeftCell="A7" activePane="bottomLeft" state="frozen"/>
      <selection pane="bottomLeft" activeCell="J9" sqref="J9"/>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0" customWidth="1"/>
    <col min="11" max="11" width="34" customWidth="1"/>
  </cols>
  <sheetData>
    <row r="1" spans="1:11" ht="17.7" x14ac:dyDescent="0.6">
      <c r="A1" s="1" t="s">
        <v>79</v>
      </c>
    </row>
    <row r="2" spans="1:11" x14ac:dyDescent="0.55000000000000004">
      <c r="A2" s="2" t="s">
        <v>20</v>
      </c>
    </row>
    <row r="4" spans="1:11" x14ac:dyDescent="0.55000000000000004">
      <c r="A4" s="4" t="s">
        <v>21</v>
      </c>
      <c r="B4" s="5">
        <v>46113</v>
      </c>
      <c r="D4" s="4" t="s">
        <v>22</v>
      </c>
      <c r="E4" s="6">
        <f>EOMONTH(B4,0)</f>
        <v>46142</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46113</v>
      </c>
      <c r="B7" s="9" t="s">
        <v>67</v>
      </c>
      <c r="C7" s="9" t="s">
        <v>35</v>
      </c>
      <c r="D7" s="10"/>
      <c r="E7" s="27">
        <f>'Ledger - Jan 2026'!G11</f>
        <v>0</v>
      </c>
      <c r="F7" s="27">
        <f>'Ledger - Mar 2026'!H9</f>
        <v>0</v>
      </c>
      <c r="G7" s="12">
        <f>E7</f>
        <v>0</v>
      </c>
      <c r="H7" s="12">
        <f>'Ledger - Mar 2026'!H8</f>
        <v>1082453.77</v>
      </c>
      <c r="I7" s="12">
        <f t="shared" ref="I7" si="0">G7+H7</f>
        <v>1082453.77</v>
      </c>
      <c r="J7" s="13">
        <f>A8-A7</f>
        <v>0</v>
      </c>
      <c r="K7" s="14" t="s">
        <v>68</v>
      </c>
    </row>
    <row r="8" spans="1:11" x14ac:dyDescent="0.55000000000000004">
      <c r="A8" s="8">
        <v>46113</v>
      </c>
      <c r="B8" s="9" t="s">
        <v>80</v>
      </c>
      <c r="C8" s="9" t="s">
        <v>78</v>
      </c>
      <c r="D8" s="27">
        <f>'Alloc - Mar 2026'!B5</f>
        <v>2987.86</v>
      </c>
      <c r="E8" s="27">
        <f>'Ledger - Jan 2026'!G12</f>
        <v>0</v>
      </c>
      <c r="F8" s="27">
        <f>D8</f>
        <v>2987.86</v>
      </c>
      <c r="G8" s="12">
        <f>E8</f>
        <v>0</v>
      </c>
      <c r="H8" s="12">
        <f>H7+F8</f>
        <v>1085441.6300000001</v>
      </c>
      <c r="I8" s="12">
        <f t="shared" ref="I8" si="1">G8+H8</f>
        <v>1085441.6300000001</v>
      </c>
      <c r="J8" s="13">
        <f t="shared" ref="J8" si="2">A9-A8</f>
        <v>6</v>
      </c>
      <c r="K8" s="14" t="s">
        <v>68</v>
      </c>
    </row>
    <row r="9" spans="1:11" x14ac:dyDescent="0.55000000000000004">
      <c r="A9" s="8">
        <v>46119</v>
      </c>
      <c r="B9" s="9" t="s">
        <v>37</v>
      </c>
      <c r="C9" s="9" t="s">
        <v>38</v>
      </c>
      <c r="D9" s="27">
        <v>10209328.52</v>
      </c>
      <c r="E9" s="12">
        <v>0</v>
      </c>
      <c r="F9" s="11">
        <f>D9</f>
        <v>10209328.52</v>
      </c>
      <c r="G9" s="12">
        <f>G7+E9</f>
        <v>0</v>
      </c>
      <c r="H9" s="12">
        <f>H8+F9</f>
        <v>11294770.15</v>
      </c>
      <c r="I9" s="12">
        <f>G9+H9</f>
        <v>11294770.15</v>
      </c>
      <c r="J9" s="13">
        <f>E4-A9+1</f>
        <v>24</v>
      </c>
      <c r="K9" s="14" t="s">
        <v>71</v>
      </c>
    </row>
    <row r="10" spans="1:11" x14ac:dyDescent="0.55000000000000004">
      <c r="A10" s="8"/>
      <c r="B10" s="9"/>
      <c r="C10" s="9"/>
      <c r="D10" s="27"/>
      <c r="E10" s="11"/>
      <c r="F10" s="12"/>
      <c r="G10" s="12"/>
      <c r="H10" s="12"/>
      <c r="I10" s="12"/>
      <c r="J10" s="13"/>
      <c r="K10" s="14" t="s">
        <v>72</v>
      </c>
    </row>
    <row r="11" spans="1:11" x14ac:dyDescent="0.55000000000000004">
      <c r="A11" s="8"/>
      <c r="B11" s="9"/>
      <c r="C11" s="9"/>
      <c r="D11" s="11"/>
      <c r="E11" s="12"/>
      <c r="F11" s="11"/>
      <c r="G11" s="12"/>
      <c r="H11" s="12"/>
      <c r="I11" s="12"/>
      <c r="J11" s="13"/>
      <c r="K11" s="14" t="s">
        <v>73</v>
      </c>
    </row>
    <row r="12" spans="1:11" x14ac:dyDescent="0.55000000000000004">
      <c r="A12" s="8"/>
      <c r="B12" s="9"/>
      <c r="C12" s="9"/>
      <c r="D12" s="27"/>
      <c r="E12" s="12"/>
      <c r="F12" s="11"/>
      <c r="G12" s="12"/>
      <c r="H12" s="12"/>
      <c r="I12" s="12"/>
      <c r="J12" s="13"/>
      <c r="K12" s="14" t="s">
        <v>74</v>
      </c>
    </row>
    <row r="13" spans="1:11" x14ac:dyDescent="0.55000000000000004">
      <c r="A13" s="8"/>
      <c r="B13" s="9"/>
      <c r="C13" s="9"/>
      <c r="D13" s="11"/>
      <c r="E13" s="12"/>
      <c r="F13" s="12"/>
      <c r="G13" s="12"/>
      <c r="H13" s="12"/>
      <c r="I13" s="12"/>
      <c r="J13" s="13"/>
      <c r="K13" s="14" t="s">
        <v>75</v>
      </c>
    </row>
    <row r="15" spans="1:11" x14ac:dyDescent="0.55000000000000004">
      <c r="B15" s="15" t="s">
        <v>41</v>
      </c>
      <c r="J15" s="16">
        <f>SUM(J7:J13)</f>
        <v>30</v>
      </c>
    </row>
    <row r="16" spans="1:11" x14ac:dyDescent="0.55000000000000004">
      <c r="B16" s="15" t="s">
        <v>42</v>
      </c>
      <c r="J16" s="16">
        <f>E4-B4+1</f>
        <v>30</v>
      </c>
    </row>
  </sheetData>
  <dataValidations count="1">
    <dataValidation type="list" allowBlank="1" sqref="C7:C13" xr:uid="{FCCC6032-55A4-4920-A236-D704A64155BC}">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F80F-BB0F-4AFF-B1C0-DA1B4F5698D6}">
  <dimension ref="A1:D29"/>
  <sheetViews>
    <sheetView topLeftCell="A3" zoomScaleNormal="100" workbookViewId="0">
      <selection activeCell="B15" sqref="B15"/>
    </sheetView>
  </sheetViews>
  <sheetFormatPr defaultColWidth="8.578125" defaultRowHeight="14.4" x14ac:dyDescent="0.55000000000000004"/>
  <cols>
    <col min="1" max="1" width="32" customWidth="1"/>
    <col min="2" max="2" width="20" customWidth="1"/>
    <col min="3" max="3" width="3" customWidth="1"/>
    <col min="4" max="4" width="30" customWidth="1"/>
    <col min="5" max="5" width="20" customWidth="1"/>
  </cols>
  <sheetData>
    <row r="1" spans="1:4" ht="17.7" x14ac:dyDescent="0.6">
      <c r="A1" s="1" t="s">
        <v>81</v>
      </c>
    </row>
    <row r="2" spans="1:4" x14ac:dyDescent="0.55000000000000004">
      <c r="A2" s="2" t="s">
        <v>44</v>
      </c>
    </row>
    <row r="4" spans="1:4" x14ac:dyDescent="0.55000000000000004">
      <c r="A4" s="17" t="s">
        <v>45</v>
      </c>
      <c r="B4" s="18">
        <f>'Ledger - Apr 2026'!B4</f>
        <v>46113</v>
      </c>
    </row>
    <row r="5" spans="1:4" x14ac:dyDescent="0.55000000000000004">
      <c r="A5" s="17" t="s">
        <v>46</v>
      </c>
      <c r="B5" s="19">
        <v>24716.639999999999</v>
      </c>
      <c r="D5" s="20" t="s">
        <v>47</v>
      </c>
    </row>
    <row r="7" spans="1:4" x14ac:dyDescent="0.55000000000000004">
      <c r="A7" s="17" t="s">
        <v>48</v>
      </c>
    </row>
    <row r="8" spans="1:4" x14ac:dyDescent="0.55000000000000004">
      <c r="A8" s="21" t="s">
        <v>49</v>
      </c>
      <c r="B8" s="22">
        <f>SUMPRODUCT('Ledger - Mar 2026'!G7:G12,'Ledger - Mar 2026'!J7:J12)</f>
        <v>0</v>
      </c>
    </row>
    <row r="9" spans="1:4" x14ac:dyDescent="0.55000000000000004">
      <c r="A9" s="21" t="s">
        <v>50</v>
      </c>
      <c r="B9" s="22">
        <f>SUMPRODUCT('Ledger - Apr 2026'!H7:H12,'Ledger - Apr 2026'!J7:J12)</f>
        <v>277587133.38</v>
      </c>
    </row>
    <row r="10" spans="1:4" x14ac:dyDescent="0.55000000000000004">
      <c r="A10" s="21" t="s">
        <v>51</v>
      </c>
      <c r="B10" s="22">
        <f>SUMPRODUCT('Ledger - Apr 2026'!I7:I12,'Ledger - Apr 2026'!J7:J12)</f>
        <v>277587133.38</v>
      </c>
    </row>
    <row r="11" spans="1:4" x14ac:dyDescent="0.55000000000000004">
      <c r="A11" s="21" t="s">
        <v>52</v>
      </c>
      <c r="B11" s="22">
        <f>'Ledger - Apr 2026'!E4-'Ledger - Apr 2026'!B4+1</f>
        <v>30</v>
      </c>
    </row>
    <row r="13" spans="1:4" x14ac:dyDescent="0.55000000000000004">
      <c r="A13" s="17" t="s">
        <v>53</v>
      </c>
      <c r="B13" s="23">
        <f>B8/B11</f>
        <v>0</v>
      </c>
    </row>
    <row r="14" spans="1:4" x14ac:dyDescent="0.55000000000000004">
      <c r="A14" s="17" t="s">
        <v>54</v>
      </c>
      <c r="B14" s="23">
        <f>B9/B11</f>
        <v>9252904.4460000005</v>
      </c>
    </row>
    <row r="15" spans="1:4" x14ac:dyDescent="0.55000000000000004">
      <c r="A15" s="17" t="s">
        <v>55</v>
      </c>
      <c r="B15" s="23">
        <f>B13+B14</f>
        <v>9252904.4460000005</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24716.639999999999</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864B-AE33-4D59-9CE4-475C2547ECFF}">
  <dimension ref="A1:K16"/>
  <sheetViews>
    <sheetView zoomScaleNormal="100" workbookViewId="0">
      <pane ySplit="6" topLeftCell="A7" activePane="bottomLeft" state="frozen"/>
      <selection pane="bottomLeft" activeCell="D8" sqref="D8"/>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0" customWidth="1"/>
    <col min="11" max="11" width="34" customWidth="1"/>
  </cols>
  <sheetData>
    <row r="1" spans="1:11" ht="17.7" x14ac:dyDescent="0.6">
      <c r="A1" s="1" t="s">
        <v>82</v>
      </c>
    </row>
    <row r="2" spans="1:11" x14ac:dyDescent="0.55000000000000004">
      <c r="A2" s="2" t="s">
        <v>20</v>
      </c>
    </row>
    <row r="4" spans="1:11" x14ac:dyDescent="0.55000000000000004">
      <c r="A4" s="4" t="s">
        <v>21</v>
      </c>
      <c r="B4" s="5">
        <v>46143</v>
      </c>
      <c r="D4" s="4" t="s">
        <v>22</v>
      </c>
      <c r="E4" s="6">
        <f>EOMONTH(B4,0)</f>
        <v>46173</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46143</v>
      </c>
      <c r="B7" s="9" t="s">
        <v>67</v>
      </c>
      <c r="C7" s="9" t="s">
        <v>35</v>
      </c>
      <c r="D7" s="10"/>
      <c r="E7" s="27">
        <f>'Ledger - Jan 2026'!G11</f>
        <v>0</v>
      </c>
      <c r="F7" s="27">
        <f>'Ledger - Apr 2026'!H9</f>
        <v>11294770.15</v>
      </c>
      <c r="G7" s="12">
        <f>E7</f>
        <v>0</v>
      </c>
      <c r="H7" s="12">
        <f>F7</f>
        <v>11294770.15</v>
      </c>
      <c r="I7" s="12">
        <f>G7+H7</f>
        <v>11294770.15</v>
      </c>
      <c r="J7" s="13">
        <f>A8-A7</f>
        <v>0</v>
      </c>
      <c r="K7" s="14" t="s">
        <v>68</v>
      </c>
    </row>
    <row r="8" spans="1:11" x14ac:dyDescent="0.55000000000000004">
      <c r="A8" s="8">
        <v>46143</v>
      </c>
      <c r="B8" s="9" t="s">
        <v>83</v>
      </c>
      <c r="C8" s="9" t="s">
        <v>78</v>
      </c>
      <c r="D8" s="27">
        <f>'Alloc - Apr 2026'!B22</f>
        <v>24716.639999999999</v>
      </c>
      <c r="E8" s="27">
        <f>'Ledger - Jan 2026'!G12</f>
        <v>0</v>
      </c>
      <c r="F8" s="27">
        <f>D8</f>
        <v>24716.639999999999</v>
      </c>
      <c r="G8" s="12">
        <f>E8</f>
        <v>0</v>
      </c>
      <c r="H8" s="12">
        <f>H7+F8</f>
        <v>11319486.790000001</v>
      </c>
      <c r="I8" s="12">
        <f t="shared" ref="I8:I9" si="0">G8+H8</f>
        <v>11319486.790000001</v>
      </c>
      <c r="J8" s="13">
        <f>A9-A8</f>
        <v>28</v>
      </c>
      <c r="K8" s="14" t="s">
        <v>68</v>
      </c>
    </row>
    <row r="9" spans="1:11" x14ac:dyDescent="0.55000000000000004">
      <c r="A9" s="8">
        <v>46171</v>
      </c>
      <c r="B9" s="9" t="s">
        <v>84</v>
      </c>
      <c r="C9" s="9" t="s">
        <v>78</v>
      </c>
      <c r="D9" s="27">
        <v>-242.08</v>
      </c>
      <c r="E9" s="12"/>
      <c r="F9" s="27">
        <f>D9</f>
        <v>-242.08</v>
      </c>
      <c r="G9" s="12"/>
      <c r="H9" s="12">
        <f>H8+F9</f>
        <v>11319244.710000001</v>
      </c>
      <c r="I9" s="12">
        <f t="shared" si="0"/>
        <v>11319244.710000001</v>
      </c>
      <c r="J9" s="13">
        <f>E4-A9+1</f>
        <v>3</v>
      </c>
      <c r="K9" s="14" t="s">
        <v>71</v>
      </c>
    </row>
    <row r="10" spans="1:11" x14ac:dyDescent="0.55000000000000004">
      <c r="A10" s="8"/>
      <c r="B10" s="9"/>
      <c r="C10" s="9"/>
      <c r="D10" s="27"/>
      <c r="E10" s="11"/>
      <c r="F10" s="12"/>
      <c r="G10" s="12"/>
      <c r="H10" s="12"/>
      <c r="I10" s="12"/>
      <c r="J10" s="13"/>
      <c r="K10" s="14" t="s">
        <v>72</v>
      </c>
    </row>
    <row r="11" spans="1:11" x14ac:dyDescent="0.55000000000000004">
      <c r="A11" s="8"/>
      <c r="B11" s="9"/>
      <c r="C11" s="9"/>
      <c r="D11" s="11"/>
      <c r="E11" s="12"/>
      <c r="F11" s="11"/>
      <c r="G11" s="12"/>
      <c r="H11" s="12"/>
      <c r="I11" s="12"/>
      <c r="J11" s="13"/>
      <c r="K11" s="14" t="s">
        <v>73</v>
      </c>
    </row>
    <row r="12" spans="1:11" x14ac:dyDescent="0.55000000000000004">
      <c r="A12" s="8"/>
      <c r="B12" s="9"/>
      <c r="C12" s="9"/>
      <c r="D12" s="27"/>
      <c r="E12" s="12"/>
      <c r="F12" s="11"/>
      <c r="G12" s="12"/>
      <c r="H12" s="12"/>
      <c r="I12" s="12"/>
      <c r="J12" s="13"/>
      <c r="K12" s="14" t="s">
        <v>74</v>
      </c>
    </row>
    <row r="13" spans="1:11" x14ac:dyDescent="0.55000000000000004">
      <c r="A13" s="8"/>
      <c r="B13" s="9"/>
      <c r="C13" s="9"/>
      <c r="D13" s="11"/>
      <c r="E13" s="12"/>
      <c r="F13" s="12"/>
      <c r="G13" s="12"/>
      <c r="H13" s="12"/>
      <c r="I13" s="12"/>
      <c r="J13" s="13"/>
      <c r="K13" s="14" t="s">
        <v>75</v>
      </c>
    </row>
    <row r="15" spans="1:11" x14ac:dyDescent="0.55000000000000004">
      <c r="B15" s="15" t="s">
        <v>41</v>
      </c>
      <c r="J15" s="16">
        <f>SUM(J7:J13)</f>
        <v>31</v>
      </c>
    </row>
    <row r="16" spans="1:11" x14ac:dyDescent="0.55000000000000004">
      <c r="B16" s="15" t="s">
        <v>42</v>
      </c>
      <c r="J16" s="16">
        <f>E4-B4+1</f>
        <v>31</v>
      </c>
    </row>
  </sheetData>
  <dataValidations count="1">
    <dataValidation type="list" allowBlank="1" sqref="C7:C13" xr:uid="{18AE1BAA-3AEA-4850-B5D3-8E183273060E}">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16B4-51F1-4C17-B976-35DA212A62F2}">
  <dimension ref="A1:D29"/>
  <sheetViews>
    <sheetView topLeftCell="A6" zoomScaleNormal="100" workbookViewId="0">
      <selection activeCell="B5" sqref="B5"/>
    </sheetView>
  </sheetViews>
  <sheetFormatPr defaultColWidth="8.578125" defaultRowHeight="14.4" x14ac:dyDescent="0.55000000000000004"/>
  <cols>
    <col min="1" max="1" width="32" customWidth="1"/>
    <col min="2" max="2" width="20" customWidth="1"/>
    <col min="3" max="3" width="3" customWidth="1"/>
    <col min="4" max="4" width="30" customWidth="1"/>
    <col min="5" max="5" width="20" customWidth="1"/>
  </cols>
  <sheetData>
    <row r="1" spans="1:4" ht="17.7" x14ac:dyDescent="0.6">
      <c r="A1" s="1" t="s">
        <v>85</v>
      </c>
    </row>
    <row r="2" spans="1:4" x14ac:dyDescent="0.55000000000000004">
      <c r="A2" s="2" t="s">
        <v>44</v>
      </c>
    </row>
    <row r="4" spans="1:4" x14ac:dyDescent="0.55000000000000004">
      <c r="A4" s="17" t="s">
        <v>45</v>
      </c>
      <c r="B4" s="18">
        <f>'Ledger - May 2026'!B4</f>
        <v>46143</v>
      </c>
    </row>
    <row r="5" spans="1:4" x14ac:dyDescent="0.55000000000000004">
      <c r="A5" s="17" t="s">
        <v>46</v>
      </c>
      <c r="B5" s="19">
        <v>31244.79</v>
      </c>
      <c r="D5" s="20" t="s">
        <v>47</v>
      </c>
    </row>
    <row r="7" spans="1:4" x14ac:dyDescent="0.55000000000000004">
      <c r="A7" s="17" t="s">
        <v>48</v>
      </c>
    </row>
    <row r="8" spans="1:4" x14ac:dyDescent="0.55000000000000004">
      <c r="A8" s="21" t="s">
        <v>49</v>
      </c>
      <c r="B8" s="22">
        <f>SUMPRODUCT('Ledger - Feb 2026'!G7:G12,'Ledger - Feb 2026'!J7:J12)</f>
        <v>0</v>
      </c>
    </row>
    <row r="9" spans="1:4" x14ac:dyDescent="0.55000000000000004">
      <c r="A9" s="21" t="s">
        <v>50</v>
      </c>
      <c r="B9" s="22">
        <f>SUMPRODUCT('Ledger - May 2026'!H7:H12,'Ledger - May 2026'!J7:J12)</f>
        <v>350903364.25</v>
      </c>
    </row>
    <row r="10" spans="1:4" x14ac:dyDescent="0.55000000000000004">
      <c r="A10" s="21" t="s">
        <v>51</v>
      </c>
      <c r="B10" s="22">
        <f>SUMPRODUCT('Ledger - May 2026'!I7:I12,'Ledger - May 2026'!J7:J12)</f>
        <v>350903364.25</v>
      </c>
    </row>
    <row r="11" spans="1:4" x14ac:dyDescent="0.55000000000000004">
      <c r="A11" s="21" t="s">
        <v>52</v>
      </c>
      <c r="B11" s="22">
        <f>'Ledger - May 2026'!E4-'Ledger - May 2026'!B4+1</f>
        <v>31</v>
      </c>
    </row>
    <row r="13" spans="1:4" x14ac:dyDescent="0.55000000000000004">
      <c r="A13" s="17" t="s">
        <v>53</v>
      </c>
      <c r="B13" s="23">
        <f>B8/B11</f>
        <v>0</v>
      </c>
    </row>
    <row r="14" spans="1:4" x14ac:dyDescent="0.55000000000000004">
      <c r="A14" s="17" t="s">
        <v>54</v>
      </c>
      <c r="B14" s="23">
        <f>B9/B11</f>
        <v>11319463.362903226</v>
      </c>
    </row>
    <row r="15" spans="1:4" x14ac:dyDescent="0.55000000000000004">
      <c r="A15" s="17" t="s">
        <v>55</v>
      </c>
      <c r="B15" s="23">
        <f>B13+B14</f>
        <v>11319463.362903226</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31244.79</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B1A1-B1CC-454C-A908-758E2B590618}">
  <dimension ref="A1:K16"/>
  <sheetViews>
    <sheetView zoomScaleNormal="100" workbookViewId="0">
      <pane ySplit="6" topLeftCell="A7" activePane="bottomLeft" state="frozen"/>
      <selection pane="bottomLeft" activeCell="H8" sqref="H8"/>
    </sheetView>
  </sheetViews>
  <sheetFormatPr defaultColWidth="8.578125" defaultRowHeight="14.4" x14ac:dyDescent="0.55000000000000004"/>
  <cols>
    <col min="1" max="1" width="12" customWidth="1"/>
    <col min="2" max="2" width="34" customWidth="1"/>
    <col min="3" max="3" width="20" customWidth="1"/>
    <col min="4" max="5" width="14" customWidth="1"/>
    <col min="6" max="6" width="18" customWidth="1"/>
    <col min="7" max="9" width="16" customWidth="1"/>
    <col min="10" max="10" width="10" customWidth="1"/>
    <col min="11" max="11" width="34" customWidth="1"/>
  </cols>
  <sheetData>
    <row r="1" spans="1:11" ht="17.7" x14ac:dyDescent="0.6">
      <c r="A1" s="1" t="s">
        <v>86</v>
      </c>
    </row>
    <row r="2" spans="1:11" x14ac:dyDescent="0.55000000000000004">
      <c r="A2" s="2" t="s">
        <v>20</v>
      </c>
    </row>
    <row r="4" spans="1:11" x14ac:dyDescent="0.55000000000000004">
      <c r="A4" s="4" t="s">
        <v>21</v>
      </c>
      <c r="B4" s="5">
        <v>46174</v>
      </c>
      <c r="D4" s="4" t="s">
        <v>22</v>
      </c>
      <c r="E4" s="6">
        <f>EOMONTH(B4,0)</f>
        <v>46203</v>
      </c>
    </row>
    <row r="6" spans="1:11" ht="30" customHeight="1" x14ac:dyDescent="0.55000000000000004">
      <c r="A6" s="7" t="s">
        <v>23</v>
      </c>
      <c r="B6" s="7" t="s">
        <v>24</v>
      </c>
      <c r="C6" s="7" t="s">
        <v>25</v>
      </c>
      <c r="D6" s="7" t="s">
        <v>26</v>
      </c>
      <c r="E6" s="7" t="s">
        <v>27</v>
      </c>
      <c r="F6" s="7" t="s">
        <v>28</v>
      </c>
      <c r="G6" s="7" t="s">
        <v>29</v>
      </c>
      <c r="H6" s="7" t="s">
        <v>30</v>
      </c>
      <c r="I6" s="7" t="s">
        <v>31</v>
      </c>
      <c r="J6" s="7" t="s">
        <v>32</v>
      </c>
      <c r="K6" s="7" t="s">
        <v>33</v>
      </c>
    </row>
    <row r="7" spans="1:11" x14ac:dyDescent="0.55000000000000004">
      <c r="A7" s="8">
        <v>46174</v>
      </c>
      <c r="B7" s="9" t="s">
        <v>67</v>
      </c>
      <c r="C7" s="9" t="s">
        <v>35</v>
      </c>
      <c r="D7" s="10"/>
      <c r="E7" s="27">
        <f>'Ledger - Jan 2026'!G11</f>
        <v>0</v>
      </c>
      <c r="F7" s="27">
        <f>'Ledger - May 2026'!H9</f>
        <v>11319244.710000001</v>
      </c>
      <c r="G7" s="12">
        <f>E7</f>
        <v>0</v>
      </c>
      <c r="H7" s="12">
        <f>F7</f>
        <v>11319244.710000001</v>
      </c>
      <c r="I7" s="12">
        <f>G7+H7</f>
        <v>11319244.710000001</v>
      </c>
      <c r="J7" s="13">
        <f>A8-A7</f>
        <v>0</v>
      </c>
      <c r="K7" s="14" t="s">
        <v>68</v>
      </c>
    </row>
    <row r="8" spans="1:11" x14ac:dyDescent="0.55000000000000004">
      <c r="A8" s="8">
        <v>46174</v>
      </c>
      <c r="B8" s="9" t="s">
        <v>87</v>
      </c>
      <c r="C8" s="9" t="s">
        <v>78</v>
      </c>
      <c r="D8" s="27">
        <f>'Alloc - Apr 2026'!B22</f>
        <v>24716.639999999999</v>
      </c>
      <c r="E8" s="27">
        <f>'Ledger - Jan 2026'!G12</f>
        <v>0</v>
      </c>
      <c r="F8" s="27">
        <f>'Alloc - May 2026'!B22</f>
        <v>31244.79</v>
      </c>
      <c r="G8" s="12">
        <f>E8</f>
        <v>0</v>
      </c>
      <c r="H8" s="12">
        <f>H7+F8</f>
        <v>11350489.5</v>
      </c>
      <c r="I8" s="12">
        <f t="shared" ref="I8" si="0">G8+H8</f>
        <v>11350489.5</v>
      </c>
      <c r="J8" s="13">
        <f>E4-A8+1</f>
        <v>30</v>
      </c>
      <c r="K8" s="14" t="s">
        <v>68</v>
      </c>
    </row>
    <row r="9" spans="1:11" x14ac:dyDescent="0.55000000000000004">
      <c r="A9" s="8"/>
      <c r="B9" s="9"/>
      <c r="C9" s="9"/>
      <c r="D9" s="27"/>
      <c r="E9" s="12"/>
      <c r="F9" s="27"/>
      <c r="G9" s="12"/>
      <c r="H9" s="12"/>
      <c r="I9" s="12"/>
      <c r="J9" s="13"/>
      <c r="K9" s="14" t="s">
        <v>71</v>
      </c>
    </row>
    <row r="10" spans="1:11" x14ac:dyDescent="0.55000000000000004">
      <c r="A10" s="8"/>
      <c r="B10" s="9"/>
      <c r="C10" s="9"/>
      <c r="D10" s="27"/>
      <c r="E10" s="11"/>
      <c r="F10" s="12"/>
      <c r="G10" s="12"/>
      <c r="H10" s="12"/>
      <c r="I10" s="12"/>
      <c r="J10" s="13"/>
      <c r="K10" s="14" t="s">
        <v>72</v>
      </c>
    </row>
    <row r="11" spans="1:11" x14ac:dyDescent="0.55000000000000004">
      <c r="A11" s="8"/>
      <c r="B11" s="9"/>
      <c r="C11" s="9"/>
      <c r="D11" s="11"/>
      <c r="E11" s="12"/>
      <c r="F11" s="11"/>
      <c r="G11" s="12"/>
      <c r="H11" s="12"/>
      <c r="I11" s="12"/>
      <c r="J11" s="13"/>
      <c r="K11" s="14" t="s">
        <v>73</v>
      </c>
    </row>
    <row r="12" spans="1:11" x14ac:dyDescent="0.55000000000000004">
      <c r="A12" s="8"/>
      <c r="B12" s="9"/>
      <c r="C12" s="9"/>
      <c r="D12" s="27"/>
      <c r="E12" s="12"/>
      <c r="F12" s="11"/>
      <c r="G12" s="12"/>
      <c r="H12" s="12"/>
      <c r="I12" s="12"/>
      <c r="J12" s="13"/>
      <c r="K12" s="14" t="s">
        <v>74</v>
      </c>
    </row>
    <row r="13" spans="1:11" x14ac:dyDescent="0.55000000000000004">
      <c r="A13" s="8"/>
      <c r="B13" s="9"/>
      <c r="C13" s="9"/>
      <c r="D13" s="11"/>
      <c r="E13" s="12"/>
      <c r="F13" s="12"/>
      <c r="G13" s="12"/>
      <c r="H13" s="12"/>
      <c r="I13" s="12"/>
      <c r="J13" s="13"/>
      <c r="K13" s="14" t="s">
        <v>75</v>
      </c>
    </row>
    <row r="15" spans="1:11" x14ac:dyDescent="0.55000000000000004">
      <c r="B15" s="15" t="s">
        <v>41</v>
      </c>
      <c r="J15" s="16">
        <f>SUM(J7:J13)</f>
        <v>30</v>
      </c>
    </row>
    <row r="16" spans="1:11" x14ac:dyDescent="0.55000000000000004">
      <c r="B16" s="15" t="s">
        <v>42</v>
      </c>
      <c r="J16" s="16">
        <f>E4-B4+1</f>
        <v>30</v>
      </c>
    </row>
  </sheetData>
  <dataValidations count="1">
    <dataValidation type="list" allowBlank="1" sqref="C7:C13" xr:uid="{E5C42572-2F54-47B5-9DD1-7C04697F5814}">
      <formula1>"CCC Advance,Monetization Deposit,Disbursement,CCC Interest,Monetization Interest,CCC Remittance,Monetization Remittance,Other"</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DD3D-9E4B-4933-9E48-BEC4DD7B2897}">
  <dimension ref="A1:D29"/>
  <sheetViews>
    <sheetView topLeftCell="A12" zoomScaleNormal="100" workbookViewId="0">
      <selection activeCell="B12" sqref="B12"/>
    </sheetView>
  </sheetViews>
  <sheetFormatPr defaultColWidth="8.578125" defaultRowHeight="14.4" x14ac:dyDescent="0.55000000000000004"/>
  <cols>
    <col min="1" max="1" width="32" customWidth="1"/>
    <col min="2" max="2" width="20" customWidth="1"/>
    <col min="3" max="3" width="3" customWidth="1"/>
    <col min="4" max="4" width="30" customWidth="1"/>
    <col min="5" max="5" width="20" customWidth="1"/>
  </cols>
  <sheetData>
    <row r="1" spans="1:4" ht="17.7" x14ac:dyDescent="0.6">
      <c r="A1" s="1" t="s">
        <v>88</v>
      </c>
    </row>
    <row r="2" spans="1:4" x14ac:dyDescent="0.55000000000000004">
      <c r="A2" s="2" t="s">
        <v>44</v>
      </c>
    </row>
    <row r="4" spans="1:4" x14ac:dyDescent="0.55000000000000004">
      <c r="A4" s="17" t="s">
        <v>45</v>
      </c>
      <c r="B4" s="18">
        <f>'Ledger - June 2026'!B4</f>
        <v>46174</v>
      </c>
    </row>
    <row r="5" spans="1:4" x14ac:dyDescent="0.55000000000000004">
      <c r="A5" s="17" t="s">
        <v>46</v>
      </c>
      <c r="B5" s="19">
        <v>30319.77</v>
      </c>
      <c r="D5" s="20" t="s">
        <v>47</v>
      </c>
    </row>
    <row r="7" spans="1:4" x14ac:dyDescent="0.55000000000000004">
      <c r="A7" s="17" t="s">
        <v>48</v>
      </c>
    </row>
    <row r="8" spans="1:4" x14ac:dyDescent="0.55000000000000004">
      <c r="A8" s="21" t="s">
        <v>49</v>
      </c>
      <c r="B8" s="22">
        <f>SUMPRODUCT('Ledger - Feb 2026'!G7:G12,'Ledger - Feb 2026'!J7:J12)</f>
        <v>0</v>
      </c>
    </row>
    <row r="9" spans="1:4" x14ac:dyDescent="0.55000000000000004">
      <c r="A9" s="21" t="s">
        <v>50</v>
      </c>
      <c r="B9" s="22">
        <f>SUMPRODUCT('Ledger - June 2026'!H7:H12,'Ledger - June 2026'!J7:J12)</f>
        <v>340514685</v>
      </c>
    </row>
    <row r="10" spans="1:4" x14ac:dyDescent="0.55000000000000004">
      <c r="A10" s="21" t="s">
        <v>51</v>
      </c>
      <c r="B10" s="22">
        <f>SUMPRODUCT('Ledger - June 2026'!I7:I12,'Ledger - June 2026'!J7:J12)</f>
        <v>340514685</v>
      </c>
    </row>
    <row r="11" spans="1:4" x14ac:dyDescent="0.55000000000000004">
      <c r="A11" s="21" t="s">
        <v>52</v>
      </c>
      <c r="B11" s="22">
        <f>'Ledger - June 2026'!E4-'Ledger - June 2026'!B4+1</f>
        <v>30</v>
      </c>
    </row>
    <row r="13" spans="1:4" x14ac:dyDescent="0.55000000000000004">
      <c r="A13" s="17" t="s">
        <v>53</v>
      </c>
      <c r="B13" s="23">
        <f>B8/B11</f>
        <v>0</v>
      </c>
    </row>
    <row r="14" spans="1:4" x14ac:dyDescent="0.55000000000000004">
      <c r="A14" s="17" t="s">
        <v>54</v>
      </c>
      <c r="B14" s="23">
        <f>B9/B11</f>
        <v>11350489.5</v>
      </c>
    </row>
    <row r="15" spans="1:4" x14ac:dyDescent="0.55000000000000004">
      <c r="A15" s="17" t="s">
        <v>55</v>
      </c>
      <c r="B15" s="23">
        <f>B13+B14</f>
        <v>11350489.5</v>
      </c>
    </row>
    <row r="17" spans="1:2" x14ac:dyDescent="0.55000000000000004">
      <c r="A17" s="17" t="s">
        <v>56</v>
      </c>
    </row>
    <row r="18" spans="1:2" x14ac:dyDescent="0.55000000000000004">
      <c r="A18" s="21" t="s">
        <v>57</v>
      </c>
      <c r="B18" s="24">
        <f>B13/B15</f>
        <v>0</v>
      </c>
    </row>
    <row r="19" spans="1:2" x14ac:dyDescent="0.55000000000000004">
      <c r="A19" s="21" t="s">
        <v>58</v>
      </c>
      <c r="B19" s="24">
        <f>B14/B15</f>
        <v>1</v>
      </c>
    </row>
    <row r="21" spans="1:2" x14ac:dyDescent="0.55000000000000004">
      <c r="A21" s="17" t="s">
        <v>59</v>
      </c>
      <c r="B21" s="25">
        <f>$B$5*B18</f>
        <v>0</v>
      </c>
    </row>
    <row r="22" spans="1:2" x14ac:dyDescent="0.55000000000000004">
      <c r="A22" s="17" t="s">
        <v>60</v>
      </c>
      <c r="B22" s="25">
        <f>$B$5*B19</f>
        <v>30319.77</v>
      </c>
    </row>
    <row r="23" spans="1:2" x14ac:dyDescent="0.55000000000000004">
      <c r="A23" s="26" t="s">
        <v>61</v>
      </c>
      <c r="B23" s="25">
        <f>B21+B22-B5</f>
        <v>0</v>
      </c>
    </row>
    <row r="25" spans="1:2" x14ac:dyDescent="0.55000000000000004">
      <c r="A25" s="17" t="s">
        <v>62</v>
      </c>
    </row>
    <row r="26" spans="1:2" ht="45" customHeight="1" x14ac:dyDescent="0.55000000000000004">
      <c r="A26" s="40" t="s">
        <v>63</v>
      </c>
      <c r="B26" s="40"/>
    </row>
    <row r="28" spans="1:2" x14ac:dyDescent="0.55000000000000004">
      <c r="A28" s="17" t="s">
        <v>64</v>
      </c>
    </row>
    <row r="29" spans="1:2" ht="54.75" customHeight="1" x14ac:dyDescent="0.55000000000000004">
      <c r="A29" s="40" t="s">
        <v>65</v>
      </c>
      <c r="B29" s="40"/>
    </row>
  </sheetData>
  <mergeCells count="2">
    <mergeCell ref="A26:B26"/>
    <mergeCell ref="A29:B29"/>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338BC3-2BE2-43FF-BFCF-A20F09FC4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696711-A815-481A-BB4D-0DFF3B2E6404}">
  <ds:schemaRefs>
    <ds:schemaRef ds:uri="http://schemas.microsoft.com/office/2006/metadata/properties"/>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dc808d36-874f-4b27-aec2-2fd649817929"/>
    <ds:schemaRef ds:uri="f2466082-b6bf-4153-98c3-3c41e85fda18"/>
    <ds:schemaRef ds:uri="http://purl.org/dc/dcmitype/"/>
  </ds:schemaRefs>
</ds:datastoreItem>
</file>

<file path=customXml/itemProps3.xml><?xml version="1.0" encoding="utf-8"?>
<ds:datastoreItem xmlns:ds="http://schemas.openxmlformats.org/officeDocument/2006/customXml" ds:itemID="{89A19C05-DB10-4716-B7A3-3B3C063061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Summary</vt:lpstr>
      <vt:lpstr>Ledger - Jan 2026</vt:lpstr>
      <vt:lpstr>Alloc - Jan 2026</vt:lpstr>
      <vt:lpstr>Ledger - Feb 2026</vt:lpstr>
      <vt:lpstr>Alloc - Feb 2026</vt:lpstr>
      <vt:lpstr>Ledger - Mar 2026</vt:lpstr>
      <vt:lpstr>Alloc - Mar 2026</vt:lpstr>
      <vt:lpstr>Ledger - Apr 2026</vt:lpstr>
      <vt:lpstr>Alloc - Apr 2026</vt:lpstr>
      <vt:lpstr>Ledger - May 2026</vt:lpstr>
      <vt:lpstr>Alloc - May 2026</vt:lpstr>
      <vt:lpstr>Ledger - June 2026</vt:lpstr>
      <vt:lpstr>Alloc - June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Danielle Martin</cp:lastModifiedBy>
  <cp:revision>0</cp:revision>
  <dcterms:created xsi:type="dcterms:W3CDTF">2026-07-06T16:46:26Z</dcterms:created>
  <dcterms:modified xsi:type="dcterms:W3CDTF">2026-07-10T19:31:03Z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