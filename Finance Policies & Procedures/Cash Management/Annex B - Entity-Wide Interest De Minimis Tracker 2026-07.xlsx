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82A7F625-64D7-45EC-A8AC-F662153C3229}" xr6:coauthVersionLast="47" xr6:coauthVersionMax="47" xr10:uidLastSave="{00000000-0000-0000-0000-000000000000}"/>
  <bookViews>
    <workbookView xWindow="-96" yWindow="-96" windowWidth="23232" windowHeight="12552" tabRatio="500" activeTab="2" xr2:uid="{00000000-000D-0000-FFFF-FFFF00000000}"/>
  </bookViews>
  <sheets>
    <sheet name="Instructions" sheetId="1" r:id="rId1"/>
    <sheet name="Award Interest Log" sheetId="2" r:id="rId2"/>
    <sheet name="Quarterly De Minimis Track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3" l="1"/>
  <c r="C9" i="3"/>
  <c r="C8" i="3"/>
  <c r="C7" i="3"/>
  <c r="D7" i="3" s="1"/>
  <c r="C5" i="3"/>
  <c r="C4" i="3"/>
  <c r="C3" i="3"/>
  <c r="C2" i="3"/>
  <c r="D2" i="3" s="1"/>
  <c r="D8" i="3" l="1"/>
  <c r="F7" i="3"/>
  <c r="G7" i="3" s="1"/>
  <c r="H7" i="3" s="1"/>
  <c r="E7" i="3"/>
  <c r="D3" i="3"/>
  <c r="F2" i="3"/>
  <c r="G2" i="3" s="1"/>
  <c r="H2" i="3" s="1"/>
  <c r="E2" i="3"/>
  <c r="D4" i="3" l="1"/>
  <c r="F3" i="3"/>
  <c r="G3" i="3" s="1"/>
  <c r="H3" i="3" s="1"/>
  <c r="E3" i="3"/>
  <c r="D9" i="3"/>
  <c r="F8" i="3"/>
  <c r="G8" i="3" s="1"/>
  <c r="H8" i="3" s="1"/>
  <c r="E8" i="3"/>
  <c r="F4" i="3" l="1"/>
  <c r="G4" i="3" s="1"/>
  <c r="H4" i="3" s="1"/>
  <c r="E4" i="3"/>
  <c r="D5" i="3"/>
  <c r="F9" i="3"/>
  <c r="G9" i="3" s="1"/>
  <c r="H9" i="3" s="1"/>
  <c r="E9" i="3"/>
  <c r="D10" i="3"/>
  <c r="F10" i="3" l="1"/>
  <c r="G10" i="3" s="1"/>
  <c r="H10" i="3" s="1"/>
  <c r="E10" i="3"/>
  <c r="F5" i="3"/>
  <c r="G5" i="3" s="1"/>
  <c r="H5" i="3" s="1"/>
  <c r="E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100-000001000000}">
      <text>
        <r>
          <rPr>
            <sz val="10"/>
            <rFont val="Arial"/>
            <family val="2"/>
          </rPr>
          <t>EXAMPLE ROW — replace with your own award data. Delete this comment once replaced.</t>
        </r>
      </text>
    </comment>
  </commentList>
</comments>
</file>

<file path=xl/sharedStrings.xml><?xml version="1.0" encoding="utf-8"?>
<sst xmlns="http://schemas.openxmlformats.org/spreadsheetml/2006/main" count="57" uniqueCount="51">
  <si>
    <t>Partners of the Americas</t>
  </si>
  <si>
    <t>Entity-Wide Interest De Minimis Tracker</t>
  </si>
  <si>
    <t>Purpose</t>
  </si>
  <si>
    <t>Why entity-wide, not per award</t>
  </si>
  <si>
    <t>How to use this workbook</t>
  </si>
  <si>
    <t>3.  When a remittance is made, enter the confirmation number, date, and preparer/approver in the blue input cells on the 'Quarterly De Minimis Tracker' tab for that quarter.</t>
  </si>
  <si>
    <t>4.  Add additional year blocks to the tracker (copy the 4-quarter format) as new calendar years begin.</t>
  </si>
  <si>
    <t>Which cells to edit</t>
  </si>
  <si>
    <t>Blue text = input cells you fill in (Award Interest Log entries; remittance confirmation, date, and preparer/approver on the Tracker tab). Black text = formulas — do not overwrite. An example row is provided on the Award Interest Log tab showing the expected format; replace it with real entries.</t>
  </si>
  <si>
    <t>Award / Agreement Number</t>
  </si>
  <si>
    <t>Award Name / Program</t>
  </si>
  <si>
    <t>Country</t>
  </si>
  <si>
    <t>Calendar Year</t>
  </si>
  <si>
    <t>Quarter</t>
  </si>
  <si>
    <t>Month</t>
  </si>
  <si>
    <t>CCC-Allocated Interest Earned ($)</t>
  </si>
  <si>
    <t>Source Workpaper Reference</t>
  </si>
  <si>
    <t>Entered By</t>
  </si>
  <si>
    <t>Date Entered</t>
  </si>
  <si>
    <t>FCC-620-2025-009-00</t>
  </si>
  <si>
    <t>McGovern-Dole Thailand Dairy Value Chain</t>
  </si>
  <si>
    <t>Thailand</t>
  </si>
  <si>
    <t>Q1</t>
  </si>
  <si>
    <t>March</t>
  </si>
  <si>
    <t>Interest Allocation Worksheet - FCC-620-2025-009-00 - March 2026</t>
  </si>
  <si>
    <t>J. Smith</t>
  </si>
  <si>
    <t>2026-04-05</t>
  </si>
  <si>
    <t>Calendar
Year</t>
  </si>
  <si>
    <t>Interest Earned
This Quarter
(All Awards)</t>
  </si>
  <si>
    <t>Cumulative YTD
Interest Earned</t>
  </si>
  <si>
    <t>Cumulative
Retainable
(≤ $500 cap)</t>
  </si>
  <si>
    <t>Cumulative Amount
Required to be
Remitted</t>
  </si>
  <si>
    <t>Amount Due to
Remit This
Quarter</t>
  </si>
  <si>
    <t>Cumulative
Remitted to
Date</t>
  </si>
  <si>
    <t>Remittance
Confirmation #</t>
  </si>
  <si>
    <t>Date
Remitted</t>
  </si>
  <si>
    <t>Prepared By /
Approved By</t>
  </si>
  <si>
    <t>Q2</t>
  </si>
  <si>
    <t>Q3</t>
  </si>
  <si>
    <t>Q4</t>
  </si>
  <si>
    <t>Legend:</t>
  </si>
  <si>
    <t>Blue text = input cells (Year, Quarter labels; remittance confirmation #, date, preparer/approver).</t>
  </si>
  <si>
    <t>Black text = formulas — do not overwrite. Column C pulls automatically from the 'Award Interest Log' tab.</t>
  </si>
  <si>
    <t>Column G ('Amount Due to Remit This Quarter') is the figure to actually remit via PMS/ASAP.gov for that quarter.</t>
  </si>
  <si>
    <t>To add a new year, copy the 4-quarter block below the last year and update the Year column; formulas reference the row directly above, so contiguous rows carry the cumulative total forward correctly.</t>
  </si>
  <si>
    <t>This workbook tracks interest earned on federal cash advances across ALL of Partners of the Americas' federal awards, combined, against the $500-per-year de minimis threshold that a non-Federal entity may retain under 2 CFR § 200.305(b)(9). Any interest earned above $500 per calendar year, entity-wide, must be remitted to appropriate donor agency per the the prime award gudiance at least annually.</t>
  </si>
  <si>
    <t>The $500 threshold applies once per year to Partners of the Americas as a whole not once per award. If Partners holds five federal awards each earning interest, all five must be combined on this single tracker before the $500 cap is applied.</t>
  </si>
  <si>
    <t>1.  Each month, after completing an award's Interest Allocation Worksheet, enter allocated interest amount as one row on the 'Award Interest Log' tab.</t>
  </si>
  <si>
    <t>2.  The 'Quarterly De Minimis Tracker' tab automatically totals every award's allocated interest by quarter and calculates the cumulative year-to-date total, the amount retainable under the $500 cap, and the amount that must be remitted.</t>
  </si>
  <si>
    <t>Note: Monetization proceeds interest</t>
  </si>
  <si>
    <t>Interest earned on monetization proceeds is NOT subject to this $500 de minimis rule and is not tracked here; it is treated as an addition to program income  and tracked on the award's own sub-ledger.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</si>
</sst>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13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3"/>
      <color rgb="FF8C6D1F"/>
      <name val="Arial"/>
      <charset val="1"/>
    </font>
    <font>
      <b/>
      <sz val="10.5"/>
      <color rgb="FF1F3864"/>
      <name val="Arial"/>
      <charset val="1"/>
    </font>
    <font>
      <sz val="10.5"/>
      <color rgb="FF000000"/>
      <name val="Arial"/>
      <charset val="1"/>
    </font>
    <font>
      <b/>
      <sz val="10"/>
      <color rgb="FFFFFFFF"/>
      <name val="Arial"/>
      <charset val="1"/>
    </font>
    <font>
      <i/>
      <sz val="10"/>
      <color rgb="FF0000FF"/>
      <name val="Arial"/>
      <charset val="1"/>
    </font>
    <font>
      <sz val="10"/>
      <color rgb="FF0000FF"/>
      <name val="Arial"/>
      <charset val="1"/>
    </font>
    <font>
      <sz val="10"/>
      <name val="Arial"/>
      <family val="2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1F3864"/>
      <name val="Arial"/>
      <charset val="1"/>
    </font>
    <font>
      <i/>
      <sz val="9.5"/>
      <color rgb="FF59595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2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6D1F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opLeftCell="A12" zoomScaleNormal="100" workbookViewId="0">
      <selection activeCell="B26" sqref="B26"/>
    </sheetView>
  </sheetViews>
  <sheetFormatPr defaultColWidth="8.68359375" defaultRowHeight="14.4" x14ac:dyDescent="0.55000000000000004"/>
  <cols>
    <col min="1" max="1" width="3" customWidth="1"/>
    <col min="2" max="2" width="92" customWidth="1"/>
  </cols>
  <sheetData>
    <row r="2" spans="2:2" ht="20.100000000000001" x14ac:dyDescent="0.7">
      <c r="B2" s="2" t="s">
        <v>0</v>
      </c>
    </row>
    <row r="3" spans="2:2" ht="16.5" x14ac:dyDescent="0.6">
      <c r="B3" s="3" t="s">
        <v>1</v>
      </c>
    </row>
    <row r="5" spans="2:2" ht="18" customHeight="1" x14ac:dyDescent="0.55000000000000004">
      <c r="B5" s="4" t="s">
        <v>2</v>
      </c>
    </row>
    <row r="6" spans="2:2" ht="52.8" x14ac:dyDescent="0.55000000000000004">
      <c r="B6" s="14" t="s">
        <v>45</v>
      </c>
    </row>
    <row r="7" spans="2:2" ht="7.5" customHeight="1" x14ac:dyDescent="0.55000000000000004">
      <c r="B7" s="5"/>
    </row>
    <row r="8" spans="2:2" ht="18" customHeight="1" x14ac:dyDescent="0.55000000000000004">
      <c r="B8" s="4" t="s">
        <v>3</v>
      </c>
    </row>
    <row r="9" spans="2:2" ht="51" customHeight="1" x14ac:dyDescent="0.55000000000000004">
      <c r="B9" s="5" t="s">
        <v>46</v>
      </c>
    </row>
    <row r="10" spans="2:2" ht="7.5" customHeight="1" x14ac:dyDescent="0.55000000000000004">
      <c r="B10" s="5"/>
    </row>
    <row r="11" spans="2:2" ht="18" customHeight="1" x14ac:dyDescent="0.55000000000000004">
      <c r="B11" s="4" t="s">
        <v>4</v>
      </c>
    </row>
    <row r="12" spans="2:2" ht="36" customHeight="1" x14ac:dyDescent="0.55000000000000004">
      <c r="B12" s="5" t="s">
        <v>47</v>
      </c>
    </row>
    <row r="13" spans="2:2" ht="51" customHeight="1" x14ac:dyDescent="0.55000000000000004">
      <c r="B13" s="5" t="s">
        <v>48</v>
      </c>
    </row>
    <row r="14" spans="2:2" ht="36" customHeight="1" x14ac:dyDescent="0.55000000000000004">
      <c r="B14" s="5" t="s">
        <v>5</v>
      </c>
    </row>
    <row r="15" spans="2:2" ht="36" customHeight="1" x14ac:dyDescent="0.55000000000000004">
      <c r="B15" s="5" t="s">
        <v>6</v>
      </c>
    </row>
    <row r="16" spans="2:2" ht="7.5" customHeight="1" x14ac:dyDescent="0.55000000000000004">
      <c r="B16" s="5"/>
    </row>
    <row r="17" spans="2:2" ht="18" customHeight="1" x14ac:dyDescent="0.55000000000000004">
      <c r="B17" s="4" t="s">
        <v>7</v>
      </c>
    </row>
    <row r="18" spans="2:2" ht="66" customHeight="1" x14ac:dyDescent="0.55000000000000004">
      <c r="B18" s="5" t="s">
        <v>8</v>
      </c>
    </row>
    <row r="19" spans="2:2" ht="7.5" customHeight="1" x14ac:dyDescent="0.55000000000000004">
      <c r="B19" s="5"/>
    </row>
    <row r="20" spans="2:2" ht="18" customHeight="1" x14ac:dyDescent="0.55000000000000004">
      <c r="B20" s="4" t="s">
        <v>49</v>
      </c>
    </row>
    <row r="21" spans="2:2" ht="51" customHeight="1" x14ac:dyDescent="0.55000000000000004">
      <c r="B21" s="5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9"/>
  <sheetViews>
    <sheetView showGridLines="0" zoomScaleNormal="100" workbookViewId="0">
      <pane ySplit="1" topLeftCell="A2" activePane="bottomLeft" state="frozen"/>
      <selection pane="bottomLeft" activeCell="C11" sqref="C11"/>
    </sheetView>
  </sheetViews>
  <sheetFormatPr defaultColWidth="8.68359375" defaultRowHeight="14.4" x14ac:dyDescent="0.55000000000000004"/>
  <cols>
    <col min="1" max="1" width="20" customWidth="1"/>
    <col min="2" max="2" width="28" customWidth="1"/>
    <col min="3" max="3" width="14" customWidth="1"/>
    <col min="4" max="4" width="12" customWidth="1"/>
    <col min="5" max="5" width="10" customWidth="1"/>
    <col min="6" max="6" width="12" customWidth="1"/>
    <col min="7" max="7" width="22" customWidth="1"/>
    <col min="8" max="8" width="32" customWidth="1"/>
    <col min="9" max="9" width="16" customWidth="1"/>
    <col min="10" max="10" width="14" customWidth="1"/>
  </cols>
  <sheetData>
    <row r="1" spans="1:10" ht="31.5" customHeight="1" x14ac:dyDescent="0.55000000000000004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</row>
    <row r="2" spans="1:10" x14ac:dyDescent="0.55000000000000004">
      <c r="A2" s="7" t="s">
        <v>19</v>
      </c>
      <c r="B2" s="8" t="s">
        <v>20</v>
      </c>
      <c r="C2" s="8" t="s">
        <v>21</v>
      </c>
      <c r="D2" s="8">
        <v>2026</v>
      </c>
      <c r="E2" s="8" t="s">
        <v>22</v>
      </c>
      <c r="F2" s="8" t="s">
        <v>23</v>
      </c>
      <c r="G2" s="9">
        <v>180</v>
      </c>
      <c r="H2" s="8" t="s">
        <v>24</v>
      </c>
      <c r="I2" s="8" t="s">
        <v>25</v>
      </c>
      <c r="J2" s="8" t="s">
        <v>26</v>
      </c>
    </row>
    <row r="3" spans="1:10" x14ac:dyDescent="0.55000000000000004">
      <c r="A3" s="8"/>
      <c r="B3" s="8"/>
      <c r="C3" s="8"/>
      <c r="D3" s="8"/>
      <c r="E3" s="8"/>
      <c r="F3" s="8"/>
      <c r="G3" s="9"/>
      <c r="H3" s="8"/>
      <c r="I3" s="8"/>
      <c r="J3" s="10"/>
    </row>
    <row r="4" spans="1:10" x14ac:dyDescent="0.55000000000000004">
      <c r="A4" s="8"/>
      <c r="B4" s="8"/>
      <c r="C4" s="8"/>
      <c r="D4" s="8"/>
      <c r="E4" s="8"/>
      <c r="F4" s="8"/>
      <c r="G4" s="9"/>
      <c r="H4" s="8"/>
      <c r="I4" s="8"/>
      <c r="J4" s="10"/>
    </row>
    <row r="5" spans="1:10" x14ac:dyDescent="0.55000000000000004">
      <c r="A5" s="8"/>
      <c r="B5" s="8"/>
      <c r="C5" s="8"/>
      <c r="D5" s="8"/>
      <c r="E5" s="8"/>
      <c r="F5" s="8"/>
      <c r="G5" s="9"/>
      <c r="H5" s="8"/>
      <c r="I5" s="8"/>
      <c r="J5" s="10"/>
    </row>
    <row r="6" spans="1:10" x14ac:dyDescent="0.55000000000000004">
      <c r="A6" s="8"/>
      <c r="B6" s="8"/>
      <c r="C6" s="8"/>
      <c r="D6" s="8"/>
      <c r="E6" s="8"/>
      <c r="F6" s="8"/>
      <c r="G6" s="9"/>
      <c r="H6" s="8"/>
      <c r="I6" s="8"/>
      <c r="J6" s="10"/>
    </row>
    <row r="7" spans="1:10" x14ac:dyDescent="0.55000000000000004">
      <c r="A7" s="8"/>
      <c r="B7" s="8"/>
      <c r="C7" s="8"/>
      <c r="D7" s="8"/>
      <c r="E7" s="8"/>
      <c r="F7" s="8"/>
      <c r="G7" s="9"/>
      <c r="H7" s="8"/>
      <c r="I7" s="8"/>
      <c r="J7" s="10"/>
    </row>
    <row r="8" spans="1:10" x14ac:dyDescent="0.55000000000000004">
      <c r="A8" s="8"/>
      <c r="B8" s="8"/>
      <c r="C8" s="8"/>
      <c r="D8" s="8"/>
      <c r="E8" s="8"/>
      <c r="F8" s="8"/>
      <c r="G8" s="9"/>
      <c r="H8" s="8"/>
      <c r="I8" s="8"/>
      <c r="J8" s="10"/>
    </row>
    <row r="9" spans="1:10" x14ac:dyDescent="0.55000000000000004">
      <c r="A9" s="8"/>
      <c r="B9" s="8"/>
      <c r="C9" s="8"/>
      <c r="D9" s="8"/>
      <c r="E9" s="8"/>
      <c r="F9" s="8"/>
      <c r="G9" s="9"/>
      <c r="H9" s="8"/>
      <c r="I9" s="8"/>
      <c r="J9" s="10"/>
    </row>
    <row r="10" spans="1:10" x14ac:dyDescent="0.55000000000000004">
      <c r="A10" s="8"/>
      <c r="B10" s="8"/>
      <c r="C10" s="8"/>
      <c r="D10" s="8"/>
      <c r="E10" s="8"/>
      <c r="F10" s="8"/>
      <c r="G10" s="9"/>
      <c r="H10" s="8"/>
      <c r="I10" s="8"/>
      <c r="J10" s="10"/>
    </row>
    <row r="11" spans="1:10" x14ac:dyDescent="0.55000000000000004">
      <c r="A11" s="8"/>
      <c r="B11" s="8"/>
      <c r="C11" s="8"/>
      <c r="D11" s="8"/>
      <c r="E11" s="8"/>
      <c r="F11" s="8"/>
      <c r="G11" s="9"/>
      <c r="H11" s="8"/>
      <c r="I11" s="8"/>
      <c r="J11" s="10"/>
    </row>
    <row r="12" spans="1:10" x14ac:dyDescent="0.55000000000000004">
      <c r="A12" s="8"/>
      <c r="B12" s="8"/>
      <c r="C12" s="8"/>
      <c r="D12" s="8"/>
      <c r="E12" s="8"/>
      <c r="F12" s="8"/>
      <c r="G12" s="9"/>
      <c r="H12" s="8"/>
      <c r="I12" s="8"/>
      <c r="J12" s="10"/>
    </row>
    <row r="13" spans="1:10" x14ac:dyDescent="0.55000000000000004">
      <c r="A13" s="8"/>
      <c r="B13" s="8"/>
      <c r="C13" s="8"/>
      <c r="D13" s="8"/>
      <c r="E13" s="8"/>
      <c r="F13" s="8"/>
      <c r="G13" s="9"/>
      <c r="H13" s="8"/>
      <c r="I13" s="8"/>
      <c r="J13" s="10"/>
    </row>
    <row r="14" spans="1:10" x14ac:dyDescent="0.55000000000000004">
      <c r="A14" s="8"/>
      <c r="B14" s="8"/>
      <c r="C14" s="8"/>
      <c r="D14" s="8"/>
      <c r="E14" s="8"/>
      <c r="F14" s="8"/>
      <c r="G14" s="9"/>
      <c r="H14" s="8"/>
      <c r="I14" s="8"/>
      <c r="J14" s="10"/>
    </row>
    <row r="15" spans="1:10" x14ac:dyDescent="0.55000000000000004">
      <c r="A15" s="8"/>
      <c r="B15" s="8"/>
      <c r="C15" s="8"/>
      <c r="D15" s="8"/>
      <c r="E15" s="8"/>
      <c r="F15" s="8"/>
      <c r="G15" s="9"/>
      <c r="H15" s="8"/>
      <c r="I15" s="8"/>
      <c r="J15" s="10"/>
    </row>
    <row r="16" spans="1:10" x14ac:dyDescent="0.55000000000000004">
      <c r="A16" s="8"/>
      <c r="B16" s="8"/>
      <c r="C16" s="8"/>
      <c r="D16" s="8"/>
      <c r="E16" s="8"/>
      <c r="F16" s="8"/>
      <c r="G16" s="9"/>
      <c r="H16" s="8"/>
      <c r="I16" s="8"/>
      <c r="J16" s="10"/>
    </row>
    <row r="17" spans="1:10" x14ac:dyDescent="0.55000000000000004">
      <c r="A17" s="8"/>
      <c r="B17" s="8"/>
      <c r="C17" s="8"/>
      <c r="D17" s="8"/>
      <c r="E17" s="8"/>
      <c r="F17" s="8"/>
      <c r="G17" s="9"/>
      <c r="H17" s="8"/>
      <c r="I17" s="8"/>
      <c r="J17" s="10"/>
    </row>
    <row r="18" spans="1:10" x14ac:dyDescent="0.55000000000000004">
      <c r="A18" s="8"/>
      <c r="B18" s="8"/>
      <c r="C18" s="8"/>
      <c r="D18" s="8"/>
      <c r="E18" s="8"/>
      <c r="F18" s="8"/>
      <c r="G18" s="9"/>
      <c r="H18" s="8"/>
      <c r="I18" s="8"/>
      <c r="J18" s="10"/>
    </row>
    <row r="19" spans="1:10" x14ac:dyDescent="0.55000000000000004">
      <c r="A19" s="8"/>
      <c r="B19" s="8"/>
      <c r="C19" s="8"/>
      <c r="D19" s="8"/>
      <c r="E19" s="8"/>
      <c r="F19" s="8"/>
      <c r="G19" s="9"/>
      <c r="H19" s="8"/>
      <c r="I19" s="8"/>
      <c r="J19" s="10"/>
    </row>
    <row r="20" spans="1:10" x14ac:dyDescent="0.55000000000000004">
      <c r="A20" s="8"/>
      <c r="B20" s="8"/>
      <c r="C20" s="8"/>
      <c r="D20" s="8"/>
      <c r="E20" s="8"/>
      <c r="F20" s="8"/>
      <c r="G20" s="9"/>
      <c r="H20" s="8"/>
      <c r="I20" s="8"/>
      <c r="J20" s="10"/>
    </row>
    <row r="21" spans="1:10" x14ac:dyDescent="0.55000000000000004">
      <c r="A21" s="8"/>
      <c r="B21" s="8"/>
      <c r="C21" s="8"/>
      <c r="D21" s="8"/>
      <c r="E21" s="8"/>
      <c r="F21" s="8"/>
      <c r="G21" s="9"/>
      <c r="H21" s="8"/>
      <c r="I21" s="8"/>
      <c r="J21" s="10"/>
    </row>
    <row r="22" spans="1:10" x14ac:dyDescent="0.55000000000000004">
      <c r="A22" s="8"/>
      <c r="B22" s="8"/>
      <c r="C22" s="8"/>
      <c r="D22" s="8"/>
      <c r="E22" s="8"/>
      <c r="F22" s="8"/>
      <c r="G22" s="9"/>
      <c r="H22" s="8"/>
      <c r="I22" s="8"/>
      <c r="J22" s="10"/>
    </row>
    <row r="23" spans="1:10" x14ac:dyDescent="0.55000000000000004">
      <c r="A23" s="8"/>
      <c r="B23" s="8"/>
      <c r="C23" s="8"/>
      <c r="D23" s="8"/>
      <c r="E23" s="8"/>
      <c r="F23" s="8"/>
      <c r="G23" s="9"/>
      <c r="H23" s="8"/>
      <c r="I23" s="8"/>
      <c r="J23" s="10"/>
    </row>
    <row r="24" spans="1:10" x14ac:dyDescent="0.55000000000000004">
      <c r="A24" s="8"/>
      <c r="B24" s="8"/>
      <c r="C24" s="8"/>
      <c r="D24" s="8"/>
      <c r="E24" s="8"/>
      <c r="F24" s="8"/>
      <c r="G24" s="9"/>
      <c r="H24" s="8"/>
      <c r="I24" s="8"/>
      <c r="J24" s="10"/>
    </row>
    <row r="25" spans="1:10" x14ac:dyDescent="0.55000000000000004">
      <c r="A25" s="8"/>
      <c r="B25" s="8"/>
      <c r="C25" s="8"/>
      <c r="D25" s="8"/>
      <c r="E25" s="8"/>
      <c r="F25" s="8"/>
      <c r="G25" s="9"/>
      <c r="H25" s="8"/>
      <c r="I25" s="8"/>
      <c r="J25" s="10"/>
    </row>
    <row r="26" spans="1:10" x14ac:dyDescent="0.55000000000000004">
      <c r="A26" s="8"/>
      <c r="B26" s="8"/>
      <c r="C26" s="8"/>
      <c r="D26" s="8"/>
      <c r="E26" s="8"/>
      <c r="F26" s="8"/>
      <c r="G26" s="9"/>
      <c r="H26" s="8"/>
      <c r="I26" s="8"/>
      <c r="J26" s="10"/>
    </row>
    <row r="27" spans="1:10" x14ac:dyDescent="0.55000000000000004">
      <c r="A27" s="8"/>
      <c r="B27" s="8"/>
      <c r="C27" s="8"/>
      <c r="D27" s="8"/>
      <c r="E27" s="8"/>
      <c r="F27" s="8"/>
      <c r="G27" s="9"/>
      <c r="H27" s="8"/>
      <c r="I27" s="8"/>
      <c r="J27" s="10"/>
    </row>
    <row r="28" spans="1:10" x14ac:dyDescent="0.55000000000000004">
      <c r="A28" s="8"/>
      <c r="B28" s="8"/>
      <c r="C28" s="8"/>
      <c r="D28" s="8"/>
      <c r="E28" s="8"/>
      <c r="F28" s="8"/>
      <c r="G28" s="9"/>
      <c r="H28" s="8"/>
      <c r="I28" s="8"/>
      <c r="J28" s="10"/>
    </row>
    <row r="29" spans="1:10" x14ac:dyDescent="0.55000000000000004">
      <c r="A29" s="8"/>
      <c r="B29" s="8"/>
      <c r="C29" s="8"/>
      <c r="D29" s="8"/>
      <c r="E29" s="8"/>
      <c r="F29" s="8"/>
      <c r="G29" s="9"/>
      <c r="H29" s="8"/>
      <c r="I29" s="8"/>
      <c r="J29" s="10"/>
    </row>
    <row r="30" spans="1:10" x14ac:dyDescent="0.55000000000000004">
      <c r="A30" s="8"/>
      <c r="B30" s="8"/>
      <c r="C30" s="8"/>
      <c r="D30" s="8"/>
      <c r="E30" s="8"/>
      <c r="F30" s="8"/>
      <c r="G30" s="9"/>
      <c r="H30" s="8"/>
      <c r="I30" s="8"/>
      <c r="J30" s="10"/>
    </row>
    <row r="31" spans="1:10" x14ac:dyDescent="0.55000000000000004">
      <c r="A31" s="8"/>
      <c r="B31" s="8"/>
      <c r="C31" s="8"/>
      <c r="D31" s="8"/>
      <c r="E31" s="8"/>
      <c r="F31" s="8"/>
      <c r="G31" s="9"/>
      <c r="H31" s="8"/>
      <c r="I31" s="8"/>
      <c r="J31" s="10"/>
    </row>
    <row r="32" spans="1:10" x14ac:dyDescent="0.55000000000000004">
      <c r="A32" s="8"/>
      <c r="B32" s="8"/>
      <c r="C32" s="8"/>
      <c r="D32" s="8"/>
      <c r="E32" s="8"/>
      <c r="F32" s="8"/>
      <c r="G32" s="9"/>
      <c r="H32" s="8"/>
      <c r="I32" s="8"/>
      <c r="J32" s="10"/>
    </row>
    <row r="33" spans="1:10" x14ac:dyDescent="0.55000000000000004">
      <c r="A33" s="8"/>
      <c r="B33" s="8"/>
      <c r="C33" s="8"/>
      <c r="D33" s="8"/>
      <c r="E33" s="8"/>
      <c r="F33" s="8"/>
      <c r="G33" s="9"/>
      <c r="H33" s="8"/>
      <c r="I33" s="8"/>
      <c r="J33" s="10"/>
    </row>
    <row r="34" spans="1:10" x14ac:dyDescent="0.55000000000000004">
      <c r="A34" s="8"/>
      <c r="B34" s="8"/>
      <c r="C34" s="8"/>
      <c r="D34" s="8"/>
      <c r="E34" s="8"/>
      <c r="F34" s="8"/>
      <c r="G34" s="9"/>
      <c r="H34" s="8"/>
      <c r="I34" s="8"/>
      <c r="J34" s="10"/>
    </row>
    <row r="35" spans="1:10" x14ac:dyDescent="0.55000000000000004">
      <c r="A35" s="8"/>
      <c r="B35" s="8"/>
      <c r="C35" s="8"/>
      <c r="D35" s="8"/>
      <c r="E35" s="8"/>
      <c r="F35" s="8"/>
      <c r="G35" s="9"/>
      <c r="H35" s="8"/>
      <c r="I35" s="8"/>
      <c r="J35" s="10"/>
    </row>
    <row r="36" spans="1:10" x14ac:dyDescent="0.55000000000000004">
      <c r="A36" s="8"/>
      <c r="B36" s="8"/>
      <c r="C36" s="8"/>
      <c r="D36" s="8"/>
      <c r="E36" s="8"/>
      <c r="F36" s="8"/>
      <c r="G36" s="9"/>
      <c r="H36" s="8"/>
      <c r="I36" s="8"/>
      <c r="J36" s="10"/>
    </row>
    <row r="37" spans="1:10" x14ac:dyDescent="0.55000000000000004">
      <c r="A37" s="8"/>
      <c r="B37" s="8"/>
      <c r="C37" s="8"/>
      <c r="D37" s="8"/>
      <c r="E37" s="8"/>
      <c r="F37" s="8"/>
      <c r="G37" s="9"/>
      <c r="H37" s="8"/>
      <c r="I37" s="8"/>
      <c r="J37" s="10"/>
    </row>
    <row r="38" spans="1:10" x14ac:dyDescent="0.55000000000000004">
      <c r="A38" s="8"/>
      <c r="B38" s="8"/>
      <c r="C38" s="8"/>
      <c r="D38" s="8"/>
      <c r="E38" s="8"/>
      <c r="F38" s="8"/>
      <c r="G38" s="9"/>
      <c r="H38" s="8"/>
      <c r="I38" s="8"/>
      <c r="J38" s="10"/>
    </row>
    <row r="39" spans="1:10" x14ac:dyDescent="0.55000000000000004">
      <c r="A39" s="8"/>
      <c r="B39" s="8"/>
      <c r="C39" s="8"/>
      <c r="D39" s="8"/>
      <c r="E39" s="8"/>
      <c r="F39" s="8"/>
      <c r="G39" s="9"/>
      <c r="H39" s="8"/>
      <c r="I39" s="8"/>
      <c r="J39" s="10"/>
    </row>
    <row r="40" spans="1:10" x14ac:dyDescent="0.55000000000000004">
      <c r="A40" s="8"/>
      <c r="B40" s="8"/>
      <c r="C40" s="8"/>
      <c r="D40" s="8"/>
      <c r="E40" s="8"/>
      <c r="F40" s="8"/>
      <c r="G40" s="9"/>
      <c r="H40" s="8"/>
      <c r="I40" s="8"/>
      <c r="J40" s="10"/>
    </row>
    <row r="41" spans="1:10" x14ac:dyDescent="0.55000000000000004">
      <c r="A41" s="8"/>
      <c r="B41" s="8"/>
      <c r="C41" s="8"/>
      <c r="D41" s="8"/>
      <c r="E41" s="8"/>
      <c r="F41" s="8"/>
      <c r="G41" s="9"/>
      <c r="H41" s="8"/>
      <c r="I41" s="8"/>
      <c r="J41" s="10"/>
    </row>
    <row r="42" spans="1:10" x14ac:dyDescent="0.55000000000000004">
      <c r="A42" s="8"/>
      <c r="B42" s="8"/>
      <c r="C42" s="8"/>
      <c r="D42" s="8"/>
      <c r="E42" s="8"/>
      <c r="F42" s="8"/>
      <c r="G42" s="9"/>
      <c r="H42" s="8"/>
      <c r="I42" s="8"/>
      <c r="J42" s="10"/>
    </row>
    <row r="43" spans="1:10" x14ac:dyDescent="0.55000000000000004">
      <c r="A43" s="8"/>
      <c r="B43" s="8"/>
      <c r="C43" s="8"/>
      <c r="D43" s="8"/>
      <c r="E43" s="8"/>
      <c r="F43" s="8"/>
      <c r="G43" s="9"/>
      <c r="H43" s="8"/>
      <c r="I43" s="8"/>
      <c r="J43" s="10"/>
    </row>
    <row r="44" spans="1:10" x14ac:dyDescent="0.55000000000000004">
      <c r="A44" s="8"/>
      <c r="B44" s="8"/>
      <c r="C44" s="8"/>
      <c r="D44" s="8"/>
      <c r="E44" s="8"/>
      <c r="F44" s="8"/>
      <c r="G44" s="9"/>
      <c r="H44" s="8"/>
      <c r="I44" s="8"/>
      <c r="J44" s="10"/>
    </row>
    <row r="45" spans="1:10" x14ac:dyDescent="0.55000000000000004">
      <c r="A45" s="8"/>
      <c r="B45" s="8"/>
      <c r="C45" s="8"/>
      <c r="D45" s="8"/>
      <c r="E45" s="8"/>
      <c r="F45" s="8"/>
      <c r="G45" s="9"/>
      <c r="H45" s="8"/>
      <c r="I45" s="8"/>
      <c r="J45" s="10"/>
    </row>
    <row r="46" spans="1:10" x14ac:dyDescent="0.55000000000000004">
      <c r="A46" s="8"/>
      <c r="B46" s="8"/>
      <c r="C46" s="8"/>
      <c r="D46" s="8"/>
      <c r="E46" s="8"/>
      <c r="F46" s="8"/>
      <c r="G46" s="9"/>
      <c r="H46" s="8"/>
      <c r="I46" s="8"/>
      <c r="J46" s="10"/>
    </row>
    <row r="47" spans="1:10" x14ac:dyDescent="0.55000000000000004">
      <c r="A47" s="8"/>
      <c r="B47" s="8"/>
      <c r="C47" s="8"/>
      <c r="D47" s="8"/>
      <c r="E47" s="8"/>
      <c r="F47" s="8"/>
      <c r="G47" s="9"/>
      <c r="H47" s="8"/>
      <c r="I47" s="8"/>
      <c r="J47" s="10"/>
    </row>
    <row r="48" spans="1:10" x14ac:dyDescent="0.55000000000000004">
      <c r="A48" s="8"/>
      <c r="B48" s="8"/>
      <c r="C48" s="8"/>
      <c r="D48" s="8"/>
      <c r="E48" s="8"/>
      <c r="F48" s="8"/>
      <c r="G48" s="9"/>
      <c r="H48" s="8"/>
      <c r="I48" s="8"/>
      <c r="J48" s="10"/>
    </row>
    <row r="49" spans="1:10" x14ac:dyDescent="0.55000000000000004">
      <c r="A49" s="8"/>
      <c r="B49" s="8"/>
      <c r="C49" s="8"/>
      <c r="D49" s="8"/>
      <c r="E49" s="8"/>
      <c r="F49" s="8"/>
      <c r="G49" s="9"/>
      <c r="H49" s="8"/>
      <c r="I49" s="8"/>
      <c r="J49" s="10"/>
    </row>
    <row r="50" spans="1:10" x14ac:dyDescent="0.55000000000000004">
      <c r="A50" s="8"/>
      <c r="B50" s="8"/>
      <c r="C50" s="8"/>
      <c r="D50" s="8"/>
      <c r="E50" s="8"/>
      <c r="F50" s="8"/>
      <c r="G50" s="9"/>
      <c r="H50" s="8"/>
      <c r="I50" s="8"/>
      <c r="J50" s="10"/>
    </row>
    <row r="51" spans="1:10" x14ac:dyDescent="0.55000000000000004">
      <c r="A51" s="8"/>
      <c r="B51" s="8"/>
      <c r="C51" s="8"/>
      <c r="D51" s="8"/>
      <c r="E51" s="8"/>
      <c r="F51" s="8"/>
      <c r="G51" s="9"/>
      <c r="H51" s="8"/>
      <c r="I51" s="8"/>
      <c r="J51" s="10"/>
    </row>
    <row r="52" spans="1:10" x14ac:dyDescent="0.55000000000000004">
      <c r="A52" s="8"/>
      <c r="B52" s="8"/>
      <c r="C52" s="8"/>
      <c r="D52" s="8"/>
      <c r="E52" s="8"/>
      <c r="F52" s="8"/>
      <c r="G52" s="9"/>
      <c r="H52" s="8"/>
      <c r="I52" s="8"/>
      <c r="J52" s="10"/>
    </row>
    <row r="53" spans="1:10" x14ac:dyDescent="0.55000000000000004">
      <c r="A53" s="8"/>
      <c r="B53" s="8"/>
      <c r="C53" s="8"/>
      <c r="D53" s="8"/>
      <c r="E53" s="8"/>
      <c r="F53" s="8"/>
      <c r="G53" s="9"/>
      <c r="H53" s="8"/>
      <c r="I53" s="8"/>
      <c r="J53" s="10"/>
    </row>
    <row r="54" spans="1:10" x14ac:dyDescent="0.55000000000000004">
      <c r="A54" s="8"/>
      <c r="B54" s="8"/>
      <c r="C54" s="8"/>
      <c r="D54" s="8"/>
      <c r="E54" s="8"/>
      <c r="F54" s="8"/>
      <c r="G54" s="9"/>
      <c r="H54" s="8"/>
      <c r="I54" s="8"/>
      <c r="J54" s="10"/>
    </row>
    <row r="55" spans="1:10" x14ac:dyDescent="0.55000000000000004">
      <c r="A55" s="8"/>
      <c r="B55" s="8"/>
      <c r="C55" s="8"/>
      <c r="D55" s="8"/>
      <c r="E55" s="8"/>
      <c r="F55" s="8"/>
      <c r="G55" s="9"/>
      <c r="H55" s="8"/>
      <c r="I55" s="8"/>
      <c r="J55" s="10"/>
    </row>
    <row r="56" spans="1:10" x14ac:dyDescent="0.55000000000000004">
      <c r="A56" s="8"/>
      <c r="B56" s="8"/>
      <c r="C56" s="8"/>
      <c r="D56" s="8"/>
      <c r="E56" s="8"/>
      <c r="F56" s="8"/>
      <c r="G56" s="9"/>
      <c r="H56" s="8"/>
      <c r="I56" s="8"/>
      <c r="J56" s="10"/>
    </row>
    <row r="57" spans="1:10" x14ac:dyDescent="0.55000000000000004">
      <c r="A57" s="8"/>
      <c r="B57" s="8"/>
      <c r="C57" s="8"/>
      <c r="D57" s="8"/>
      <c r="E57" s="8"/>
      <c r="F57" s="8"/>
      <c r="G57" s="9"/>
      <c r="H57" s="8"/>
      <c r="I57" s="8"/>
      <c r="J57" s="10"/>
    </row>
    <row r="58" spans="1:10" x14ac:dyDescent="0.55000000000000004">
      <c r="A58" s="8"/>
      <c r="B58" s="8"/>
      <c r="C58" s="8"/>
      <c r="D58" s="8"/>
      <c r="E58" s="8"/>
      <c r="F58" s="8"/>
      <c r="G58" s="9"/>
      <c r="H58" s="8"/>
      <c r="I58" s="8"/>
      <c r="J58" s="10"/>
    </row>
    <row r="59" spans="1:10" x14ac:dyDescent="0.55000000000000004">
      <c r="A59" s="8"/>
      <c r="B59" s="8"/>
      <c r="C59" s="8"/>
      <c r="D59" s="8"/>
      <c r="E59" s="8"/>
      <c r="F59" s="8"/>
      <c r="G59" s="9"/>
      <c r="H59" s="8"/>
      <c r="I59" s="8"/>
      <c r="J59" s="10"/>
    </row>
  </sheetData>
  <dataValidations count="1">
    <dataValidation type="list" allowBlank="1" sqref="E2:E60" xr:uid="{00000000-0002-0000-0100-000000000000}">
      <formula1>"Q1,Q2,Q3,Q4"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7"/>
  <sheetViews>
    <sheetView showGridLines="0" tabSelected="1" zoomScaleNormal="100" workbookViewId="0">
      <pane ySplit="1" topLeftCell="A2" activePane="bottomLeft" state="frozen"/>
      <selection pane="bottomLeft" activeCell="A3" sqref="A3"/>
    </sheetView>
  </sheetViews>
  <sheetFormatPr defaultColWidth="8.68359375" defaultRowHeight="14.4" x14ac:dyDescent="0.55000000000000004"/>
  <cols>
    <col min="1" max="2" width="8" customWidth="1"/>
    <col min="3" max="4" width="15" customWidth="1"/>
    <col min="5" max="5" width="13" customWidth="1"/>
    <col min="6" max="6" width="16" customWidth="1"/>
    <col min="7" max="8" width="14" customWidth="1"/>
    <col min="9" max="9" width="16" customWidth="1"/>
    <col min="10" max="10" width="12" customWidth="1"/>
    <col min="11" max="11" width="16" customWidth="1"/>
  </cols>
  <sheetData>
    <row r="1" spans="1:11" ht="45.75" customHeight="1" x14ac:dyDescent="0.55000000000000004">
      <c r="A1" s="6" t="s">
        <v>27</v>
      </c>
      <c r="B1" s="6" t="s">
        <v>13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</row>
    <row r="2" spans="1:11" x14ac:dyDescent="0.55000000000000004">
      <c r="A2" s="8">
        <v>2025</v>
      </c>
      <c r="B2" s="8" t="s">
        <v>22</v>
      </c>
      <c r="C2" s="11">
        <f>SUMIFS('Award Interest Log'!G:G,'Award Interest Log'!D:D,A2,'Award Interest Log'!E:E,B2)</f>
        <v>0</v>
      </c>
      <c r="D2" s="11">
        <f>C2</f>
        <v>0</v>
      </c>
      <c r="E2" s="11">
        <f>MIN(500,D2)</f>
        <v>0</v>
      </c>
      <c r="F2" s="11">
        <f>MAX(0,D2-500)</f>
        <v>0</v>
      </c>
      <c r="G2" s="12">
        <f>F2</f>
        <v>0</v>
      </c>
      <c r="H2" s="11">
        <f>G2</f>
        <v>0</v>
      </c>
      <c r="I2" s="8"/>
      <c r="J2" s="10"/>
      <c r="K2" s="8"/>
    </row>
    <row r="3" spans="1:11" x14ac:dyDescent="0.55000000000000004">
      <c r="A3" s="8">
        <v>2025</v>
      </c>
      <c r="B3" s="8" t="s">
        <v>37</v>
      </c>
      <c r="C3" s="11">
        <f>SUMIFS('Award Interest Log'!G:G,'Award Interest Log'!D:D,A3,'Award Interest Log'!E:E,B3)</f>
        <v>0</v>
      </c>
      <c r="D3" s="11">
        <f>D2+C3</f>
        <v>0</v>
      </c>
      <c r="E3" s="11">
        <f>MIN(500,D3)</f>
        <v>0</v>
      </c>
      <c r="F3" s="11">
        <f>MAX(0,D3-500)</f>
        <v>0</v>
      </c>
      <c r="G3" s="12">
        <f>F3-F2</f>
        <v>0</v>
      </c>
      <c r="H3" s="11">
        <f>H2+G3</f>
        <v>0</v>
      </c>
      <c r="I3" s="8"/>
      <c r="J3" s="10"/>
      <c r="K3" s="8"/>
    </row>
    <row r="4" spans="1:11" x14ac:dyDescent="0.55000000000000004">
      <c r="A4" s="8">
        <v>2025</v>
      </c>
      <c r="B4" s="8" t="s">
        <v>38</v>
      </c>
      <c r="C4" s="11">
        <f>SUMIFS('Award Interest Log'!G:G,'Award Interest Log'!D:D,A4,'Award Interest Log'!E:E,B4)</f>
        <v>0</v>
      </c>
      <c r="D4" s="11">
        <f>D3+C4</f>
        <v>0</v>
      </c>
      <c r="E4" s="11">
        <f>MIN(500,D4)</f>
        <v>0</v>
      </c>
      <c r="F4" s="11">
        <f>MAX(0,D4-500)</f>
        <v>0</v>
      </c>
      <c r="G4" s="12">
        <f>F4-F3</f>
        <v>0</v>
      </c>
      <c r="H4" s="11">
        <f>H3+G4</f>
        <v>0</v>
      </c>
      <c r="I4" s="8"/>
      <c r="J4" s="10"/>
      <c r="K4" s="8"/>
    </row>
    <row r="5" spans="1:11" x14ac:dyDescent="0.55000000000000004">
      <c r="A5" s="8">
        <v>2025</v>
      </c>
      <c r="B5" s="8" t="s">
        <v>39</v>
      </c>
      <c r="C5" s="11">
        <f>SUMIFS('Award Interest Log'!G:G,'Award Interest Log'!D:D,A5,'Award Interest Log'!E:E,B5)</f>
        <v>0</v>
      </c>
      <c r="D5" s="11">
        <f>D4+C5</f>
        <v>0</v>
      </c>
      <c r="E5" s="11">
        <f>MIN(500,D5)</f>
        <v>0</v>
      </c>
      <c r="F5" s="11">
        <f>MAX(0,D5-500)</f>
        <v>0</v>
      </c>
      <c r="G5" s="12">
        <f>F5-F4</f>
        <v>0</v>
      </c>
      <c r="H5" s="11">
        <f>H4+G5</f>
        <v>0</v>
      </c>
      <c r="I5" s="8"/>
      <c r="J5" s="10"/>
      <c r="K5" s="8"/>
    </row>
    <row r="7" spans="1:11" x14ac:dyDescent="0.55000000000000004">
      <c r="A7" s="8">
        <v>2026</v>
      </c>
      <c r="B7" s="8" t="s">
        <v>22</v>
      </c>
      <c r="C7" s="11">
        <f>SUMIFS('Award Interest Log'!G:G,'Award Interest Log'!D:D,A7,'Award Interest Log'!E:E,B7)</f>
        <v>180</v>
      </c>
      <c r="D7" s="11">
        <f>C7</f>
        <v>180</v>
      </c>
      <c r="E7" s="11">
        <f>MIN(500,D7)</f>
        <v>180</v>
      </c>
      <c r="F7" s="11">
        <f>MAX(0,D7-500)</f>
        <v>0</v>
      </c>
      <c r="G7" s="12">
        <f>F7</f>
        <v>0</v>
      </c>
      <c r="H7" s="11">
        <f>G7</f>
        <v>0</v>
      </c>
      <c r="I7" s="8"/>
      <c r="J7" s="10"/>
      <c r="K7" s="8"/>
    </row>
    <row r="8" spans="1:11" x14ac:dyDescent="0.55000000000000004">
      <c r="A8" s="8">
        <v>2026</v>
      </c>
      <c r="B8" s="8" t="s">
        <v>37</v>
      </c>
      <c r="C8" s="11">
        <f>SUMIFS('Award Interest Log'!G:G,'Award Interest Log'!D:D,A8,'Award Interest Log'!E:E,B8)</f>
        <v>0</v>
      </c>
      <c r="D8" s="11">
        <f>D7+C8</f>
        <v>180</v>
      </c>
      <c r="E8" s="11">
        <f>MIN(500,D8)</f>
        <v>180</v>
      </c>
      <c r="F8" s="11">
        <f>MAX(0,D8-500)</f>
        <v>0</v>
      </c>
      <c r="G8" s="12">
        <f>F8-F7</f>
        <v>0</v>
      </c>
      <c r="H8" s="11">
        <f>H7+G8</f>
        <v>0</v>
      </c>
      <c r="I8" s="8"/>
      <c r="J8" s="10"/>
      <c r="K8" s="8"/>
    </row>
    <row r="9" spans="1:11" x14ac:dyDescent="0.55000000000000004">
      <c r="A9" s="8">
        <v>2026</v>
      </c>
      <c r="B9" s="8" t="s">
        <v>38</v>
      </c>
      <c r="C9" s="11">
        <f>SUMIFS('Award Interest Log'!G:G,'Award Interest Log'!D:D,A9,'Award Interest Log'!E:E,B9)</f>
        <v>0</v>
      </c>
      <c r="D9" s="11">
        <f>D8+C9</f>
        <v>180</v>
      </c>
      <c r="E9" s="11">
        <f>MIN(500,D9)</f>
        <v>180</v>
      </c>
      <c r="F9" s="11">
        <f>MAX(0,D9-500)</f>
        <v>0</v>
      </c>
      <c r="G9" s="12">
        <f>F9-F8</f>
        <v>0</v>
      </c>
      <c r="H9" s="11">
        <f>H8+G9</f>
        <v>0</v>
      </c>
      <c r="I9" s="8"/>
      <c r="J9" s="10"/>
      <c r="K9" s="8"/>
    </row>
    <row r="10" spans="1:11" x14ac:dyDescent="0.55000000000000004">
      <c r="A10" s="8">
        <v>2026</v>
      </c>
      <c r="B10" s="8" t="s">
        <v>39</v>
      </c>
      <c r="C10" s="11">
        <f>SUMIFS('Award Interest Log'!G:G,'Award Interest Log'!D:D,A10,'Award Interest Log'!E:E,B10)</f>
        <v>0</v>
      </c>
      <c r="D10" s="11">
        <f>D9+C10</f>
        <v>180</v>
      </c>
      <c r="E10" s="11">
        <f>MIN(500,D10)</f>
        <v>180</v>
      </c>
      <c r="F10" s="11">
        <f>MAX(0,D10-500)</f>
        <v>0</v>
      </c>
      <c r="G10" s="12">
        <f>F10-F9</f>
        <v>0</v>
      </c>
      <c r="H10" s="11">
        <f>H9+G10</f>
        <v>0</v>
      </c>
      <c r="I10" s="8"/>
      <c r="J10" s="10"/>
      <c r="K10" s="8"/>
    </row>
    <row r="13" spans="1:11" x14ac:dyDescent="0.55000000000000004">
      <c r="A13" s="13" t="s">
        <v>40</v>
      </c>
    </row>
    <row r="14" spans="1:11" x14ac:dyDescent="0.55000000000000004">
      <c r="A14" s="1" t="s">
        <v>41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55000000000000004">
      <c r="A15" s="1" t="s">
        <v>42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55000000000000004">
      <c r="A16" s="1" t="s">
        <v>43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55000000000000004">
      <c r="A17" s="1" t="s">
        <v>44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mergeCells count="4">
    <mergeCell ref="A14:K14"/>
    <mergeCell ref="A15:K15"/>
    <mergeCell ref="A16:K16"/>
    <mergeCell ref="A17:K17"/>
  </mergeCells>
  <pageMargins left="0.75" right="0.75" top="1" bottom="1" header="0.511811023622047" footer="0.511811023622047"/>
  <pageSetup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31588899-0E84-4706-B6EB-978C64985AB1}"/>
</file>

<file path=customXml/itemProps2.xml><?xml version="1.0" encoding="utf-8"?>
<ds:datastoreItem xmlns:ds="http://schemas.openxmlformats.org/officeDocument/2006/customXml" ds:itemID="{F9315C60-4E74-4DCD-9982-4D455F593160}"/>
</file>

<file path=customXml/itemProps3.xml><?xml version="1.0" encoding="utf-8"?>
<ds:datastoreItem xmlns:ds="http://schemas.openxmlformats.org/officeDocument/2006/customXml" ds:itemID="{1E31F538-73B6-479C-A83E-EB1703DAB9E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Award Interest Log</vt:lpstr>
      <vt:lpstr>Quarterly De Minimis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Danielle Martin</cp:lastModifiedBy>
  <cp:revision>0</cp:revision>
  <dcterms:created xsi:type="dcterms:W3CDTF">2026-07-10T17:52:00Z</dcterms:created>
  <dcterms:modified xsi:type="dcterms:W3CDTF">2026-07-10T19:38:43Z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