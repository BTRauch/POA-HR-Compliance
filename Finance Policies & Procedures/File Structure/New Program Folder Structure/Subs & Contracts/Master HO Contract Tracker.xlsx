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Programs/EDH/USDA601/Subs &amp; Contracts/"/>
    </mc:Choice>
  </mc:AlternateContent>
  <xr:revisionPtr revIDLastSave="119" documentId="13_ncr:1_{661D98D7-5598-4DAB-BFF7-19B6EEBD1941}" xr6:coauthVersionLast="47" xr6:coauthVersionMax="47" xr10:uidLastSave="{84E3D86B-D576-4225-A7F4-CF3B3B7C866A}"/>
  <bookViews>
    <workbookView xWindow="-28920" yWindow="-120" windowWidth="29040" windowHeight="15840" xr2:uid="{26DD4613-3FAC-4443-92A8-9B339D8C4DB9}"/>
  </bookViews>
  <sheets>
    <sheet name="2025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</calcChain>
</file>

<file path=xl/sharedStrings.xml><?xml version="1.0" encoding="utf-8"?>
<sst xmlns="http://schemas.openxmlformats.org/spreadsheetml/2006/main" count="104" uniqueCount="68">
  <si>
    <t>USDA Food for Progress Tunisia - HO Master Contract Tracker</t>
  </si>
  <si>
    <t>In Process</t>
  </si>
  <si>
    <t>Last Updated: 06/18/2025</t>
  </si>
  <si>
    <t>Completed</t>
  </si>
  <si>
    <t>No.</t>
  </si>
  <si>
    <t>Contract ID</t>
  </si>
  <si>
    <t>Vendor</t>
  </si>
  <si>
    <t>Purpose</t>
  </si>
  <si>
    <t>Budget Category</t>
  </si>
  <si>
    <t>Contract Type</t>
  </si>
  <si>
    <t>Amount</t>
  </si>
  <si>
    <t>Period of Performance</t>
  </si>
  <si>
    <t>Status</t>
  </si>
  <si>
    <t>Stage</t>
  </si>
  <si>
    <t># of Deliverables</t>
  </si>
  <si>
    <t>Total Paid to Date</t>
  </si>
  <si>
    <t>Termination Notice</t>
  </si>
  <si>
    <t>N/A</t>
  </si>
  <si>
    <t>JDM Monetization Services LLC</t>
  </si>
  <si>
    <t>Monetization Agent</t>
  </si>
  <si>
    <t>Admin</t>
  </si>
  <si>
    <t>Other</t>
  </si>
  <si>
    <t>10/01/2024-12/31/2025</t>
  </si>
  <si>
    <t>Signed</t>
  </si>
  <si>
    <t>Under Implementation</t>
  </si>
  <si>
    <t>RKTCJ-CGONK-KNKW4-AOK45</t>
  </si>
  <si>
    <t>Donia Hedda Ellouze</t>
  </si>
  <si>
    <t>Lawyer-HR Doc Review</t>
  </si>
  <si>
    <t>FP-ICA</t>
  </si>
  <si>
    <t>12/02/2024-08/31/2025</t>
  </si>
  <si>
    <t>Email Sent</t>
  </si>
  <si>
    <t>GTTD4-JUOPS-YQWD5-CAKEX</t>
  </si>
  <si>
    <t>Lawyer-Legal Entity</t>
  </si>
  <si>
    <t>12/02/2024-06/30/2025</t>
  </si>
  <si>
    <t>PTPTY-CDTBV-ORFJW-E3FMR</t>
  </si>
  <si>
    <t>Abir Ben Nasr</t>
  </si>
  <si>
    <t>HR Consultant (Start-Up)</t>
  </si>
  <si>
    <t>Hourly-ICA</t>
  </si>
  <si>
    <t>03/26/2025-04/30/2025</t>
  </si>
  <si>
    <t>FP-POS-FFPr Tunisia-2025-001</t>
  </si>
  <si>
    <t>Just Results LLC</t>
  </si>
  <si>
    <t>Baseline</t>
  </si>
  <si>
    <t>FP-POS</t>
  </si>
  <si>
    <t>04/09/2025-07/31/2025</t>
  </si>
  <si>
    <t>Terminated</t>
  </si>
  <si>
    <t>FP-POS-FFPr Tunisia-2025-002</t>
  </si>
  <si>
    <t>J.E. Austin</t>
  </si>
  <si>
    <t>Crop Cost-Benefit Analysis</t>
  </si>
  <si>
    <t>05/09/2025-09/15/2025</t>
  </si>
  <si>
    <t>3MITU-ZV8MK-EROZY-JSUU3</t>
  </si>
  <si>
    <t>Mohamed Torgeman</t>
  </si>
  <si>
    <t>M&amp;E Consultant (Baseline)</t>
  </si>
  <si>
    <t>04/09/2025-05/30/2025</t>
  </si>
  <si>
    <t>Not Started</t>
  </si>
  <si>
    <t>Pre-PRF</t>
  </si>
  <si>
    <t>Letter Sent</t>
  </si>
  <si>
    <t>PRF Signed</t>
  </si>
  <si>
    <t>Final Invoice Received</t>
  </si>
  <si>
    <t>TD-POS</t>
  </si>
  <si>
    <t>RFP Posted</t>
  </si>
  <si>
    <t>Final Invoice in Process</t>
  </si>
  <si>
    <t>BPA</t>
  </si>
  <si>
    <t>Under Selection</t>
  </si>
  <si>
    <t>Sub-award</t>
  </si>
  <si>
    <t>Under Negotiation</t>
  </si>
  <si>
    <t>Waiting for POA Signature</t>
  </si>
  <si>
    <t>Waiting for Vendor Signature</t>
  </si>
  <si>
    <t>Needs to be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</si>
</sst>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8" fontId="0" fillId="3" borderId="1" xfId="0" applyNumberFormat="1" applyFill="1" applyBorder="1" applyAlignment="1">
      <alignment horizontal="left"/>
    </xf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8" fontId="0" fillId="3" borderId="0" xfId="0" applyNumberFormat="1" applyFill="1" applyAlignment="1">
      <alignment horizontal="left"/>
    </xf>
    <xf numFmtId="8" fontId="0" fillId="0" borderId="0" xfId="0" applyNumberFormat="1" applyAlignment="1">
      <alignment horizontal="left"/>
    </xf>
    <xf numFmtId="8" fontId="0" fillId="0" borderId="1" xfId="0" applyNumberFormat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5" borderId="5" xfId="0" applyFont="1" applyFill="1" applyBorder="1"/>
    <xf numFmtId="0" fontId="0" fillId="0" borderId="6" xfId="0" applyBorder="1" applyAlignment="1">
      <alignment horizontal="left"/>
    </xf>
    <xf numFmtId="8" fontId="0" fillId="0" borderId="7" xfId="0" applyNumberFormat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6" borderId="0" xfId="0" applyFill="1"/>
    <xf numFmtId="8" fontId="0" fillId="6" borderId="0" xfId="0" applyNumberFormat="1" applyFill="1" applyAlignment="1">
      <alignment horizontal="left"/>
    </xf>
    <xf numFmtId="0" fontId="5" fillId="6" borderId="0" xfId="0" applyFont="1" applyFill="1"/>
    <xf numFmtId="8" fontId="0" fillId="6" borderId="1" xfId="0" applyNumberFormat="1" applyFill="1" applyBorder="1" applyAlignment="1">
      <alignment horizontal="left"/>
    </xf>
    <xf numFmtId="8" fontId="0" fillId="6" borderId="7" xfId="0" applyNumberFormat="1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0" xfId="0" applyFill="1" applyAlignment="1">
      <alignment horizontal="left"/>
    </xf>
    <xf numFmtId="8" fontId="0" fillId="3" borderId="7" xfId="0" applyNumberFormat="1" applyFill="1" applyBorder="1" applyAlignment="1">
      <alignment horizontal="left"/>
    </xf>
    <xf numFmtId="8" fontId="6" fillId="3" borderId="1" xfId="0" applyNumberFormat="1" applyFont="1" applyFill="1" applyBorder="1" applyAlignment="1">
      <alignment horizontal="left"/>
    </xf>
    <xf numFmtId="8" fontId="6" fillId="3" borderId="7" xfId="0" applyNumberFormat="1" applyFont="1" applyFill="1" applyBorder="1" applyAlignment="1">
      <alignment horizontal="left"/>
    </xf>
    <xf numFmtId="0" fontId="2" fillId="0" borderId="0" xfId="0" applyFont="1"/>
    <xf numFmtId="0" fontId="5" fillId="3" borderId="0" xfId="0" applyFont="1" applyFill="1"/>
    <xf numFmtId="0" fontId="0" fillId="3" borderId="8" xfId="0" applyFill="1" applyBorder="1" applyAlignment="1">
      <alignment horizontal="left"/>
    </xf>
    <xf numFmtId="0" fontId="0" fillId="3" borderId="9" xfId="0" applyFill="1" applyBorder="1"/>
    <xf numFmtId="8" fontId="0" fillId="3" borderId="9" xfId="0" applyNumberFormat="1" applyFill="1" applyBorder="1" applyAlignment="1">
      <alignment horizontal="left"/>
    </xf>
    <xf numFmtId="0" fontId="0" fillId="3" borderId="9" xfId="0" applyFill="1" applyBorder="1" applyAlignment="1">
      <alignment horizontal="left"/>
    </xf>
    <xf numFmtId="8" fontId="6" fillId="3" borderId="10" xfId="0" applyNumberFormat="1" applyFont="1" applyFill="1" applyBorder="1" applyAlignment="1">
      <alignment horizontal="left"/>
    </xf>
    <xf numFmtId="8" fontId="2" fillId="3" borderId="11" xfId="0" applyNumberFormat="1" applyFont="1" applyFill="1" applyBorder="1" applyAlignment="1">
      <alignment horizontal="left"/>
    </xf>
    <xf numFmtId="0" fontId="0" fillId="6" borderId="0" xfId="0" applyFill="1" applyAlignment="1">
      <alignment horizontal="left"/>
    </xf>
    <xf numFmtId="8" fontId="6" fillId="6" borderId="1" xfId="0" applyNumberFormat="1" applyFont="1" applyFill="1" applyBorder="1" applyAlignment="1">
      <alignment horizontal="left"/>
    </xf>
    <xf numFmtId="8" fontId="6" fillId="6" borderId="7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EDED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47626</xdr:rowOff>
    </xdr:from>
    <xdr:to>
      <xdr:col>2</xdr:col>
      <xdr:colOff>1295238</xdr:colOff>
      <xdr:row>0</xdr:row>
      <xdr:rowOff>588962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69221B-6CD9-13E5-FB88-3F9AD1BF2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47626"/>
          <a:ext cx="339232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8B7E2-1002-45F0-8208-5CF759EE25A1}">
  <dimension ref="A1:N14"/>
  <sheetViews>
    <sheetView tabSelected="1" zoomScale="88" workbookViewId="0">
      <selection activeCell="M11" sqref="A11:M11"/>
    </sheetView>
  </sheetViews>
  <sheetFormatPr defaultRowHeight="15" customHeight="1"/>
  <cols>
    <col min="1" max="1" width="6" customWidth="1"/>
    <col min="2" max="2" width="26.140625" bestFit="1" customWidth="1"/>
    <col min="3" max="3" width="26.5703125" bestFit="1" customWidth="1"/>
    <col min="4" max="4" width="26.5703125" customWidth="1"/>
    <col min="5" max="5" width="15.28515625" bestFit="1" customWidth="1"/>
    <col min="6" max="6" width="14.5703125" customWidth="1"/>
    <col min="7" max="7" width="13.42578125" customWidth="1"/>
    <col min="8" max="8" width="21.85546875" bestFit="1" customWidth="1"/>
    <col min="9" max="9" width="16.42578125" hidden="1" customWidth="1"/>
    <col min="10" max="10" width="20" bestFit="1" customWidth="1"/>
    <col min="11" max="11" width="16.140625" customWidth="1"/>
    <col min="12" max="12" width="18.5703125" bestFit="1" customWidth="1"/>
    <col min="13" max="13" width="21.5703125" customWidth="1"/>
  </cols>
  <sheetData>
    <row r="1" spans="1:14" ht="50.1" customHeight="1"/>
    <row r="2" spans="1:14" ht="18.75">
      <c r="A2" s="2" t="s">
        <v>0</v>
      </c>
      <c r="K2" s="3"/>
      <c r="L2" t="s">
        <v>1</v>
      </c>
    </row>
    <row r="3" spans="1:14">
      <c r="A3" t="s">
        <v>2</v>
      </c>
      <c r="K3" s="4"/>
      <c r="L3" t="s">
        <v>3</v>
      </c>
    </row>
    <row r="4" spans="1:14"/>
    <row r="6" spans="1:14">
      <c r="A6" s="9" t="s">
        <v>4</v>
      </c>
      <c r="B6" s="10" t="s">
        <v>5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s">
        <v>13</v>
      </c>
      <c r="K6" s="10" t="s">
        <v>14</v>
      </c>
      <c r="L6" s="11" t="s">
        <v>15</v>
      </c>
      <c r="M6" s="12" t="s">
        <v>16</v>
      </c>
    </row>
    <row r="7" spans="1:14">
      <c r="A7" s="13">
        <v>1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s="7">
        <v>258850</v>
      </c>
      <c r="H7" t="s">
        <v>22</v>
      </c>
      <c r="I7" t="s">
        <v>23</v>
      </c>
      <c r="J7" t="s">
        <v>24</v>
      </c>
      <c r="K7" s="5" t="s">
        <v>17</v>
      </c>
      <c r="L7" s="8">
        <v>90000</v>
      </c>
      <c r="M7" s="14"/>
      <c r="N7" s="26"/>
    </row>
    <row r="8" spans="1:14">
      <c r="A8" s="21">
        <v>2</v>
      </c>
      <c r="B8" s="3" t="s">
        <v>25</v>
      </c>
      <c r="C8" s="3" t="s">
        <v>26</v>
      </c>
      <c r="D8" s="3" t="s">
        <v>27</v>
      </c>
      <c r="E8" s="3" t="s">
        <v>20</v>
      </c>
      <c r="F8" s="3" t="s">
        <v>28</v>
      </c>
      <c r="G8" s="6">
        <v>2500</v>
      </c>
      <c r="H8" s="27" t="s">
        <v>29</v>
      </c>
      <c r="I8" s="3" t="s">
        <v>23</v>
      </c>
      <c r="J8" s="3" t="s">
        <v>24</v>
      </c>
      <c r="K8" s="22">
        <v>2</v>
      </c>
      <c r="L8" s="24">
        <v>1500</v>
      </c>
      <c r="M8" s="25" t="s">
        <v>30</v>
      </c>
      <c r="N8" s="26"/>
    </row>
    <row r="9" spans="1:14">
      <c r="A9" s="21">
        <v>3</v>
      </c>
      <c r="B9" s="3" t="s">
        <v>31</v>
      </c>
      <c r="C9" s="3" t="s">
        <v>26</v>
      </c>
      <c r="D9" s="3" t="s">
        <v>32</v>
      </c>
      <c r="E9" s="3" t="s">
        <v>20</v>
      </c>
      <c r="F9" s="3" t="s">
        <v>28</v>
      </c>
      <c r="G9" s="6">
        <v>1313.45</v>
      </c>
      <c r="H9" s="3" t="s">
        <v>33</v>
      </c>
      <c r="I9" s="3" t="s">
        <v>23</v>
      </c>
      <c r="J9" s="3" t="s">
        <v>24</v>
      </c>
      <c r="K9" s="22">
        <v>2</v>
      </c>
      <c r="L9" s="1">
        <v>400</v>
      </c>
      <c r="M9" s="23" t="s">
        <v>30</v>
      </c>
      <c r="N9" s="26"/>
    </row>
    <row r="10" spans="1:14">
      <c r="A10" s="15">
        <v>4</v>
      </c>
      <c r="B10" s="16" t="s">
        <v>34</v>
      </c>
      <c r="C10" s="16" t="s">
        <v>35</v>
      </c>
      <c r="D10" s="16" t="s">
        <v>36</v>
      </c>
      <c r="E10" s="16" t="s">
        <v>20</v>
      </c>
      <c r="F10" s="16" t="s">
        <v>37</v>
      </c>
      <c r="G10" s="17">
        <v>1340</v>
      </c>
      <c r="H10" s="18" t="s">
        <v>38</v>
      </c>
      <c r="I10" s="16" t="s">
        <v>23</v>
      </c>
      <c r="J10" s="16" t="s">
        <v>3</v>
      </c>
      <c r="K10" s="16" t="s">
        <v>17</v>
      </c>
      <c r="L10" s="19">
        <v>536</v>
      </c>
      <c r="M10" s="20"/>
    </row>
    <row r="11" spans="1:14">
      <c r="A11" s="15">
        <v>5</v>
      </c>
      <c r="B11" s="16" t="s">
        <v>39</v>
      </c>
      <c r="C11" s="16" t="s">
        <v>40</v>
      </c>
      <c r="D11" s="16" t="s">
        <v>41</v>
      </c>
      <c r="E11" s="16" t="s">
        <v>20</v>
      </c>
      <c r="F11" s="16" t="s">
        <v>42</v>
      </c>
      <c r="G11" s="17">
        <v>149329</v>
      </c>
      <c r="H11" s="16" t="s">
        <v>43</v>
      </c>
      <c r="I11" s="16" t="s">
        <v>23</v>
      </c>
      <c r="J11" s="16" t="s">
        <v>24</v>
      </c>
      <c r="K11" s="34">
        <v>7</v>
      </c>
      <c r="L11" s="19">
        <f>14932.9+29865.8</f>
        <v>44798.7</v>
      </c>
      <c r="M11" s="20" t="s">
        <v>44</v>
      </c>
    </row>
    <row r="12" spans="1:14">
      <c r="A12" s="15">
        <v>6</v>
      </c>
      <c r="B12" s="16" t="s">
        <v>45</v>
      </c>
      <c r="C12" s="16" t="s">
        <v>46</v>
      </c>
      <c r="D12" s="16" t="s">
        <v>47</v>
      </c>
      <c r="E12" s="16" t="s">
        <v>20</v>
      </c>
      <c r="F12" s="16" t="s">
        <v>42</v>
      </c>
      <c r="G12" s="17">
        <v>44999</v>
      </c>
      <c r="H12" s="16" t="s">
        <v>48</v>
      </c>
      <c r="I12" s="16" t="s">
        <v>23</v>
      </c>
      <c r="J12" s="16" t="s">
        <v>24</v>
      </c>
      <c r="K12" s="34">
        <v>5</v>
      </c>
      <c r="L12" s="35">
        <v>0</v>
      </c>
      <c r="M12" s="36" t="s">
        <v>44</v>
      </c>
    </row>
    <row r="13" spans="1:14">
      <c r="A13" s="28">
        <v>7</v>
      </c>
      <c r="B13" s="29" t="s">
        <v>49</v>
      </c>
      <c r="C13" s="29" t="s">
        <v>50</v>
      </c>
      <c r="D13" s="29" t="s">
        <v>51</v>
      </c>
      <c r="E13" s="29" t="s">
        <v>20</v>
      </c>
      <c r="F13" s="29" t="s">
        <v>28</v>
      </c>
      <c r="G13" s="30">
        <v>3000</v>
      </c>
      <c r="H13" s="29" t="s">
        <v>52</v>
      </c>
      <c r="I13" s="29" t="s">
        <v>23</v>
      </c>
      <c r="J13" s="29" t="s">
        <v>24</v>
      </c>
      <c r="K13" s="31">
        <v>1</v>
      </c>
      <c r="L13" s="32">
        <v>0</v>
      </c>
      <c r="M13" s="33"/>
      <c r="N13" s="26"/>
    </row>
    <row r="14" spans="1:14">
      <c r="A14" s="5"/>
    </row>
  </sheetData>
  <phoneticPr fontId="3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47110F-32CA-4DE6-8A13-0D7AA0A8EEC1}">
          <x14:formula1>
            <xm:f>Sheet2!$C$2:$C$4</xm:f>
          </x14:formula1>
          <xm:sqref>J7:J13</xm:sqref>
        </x14:dataValidation>
        <x14:dataValidation type="list" allowBlank="1" showInputMessage="1" showErrorMessage="1" xr:uid="{89E27569-32AC-48A6-B783-AA0B00112092}">
          <x14:formula1>
            <xm:f>Sheet2!$A$2:$A$8</xm:f>
          </x14:formula1>
          <xm:sqref>F7:F13</xm:sqref>
        </x14:dataValidation>
        <x14:dataValidation type="list" allowBlank="1" showInputMessage="1" showErrorMessage="1" xr:uid="{DB3C3797-7C69-4287-ACA8-7EB4777691A1}">
          <x14:formula1>
            <xm:f>Sheet2!$B$2:$B$11</xm:f>
          </x14:formula1>
          <xm:sqref>I7:I13</xm:sqref>
        </x14:dataValidation>
        <x14:dataValidation type="list" allowBlank="1" showInputMessage="1" showErrorMessage="1" xr:uid="{F3DED819-BCE8-4ACF-A3C4-DA6787EAF0B4}">
          <x14:formula1>
            <xm:f>Sheet2!$D$2:$D$6</xm:f>
          </x14:formula1>
          <xm:sqref>M7:M13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D7B5-BD9F-4A28-B785-A0D8C4165908}">
  <dimension ref="A2:D11"/>
  <sheetViews>
    <sheetView workbookViewId="0">
      <selection activeCell="D2" sqref="D2:D6"/>
    </sheetView>
  </sheetViews>
  <sheetFormatPr defaultRowHeight="14.45"/>
  <cols>
    <col min="1" max="1" width="9.85546875" bestFit="1" customWidth="1"/>
    <col min="2" max="2" width="25.42578125" bestFit="1" customWidth="1"/>
    <col min="3" max="3" width="20" bestFit="1" customWidth="1"/>
    <col min="4" max="4" width="21.140625" customWidth="1"/>
  </cols>
  <sheetData>
    <row r="2" spans="1:4">
      <c r="A2" t="s">
        <v>28</v>
      </c>
      <c r="B2" t="s">
        <v>53</v>
      </c>
      <c r="C2" t="s">
        <v>53</v>
      </c>
      <c r="D2" t="s">
        <v>30</v>
      </c>
    </row>
    <row r="3" spans="1:4">
      <c r="A3" t="s">
        <v>37</v>
      </c>
      <c r="B3" t="s">
        <v>54</v>
      </c>
      <c r="C3" t="s">
        <v>24</v>
      </c>
      <c r="D3" t="s">
        <v>55</v>
      </c>
    </row>
    <row r="4" spans="1:4">
      <c r="A4" t="s">
        <v>42</v>
      </c>
      <c r="B4" t="s">
        <v>56</v>
      </c>
      <c r="C4" t="s">
        <v>3</v>
      </c>
      <c r="D4" t="s">
        <v>57</v>
      </c>
    </row>
    <row r="5" spans="1:4">
      <c r="A5" t="s">
        <v>58</v>
      </c>
      <c r="B5" t="s">
        <v>59</v>
      </c>
      <c r="D5" t="s">
        <v>60</v>
      </c>
    </row>
    <row r="6" spans="1:4">
      <c r="A6" t="s">
        <v>61</v>
      </c>
      <c r="B6" t="s">
        <v>62</v>
      </c>
      <c r="D6" t="s">
        <v>44</v>
      </c>
    </row>
    <row r="7" spans="1:4">
      <c r="A7" t="s">
        <v>63</v>
      </c>
      <c r="B7" t="s">
        <v>64</v>
      </c>
    </row>
    <row r="8" spans="1:4">
      <c r="A8" t="s">
        <v>21</v>
      </c>
      <c r="B8" t="s">
        <v>65</v>
      </c>
    </row>
    <row r="9" spans="1:4">
      <c r="B9" t="s">
        <v>66</v>
      </c>
    </row>
    <row r="10" spans="1:4">
      <c r="B10" t="s">
        <v>23</v>
      </c>
    </row>
    <row r="11" spans="1:4">
      <c r="B11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  <SharedWithUsers xmlns="dc808d36-874f-4b27-aec2-2fd649817929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8694D3-6DAF-405F-849A-11BE7959D3B3}"/>
</file>

<file path=customXml/itemProps2.xml><?xml version="1.0" encoding="utf-8"?>
<ds:datastoreItem xmlns:ds="http://schemas.openxmlformats.org/officeDocument/2006/customXml" ds:itemID="{9478E325-7C4E-46DF-AEF5-430A6D16141F}"/>
</file>

<file path=customXml/itemProps3.xml><?xml version="1.0" encoding="utf-8"?>
<ds:datastoreItem xmlns:ds="http://schemas.openxmlformats.org/officeDocument/2006/customXml" ds:itemID="{5439C4CE-F6E3-444B-BA5C-31D61F32F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Javiera Salinas</dc:creator>
  <cp:keywords/>
  <dc:description/>
  <cp:lastModifiedBy>Javiera Salinas</cp:lastModifiedBy>
  <cp:revision/>
  <dcterms:created xsi:type="dcterms:W3CDTF">2025-04-11T17:27:03Z</dcterms:created>
  <dcterms:modified xsi:type="dcterms:W3CDTF">2025-06-24T13:31:19Z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  <property fmtid="{D5CDD505-2E9C-101B-9397-08002B2CF9AE}" pid="4" name="Order">
    <vt:r8>71891800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