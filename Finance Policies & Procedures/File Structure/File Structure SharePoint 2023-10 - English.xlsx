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File Structure/"/>
    </mc:Choice>
  </mc:AlternateContent>
  <xr:revisionPtr revIDLastSave="750" documentId="13_ncr:1_{3A6B3FF4-629F-44F1-9B56-44570C3ADD2D}" xr6:coauthVersionLast="47" xr6:coauthVersionMax="47" xr10:uidLastSave="{490119CF-5FAF-4CCB-95C7-3C5EBD2A7128}"/>
  <bookViews>
    <workbookView xWindow="29844" yWindow="-108" windowWidth="23256" windowHeight="12456" activeTab="5" xr2:uid="{CCE4D575-1309-451A-88A8-151F663EFECD}"/>
  </bookViews>
  <sheets>
    <sheet name="Program File Summary" sheetId="3" r:id="rId1"/>
    <sheet name="Donor" sheetId="6" r:id="rId2"/>
    <sheet name="Technical" sheetId="4" r:id="rId3"/>
    <sheet name="F&amp;A" sheetId="7" r:id="rId4"/>
    <sheet name="HR" sheetId="5" r:id="rId5"/>
    <sheet name="Sub &amp; Contracts"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E16" i="5"/>
  <c r="E57" i="7"/>
  <c r="G26" i="1"/>
  <c r="G13" i="1"/>
  <c r="E26" i="1"/>
  <c r="C26" i="1"/>
  <c r="A26" i="1"/>
  <c r="C11" i="7"/>
  <c r="G11" i="7"/>
  <c r="G19" i="7"/>
  <c r="E11" i="7"/>
  <c r="E19" i="7"/>
  <c r="E34" i="7"/>
  <c r="E50" i="7"/>
  <c r="M29" i="7"/>
  <c r="E13" i="1"/>
  <c r="I19" i="7" l="1"/>
  <c r="A7" i="5"/>
  <c r="A19" i="7"/>
  <c r="A22" i="6"/>
  <c r="A18" i="6"/>
  <c r="A24" i="5" l="1"/>
  <c r="K10" i="6"/>
  <c r="K28" i="6"/>
  <c r="K18" i="6"/>
  <c r="I10" i="6"/>
  <c r="I18" i="6"/>
  <c r="C13" i="1"/>
  <c r="A13" i="1"/>
  <c r="A1" i="5"/>
  <c r="A1" i="6"/>
  <c r="A1" i="4"/>
  <c r="A1" i="7"/>
  <c r="E37" i="4"/>
  <c r="E21" i="4"/>
  <c r="E9" i="4"/>
  <c r="K34" i="7"/>
  <c r="M57" i="7"/>
  <c r="M50" i="7"/>
  <c r="M44" i="7"/>
  <c r="M24" i="7"/>
  <c r="M39" i="7" s="1"/>
  <c r="M19" i="7"/>
  <c r="M34" i="7" s="1"/>
  <c r="M11" i="7"/>
  <c r="K11" i="7"/>
  <c r="K19" i="7"/>
  <c r="A11" i="7"/>
  <c r="G28" i="6"/>
  <c r="G18" i="6"/>
  <c r="G10" i="6"/>
  <c r="E10" i="6"/>
  <c r="C10" i="6"/>
  <c r="A10" i="6"/>
  <c r="I37" i="4"/>
  <c r="C16" i="5"/>
  <c r="A16" i="5"/>
  <c r="C7" i="5"/>
</calcChain>
</file>

<file path=xl/sharedStrings.xml><?xml version="1.0" encoding="utf-8"?>
<sst xmlns="http://schemas.openxmlformats.org/spreadsheetml/2006/main" count="399" uniqueCount="237">
  <si>
    <t>Program File Structure</t>
  </si>
  <si>
    <t>File structure does not apply to admin departments.</t>
  </si>
  <si>
    <t>Level 1</t>
  </si>
  <si>
    <t>Donor</t>
  </si>
  <si>
    <t>Technical</t>
  </si>
  <si>
    <t>F&amp;A</t>
  </si>
  <si>
    <t>HR</t>
  </si>
  <si>
    <t>Subs &amp; Contracts</t>
  </si>
  <si>
    <t>Award &amp; Mod</t>
  </si>
  <si>
    <t>Activities</t>
  </si>
  <si>
    <t>Budgets</t>
  </si>
  <si>
    <t>FO</t>
  </si>
  <si>
    <t>List name of Sub/Contractor</t>
  </si>
  <si>
    <t>Approvals (Email approvals)</t>
  </si>
  <si>
    <t>Comms</t>
  </si>
  <si>
    <t>Cost Share</t>
  </si>
  <si>
    <t>HO</t>
  </si>
  <si>
    <t>Other (FYI)</t>
  </si>
  <si>
    <t>M&amp;E</t>
  </si>
  <si>
    <t>Financials</t>
  </si>
  <si>
    <t>Interns_Vols</t>
  </si>
  <si>
    <t>Requests (Pending &amp; Submitted)</t>
  </si>
  <si>
    <t>Reports</t>
  </si>
  <si>
    <t>Grant Reports</t>
  </si>
  <si>
    <t>Meeting Notes</t>
  </si>
  <si>
    <t>Workshops, Conferences, Events</t>
  </si>
  <si>
    <t>Legal Entity</t>
  </si>
  <si>
    <t>Donor Reports</t>
  </si>
  <si>
    <t>Projections</t>
  </si>
  <si>
    <t>CC &amp; Expenses Reimb</t>
  </si>
  <si>
    <t>*Note only for saving any documents related to reimbursements/CC as needed, copies do not need to be saved here if they are in Bill.com or Replicon</t>
  </si>
  <si>
    <t>File name must follow E-Documents Nomenclature policy</t>
  </si>
  <si>
    <t>Entire donor folder access:</t>
  </si>
  <si>
    <t>Home office - Read/Write</t>
  </si>
  <si>
    <t>COP/PD - Read only</t>
  </si>
  <si>
    <t>Level 2</t>
  </si>
  <si>
    <t>Original Award</t>
  </si>
  <si>
    <t>TPRs</t>
  </si>
  <si>
    <t>Mod 1</t>
  </si>
  <si>
    <t>Semi-annual reports</t>
  </si>
  <si>
    <t>Mod 2</t>
  </si>
  <si>
    <t>Work plan</t>
  </si>
  <si>
    <t>Mod 3</t>
  </si>
  <si>
    <t>Mod 4</t>
  </si>
  <si>
    <t>Level 3</t>
  </si>
  <si>
    <t>Full Proposal</t>
  </si>
  <si>
    <t>List name of submit item</t>
  </si>
  <si>
    <t>January</t>
  </si>
  <si>
    <t>Budget and Budget Narrative</t>
  </si>
  <si>
    <t>February</t>
  </si>
  <si>
    <t>March</t>
  </si>
  <si>
    <t>Drafts</t>
  </si>
  <si>
    <t>Submitted</t>
  </si>
  <si>
    <t>Approved</t>
  </si>
  <si>
    <t>Draft</t>
  </si>
  <si>
    <t>AA</t>
  </si>
  <si>
    <t>Entire technical folder access:</t>
  </si>
  <si>
    <t>Field office - Read/Write</t>
  </si>
  <si>
    <t>*Home office can restrict technical folders by country if applicable</t>
  </si>
  <si>
    <t>Activities*</t>
  </si>
  <si>
    <t>Activity 1</t>
  </si>
  <si>
    <t>Brochures</t>
  </si>
  <si>
    <t>Baseline</t>
  </si>
  <si>
    <t>Technical Reports</t>
  </si>
  <si>
    <t>Activity 2</t>
  </si>
  <si>
    <t>Logos</t>
  </si>
  <si>
    <t>Midterm</t>
  </si>
  <si>
    <t>Work Plans</t>
  </si>
  <si>
    <t>Activity 3</t>
  </si>
  <si>
    <t>Pictures &amp; Videos</t>
  </si>
  <si>
    <t>Endline</t>
  </si>
  <si>
    <t>Project Document (DOL)</t>
  </si>
  <si>
    <t>Activity 4</t>
  </si>
  <si>
    <t>Presentations</t>
  </si>
  <si>
    <t>M&amp;E Plan</t>
  </si>
  <si>
    <t>Activity 5</t>
  </si>
  <si>
    <t>Press Releases</t>
  </si>
  <si>
    <t>Data Collection</t>
  </si>
  <si>
    <t>Activity 6</t>
  </si>
  <si>
    <t>Social Media</t>
  </si>
  <si>
    <t>Needs Assessment</t>
  </si>
  <si>
    <t>Can add other folders as applicable for the program</t>
  </si>
  <si>
    <t>Success Stories</t>
  </si>
  <si>
    <t xml:space="preserve">Includes folder for hosts, volunteers, participants, etc. </t>
  </si>
  <si>
    <t>Website</t>
  </si>
  <si>
    <t>*Updated based on outcomes/activities as appropriate</t>
  </si>
  <si>
    <t>Add Country if applicable, otherwise keep as listed above</t>
  </si>
  <si>
    <t>Indicators</t>
  </si>
  <si>
    <t>FY 2023 (sub folders for draft versus final)</t>
  </si>
  <si>
    <t>XXX Program Kick off Workshop</t>
  </si>
  <si>
    <t xml:space="preserve">Example folder titles </t>
  </si>
  <si>
    <t>Data</t>
  </si>
  <si>
    <t>FY 2024 (sub folders for draft versus final)</t>
  </si>
  <si>
    <t>XXX Site Visit to ABC Sub</t>
  </si>
  <si>
    <t>Analysis</t>
  </si>
  <si>
    <t>FY 2025 (sub folders for draft versus final)</t>
  </si>
  <si>
    <t xml:space="preserve">XXX Regional Meeting </t>
  </si>
  <si>
    <t>XXX Community of Practice Workshop</t>
  </si>
  <si>
    <t>Level 4</t>
  </si>
  <si>
    <t>Example event folder layout</t>
  </si>
  <si>
    <t>Agenda</t>
  </si>
  <si>
    <t>Final</t>
  </si>
  <si>
    <t>Contracts/Procurement</t>
  </si>
  <si>
    <t xml:space="preserve">Financials </t>
  </si>
  <si>
    <t>Logistics</t>
  </si>
  <si>
    <t xml:space="preserve">Travelers </t>
  </si>
  <si>
    <t xml:space="preserve">Include list of travellers, itineraries, travel authorizations, trip reports etc. </t>
  </si>
  <si>
    <t>Training Materials</t>
  </si>
  <si>
    <t xml:space="preserve">*If an event is shared among projects, copies of the event materials should be copied to both project files. </t>
  </si>
  <si>
    <t>Entire budgets folder access:</t>
  </si>
  <si>
    <t>Entire financial folder access:</t>
  </si>
  <si>
    <t>Entire grant reports folder access:</t>
  </si>
  <si>
    <t>Entire legal entity folder access:</t>
  </si>
  <si>
    <t>Entire projections folder access:</t>
  </si>
  <si>
    <t>Entire CC &amp; Expenses Reimb. folder access:</t>
  </si>
  <si>
    <t>Original Budget</t>
  </si>
  <si>
    <t>Original CS Budget</t>
  </si>
  <si>
    <t xml:space="preserve">Country 1 </t>
  </si>
  <si>
    <t>BOD</t>
  </si>
  <si>
    <t>Credit Cards*</t>
  </si>
  <si>
    <t>Budget Revision 1</t>
  </si>
  <si>
    <t>COP/PD/FO F&amp;A Director - See below level 3</t>
  </si>
  <si>
    <t>Docs</t>
  </si>
  <si>
    <t>COP/PD/FO F&amp;A Director/Accountants - Read/Write</t>
  </si>
  <si>
    <t>Country 2</t>
  </si>
  <si>
    <t>COP/PD/FO F&amp;A Director - Read only</t>
  </si>
  <si>
    <t>Meeting Minutes</t>
  </si>
  <si>
    <t>COP/PD/FO F&amp;A Director - Read/Write</t>
  </si>
  <si>
    <t>Staff Reimbursement**</t>
  </si>
  <si>
    <t>Budget Revision 2</t>
  </si>
  <si>
    <t>Country 3</t>
  </si>
  <si>
    <t>Official Docs</t>
  </si>
  <si>
    <t>Other Reimbursements***</t>
  </si>
  <si>
    <t>For volunteers, interns, etc.</t>
  </si>
  <si>
    <t>Budget Revision 3</t>
  </si>
  <si>
    <t>Country 4</t>
  </si>
  <si>
    <t>Power of Attorney</t>
  </si>
  <si>
    <t>Cost Extension</t>
  </si>
  <si>
    <t>Country 5</t>
  </si>
  <si>
    <t>Country if applicable, otherwise go to year immediately</t>
  </si>
  <si>
    <t>*Note credit card folder is only if needing to save any documents related to CC there. All reports will be in Divvy/Bill.com</t>
  </si>
  <si>
    <t xml:space="preserve">Drafts    </t>
  </si>
  <si>
    <t>COP/PD/FO F&amp;A Director - would have read/write access to the draft folder only</t>
  </si>
  <si>
    <t>COP/PD/FO F&amp;A Director - would have only read access to final folder</t>
  </si>
  <si>
    <r>
      <t xml:space="preserve">**Note only for saving any documents related to reimbursements as needed, copies do </t>
    </r>
    <r>
      <rPr>
        <b/>
        <u/>
        <sz val="11"/>
        <color rgb="FFFF0000"/>
        <rFont val="Calibri"/>
        <family val="2"/>
        <scheme val="minor"/>
      </rPr>
      <t>not</t>
    </r>
    <r>
      <rPr>
        <sz val="11"/>
        <color rgb="FFFF0000"/>
        <rFont val="Calibri"/>
        <family val="2"/>
        <scheme val="minor"/>
      </rPr>
      <t xml:space="preserve"> need to be saved here if they are in Bill.com or Replicon</t>
    </r>
  </si>
  <si>
    <t>Internal</t>
  </si>
  <si>
    <t>Level 5</t>
  </si>
  <si>
    <t>Cash Flow</t>
  </si>
  <si>
    <t>Name of Employee 1</t>
  </si>
  <si>
    <t>Financial Report</t>
  </si>
  <si>
    <t>Name of Employee 2</t>
  </si>
  <si>
    <t>Payroll</t>
  </si>
  <si>
    <t>Journal in Excel &amp; PDF</t>
  </si>
  <si>
    <t>Name of Employee 3</t>
  </si>
  <si>
    <t>RFF</t>
  </si>
  <si>
    <t>Level 6</t>
  </si>
  <si>
    <t>Receipts</t>
  </si>
  <si>
    <t>Entire FO folder access:</t>
  </si>
  <si>
    <t>Entire HO folder access:</t>
  </si>
  <si>
    <t>Position Title Example 1</t>
  </si>
  <si>
    <t>Position Title Example 2</t>
  </si>
  <si>
    <t>Name of Intern 1</t>
  </si>
  <si>
    <t>Position Title</t>
  </si>
  <si>
    <t>HR in field - Read/Write</t>
  </si>
  <si>
    <t>Field office - No access</t>
  </si>
  <si>
    <t>Name of Intern 2</t>
  </si>
  <si>
    <t>Name of Volunteer 1</t>
  </si>
  <si>
    <t>Name of Volunteer 2</t>
  </si>
  <si>
    <t>Recruitment</t>
  </si>
  <si>
    <t>Should include job description and postings, copies of resumes collected, evaluation/interview notes, etc.</t>
  </si>
  <si>
    <t>Onboarding Materials</t>
  </si>
  <si>
    <t>Other</t>
  </si>
  <si>
    <t>Can add any other support/documentation</t>
  </si>
  <si>
    <t>Name of Employee Example 1</t>
  </si>
  <si>
    <t>Allowances, etc.</t>
  </si>
  <si>
    <t>Contract &amp; Mods</t>
  </si>
  <si>
    <t>Name of Employee</t>
  </si>
  <si>
    <t>Note for HO the employee specific files will be retained by HR</t>
  </si>
  <si>
    <t>See Policy on what to include in each folder:</t>
  </si>
  <si>
    <t>HR File Guide</t>
  </si>
  <si>
    <t>Selection Process</t>
  </si>
  <si>
    <t>Supporting documents for the requisition of the selection process, such as the selection record, interview record, resumes of the candidates, technical test supports (when applicable) and (three) employment references for the last three years of the selected candidate will be kept in the file of the selection processes and will be accessible to the HR team, and when required by any director.</t>
  </si>
  <si>
    <t>Personal Info</t>
  </si>
  <si>
    <t>•	Employee information sheet, including emergency contact information
•	Bank account certificate for salary deposit
•	Security Consultation Information
o	Consultation in RPS lists, Visual Compliance 
o	Certificate of disciplinary records
o	Certificate of tax records</t>
  </si>
  <si>
    <t>Employment History</t>
  </si>
  <si>
    <t xml:space="preserve">•	Offer letter
•	Contract
•	Addendum to the contract
•	Job Description
•	Records related to hiring, promotion, transfer, dismissal, rates of pay, other forms of compensation, etc.
•	Termination 
o	Letter of withdrawal (resignation or termination of contract)
o	Acceptance of (waiver if applicable)
o	Settlement and termination document
o	Letter of labor certification of retirement
o	Letter with a copy of the social security payment slip
o	Severance withdrawal letter (if applicable)
o	Record of delivery of charge/payment and safe deposit
o	Exit interviews </t>
  </si>
  <si>
    <t>Benefits</t>
  </si>
  <si>
    <t>•	Certificate of enrollment to social security health
•	Certificate of enrollment to social security Pension
•	Certificate of enrollment to the Labor Risks Administration (ARL) *if applicable
•	Beneficiaries' documents for enrollment *if applicable</t>
  </si>
  <si>
    <t>Training</t>
  </si>
  <si>
    <t>•	Copy of the Certificate of Studies
•	Certificates of training courses taken
•	Induction matrix</t>
  </si>
  <si>
    <t>Certs &amp; Docs</t>
  </si>
  <si>
    <t>•	Statement of Acceptance and Acknowledgement of the Country Supplemental Manual
•	Review and certification signed for the Travel Policy
•	Review and certification signed for the Professional Development Policy
•	Review and certification signed for the Safety Policy and Country Specific Policy
•	Review and certification signed for IT Policies
•	Signing of the Conflict of Interest Statement, Harassment Policy, Anti-Discrimination Policy, &amp; Statement of Confidentiality
•	Signed PSEA training certification
•	Signed child safeguarding training certification
•	Signed sexual harassment training certification
•	Signed DEI training certification
•	Authorization for the handling of personal data
•	Declaration of Relatives - coworkers</t>
  </si>
  <si>
    <t>Equipment</t>
  </si>
  <si>
    <t>•	Certificate of labor equipment and personal protection elements,
•	Certificate of delivery of IT/work items (i.e. laptops, printers, cell phones, etc.)
•	Delivery of Business Cards (if applicable)</t>
  </si>
  <si>
    <t>Requests &amp; Claims</t>
  </si>
  <si>
    <t>•	Payroll deductions
•	Other requests (Email and User Account creation, retirement, withdrawals, etc.)
•	Copy of labor certificates (3 previous years)
•	Complaints filed by team members</t>
  </si>
  <si>
    <t>Evals &amp; Disciplinary</t>
  </si>
  <si>
    <t xml:space="preserve">•	Performance evaluation
•	Evaluation of the probationary period
•	Warnings, sanctions, disciplinary proceedings
•	Proof documents used by the employer to make employment decisions </t>
  </si>
  <si>
    <t>Medical Info</t>
  </si>
  <si>
    <t>•	Medical entrance examination *if applicable
•	Copy of vaccination certificate
•	Disabilities
•	Discharge medical examination</t>
  </si>
  <si>
    <t>Entire subs &amp; contracts folder access:</t>
  </si>
  <si>
    <t>Subawards</t>
  </si>
  <si>
    <t>Consultants</t>
  </si>
  <si>
    <t>Purchase Orders</t>
  </si>
  <si>
    <t>Home office can restrict technical folders by country if applicable</t>
  </si>
  <si>
    <t>Rental agreement, lawyers, etc. (non-POA templates)</t>
  </si>
  <si>
    <t>Subaward 1</t>
  </si>
  <si>
    <t>Consultant 1</t>
  </si>
  <si>
    <t>Purchase Order 1</t>
  </si>
  <si>
    <t>Office Rent</t>
  </si>
  <si>
    <t>Sample contract titles for other</t>
  </si>
  <si>
    <t>Subaward 2</t>
  </si>
  <si>
    <t>Consultant 2</t>
  </si>
  <si>
    <t>Purchase Order 2</t>
  </si>
  <si>
    <t>Legal</t>
  </si>
  <si>
    <t>Subaward 3</t>
  </si>
  <si>
    <t>Consultant 3</t>
  </si>
  <si>
    <t>Purchase Order 3</t>
  </si>
  <si>
    <t>MOU</t>
  </si>
  <si>
    <t>Procurement</t>
  </si>
  <si>
    <t xml:space="preserve">Procurement </t>
  </si>
  <si>
    <t>Approvals*</t>
  </si>
  <si>
    <t>Awards &amp; Mods</t>
  </si>
  <si>
    <t>Compliance</t>
  </si>
  <si>
    <t xml:space="preserve">Technical </t>
  </si>
  <si>
    <t>Payments</t>
  </si>
  <si>
    <t>Program Reports</t>
  </si>
  <si>
    <t>Risk Assessment</t>
  </si>
  <si>
    <t>*Indicates POA or donor approvals provided</t>
  </si>
  <si>
    <t>Purchase Requisition</t>
  </si>
  <si>
    <t>Market Research</t>
  </si>
  <si>
    <t>RFQ/RFP</t>
  </si>
  <si>
    <t>Advertising</t>
  </si>
  <si>
    <t>Quotes/Proposals</t>
  </si>
  <si>
    <t>Evals/Selection</t>
  </si>
  <si>
    <t>Donor Approval</t>
  </si>
  <si>
    <t>Vetting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</si>
</sst>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2"/>
      <color theme="1"/>
      <name val="Calibri"/>
      <family val="2"/>
      <scheme val="minor"/>
    </font>
    <font>
      <u/>
      <sz val="11"/>
      <color theme="10"/>
      <name val="Calibri"/>
      <family val="2"/>
      <scheme val="minor"/>
    </font>
    <font>
      <sz val="11"/>
      <color rgb="FFFF0000"/>
      <name val="Calibri"/>
      <family val="2"/>
      <scheme val="minor"/>
    </font>
    <font>
      <b/>
      <u/>
      <sz val="11"/>
      <color rgb="FFFF0000"/>
      <name val="Calibri"/>
      <family val="2"/>
      <scheme val="minor"/>
    </font>
    <font>
      <sz val="11"/>
      <name val="Calibri"/>
      <family val="2"/>
      <scheme val="minor"/>
    </font>
    <font>
      <b/>
      <sz val="11"/>
      <name val="Calibri"/>
      <family val="2"/>
      <scheme val="minor"/>
    </font>
    <font>
      <b/>
      <sz val="14"/>
      <color rgb="FFFF0000"/>
      <name val="Calibri"/>
      <family val="2"/>
      <scheme val="minor"/>
    </font>
    <font>
      <b/>
      <u/>
      <sz val="14"/>
      <color theme="10"/>
      <name val="Calibri"/>
      <family val="2"/>
      <scheme val="minor"/>
    </font>
  </fonts>
  <fills count="1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CCCC"/>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CC99FF"/>
        <bgColor indexed="64"/>
      </patternFill>
    </fill>
    <fill>
      <patternFill patternType="solid">
        <fgColor theme="0" tint="-0.249977111117893"/>
        <bgColor indexed="64"/>
      </patternFill>
    </fill>
    <fill>
      <patternFill patternType="solid">
        <fgColor rgb="FFCCFFFF"/>
        <bgColor indexed="64"/>
      </patternFill>
    </fill>
    <fill>
      <patternFill patternType="solid">
        <fgColor rgb="FFFFCCFF"/>
        <bgColor indexed="64"/>
      </patternFill>
    </fill>
    <fill>
      <patternFill patternType="solid">
        <fgColor rgb="FFFFFF00"/>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0" fillId="0" borderId="1" xfId="0" applyBorder="1"/>
    <xf numFmtId="0" fontId="1" fillId="2" borderId="1" xfId="0" applyFont="1" applyFill="1" applyBorder="1"/>
    <xf numFmtId="0" fontId="0" fillId="2" borderId="1" xfId="0" applyFill="1" applyBorder="1"/>
    <xf numFmtId="0" fontId="0" fillId="3" borderId="1" xfId="0" applyFill="1" applyBorder="1"/>
    <xf numFmtId="0" fontId="1" fillId="3" borderId="1" xfId="0" applyFont="1" applyFill="1"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0" fillId="0" borderId="2" xfId="0" applyBorder="1"/>
    <xf numFmtId="0" fontId="0" fillId="6" borderId="1" xfId="0" applyFill="1" applyBorder="1"/>
    <xf numFmtId="0" fontId="1" fillId="6" borderId="1" xfId="0" applyFont="1" applyFill="1" applyBorder="1"/>
    <xf numFmtId="0" fontId="3" fillId="0" borderId="0" xfId="0" applyFont="1"/>
    <xf numFmtId="0" fontId="3" fillId="7" borderId="0" xfId="0" applyFont="1" applyFill="1"/>
    <xf numFmtId="0" fontId="0" fillId="7" borderId="0" xfId="0" applyFill="1"/>
    <xf numFmtId="0" fontId="1" fillId="8" borderId="1" xfId="0" applyFont="1" applyFill="1" applyBorder="1"/>
    <xf numFmtId="0" fontId="4" fillId="8" borderId="1" xfId="0" applyFont="1" applyFill="1" applyBorder="1"/>
    <xf numFmtId="0" fontId="4" fillId="10" borderId="1" xfId="0" applyFont="1" applyFill="1" applyBorder="1"/>
    <xf numFmtId="0" fontId="4" fillId="11" borderId="1" xfId="0" applyFont="1" applyFill="1" applyBorder="1"/>
    <xf numFmtId="0" fontId="4" fillId="6" borderId="1" xfId="0" applyFont="1" applyFill="1" applyBorder="1"/>
    <xf numFmtId="0" fontId="4" fillId="9" borderId="1" xfId="0" applyFont="1" applyFill="1" applyBorder="1"/>
    <xf numFmtId="0" fontId="0" fillId="13" borderId="1" xfId="0" applyFill="1" applyBorder="1"/>
    <xf numFmtId="0" fontId="1" fillId="13" borderId="1" xfId="0" applyFont="1" applyFill="1" applyBorder="1"/>
    <xf numFmtId="0" fontId="0" fillId="8" borderId="1" xfId="0" applyFill="1" applyBorder="1"/>
    <xf numFmtId="0" fontId="6" fillId="0" borderId="0" xfId="0" applyFont="1"/>
    <xf numFmtId="0" fontId="0" fillId="14" borderId="1" xfId="0" applyFill="1" applyBorder="1"/>
    <xf numFmtId="0" fontId="1" fillId="14" borderId="1" xfId="0" applyFont="1" applyFill="1" applyBorder="1"/>
    <xf numFmtId="0" fontId="1" fillId="15" borderId="4" xfId="0" applyFont="1" applyFill="1" applyBorder="1"/>
    <xf numFmtId="0" fontId="0" fillId="15" borderId="6" xfId="0" applyFill="1" applyBorder="1"/>
    <xf numFmtId="0" fontId="0" fillId="15" borderId="5" xfId="0" applyFill="1" applyBorder="1"/>
    <xf numFmtId="0" fontId="0" fillId="0" borderId="1" xfId="0" applyBorder="1" applyAlignment="1">
      <alignment wrapText="1"/>
    </xf>
    <xf numFmtId="0" fontId="0" fillId="15" borderId="5" xfId="0" applyFill="1" applyBorder="1" applyAlignment="1">
      <alignment wrapText="1"/>
    </xf>
    <xf numFmtId="0" fontId="1" fillId="8" borderId="3" xfId="0" applyFont="1" applyFill="1" applyBorder="1"/>
    <xf numFmtId="0" fontId="3" fillId="12" borderId="3" xfId="0" applyFont="1" applyFill="1" applyBorder="1" applyAlignment="1">
      <alignment horizontal="center"/>
    </xf>
    <xf numFmtId="0" fontId="0" fillId="11" borderId="1" xfId="0" applyFill="1" applyBorder="1"/>
    <xf numFmtId="0" fontId="1" fillId="11" borderId="0" xfId="0" applyFont="1" applyFill="1"/>
    <xf numFmtId="0" fontId="0" fillId="15" borderId="8" xfId="0" applyFill="1" applyBorder="1"/>
    <xf numFmtId="0" fontId="0" fillId="15" borderId="10" xfId="0" applyFill="1" applyBorder="1"/>
    <xf numFmtId="0" fontId="1" fillId="11" borderId="1" xfId="0" applyFont="1" applyFill="1" applyBorder="1"/>
    <xf numFmtId="0" fontId="0" fillId="0" borderId="0" xfId="0" applyAlignment="1">
      <alignment wrapText="1"/>
    </xf>
    <xf numFmtId="0" fontId="8" fillId="16" borderId="1" xfId="0" applyFont="1" applyFill="1" applyBorder="1"/>
    <xf numFmtId="0" fontId="0" fillId="16" borderId="1" xfId="0" applyFill="1" applyBorder="1"/>
    <xf numFmtId="0" fontId="1" fillId="16" borderId="1" xfId="0" applyFont="1" applyFill="1" applyBorder="1"/>
    <xf numFmtId="0" fontId="0" fillId="15" borderId="6" xfId="0" applyFill="1" applyBorder="1" applyAlignment="1">
      <alignment wrapText="1"/>
    </xf>
    <xf numFmtId="0" fontId="1" fillId="15" borderId="4" xfId="0" applyFont="1" applyFill="1" applyBorder="1" applyAlignment="1">
      <alignment wrapText="1"/>
    </xf>
    <xf numFmtId="0" fontId="0" fillId="15" borderId="9" xfId="0" applyFill="1" applyBorder="1" applyAlignment="1">
      <alignment wrapText="1"/>
    </xf>
    <xf numFmtId="0" fontId="0" fillId="15" borderId="11" xfId="0" applyFill="1" applyBorder="1" applyAlignment="1">
      <alignment wrapText="1"/>
    </xf>
    <xf numFmtId="0" fontId="1" fillId="13" borderId="1" xfId="0" applyFont="1" applyFill="1" applyBorder="1" applyAlignment="1">
      <alignment wrapText="1"/>
    </xf>
    <xf numFmtId="0" fontId="0" fillId="15" borderId="10" xfId="0" applyFill="1" applyBorder="1" applyAlignment="1">
      <alignment wrapText="1"/>
    </xf>
    <xf numFmtId="0" fontId="8" fillId="8" borderId="1" xfId="0" applyFont="1" applyFill="1" applyBorder="1"/>
    <xf numFmtId="0" fontId="9" fillId="8" borderId="1" xfId="0" applyFont="1" applyFill="1" applyBorder="1"/>
    <xf numFmtId="0" fontId="1" fillId="15" borderId="14" xfId="0" applyFont="1" applyFill="1" applyBorder="1"/>
    <xf numFmtId="0" fontId="1" fillId="15" borderId="15" xfId="0" applyFont="1" applyFill="1" applyBorder="1"/>
    <xf numFmtId="0" fontId="0" fillId="8" borderId="1" xfId="0" applyFill="1" applyBorder="1" applyAlignment="1">
      <alignment wrapText="1"/>
    </xf>
    <xf numFmtId="0" fontId="0" fillId="8" borderId="0" xfId="0" applyFill="1"/>
    <xf numFmtId="0" fontId="3" fillId="12" borderId="3" xfId="0" applyFont="1" applyFill="1" applyBorder="1" applyAlignment="1">
      <alignment horizontal="left"/>
    </xf>
    <xf numFmtId="0" fontId="10" fillId="0" borderId="0" xfId="0" applyFont="1"/>
    <xf numFmtId="0" fontId="11" fillId="0" borderId="0" xfId="1" applyFont="1"/>
    <xf numFmtId="0" fontId="3" fillId="12" borderId="3" xfId="0" applyFont="1" applyFill="1" applyBorder="1" applyAlignment="1">
      <alignment horizontal="center"/>
    </xf>
    <xf numFmtId="0" fontId="0" fillId="0" borderId="13" xfId="0" applyBorder="1" applyAlignment="1">
      <alignment horizontal="left" vertical="top" wrapText="1"/>
    </xf>
    <xf numFmtId="0" fontId="0" fillId="0" borderId="7" xfId="0" applyBorder="1" applyAlignment="1">
      <alignment horizontal="left" vertical="top" wrapText="1"/>
    </xf>
    <xf numFmtId="0" fontId="6" fillId="0" borderId="12"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95F39E"/>
      <color rgb="FFC1F1CB"/>
      <color rgb="FF66FF99"/>
      <color rgb="FFCCFF33"/>
      <color rgb="FFCCFFCC"/>
      <color rgb="FF99FF33"/>
      <color rgb="FFCC99FF"/>
      <color rgb="FFFF9999"/>
      <color rgb="FFCCCC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s/FA/EnHhonrhpJNcors4LCivySkBpGtMZ6LMKMTVNgUMNVyjqA?e=BGC1f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s/FA/EgQdL-HsfdNMmMKvqSh2qVIB0yAgKtyn5qD8nD01N-qoIg?e=btBmF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9D91-3509-441A-8925-734540870F64}">
  <dimension ref="A1:F12"/>
  <sheetViews>
    <sheetView zoomScale="115" zoomScaleNormal="115" workbookViewId="0">
      <selection activeCell="C10" sqref="C10"/>
    </sheetView>
  </sheetViews>
  <sheetFormatPr defaultRowHeight="14.5" x14ac:dyDescent="0.35"/>
  <cols>
    <col min="1" max="1" width="34" bestFit="1" customWidth="1"/>
    <col min="2" max="2" width="26.54296875" bestFit="1" customWidth="1"/>
    <col min="3" max="3" width="18.453125" customWidth="1"/>
    <col min="4" max="4" width="13.453125" customWidth="1"/>
    <col min="5" max="5" width="27.1796875" customWidth="1"/>
  </cols>
  <sheetData>
    <row r="1" spans="1:6" ht="18.5" x14ac:dyDescent="0.45">
      <c r="A1" s="59" t="s">
        <v>0</v>
      </c>
      <c r="B1" s="59"/>
      <c r="C1" s="59"/>
      <c r="D1" s="59"/>
      <c r="E1" s="59"/>
      <c r="F1" t="s">
        <v>1</v>
      </c>
    </row>
    <row r="2" spans="1:6" ht="18.5" x14ac:dyDescent="0.45">
      <c r="A2" s="56" t="s">
        <v>2</v>
      </c>
      <c r="B2" s="34"/>
      <c r="C2" s="34"/>
      <c r="D2" s="34"/>
      <c r="E2" s="34"/>
    </row>
    <row r="3" spans="1:6" ht="15.5" x14ac:dyDescent="0.35">
      <c r="A3" s="17" t="s">
        <v>3</v>
      </c>
      <c r="B3" s="18" t="s">
        <v>4</v>
      </c>
      <c r="C3" s="19" t="s">
        <v>5</v>
      </c>
      <c r="D3" s="20" t="s">
        <v>6</v>
      </c>
      <c r="E3" s="21" t="s">
        <v>7</v>
      </c>
    </row>
    <row r="4" spans="1:6" x14ac:dyDescent="0.35">
      <c r="A4" s="1" t="s">
        <v>8</v>
      </c>
      <c r="B4" s="1" t="s">
        <v>9</v>
      </c>
      <c r="C4" s="1" t="s">
        <v>10</v>
      </c>
      <c r="D4" s="31" t="s">
        <v>11</v>
      </c>
      <c r="E4" s="1" t="s">
        <v>12</v>
      </c>
    </row>
    <row r="5" spans="1:6" x14ac:dyDescent="0.35">
      <c r="A5" s="1" t="s">
        <v>13</v>
      </c>
      <c r="B5" s="1" t="s">
        <v>14</v>
      </c>
      <c r="C5" s="1" t="s">
        <v>15</v>
      </c>
      <c r="D5" s="1" t="s">
        <v>16</v>
      </c>
      <c r="E5" s="1" t="s">
        <v>12</v>
      </c>
    </row>
    <row r="6" spans="1:6" x14ac:dyDescent="0.35">
      <c r="A6" s="1" t="s">
        <v>17</v>
      </c>
      <c r="B6" s="1" t="s">
        <v>18</v>
      </c>
      <c r="C6" s="1" t="s">
        <v>19</v>
      </c>
      <c r="D6" s="1" t="s">
        <v>20</v>
      </c>
      <c r="E6" s="1" t="s">
        <v>12</v>
      </c>
    </row>
    <row r="7" spans="1:6" x14ac:dyDescent="0.35">
      <c r="A7" s="1" t="s">
        <v>21</v>
      </c>
      <c r="B7" s="1" t="s">
        <v>22</v>
      </c>
      <c r="C7" s="1" t="s">
        <v>23</v>
      </c>
      <c r="D7" s="1"/>
      <c r="E7" s="1" t="s">
        <v>12</v>
      </c>
    </row>
    <row r="8" spans="1:6" x14ac:dyDescent="0.35">
      <c r="A8" s="1" t="s">
        <v>24</v>
      </c>
      <c r="B8" s="1" t="s">
        <v>25</v>
      </c>
      <c r="C8" s="1" t="s">
        <v>26</v>
      </c>
      <c r="D8" s="1"/>
      <c r="E8" s="1" t="s">
        <v>12</v>
      </c>
    </row>
    <row r="9" spans="1:6" x14ac:dyDescent="0.35">
      <c r="A9" s="1" t="s">
        <v>27</v>
      </c>
      <c r="B9" s="1"/>
      <c r="C9" s="31" t="s">
        <v>28</v>
      </c>
      <c r="D9" s="1"/>
      <c r="E9" s="1" t="s">
        <v>12</v>
      </c>
    </row>
    <row r="10" spans="1:6" ht="29" x14ac:dyDescent="0.35">
      <c r="A10" s="1"/>
      <c r="B10" s="1"/>
      <c r="C10" s="31" t="s">
        <v>29</v>
      </c>
      <c r="D10" s="1"/>
      <c r="E10" s="1" t="s">
        <v>12</v>
      </c>
    </row>
    <row r="11" spans="1:6" ht="43.5" customHeight="1" x14ac:dyDescent="0.35">
      <c r="C11" s="60" t="s">
        <v>30</v>
      </c>
      <c r="D11" s="61"/>
      <c r="E11" s="61"/>
    </row>
    <row r="12" spans="1:6" ht="18.5" x14ac:dyDescent="0.45">
      <c r="A12" s="58" t="s">
        <v>31</v>
      </c>
      <c r="C12" s="40"/>
      <c r="D12" s="40"/>
    </row>
  </sheetData>
  <mergeCells count="2">
    <mergeCell ref="A1:E1"/>
    <mergeCell ref="C11:E11"/>
  </mergeCells>
  <hyperlinks>
    <hyperlink ref="A12" r:id="rId1" display="File name mush follow E-Documents Nomanclature policy" xr:uid="{8F8802B1-F9B1-46B6-8C38-BD48601BBF6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DC57-99FF-43B4-9C8C-20D37227DBA9}">
  <sheetPr>
    <tabColor theme="7" tint="0.39997558519241921"/>
  </sheetPr>
  <dimension ref="A1:K35"/>
  <sheetViews>
    <sheetView topLeftCell="A7" zoomScale="85" zoomScaleNormal="85" workbookViewId="0">
      <selection activeCell="A2" sqref="A2"/>
    </sheetView>
  </sheetViews>
  <sheetFormatPr defaultRowHeight="14.5" x14ac:dyDescent="0.35"/>
  <cols>
    <col min="1" max="1" width="44.1796875" bestFit="1" customWidth="1"/>
    <col min="2" max="2" width="3.54296875" customWidth="1"/>
    <col min="3" max="3" width="23.453125" bestFit="1" customWidth="1"/>
    <col min="4" max="4" width="4.26953125" customWidth="1"/>
    <col min="5" max="5" width="15" bestFit="1" customWidth="1"/>
    <col min="6" max="6" width="3.81640625" customWidth="1"/>
    <col min="7" max="7" width="33.54296875" bestFit="1" customWidth="1"/>
    <col min="8" max="8" width="3.81640625" customWidth="1"/>
    <col min="9" max="9" width="33.54296875" bestFit="1" customWidth="1"/>
    <col min="10" max="10" width="3.81640625" customWidth="1"/>
    <col min="11" max="11" width="33.54296875" bestFit="1" customWidth="1"/>
  </cols>
  <sheetData>
    <row r="1" spans="1:11" ht="18.5" x14ac:dyDescent="0.45">
      <c r="A1" s="14" t="str">
        <f>'Program File Summary'!A3</f>
        <v>Donor</v>
      </c>
      <c r="C1" s="28" t="s">
        <v>32</v>
      </c>
    </row>
    <row r="2" spans="1:11" x14ac:dyDescent="0.35">
      <c r="A2" s="4" t="s">
        <v>8</v>
      </c>
      <c r="C2" s="29" t="s">
        <v>33</v>
      </c>
    </row>
    <row r="3" spans="1:11" ht="15" thickBot="1" x14ac:dyDescent="0.4">
      <c r="A3" s="6" t="s">
        <v>13</v>
      </c>
      <c r="C3" s="30" t="s">
        <v>34</v>
      </c>
    </row>
    <row r="4" spans="1:11" x14ac:dyDescent="0.35">
      <c r="A4" s="8" t="s">
        <v>17</v>
      </c>
    </row>
    <row r="5" spans="1:11" x14ac:dyDescent="0.35">
      <c r="A5" s="3" t="s">
        <v>21</v>
      </c>
    </row>
    <row r="6" spans="1:11" x14ac:dyDescent="0.35">
      <c r="A6" s="26" t="s">
        <v>24</v>
      </c>
    </row>
    <row r="7" spans="1:11" x14ac:dyDescent="0.35">
      <c r="A7" s="11" t="s">
        <v>27</v>
      </c>
    </row>
    <row r="9" spans="1:11" ht="18.5" x14ac:dyDescent="0.45">
      <c r="A9" s="14" t="s">
        <v>35</v>
      </c>
      <c r="B9" s="15"/>
      <c r="C9" s="15"/>
      <c r="D9" s="15"/>
      <c r="E9" s="15"/>
      <c r="F9" s="15"/>
      <c r="G9" s="15"/>
      <c r="H9" s="15"/>
      <c r="I9" s="15"/>
      <c r="J9" s="15"/>
      <c r="K9" s="15"/>
    </row>
    <row r="10" spans="1:11" x14ac:dyDescent="0.35">
      <c r="A10" s="5" t="str">
        <f>A2</f>
        <v>Award &amp; Mod</v>
      </c>
      <c r="C10" s="7" t="str">
        <f>A3</f>
        <v>Approvals (Email approvals)</v>
      </c>
      <c r="E10" s="9" t="str">
        <f>A4</f>
        <v>Other (FYI)</v>
      </c>
      <c r="G10" s="2" t="str">
        <f>A5</f>
        <v>Requests (Pending &amp; Submitted)</v>
      </c>
      <c r="I10" s="27" t="str">
        <f>A6</f>
        <v>Meeting Notes</v>
      </c>
      <c r="K10" s="12" t="str">
        <f>A7</f>
        <v>Donor Reports</v>
      </c>
    </row>
    <row r="11" spans="1:11" x14ac:dyDescent="0.35">
      <c r="A11" s="4" t="s">
        <v>36</v>
      </c>
      <c r="C11" s="6"/>
      <c r="E11" s="8">
        <v>2023</v>
      </c>
      <c r="G11" s="3">
        <v>2023</v>
      </c>
      <c r="I11" s="26">
        <v>2023</v>
      </c>
      <c r="K11" s="11" t="s">
        <v>37</v>
      </c>
    </row>
    <row r="12" spans="1:11" x14ac:dyDescent="0.35">
      <c r="A12" s="4" t="s">
        <v>38</v>
      </c>
      <c r="C12" s="6"/>
      <c r="E12" s="8">
        <v>2024</v>
      </c>
      <c r="G12" s="3">
        <v>2024</v>
      </c>
      <c r="I12" s="26">
        <v>2024</v>
      </c>
      <c r="K12" s="11" t="s">
        <v>39</v>
      </c>
    </row>
    <row r="13" spans="1:11" x14ac:dyDescent="0.35">
      <c r="A13" s="4" t="s">
        <v>40</v>
      </c>
      <c r="C13" s="6"/>
      <c r="E13" s="8">
        <v>2025</v>
      </c>
      <c r="G13" s="3">
        <v>2025</v>
      </c>
      <c r="I13" s="26">
        <v>2025</v>
      </c>
      <c r="K13" s="11" t="s">
        <v>41</v>
      </c>
    </row>
    <row r="14" spans="1:11" x14ac:dyDescent="0.35">
      <c r="A14" s="4" t="s">
        <v>42</v>
      </c>
      <c r="C14" s="6"/>
      <c r="E14" s="8">
        <v>2026</v>
      </c>
      <c r="G14" s="3">
        <v>2026</v>
      </c>
      <c r="I14" s="26">
        <v>2026</v>
      </c>
      <c r="K14" s="11"/>
    </row>
    <row r="15" spans="1:11" x14ac:dyDescent="0.35">
      <c r="A15" s="4" t="s">
        <v>43</v>
      </c>
      <c r="C15" s="6"/>
      <c r="E15" s="8">
        <v>2027</v>
      </c>
      <c r="G15" s="3">
        <v>2027</v>
      </c>
      <c r="I15" s="26">
        <v>2027</v>
      </c>
      <c r="K15" s="11"/>
    </row>
    <row r="17" spans="1:11" ht="18.5" x14ac:dyDescent="0.45">
      <c r="A17" s="14" t="s">
        <v>44</v>
      </c>
      <c r="B17" s="15"/>
      <c r="C17" s="15"/>
      <c r="D17" s="15"/>
      <c r="E17" s="15"/>
      <c r="F17" s="15"/>
      <c r="G17" s="15"/>
      <c r="H17" s="15"/>
      <c r="I17" s="15"/>
      <c r="J17" s="15"/>
      <c r="K17" s="15"/>
    </row>
    <row r="18" spans="1:11" x14ac:dyDescent="0.35">
      <c r="A18" s="5" t="str">
        <f>A11</f>
        <v>Original Award</v>
      </c>
      <c r="G18" s="2">
        <f>G11</f>
        <v>2023</v>
      </c>
      <c r="I18" s="27">
        <f>I11</f>
        <v>2023</v>
      </c>
      <c r="K18" s="12" t="str">
        <f>K11</f>
        <v>TPRs</v>
      </c>
    </row>
    <row r="19" spans="1:11" x14ac:dyDescent="0.35">
      <c r="A19" s="4" t="s">
        <v>45</v>
      </c>
      <c r="G19" s="3" t="s">
        <v>46</v>
      </c>
      <c r="I19" s="26" t="s">
        <v>47</v>
      </c>
      <c r="K19" s="11">
        <v>2023</v>
      </c>
    </row>
    <row r="20" spans="1:11" x14ac:dyDescent="0.35">
      <c r="A20" s="4" t="s">
        <v>48</v>
      </c>
      <c r="G20" s="3" t="s">
        <v>46</v>
      </c>
      <c r="I20" s="26" t="s">
        <v>49</v>
      </c>
      <c r="K20" s="11">
        <v>2024</v>
      </c>
    </row>
    <row r="21" spans="1:11" x14ac:dyDescent="0.35">
      <c r="G21" s="3" t="s">
        <v>46</v>
      </c>
      <c r="I21" s="26" t="s">
        <v>50</v>
      </c>
      <c r="K21" s="11">
        <v>2025</v>
      </c>
    </row>
    <row r="22" spans="1:11" x14ac:dyDescent="0.35">
      <c r="A22" s="5" t="str">
        <f>A12</f>
        <v>Mod 1</v>
      </c>
    </row>
    <row r="23" spans="1:11" x14ac:dyDescent="0.35">
      <c r="A23" s="4" t="s">
        <v>51</v>
      </c>
    </row>
    <row r="24" spans="1:11" x14ac:dyDescent="0.35">
      <c r="A24" s="4" t="s">
        <v>52</v>
      </c>
    </row>
    <row r="25" spans="1:11" x14ac:dyDescent="0.35">
      <c r="A25" s="4" t="s">
        <v>53</v>
      </c>
    </row>
    <row r="27" spans="1:11" ht="18.5" x14ac:dyDescent="0.45">
      <c r="A27" s="14" t="s">
        <v>44</v>
      </c>
      <c r="B27" s="15"/>
      <c r="C27" s="15"/>
      <c r="D27" s="15"/>
      <c r="E27" s="15"/>
      <c r="F27" s="15"/>
      <c r="G27" s="15"/>
      <c r="H27" s="15"/>
      <c r="I27" s="15"/>
      <c r="J27" s="15"/>
      <c r="K27" s="15"/>
    </row>
    <row r="28" spans="1:11" x14ac:dyDescent="0.35">
      <c r="G28" s="2" t="str">
        <f>G19</f>
        <v>List name of submit item</v>
      </c>
      <c r="K28" s="12">
        <f>K19</f>
        <v>2023</v>
      </c>
    </row>
    <row r="29" spans="1:11" x14ac:dyDescent="0.35">
      <c r="G29" s="3" t="s">
        <v>54</v>
      </c>
      <c r="K29" s="11" t="s">
        <v>54</v>
      </c>
    </row>
    <row r="30" spans="1:11" x14ac:dyDescent="0.35">
      <c r="G30" s="3" t="s">
        <v>52</v>
      </c>
      <c r="K30" s="11" t="s">
        <v>52</v>
      </c>
    </row>
    <row r="31" spans="1:11" x14ac:dyDescent="0.35">
      <c r="G31" s="3" t="s">
        <v>53</v>
      </c>
      <c r="K31" s="11" t="s">
        <v>53</v>
      </c>
    </row>
    <row r="35" spans="3:3" x14ac:dyDescent="0.35">
      <c r="C35" t="s">
        <v>55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72F37-AA6E-4E60-BC60-B3999E1BD583}">
  <sheetPr>
    <tabColor theme="8" tint="0.39997558519241921"/>
  </sheetPr>
  <dimension ref="A1:O45"/>
  <sheetViews>
    <sheetView topLeftCell="A17" zoomScale="85" zoomScaleNormal="85" workbookViewId="0">
      <selection activeCell="A24" sqref="A24"/>
    </sheetView>
  </sheetViews>
  <sheetFormatPr defaultRowHeight="14.5" x14ac:dyDescent="0.35"/>
  <cols>
    <col min="1" max="1" width="44.1796875" bestFit="1" customWidth="1"/>
    <col min="2" max="2" width="3.54296875" customWidth="1"/>
    <col min="3" max="3" width="24.7265625" bestFit="1" customWidth="1"/>
    <col min="4" max="4" width="4.1796875" customWidth="1"/>
    <col min="5" max="5" width="15" customWidth="1"/>
    <col min="6" max="6" width="4.26953125" customWidth="1"/>
    <col min="7" max="7" width="33.54296875" bestFit="1" customWidth="1"/>
    <col min="8" max="8" width="4.26953125" customWidth="1"/>
    <col min="9" max="9" width="31.453125" bestFit="1" customWidth="1"/>
  </cols>
  <sheetData>
    <row r="1" spans="1:9" ht="18.5" x14ac:dyDescent="0.45">
      <c r="A1" s="14" t="str">
        <f>'Program File Summary'!B3</f>
        <v>Technical</v>
      </c>
      <c r="C1" s="28" t="s">
        <v>56</v>
      </c>
    </row>
    <row r="2" spans="1:9" x14ac:dyDescent="0.35">
      <c r="A2" s="4" t="s">
        <v>9</v>
      </c>
      <c r="C2" s="29" t="s">
        <v>33</v>
      </c>
    </row>
    <row r="3" spans="1:9" x14ac:dyDescent="0.35">
      <c r="A3" s="6" t="s">
        <v>14</v>
      </c>
      <c r="C3" s="29" t="s">
        <v>57</v>
      </c>
    </row>
    <row r="4" spans="1:9" x14ac:dyDescent="0.35">
      <c r="A4" s="24" t="s">
        <v>18</v>
      </c>
      <c r="C4" t="s">
        <v>58</v>
      </c>
    </row>
    <row r="5" spans="1:9" x14ac:dyDescent="0.35">
      <c r="A5" s="3" t="s">
        <v>22</v>
      </c>
    </row>
    <row r="6" spans="1:9" x14ac:dyDescent="0.35">
      <c r="A6" s="11" t="s">
        <v>25</v>
      </c>
    </row>
    <row r="8" spans="1:9" ht="18.5" x14ac:dyDescent="0.45">
      <c r="A8" s="14" t="s">
        <v>35</v>
      </c>
      <c r="B8" s="15"/>
      <c r="C8" s="15"/>
      <c r="D8" s="15"/>
      <c r="E8" s="15"/>
      <c r="F8" s="15"/>
      <c r="G8" s="15"/>
      <c r="H8" s="15"/>
      <c r="I8" s="15"/>
    </row>
    <row r="9" spans="1:9" x14ac:dyDescent="0.35">
      <c r="A9" s="5" t="s">
        <v>59</v>
      </c>
      <c r="C9" s="7" t="s">
        <v>14</v>
      </c>
      <c r="E9" s="33" t="str">
        <f>A4</f>
        <v>M&amp;E</v>
      </c>
      <c r="G9" s="2" t="s">
        <v>22</v>
      </c>
      <c r="I9" s="12" t="s">
        <v>25</v>
      </c>
    </row>
    <row r="10" spans="1:9" x14ac:dyDescent="0.35">
      <c r="A10" s="4" t="s">
        <v>60</v>
      </c>
      <c r="C10" s="6" t="s">
        <v>61</v>
      </c>
      <c r="E10" s="24" t="s">
        <v>62</v>
      </c>
      <c r="G10" s="3" t="s">
        <v>63</v>
      </c>
      <c r="I10" s="11">
        <v>2023</v>
      </c>
    </row>
    <row r="11" spans="1:9" x14ac:dyDescent="0.35">
      <c r="A11" s="4" t="s">
        <v>64</v>
      </c>
      <c r="C11" s="6" t="s">
        <v>65</v>
      </c>
      <c r="E11" s="24" t="s">
        <v>66</v>
      </c>
      <c r="G11" s="3" t="s">
        <v>67</v>
      </c>
      <c r="I11" s="11">
        <v>2024</v>
      </c>
    </row>
    <row r="12" spans="1:9" x14ac:dyDescent="0.35">
      <c r="A12" s="4" t="s">
        <v>68</v>
      </c>
      <c r="C12" s="6" t="s">
        <v>69</v>
      </c>
      <c r="E12" s="24" t="s">
        <v>70</v>
      </c>
      <c r="G12" s="3" t="s">
        <v>71</v>
      </c>
      <c r="I12" s="11">
        <v>2025</v>
      </c>
    </row>
    <row r="13" spans="1:9" x14ac:dyDescent="0.35">
      <c r="A13" s="4" t="s">
        <v>72</v>
      </c>
      <c r="C13" s="6" t="s">
        <v>73</v>
      </c>
      <c r="E13" s="24" t="s">
        <v>74</v>
      </c>
      <c r="G13" s="3"/>
      <c r="I13" s="11"/>
    </row>
    <row r="14" spans="1:9" x14ac:dyDescent="0.35">
      <c r="A14" s="4" t="s">
        <v>75</v>
      </c>
      <c r="C14" s="6" t="s">
        <v>76</v>
      </c>
      <c r="E14" s="24" t="s">
        <v>77</v>
      </c>
      <c r="G14" s="3"/>
      <c r="I14" s="11"/>
    </row>
    <row r="15" spans="1:9" x14ac:dyDescent="0.35">
      <c r="A15" s="4" t="s">
        <v>78</v>
      </c>
      <c r="C15" s="6" t="s">
        <v>79</v>
      </c>
      <c r="E15" s="24" t="s">
        <v>80</v>
      </c>
      <c r="G15" s="3"/>
      <c r="I15" s="11"/>
    </row>
    <row r="16" spans="1:9" x14ac:dyDescent="0.35">
      <c r="A16" s="4" t="s">
        <v>81</v>
      </c>
      <c r="C16" s="6" t="s">
        <v>82</v>
      </c>
      <c r="E16" s="24"/>
      <c r="G16" s="3"/>
      <c r="I16" s="11"/>
    </row>
    <row r="17" spans="1:10" x14ac:dyDescent="0.35">
      <c r="A17" s="4" t="s">
        <v>83</v>
      </c>
      <c r="C17" s="6" t="s">
        <v>84</v>
      </c>
      <c r="E17" s="24"/>
      <c r="G17" s="3"/>
      <c r="I17" s="11"/>
    </row>
    <row r="18" spans="1:10" x14ac:dyDescent="0.35">
      <c r="A18" s="10" t="s">
        <v>85</v>
      </c>
    </row>
    <row r="19" spans="1:10" x14ac:dyDescent="0.35">
      <c r="A19" s="25" t="s">
        <v>86</v>
      </c>
    </row>
    <row r="20" spans="1:10" ht="18.5" x14ac:dyDescent="0.45">
      <c r="A20" s="14" t="s">
        <v>44</v>
      </c>
      <c r="B20" s="15"/>
      <c r="C20" s="15"/>
      <c r="D20" s="15"/>
      <c r="E20" s="15"/>
      <c r="F20" s="15"/>
      <c r="G20" s="15"/>
      <c r="H20" s="15"/>
      <c r="I20" s="15"/>
    </row>
    <row r="21" spans="1:10" ht="18.5" x14ac:dyDescent="0.45">
      <c r="A21" s="13"/>
      <c r="E21" s="16" t="str">
        <f>E10</f>
        <v>Baseline</v>
      </c>
      <c r="G21" s="2" t="s">
        <v>63</v>
      </c>
      <c r="I21" s="12">
        <v>2023</v>
      </c>
    </row>
    <row r="22" spans="1:10" x14ac:dyDescent="0.35">
      <c r="E22" s="24" t="s">
        <v>87</v>
      </c>
      <c r="G22" s="3" t="s">
        <v>88</v>
      </c>
      <c r="I22" s="11" t="s">
        <v>89</v>
      </c>
      <c r="J22" t="s">
        <v>90</v>
      </c>
    </row>
    <row r="23" spans="1:10" x14ac:dyDescent="0.35">
      <c r="E23" s="24" t="s">
        <v>91</v>
      </c>
      <c r="G23" s="3" t="s">
        <v>92</v>
      </c>
      <c r="I23" s="11" t="s">
        <v>93</v>
      </c>
    </row>
    <row r="24" spans="1:10" x14ac:dyDescent="0.35">
      <c r="E24" s="24" t="s">
        <v>94</v>
      </c>
      <c r="G24" s="3" t="s">
        <v>95</v>
      </c>
      <c r="I24" s="11" t="s">
        <v>96</v>
      </c>
    </row>
    <row r="26" spans="1:10" x14ac:dyDescent="0.35">
      <c r="G26" s="2" t="s">
        <v>67</v>
      </c>
      <c r="I26" s="12">
        <v>2024</v>
      </c>
    </row>
    <row r="27" spans="1:10" x14ac:dyDescent="0.35">
      <c r="G27" s="3" t="s">
        <v>88</v>
      </c>
      <c r="I27" s="11" t="s">
        <v>97</v>
      </c>
      <c r="J27" t="s">
        <v>90</v>
      </c>
    </row>
    <row r="28" spans="1:10" x14ac:dyDescent="0.35">
      <c r="G28" s="3" t="s">
        <v>92</v>
      </c>
      <c r="I28" s="11" t="s">
        <v>93</v>
      </c>
    </row>
    <row r="29" spans="1:10" x14ac:dyDescent="0.35">
      <c r="G29" s="3" t="s">
        <v>95</v>
      </c>
      <c r="I29" s="11" t="s">
        <v>96</v>
      </c>
    </row>
    <row r="31" spans="1:10" x14ac:dyDescent="0.35">
      <c r="I31" s="12">
        <v>2025</v>
      </c>
    </row>
    <row r="32" spans="1:10" x14ac:dyDescent="0.35">
      <c r="I32" s="11" t="s">
        <v>97</v>
      </c>
      <c r="J32" t="s">
        <v>90</v>
      </c>
    </row>
    <row r="33" spans="1:15" x14ac:dyDescent="0.35">
      <c r="I33" s="11" t="s">
        <v>93</v>
      </c>
    </row>
    <row r="34" spans="1:15" x14ac:dyDescent="0.35">
      <c r="I34" s="11" t="s">
        <v>96</v>
      </c>
    </row>
    <row r="36" spans="1:15" ht="18.5" x14ac:dyDescent="0.45">
      <c r="A36" s="14" t="s">
        <v>98</v>
      </c>
      <c r="B36" s="15"/>
      <c r="C36" s="15"/>
      <c r="D36" s="15"/>
      <c r="E36" s="15"/>
      <c r="F36" s="15"/>
      <c r="G36" s="15"/>
      <c r="H36" s="15"/>
      <c r="I36" s="15"/>
    </row>
    <row r="37" spans="1:15" x14ac:dyDescent="0.35">
      <c r="E37" s="16" t="str">
        <f>E22</f>
        <v>Indicators</v>
      </c>
      <c r="G37" s="2">
        <v>2023</v>
      </c>
      <c r="I37" s="12" t="str">
        <f>I22</f>
        <v>XXX Program Kick off Workshop</v>
      </c>
      <c r="J37" t="s">
        <v>99</v>
      </c>
    </row>
    <row r="38" spans="1:15" x14ac:dyDescent="0.35">
      <c r="E38" s="24" t="s">
        <v>54</v>
      </c>
      <c r="G38" s="3" t="s">
        <v>54</v>
      </c>
      <c r="I38" s="11" t="s">
        <v>100</v>
      </c>
    </row>
    <row r="39" spans="1:15" x14ac:dyDescent="0.35">
      <c r="E39" s="24" t="s">
        <v>101</v>
      </c>
      <c r="G39" s="3" t="s">
        <v>101</v>
      </c>
      <c r="I39" s="11" t="s">
        <v>102</v>
      </c>
    </row>
    <row r="40" spans="1:15" x14ac:dyDescent="0.35">
      <c r="I40" s="11" t="s">
        <v>103</v>
      </c>
    </row>
    <row r="41" spans="1:15" x14ac:dyDescent="0.35">
      <c r="I41" s="11" t="s">
        <v>104</v>
      </c>
    </row>
    <row r="42" spans="1:15" x14ac:dyDescent="0.35">
      <c r="I42" s="11" t="s">
        <v>105</v>
      </c>
      <c r="J42" t="s">
        <v>106</v>
      </c>
    </row>
    <row r="43" spans="1:15" x14ac:dyDescent="0.35">
      <c r="I43" s="11" t="s">
        <v>107</v>
      </c>
    </row>
    <row r="44" spans="1:15" x14ac:dyDescent="0.35">
      <c r="I44" s="25" t="s">
        <v>108</v>
      </c>
    </row>
    <row r="45" spans="1:15" x14ac:dyDescent="0.35">
      <c r="I45" s="25"/>
      <c r="J45" s="25"/>
      <c r="K45" s="25"/>
      <c r="L45" s="25"/>
      <c r="M45" s="25"/>
      <c r="N45" s="25"/>
      <c r="O45" s="25"/>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69DE-D28A-4E17-87FD-E7DAEB04BC61}">
  <sheetPr>
    <tabColor rgb="FFCC99FF"/>
  </sheetPr>
  <dimension ref="A1:N58"/>
  <sheetViews>
    <sheetView topLeftCell="E31" zoomScale="70" zoomScaleNormal="70" workbookViewId="0">
      <selection activeCell="A9" sqref="A9"/>
    </sheetView>
  </sheetViews>
  <sheetFormatPr defaultRowHeight="14.5" x14ac:dyDescent="0.35"/>
  <cols>
    <col min="1" max="1" width="19" customWidth="1"/>
    <col min="2" max="2" width="25.26953125" customWidth="1"/>
    <col min="3" max="3" width="17.453125" customWidth="1"/>
    <col min="4" max="4" width="24.26953125" customWidth="1"/>
    <col min="5" max="5" width="15.7265625" customWidth="1"/>
    <col min="6" max="6" width="24.453125" customWidth="1"/>
    <col min="7" max="7" width="13.453125" customWidth="1"/>
    <col min="8" max="8" width="30" bestFit="1" customWidth="1"/>
    <col min="9" max="9" width="16.7265625" customWidth="1"/>
    <col min="10" max="10" width="27.7265625" customWidth="1"/>
    <col min="11" max="11" width="17.1796875" customWidth="1"/>
    <col min="12" max="12" width="31.453125" bestFit="1" customWidth="1"/>
    <col min="13" max="13" width="29.54296875" bestFit="1" customWidth="1"/>
    <col min="14" max="14" width="58.26953125" bestFit="1" customWidth="1"/>
  </cols>
  <sheetData>
    <row r="1" spans="1:14" ht="18.5" x14ac:dyDescent="0.45">
      <c r="A1" s="14" t="str">
        <f>'Program File Summary'!C3</f>
        <v>F&amp;A</v>
      </c>
    </row>
    <row r="2" spans="1:14" x14ac:dyDescent="0.35">
      <c r="A2" s="4" t="s">
        <v>10</v>
      </c>
    </row>
    <row r="3" spans="1:14" x14ac:dyDescent="0.35">
      <c r="A3" s="55" t="s">
        <v>15</v>
      </c>
    </row>
    <row r="4" spans="1:14" x14ac:dyDescent="0.35">
      <c r="A4" s="6" t="s">
        <v>19</v>
      </c>
    </row>
    <row r="5" spans="1:14" x14ac:dyDescent="0.35">
      <c r="A5" s="11" t="s">
        <v>23</v>
      </c>
    </row>
    <row r="6" spans="1:14" x14ac:dyDescent="0.35">
      <c r="A6" s="35" t="s">
        <v>26</v>
      </c>
    </row>
    <row r="7" spans="1:14" x14ac:dyDescent="0.35">
      <c r="A7" s="3" t="s">
        <v>28</v>
      </c>
    </row>
    <row r="8" spans="1:14" x14ac:dyDescent="0.35">
      <c r="A8" s="22" t="s">
        <v>29</v>
      </c>
    </row>
    <row r="10" spans="1:14" ht="19" thickBot="1" x14ac:dyDescent="0.5">
      <c r="A10" s="14" t="s">
        <v>35</v>
      </c>
      <c r="B10" s="15"/>
      <c r="C10" s="15"/>
      <c r="D10" s="15"/>
      <c r="E10" s="15"/>
      <c r="F10" s="15"/>
      <c r="G10" s="15"/>
      <c r="H10" s="15"/>
      <c r="I10" s="15"/>
      <c r="J10" s="15"/>
      <c r="K10" s="15"/>
      <c r="L10" s="15"/>
      <c r="M10" s="15"/>
    </row>
    <row r="11" spans="1:14" ht="29" x14ac:dyDescent="0.35">
      <c r="A11" s="5" t="str">
        <f>A2</f>
        <v>Budgets</v>
      </c>
      <c r="B11" s="52" t="s">
        <v>109</v>
      </c>
      <c r="C11" s="16" t="str">
        <f>A3</f>
        <v>Cost Share</v>
      </c>
      <c r="D11" s="53" t="s">
        <v>109</v>
      </c>
      <c r="E11" s="7" t="str">
        <f>A4</f>
        <v>Financials</v>
      </c>
      <c r="F11" s="45" t="s">
        <v>110</v>
      </c>
      <c r="G11" s="12" t="str">
        <f>A5</f>
        <v>Grant Reports</v>
      </c>
      <c r="H11" s="28" t="s">
        <v>111</v>
      </c>
      <c r="I11" s="36" t="s">
        <v>26</v>
      </c>
      <c r="J11" s="28" t="s">
        <v>112</v>
      </c>
      <c r="K11" s="2" t="str">
        <f>A7</f>
        <v>Projections</v>
      </c>
      <c r="L11" s="28" t="s">
        <v>113</v>
      </c>
      <c r="M11" s="48" t="str">
        <f>A8</f>
        <v>CC &amp; Expenses Reimb</v>
      </c>
      <c r="N11" s="28" t="s">
        <v>114</v>
      </c>
    </row>
    <row r="12" spans="1:14" x14ac:dyDescent="0.35">
      <c r="A12" s="4" t="s">
        <v>115</v>
      </c>
      <c r="B12" s="37" t="s">
        <v>33</v>
      </c>
      <c r="C12" s="24" t="s">
        <v>116</v>
      </c>
      <c r="D12" s="38" t="s">
        <v>33</v>
      </c>
      <c r="E12" s="6" t="s">
        <v>117</v>
      </c>
      <c r="F12" s="44" t="s">
        <v>33</v>
      </c>
      <c r="G12" s="11">
        <v>2023</v>
      </c>
      <c r="H12" s="37" t="s">
        <v>33</v>
      </c>
      <c r="I12" s="35" t="s">
        <v>118</v>
      </c>
      <c r="J12" s="38" t="s">
        <v>33</v>
      </c>
      <c r="K12" s="3">
        <v>2023</v>
      </c>
      <c r="L12" s="29" t="s">
        <v>33</v>
      </c>
      <c r="M12" s="22" t="s">
        <v>119</v>
      </c>
      <c r="N12" s="29" t="s">
        <v>33</v>
      </c>
    </row>
    <row r="13" spans="1:14" ht="44" thickBot="1" x14ac:dyDescent="0.4">
      <c r="A13" s="4" t="s">
        <v>120</v>
      </c>
      <c r="B13" s="46" t="s">
        <v>121</v>
      </c>
      <c r="C13" s="54" t="s">
        <v>122</v>
      </c>
      <c r="D13" s="49" t="s">
        <v>123</v>
      </c>
      <c r="E13" s="6" t="s">
        <v>124</v>
      </c>
      <c r="F13" s="44" t="s">
        <v>123</v>
      </c>
      <c r="G13" s="11">
        <v>2024</v>
      </c>
      <c r="H13" s="46" t="s">
        <v>125</v>
      </c>
      <c r="I13" s="35" t="s">
        <v>126</v>
      </c>
      <c r="J13" s="47" t="s">
        <v>127</v>
      </c>
      <c r="K13" s="3">
        <v>2024</v>
      </c>
      <c r="L13" s="44" t="s">
        <v>127</v>
      </c>
      <c r="M13" s="22" t="s">
        <v>128</v>
      </c>
      <c r="N13" s="44" t="s">
        <v>123</v>
      </c>
    </row>
    <row r="14" spans="1:14" ht="43.5" x14ac:dyDescent="0.35">
      <c r="A14" s="4" t="s">
        <v>129</v>
      </c>
      <c r="E14" s="6" t="s">
        <v>130</v>
      </c>
      <c r="F14" s="40" t="s">
        <v>58</v>
      </c>
      <c r="G14" s="11">
        <v>2025</v>
      </c>
      <c r="I14" s="35" t="s">
        <v>131</v>
      </c>
      <c r="K14" s="3">
        <v>2025</v>
      </c>
      <c r="M14" s="22" t="s">
        <v>132</v>
      </c>
      <c r="N14" t="s">
        <v>133</v>
      </c>
    </row>
    <row r="15" spans="1:14" x14ac:dyDescent="0.35">
      <c r="A15" s="4" t="s">
        <v>134</v>
      </c>
      <c r="E15" s="6" t="s">
        <v>135</v>
      </c>
      <c r="G15" s="11">
        <v>2026</v>
      </c>
      <c r="I15" s="35" t="s">
        <v>136</v>
      </c>
      <c r="K15" s="3">
        <v>2026</v>
      </c>
    </row>
    <row r="16" spans="1:14" x14ac:dyDescent="0.35">
      <c r="A16" s="4" t="s">
        <v>137</v>
      </c>
      <c r="E16" s="6" t="s">
        <v>138</v>
      </c>
      <c r="G16" s="11">
        <v>2027</v>
      </c>
      <c r="K16" s="3">
        <v>2027</v>
      </c>
    </row>
    <row r="17" spans="1:14" x14ac:dyDescent="0.35">
      <c r="E17" s="25" t="s">
        <v>139</v>
      </c>
      <c r="K17" s="25" t="s">
        <v>139</v>
      </c>
    </row>
    <row r="18" spans="1:14" ht="19" thickBot="1" x14ac:dyDescent="0.5">
      <c r="A18" s="14" t="s">
        <v>44</v>
      </c>
      <c r="B18" s="15"/>
      <c r="C18" s="15"/>
      <c r="D18" s="15"/>
      <c r="E18" s="15"/>
      <c r="F18" s="15"/>
      <c r="G18" s="15"/>
      <c r="H18" s="15"/>
      <c r="I18" s="15"/>
      <c r="J18" s="15"/>
      <c r="K18" s="15"/>
      <c r="L18" s="15"/>
      <c r="M18" s="15"/>
    </row>
    <row r="19" spans="1:14" x14ac:dyDescent="0.35">
      <c r="A19" s="5" t="str">
        <f>A12</f>
        <v>Original Budget</v>
      </c>
      <c r="B19" s="28" t="s">
        <v>109</v>
      </c>
      <c r="E19" s="7" t="str">
        <f>E12</f>
        <v xml:space="preserve">Country 1 </v>
      </c>
      <c r="G19" s="12">
        <f>G12</f>
        <v>2023</v>
      </c>
      <c r="I19" s="39" t="str">
        <f>I13</f>
        <v>Meeting Minutes</v>
      </c>
      <c r="K19" s="2">
        <f>K12</f>
        <v>2023</v>
      </c>
      <c r="M19" s="23" t="str">
        <f>M12</f>
        <v>Credit Cards*</v>
      </c>
      <c r="N19" s="62" t="s">
        <v>140</v>
      </c>
    </row>
    <row r="20" spans="1:14" ht="58.5" thickBot="1" x14ac:dyDescent="0.4">
      <c r="A20" s="4" t="s">
        <v>141</v>
      </c>
      <c r="B20" s="32" t="s">
        <v>142</v>
      </c>
      <c r="E20" s="6">
        <v>2023</v>
      </c>
      <c r="G20" s="11" t="s">
        <v>47</v>
      </c>
      <c r="I20" s="35">
        <v>2023</v>
      </c>
      <c r="K20" s="3" t="s">
        <v>47</v>
      </c>
      <c r="M20" s="22">
        <v>2023</v>
      </c>
      <c r="N20" s="62"/>
    </row>
    <row r="21" spans="1:14" ht="44" thickBot="1" x14ac:dyDescent="0.4">
      <c r="A21" s="4" t="s">
        <v>101</v>
      </c>
      <c r="B21" s="32" t="s">
        <v>143</v>
      </c>
      <c r="E21" s="6">
        <v>2024</v>
      </c>
      <c r="G21" s="11" t="s">
        <v>49</v>
      </c>
      <c r="I21" s="35">
        <v>2024</v>
      </c>
      <c r="K21" s="3" t="s">
        <v>49</v>
      </c>
      <c r="M21" s="22">
        <v>2024</v>
      </c>
      <c r="N21" s="62"/>
    </row>
    <row r="22" spans="1:14" x14ac:dyDescent="0.35">
      <c r="E22" s="6">
        <v>2025</v>
      </c>
      <c r="G22" s="11" t="s">
        <v>50</v>
      </c>
      <c r="I22" s="35">
        <v>2025</v>
      </c>
      <c r="K22" s="3" t="s">
        <v>50</v>
      </c>
      <c r="M22" s="22">
        <v>2025</v>
      </c>
      <c r="N22" s="62"/>
    </row>
    <row r="23" spans="1:14" x14ac:dyDescent="0.35">
      <c r="N23" s="25"/>
    </row>
    <row r="24" spans="1:14" x14ac:dyDescent="0.35">
      <c r="M24" s="23" t="str">
        <f>M13</f>
        <v>Staff Reimbursement**</v>
      </c>
      <c r="N24" s="62" t="s">
        <v>144</v>
      </c>
    </row>
    <row r="25" spans="1:14" x14ac:dyDescent="0.35">
      <c r="M25" s="22">
        <v>2023</v>
      </c>
      <c r="N25" s="62"/>
    </row>
    <row r="26" spans="1:14" x14ac:dyDescent="0.35">
      <c r="M26" s="22">
        <v>2024</v>
      </c>
      <c r="N26" s="62"/>
    </row>
    <row r="27" spans="1:14" x14ac:dyDescent="0.35">
      <c r="M27" s="22">
        <v>2025</v>
      </c>
      <c r="N27" s="62"/>
    </row>
    <row r="29" spans="1:14" x14ac:dyDescent="0.35">
      <c r="M29" s="23" t="str">
        <f>M14</f>
        <v>Other Reimbursements***</v>
      </c>
      <c r="N29" s="62" t="s">
        <v>144</v>
      </c>
    </row>
    <row r="30" spans="1:14" x14ac:dyDescent="0.35">
      <c r="M30" s="22">
        <v>2023</v>
      </c>
      <c r="N30" s="62"/>
    </row>
    <row r="31" spans="1:14" x14ac:dyDescent="0.35">
      <c r="M31" s="22">
        <v>2024</v>
      </c>
      <c r="N31" s="62"/>
    </row>
    <row r="32" spans="1:14" x14ac:dyDescent="0.35">
      <c r="M32" s="22">
        <v>2025</v>
      </c>
      <c r="N32" s="62"/>
    </row>
    <row r="33" spans="1:13" ht="18.5" x14ac:dyDescent="0.45">
      <c r="A33" s="14" t="s">
        <v>98</v>
      </c>
      <c r="B33" s="15"/>
      <c r="C33" s="15"/>
      <c r="D33" s="15"/>
      <c r="E33" s="15"/>
      <c r="F33" s="15"/>
      <c r="G33" s="15"/>
      <c r="H33" s="15"/>
      <c r="I33" s="15"/>
      <c r="J33" s="15"/>
      <c r="K33" s="15"/>
      <c r="L33" s="15"/>
      <c r="M33" s="15"/>
    </row>
    <row r="34" spans="1:13" x14ac:dyDescent="0.35">
      <c r="E34" s="7">
        <f>E20</f>
        <v>2023</v>
      </c>
      <c r="K34" s="2" t="str">
        <f>K20</f>
        <v>January</v>
      </c>
      <c r="M34" s="23" t="str">
        <f>M19</f>
        <v>Credit Cards*</v>
      </c>
    </row>
    <row r="35" spans="1:13" x14ac:dyDescent="0.35">
      <c r="E35" s="6" t="s">
        <v>47</v>
      </c>
      <c r="K35" s="3" t="s">
        <v>145</v>
      </c>
      <c r="M35" s="22" t="s">
        <v>47</v>
      </c>
    </row>
    <row r="36" spans="1:13" x14ac:dyDescent="0.35">
      <c r="E36" s="6" t="s">
        <v>49</v>
      </c>
      <c r="K36" s="3" t="s">
        <v>3</v>
      </c>
      <c r="M36" s="22" t="s">
        <v>49</v>
      </c>
    </row>
    <row r="37" spans="1:13" x14ac:dyDescent="0.35">
      <c r="E37" s="6" t="s">
        <v>50</v>
      </c>
      <c r="M37" s="22" t="s">
        <v>50</v>
      </c>
    </row>
    <row r="39" spans="1:13" x14ac:dyDescent="0.35">
      <c r="M39" s="23" t="str">
        <f>M24</f>
        <v>Staff Reimbursement**</v>
      </c>
    </row>
    <row r="40" spans="1:13" x14ac:dyDescent="0.35">
      <c r="M40" s="22" t="s">
        <v>47</v>
      </c>
    </row>
    <row r="41" spans="1:13" x14ac:dyDescent="0.35">
      <c r="M41" s="22" t="s">
        <v>49</v>
      </c>
    </row>
    <row r="42" spans="1:13" x14ac:dyDescent="0.35">
      <c r="M42" s="22" t="s">
        <v>50</v>
      </c>
    </row>
    <row r="44" spans="1:13" x14ac:dyDescent="0.35">
      <c r="M44" s="23" t="str">
        <f>M29</f>
        <v>Other Reimbursements***</v>
      </c>
    </row>
    <row r="45" spans="1:13" x14ac:dyDescent="0.35">
      <c r="M45" s="22" t="s">
        <v>47</v>
      </c>
    </row>
    <row r="46" spans="1:13" x14ac:dyDescent="0.35">
      <c r="M46" s="22" t="s">
        <v>49</v>
      </c>
    </row>
    <row r="47" spans="1:13" x14ac:dyDescent="0.35">
      <c r="M47" s="22" t="s">
        <v>50</v>
      </c>
    </row>
    <row r="49" spans="1:13" ht="18.5" x14ac:dyDescent="0.45">
      <c r="A49" s="14" t="s">
        <v>146</v>
      </c>
      <c r="B49" s="15"/>
      <c r="C49" s="15"/>
      <c r="D49" s="15"/>
      <c r="E49" s="15"/>
      <c r="F49" s="15"/>
      <c r="G49" s="15"/>
      <c r="H49" s="15"/>
      <c r="I49" s="15"/>
      <c r="J49" s="15"/>
      <c r="K49" s="15"/>
      <c r="L49" s="15"/>
      <c r="M49" s="15"/>
    </row>
    <row r="50" spans="1:13" x14ac:dyDescent="0.35">
      <c r="E50" s="7" t="str">
        <f>E35</f>
        <v>January</v>
      </c>
      <c r="M50" s="23" t="str">
        <f>M35</f>
        <v>January</v>
      </c>
    </row>
    <row r="51" spans="1:13" x14ac:dyDescent="0.35">
      <c r="E51" s="6" t="s">
        <v>147</v>
      </c>
      <c r="M51" s="22" t="s">
        <v>148</v>
      </c>
    </row>
    <row r="52" spans="1:13" x14ac:dyDescent="0.35">
      <c r="E52" s="6" t="s">
        <v>149</v>
      </c>
      <c r="M52" s="22" t="s">
        <v>150</v>
      </c>
    </row>
    <row r="53" spans="1:13" x14ac:dyDescent="0.35">
      <c r="E53" s="6" t="s">
        <v>151</v>
      </c>
      <c r="F53" t="s">
        <v>152</v>
      </c>
      <c r="M53" s="22" t="s">
        <v>153</v>
      </c>
    </row>
    <row r="54" spans="1:13" x14ac:dyDescent="0.35">
      <c r="E54" s="6" t="s">
        <v>154</v>
      </c>
    </row>
    <row r="56" spans="1:13" ht="18.5" x14ac:dyDescent="0.45">
      <c r="A56" s="14" t="s">
        <v>155</v>
      </c>
      <c r="B56" s="15"/>
      <c r="C56" s="15"/>
      <c r="D56" s="15"/>
      <c r="E56" s="15"/>
      <c r="F56" s="15"/>
      <c r="G56" s="15"/>
      <c r="H56" s="15"/>
      <c r="I56" s="15"/>
      <c r="J56" s="15"/>
      <c r="K56" s="15"/>
      <c r="L56" s="15"/>
      <c r="M56" s="15"/>
    </row>
    <row r="57" spans="1:13" x14ac:dyDescent="0.35">
      <c r="E57" s="7" t="str">
        <f>E52</f>
        <v>Financial Report</v>
      </c>
      <c r="M57" s="23" t="str">
        <f>M51</f>
        <v>Name of Employee 1</v>
      </c>
    </row>
    <row r="58" spans="1:13" x14ac:dyDescent="0.35">
      <c r="E58" s="6" t="s">
        <v>156</v>
      </c>
      <c r="M58" s="22" t="s">
        <v>156</v>
      </c>
    </row>
  </sheetData>
  <mergeCells count="3">
    <mergeCell ref="N24:N27"/>
    <mergeCell ref="N19:N22"/>
    <mergeCell ref="N29:N32"/>
  </mergeCells>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AF80-A67F-4FC3-8880-FA91A26D9F58}">
  <sheetPr>
    <tabColor rgb="FFFFCCCC"/>
  </sheetPr>
  <dimension ref="A1:E34"/>
  <sheetViews>
    <sheetView zoomScale="70" zoomScaleNormal="85" workbookViewId="0">
      <selection activeCell="A5" sqref="A5"/>
    </sheetView>
  </sheetViews>
  <sheetFormatPr defaultRowHeight="14.5" x14ac:dyDescent="0.35"/>
  <cols>
    <col min="1" max="1" width="27.81640625" customWidth="1"/>
    <col min="2" max="2" width="46.453125" customWidth="1"/>
    <col min="3" max="3" width="22.1796875" customWidth="1"/>
    <col min="4" max="4" width="27.54296875" customWidth="1"/>
    <col min="5" max="5" width="26.453125" customWidth="1"/>
  </cols>
  <sheetData>
    <row r="1" spans="1:5" ht="18.5" x14ac:dyDescent="0.45">
      <c r="A1" s="14" t="str">
        <f>'Program File Summary'!D3</f>
        <v>HR</v>
      </c>
    </row>
    <row r="2" spans="1:5" x14ac:dyDescent="0.35">
      <c r="A2" s="8" t="s">
        <v>11</v>
      </c>
    </row>
    <row r="3" spans="1:5" x14ac:dyDescent="0.35">
      <c r="A3" s="11" t="s">
        <v>16</v>
      </c>
    </row>
    <row r="4" spans="1:5" x14ac:dyDescent="0.35">
      <c r="A4" s="3" t="s">
        <v>20</v>
      </c>
    </row>
    <row r="6" spans="1:5" ht="19" thickBot="1" x14ac:dyDescent="0.5">
      <c r="A6" s="14" t="s">
        <v>35</v>
      </c>
      <c r="B6" s="15"/>
      <c r="C6" s="15"/>
      <c r="D6" s="15"/>
      <c r="E6" s="15"/>
    </row>
    <row r="7" spans="1:5" x14ac:dyDescent="0.35">
      <c r="A7" s="9" t="str">
        <f>A2</f>
        <v>FO</v>
      </c>
      <c r="B7" s="28" t="s">
        <v>157</v>
      </c>
      <c r="C7" s="12" t="str">
        <f>A3</f>
        <v>HO</v>
      </c>
      <c r="D7" s="28" t="s">
        <v>158</v>
      </c>
      <c r="E7" s="2" t="str">
        <f>A4</f>
        <v>Interns_Vols</v>
      </c>
    </row>
    <row r="8" spans="1:5" x14ac:dyDescent="0.35">
      <c r="A8" s="8" t="s">
        <v>159</v>
      </c>
      <c r="B8" s="29" t="s">
        <v>33</v>
      </c>
      <c r="C8" s="11" t="s">
        <v>160</v>
      </c>
      <c r="D8" s="29" t="s">
        <v>33</v>
      </c>
      <c r="E8" s="3" t="s">
        <v>161</v>
      </c>
    </row>
    <row r="9" spans="1:5" ht="15" thickBot="1" x14ac:dyDescent="0.4">
      <c r="A9" s="8" t="s">
        <v>162</v>
      </c>
      <c r="B9" s="30" t="s">
        <v>163</v>
      </c>
      <c r="C9" s="11" t="s">
        <v>162</v>
      </c>
      <c r="D9" s="30" t="s">
        <v>164</v>
      </c>
      <c r="E9" s="3" t="s">
        <v>165</v>
      </c>
    </row>
    <row r="10" spans="1:5" ht="29" x14ac:dyDescent="0.35">
      <c r="A10" s="8" t="s">
        <v>162</v>
      </c>
      <c r="B10" s="40" t="s">
        <v>58</v>
      </c>
      <c r="C10" s="11" t="s">
        <v>162</v>
      </c>
      <c r="E10" s="3" t="s">
        <v>166</v>
      </c>
    </row>
    <row r="11" spans="1:5" x14ac:dyDescent="0.35">
      <c r="A11" s="8" t="s">
        <v>162</v>
      </c>
      <c r="C11" s="11" t="s">
        <v>162</v>
      </c>
      <c r="E11" s="3" t="s">
        <v>167</v>
      </c>
    </row>
    <row r="12" spans="1:5" x14ac:dyDescent="0.35">
      <c r="A12" s="8" t="s">
        <v>162</v>
      </c>
      <c r="C12" s="11" t="s">
        <v>162</v>
      </c>
    </row>
    <row r="13" spans="1:5" x14ac:dyDescent="0.35">
      <c r="A13" s="8" t="s">
        <v>162</v>
      </c>
      <c r="C13" s="11" t="s">
        <v>162</v>
      </c>
    </row>
    <row r="14" spans="1:5" x14ac:dyDescent="0.35">
      <c r="A14" s="25" t="s">
        <v>86</v>
      </c>
    </row>
    <row r="15" spans="1:5" ht="18.5" x14ac:dyDescent="0.45">
      <c r="A15" s="14" t="s">
        <v>44</v>
      </c>
      <c r="B15" s="15"/>
      <c r="C15" s="15"/>
      <c r="D15" s="15"/>
      <c r="E15" s="15"/>
    </row>
    <row r="16" spans="1:5" x14ac:dyDescent="0.35">
      <c r="A16" s="9" t="str">
        <f>A8</f>
        <v>Position Title Example 1</v>
      </c>
      <c r="C16" s="12" t="str">
        <f>C8</f>
        <v>Position Title Example 2</v>
      </c>
      <c r="E16" s="2" t="str">
        <f>E8</f>
        <v>Name of Intern 1</v>
      </c>
    </row>
    <row r="17" spans="1:5" ht="58" x14ac:dyDescent="0.35">
      <c r="A17" s="8" t="s">
        <v>168</v>
      </c>
      <c r="C17" s="11" t="s">
        <v>168</v>
      </c>
      <c r="D17" s="40" t="s">
        <v>169</v>
      </c>
      <c r="E17" s="3" t="s">
        <v>168</v>
      </c>
    </row>
    <row r="18" spans="1:5" ht="29" x14ac:dyDescent="0.35">
      <c r="A18" s="8" t="s">
        <v>170</v>
      </c>
      <c r="C18" s="11" t="s">
        <v>171</v>
      </c>
      <c r="D18" s="40" t="s">
        <v>172</v>
      </c>
      <c r="E18" s="3" t="s">
        <v>170</v>
      </c>
    </row>
    <row r="19" spans="1:5" x14ac:dyDescent="0.35">
      <c r="A19" s="8" t="s">
        <v>173</v>
      </c>
      <c r="C19" s="11" t="s">
        <v>174</v>
      </c>
      <c r="E19" s="3" t="s">
        <v>175</v>
      </c>
    </row>
    <row r="20" spans="1:5" ht="43.5" x14ac:dyDescent="0.35">
      <c r="A20" s="8" t="s">
        <v>176</v>
      </c>
      <c r="C20" s="40" t="s">
        <v>177</v>
      </c>
    </row>
    <row r="21" spans="1:5" x14ac:dyDescent="0.35">
      <c r="A21" s="8" t="s">
        <v>176</v>
      </c>
    </row>
    <row r="23" spans="1:5" ht="18.5" x14ac:dyDescent="0.45">
      <c r="A23" s="14" t="s">
        <v>98</v>
      </c>
      <c r="B23" s="15"/>
      <c r="C23" s="15"/>
      <c r="D23" s="15"/>
      <c r="E23" s="15"/>
    </row>
    <row r="24" spans="1:5" ht="18.5" x14ac:dyDescent="0.45">
      <c r="A24" s="9" t="str">
        <f>A19</f>
        <v>Name of Employee Example 1</v>
      </c>
      <c r="B24" s="57" t="s">
        <v>178</v>
      </c>
      <c r="C24" s="58" t="s">
        <v>179</v>
      </c>
    </row>
    <row r="25" spans="1:5" ht="116" x14ac:dyDescent="0.35">
      <c r="A25" s="8" t="s">
        <v>180</v>
      </c>
      <c r="B25" s="40" t="s">
        <v>181</v>
      </c>
    </row>
    <row r="26" spans="1:5" ht="101.5" x14ac:dyDescent="0.35">
      <c r="A26" s="8" t="s">
        <v>182</v>
      </c>
      <c r="B26" s="40" t="s">
        <v>183</v>
      </c>
    </row>
    <row r="27" spans="1:5" ht="275.5" x14ac:dyDescent="0.35">
      <c r="A27" s="8" t="s">
        <v>184</v>
      </c>
      <c r="B27" s="40" t="s">
        <v>185</v>
      </c>
    </row>
    <row r="28" spans="1:5" ht="87" x14ac:dyDescent="0.35">
      <c r="A28" s="8" t="s">
        <v>186</v>
      </c>
      <c r="B28" s="40" t="s">
        <v>187</v>
      </c>
    </row>
    <row r="29" spans="1:5" ht="43.5" x14ac:dyDescent="0.35">
      <c r="A29" s="8" t="s">
        <v>188</v>
      </c>
      <c r="B29" s="40" t="s">
        <v>189</v>
      </c>
    </row>
    <row r="30" spans="1:5" ht="246.5" x14ac:dyDescent="0.35">
      <c r="A30" s="8" t="s">
        <v>190</v>
      </c>
      <c r="B30" s="40" t="s">
        <v>191</v>
      </c>
    </row>
    <row r="31" spans="1:5" ht="72.5" x14ac:dyDescent="0.35">
      <c r="A31" s="8" t="s">
        <v>192</v>
      </c>
      <c r="B31" s="40" t="s">
        <v>193</v>
      </c>
    </row>
    <row r="32" spans="1:5" ht="72.5" x14ac:dyDescent="0.35">
      <c r="A32" s="8" t="s">
        <v>194</v>
      </c>
      <c r="B32" s="40" t="s">
        <v>195</v>
      </c>
    </row>
    <row r="33" spans="1:2" ht="72.5" x14ac:dyDescent="0.35">
      <c r="A33" s="8" t="s">
        <v>196</v>
      </c>
      <c r="B33" s="40" t="s">
        <v>197</v>
      </c>
    </row>
    <row r="34" spans="1:2" ht="58" x14ac:dyDescent="0.35">
      <c r="A34" s="8" t="s">
        <v>198</v>
      </c>
      <c r="B34" s="40" t="s">
        <v>199</v>
      </c>
    </row>
  </sheetData>
  <phoneticPr fontId="2" type="noConversion"/>
  <hyperlinks>
    <hyperlink ref="C24" r:id="rId1" display="../../../../../../../:f:/s/FA/EgQdL-HsfdNMmMKvqSh2qVIB0yAgKtyn5qD8nD01N-qoIg?e=btBmFx" xr:uid="{B8E9D0A8-63D7-41E0-A437-BD3EA103E821}"/>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80AA-8B45-4D4A-895A-685541D243C4}">
  <sheetPr>
    <tabColor theme="9" tint="0.39997558519241921"/>
  </sheetPr>
  <dimension ref="A1:H34"/>
  <sheetViews>
    <sheetView tabSelected="1" topLeftCell="A7" zoomScale="85" zoomScaleNormal="85" workbookViewId="0">
      <selection activeCell="C20" sqref="C20"/>
    </sheetView>
  </sheetViews>
  <sheetFormatPr defaultRowHeight="14.5" x14ac:dyDescent="0.35"/>
  <cols>
    <col min="1" max="1" width="23" bestFit="1" customWidth="1"/>
    <col min="2" max="2" width="8.81640625" customWidth="1"/>
    <col min="3" max="3" width="31.7265625" customWidth="1"/>
    <col min="5" max="5" width="23.81640625" customWidth="1"/>
    <col min="7" max="7" width="23.81640625" customWidth="1"/>
  </cols>
  <sheetData>
    <row r="1" spans="1:8" ht="18.5" x14ac:dyDescent="0.45">
      <c r="A1" s="14" t="s">
        <v>7</v>
      </c>
      <c r="C1" s="28" t="s">
        <v>200</v>
      </c>
    </row>
    <row r="2" spans="1:8" x14ac:dyDescent="0.35">
      <c r="A2" s="3" t="s">
        <v>201</v>
      </c>
      <c r="C2" s="29" t="s">
        <v>33</v>
      </c>
    </row>
    <row r="3" spans="1:8" ht="15" thickBot="1" x14ac:dyDescent="0.4">
      <c r="A3" s="4" t="s">
        <v>202</v>
      </c>
      <c r="C3" s="30" t="s">
        <v>57</v>
      </c>
    </row>
    <row r="4" spans="1:8" x14ac:dyDescent="0.35">
      <c r="A4" s="41" t="s">
        <v>203</v>
      </c>
      <c r="C4" t="s">
        <v>204</v>
      </c>
    </row>
    <row r="5" spans="1:8" x14ac:dyDescent="0.35">
      <c r="A5" s="50" t="s">
        <v>171</v>
      </c>
      <c r="B5" t="s">
        <v>205</v>
      </c>
    </row>
    <row r="7" spans="1:8" ht="18.5" x14ac:dyDescent="0.45">
      <c r="A7" s="14" t="s">
        <v>35</v>
      </c>
      <c r="B7" s="14"/>
      <c r="C7" s="14"/>
      <c r="D7" s="14"/>
      <c r="E7" s="14"/>
      <c r="F7" s="14"/>
      <c r="G7" s="14"/>
    </row>
    <row r="8" spans="1:8" x14ac:dyDescent="0.35">
      <c r="A8" s="3" t="s">
        <v>206</v>
      </c>
      <c r="C8" s="4" t="s">
        <v>207</v>
      </c>
      <c r="E8" s="42" t="s">
        <v>208</v>
      </c>
      <c r="G8" s="50" t="s">
        <v>209</v>
      </c>
      <c r="H8" t="s">
        <v>210</v>
      </c>
    </row>
    <row r="9" spans="1:8" x14ac:dyDescent="0.35">
      <c r="A9" s="3" t="s">
        <v>211</v>
      </c>
      <c r="C9" s="4" t="s">
        <v>212</v>
      </c>
      <c r="E9" s="42" t="s">
        <v>213</v>
      </c>
      <c r="G9" s="50" t="s">
        <v>214</v>
      </c>
    </row>
    <row r="10" spans="1:8" x14ac:dyDescent="0.35">
      <c r="A10" s="3" t="s">
        <v>215</v>
      </c>
      <c r="C10" s="4" t="s">
        <v>216</v>
      </c>
      <c r="E10" s="42" t="s">
        <v>217</v>
      </c>
      <c r="G10" s="50" t="s">
        <v>218</v>
      </c>
    </row>
    <row r="11" spans="1:8" x14ac:dyDescent="0.35">
      <c r="A11" s="25" t="s">
        <v>86</v>
      </c>
      <c r="C11" s="25"/>
      <c r="E11" s="25"/>
      <c r="G11" s="25"/>
    </row>
    <row r="12" spans="1:8" ht="18.5" x14ac:dyDescent="0.45">
      <c r="A12" s="14" t="s">
        <v>44</v>
      </c>
      <c r="B12" s="14"/>
      <c r="C12" s="14"/>
      <c r="D12" s="14"/>
      <c r="E12" s="14"/>
      <c r="F12" s="14"/>
      <c r="G12" s="14"/>
    </row>
    <row r="13" spans="1:8" x14ac:dyDescent="0.35">
      <c r="A13" s="2" t="str">
        <f>A8</f>
        <v>Subaward 1</v>
      </c>
      <c r="C13" s="5" t="str">
        <f>C8</f>
        <v>Consultant 1</v>
      </c>
      <c r="E13" s="43" t="str">
        <f>E8</f>
        <v>Purchase Order 1</v>
      </c>
      <c r="G13" s="51" t="str">
        <f>G8</f>
        <v>Office Rent</v>
      </c>
    </row>
    <row r="14" spans="1:8" x14ac:dyDescent="0.35">
      <c r="A14" s="3" t="s">
        <v>219</v>
      </c>
      <c r="C14" s="4" t="s">
        <v>219</v>
      </c>
      <c r="E14" s="42" t="s">
        <v>220</v>
      </c>
      <c r="G14" s="50" t="s">
        <v>220</v>
      </c>
    </row>
    <row r="15" spans="1:8" x14ac:dyDescent="0.35">
      <c r="A15" s="3" t="s">
        <v>221</v>
      </c>
      <c r="C15" s="4" t="s">
        <v>221</v>
      </c>
      <c r="E15" s="42" t="s">
        <v>221</v>
      </c>
      <c r="G15" s="50" t="s">
        <v>221</v>
      </c>
    </row>
    <row r="16" spans="1:8" x14ac:dyDescent="0.35">
      <c r="A16" s="3" t="s">
        <v>222</v>
      </c>
      <c r="C16" s="4" t="s">
        <v>222</v>
      </c>
      <c r="E16" s="42" t="s">
        <v>222</v>
      </c>
      <c r="G16" s="50" t="s">
        <v>222</v>
      </c>
    </row>
    <row r="17" spans="1:7" x14ac:dyDescent="0.35">
      <c r="A17" s="3" t="s">
        <v>223</v>
      </c>
      <c r="C17" s="4" t="s">
        <v>224</v>
      </c>
      <c r="E17" s="42" t="s">
        <v>224</v>
      </c>
      <c r="G17" s="50" t="s">
        <v>224</v>
      </c>
    </row>
    <row r="18" spans="1:7" x14ac:dyDescent="0.35">
      <c r="A18" s="3" t="s">
        <v>103</v>
      </c>
      <c r="C18" s="4" t="s">
        <v>225</v>
      </c>
      <c r="E18" s="42" t="s">
        <v>225</v>
      </c>
      <c r="G18" s="50" t="s">
        <v>225</v>
      </c>
    </row>
    <row r="19" spans="1:7" x14ac:dyDescent="0.35">
      <c r="A19" s="3" t="s">
        <v>226</v>
      </c>
    </row>
    <row r="20" spans="1:7" x14ac:dyDescent="0.35">
      <c r="A20" s="3" t="s">
        <v>227</v>
      </c>
    </row>
    <row r="21" spans="1:7" x14ac:dyDescent="0.35">
      <c r="A21" s="3" t="s">
        <v>224</v>
      </c>
    </row>
    <row r="23" spans="1:7" x14ac:dyDescent="0.35">
      <c r="A23" t="s">
        <v>228</v>
      </c>
    </row>
    <row r="25" spans="1:7" ht="18.5" x14ac:dyDescent="0.45">
      <c r="A25" s="14" t="s">
        <v>98</v>
      </c>
      <c r="B25" s="14"/>
      <c r="C25" s="14"/>
      <c r="D25" s="14"/>
      <c r="E25" s="14"/>
      <c r="F25" s="14"/>
      <c r="G25" s="14"/>
    </row>
    <row r="26" spans="1:7" x14ac:dyDescent="0.35">
      <c r="A26" s="2" t="str">
        <f>A14</f>
        <v>Procurement</v>
      </c>
      <c r="C26" s="5" t="str">
        <f>C14</f>
        <v>Procurement</v>
      </c>
      <c r="E26" s="43" t="str">
        <f>E14</f>
        <v xml:space="preserve">Procurement </v>
      </c>
      <c r="G26" s="51" t="str">
        <f>G14</f>
        <v xml:space="preserve">Procurement </v>
      </c>
    </row>
    <row r="27" spans="1:7" x14ac:dyDescent="0.35">
      <c r="A27" s="3" t="s">
        <v>229</v>
      </c>
      <c r="C27" s="4" t="s">
        <v>229</v>
      </c>
      <c r="E27" s="42" t="s">
        <v>229</v>
      </c>
      <c r="G27" s="50" t="s">
        <v>229</v>
      </c>
    </row>
    <row r="28" spans="1:7" x14ac:dyDescent="0.35">
      <c r="A28" s="3" t="s">
        <v>230</v>
      </c>
      <c r="C28" s="4" t="s">
        <v>230</v>
      </c>
      <c r="E28" s="42" t="s">
        <v>230</v>
      </c>
      <c r="G28" s="50" t="s">
        <v>230</v>
      </c>
    </row>
    <row r="29" spans="1:7" x14ac:dyDescent="0.35">
      <c r="A29" s="3" t="s">
        <v>231</v>
      </c>
      <c r="C29" s="4" t="s">
        <v>231</v>
      </c>
      <c r="E29" s="42" t="s">
        <v>231</v>
      </c>
      <c r="G29" s="50" t="s">
        <v>231</v>
      </c>
    </row>
    <row r="30" spans="1:7" x14ac:dyDescent="0.35">
      <c r="A30" s="3" t="s">
        <v>232</v>
      </c>
      <c r="C30" s="4" t="s">
        <v>232</v>
      </c>
      <c r="E30" s="42" t="s">
        <v>232</v>
      </c>
      <c r="G30" s="50" t="s">
        <v>232</v>
      </c>
    </row>
    <row r="31" spans="1:7" x14ac:dyDescent="0.35">
      <c r="A31" s="3" t="s">
        <v>233</v>
      </c>
      <c r="C31" s="4" t="s">
        <v>233</v>
      </c>
      <c r="E31" s="42" t="s">
        <v>233</v>
      </c>
      <c r="G31" s="50" t="s">
        <v>233</v>
      </c>
    </row>
    <row r="32" spans="1:7" x14ac:dyDescent="0.35">
      <c r="A32" s="3" t="s">
        <v>234</v>
      </c>
      <c r="C32" s="4" t="s">
        <v>234</v>
      </c>
      <c r="E32" s="42" t="s">
        <v>234</v>
      </c>
      <c r="G32" s="50" t="s">
        <v>234</v>
      </c>
    </row>
    <row r="33" spans="1:7" x14ac:dyDescent="0.35">
      <c r="A33" s="3" t="s">
        <v>235</v>
      </c>
      <c r="C33" s="4" t="s">
        <v>235</v>
      </c>
      <c r="E33" s="42" t="s">
        <v>235</v>
      </c>
      <c r="G33" s="50" t="s">
        <v>235</v>
      </c>
    </row>
    <row r="34" spans="1:7" x14ac:dyDescent="0.35">
      <c r="A34" s="3" t="s">
        <v>236</v>
      </c>
      <c r="C34" s="4" t="s">
        <v>236</v>
      </c>
      <c r="E34" s="42" t="s">
        <v>236</v>
      </c>
      <c r="G34" s="50" t="s">
        <v>236</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090D12EA-3BB6-48E8-91A0-86F452E119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E901DD-54FE-4671-BFAF-BBDD2DDBD8D1}">
  <ds:schemaRefs>
    <ds:schemaRef ds:uri="http://schemas.microsoft.com/sharepoint/v3/contenttype/forms"/>
  </ds:schemaRefs>
</ds:datastoreItem>
</file>

<file path=customXml/itemProps3.xml><?xml version="1.0" encoding="utf-8"?>
<ds:datastoreItem xmlns:ds="http://schemas.openxmlformats.org/officeDocument/2006/customXml" ds:itemID="{D6C6E6AA-9FCC-4458-9732-341B0BD0F08E}">
  <ds:schemaRefs>
    <ds:schemaRef ds:uri="http://purl.org/dc/terms/"/>
    <ds:schemaRef ds:uri="http://purl.org/dc/elements/1.1/"/>
    <ds:schemaRef ds:uri="http://schemas.microsoft.com/office/2006/metadata/properties"/>
    <ds:schemaRef ds:uri="f2466082-b6bf-4153-98c3-3c41e85fda18"/>
    <ds:schemaRef ds:uri="http://schemas.openxmlformats.org/package/2006/metadata/core-properties"/>
    <ds:schemaRef ds:uri="http://schemas.microsoft.com/office/2006/documentManagement/types"/>
    <ds:schemaRef ds:uri="http://schemas.microsoft.com/office/infopath/2007/PartnerControls"/>
    <ds:schemaRef ds:uri="dc808d36-874f-4b27-aec2-2fd64981792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Program File Summary</vt:lpstr>
      <vt:lpstr>Donor</vt:lpstr>
      <vt:lpstr>Technical</vt:lpstr>
      <vt:lpstr>F&amp;A</vt:lpstr>
      <vt:lpstr>HR</vt:lpstr>
      <vt:lpstr>Sub &amp; Contracts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Robert Maher</cp:lastModifiedBy>
  <cp:revision/>
  <dcterms:created xsi:type="dcterms:W3CDTF">2023-02-28T21:10:10Z</dcterms:created>
  <dcterms:modified xsi:type="dcterms:W3CDTF">2025-08-25T17:57:42Z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