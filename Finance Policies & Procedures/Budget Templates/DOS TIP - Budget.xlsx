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filterPrivacy="1" defaultThemeVersion="124226"/>
  <xr:revisionPtr revIDLastSave="0" documentId="13_ncr:1_{1E1E0D93-00FC-47D1-B7C2-AA82754B4A4F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Budget Summary" sheetId="6" r:id="rId1"/>
    <sheet name="Line Item Budget" sheetId="5" r:id="rId2"/>
  </sheets>
  <definedNames>
    <definedName name="_xlnm.Print_Area" localSheetId="0">'Budget Summary'!$A$2:$P$18</definedName>
    <definedName name="_xlnm.Print_Area" localSheetId="1">'Line Item Budget'!$A$6:$AD$89</definedName>
    <definedName name="_xlnm.Print_Titles" localSheetId="1">'Line Item Budget'!$7:$7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7" i="6" l="1"/>
  <c r="M17" i="6" s="1"/>
  <c r="K17" i="6"/>
  <c r="L15" i="6"/>
  <c r="K15" i="6"/>
  <c r="L13" i="6"/>
  <c r="K13" i="6"/>
  <c r="L12" i="6"/>
  <c r="M12" i="6" s="1"/>
  <c r="K12" i="6"/>
  <c r="L10" i="6"/>
  <c r="K10" i="6"/>
  <c r="L9" i="6"/>
  <c r="M9" i="6" s="1"/>
  <c r="K9" i="6"/>
  <c r="L8" i="6"/>
  <c r="K8" i="6"/>
  <c r="Y85" i="5"/>
  <c r="AA85" i="5"/>
  <c r="Z85" i="5"/>
  <c r="U85" i="5"/>
  <c r="T85" i="5"/>
  <c r="S85" i="5"/>
  <c r="O85" i="5"/>
  <c r="N85" i="5"/>
  <c r="M85" i="5"/>
  <c r="H85" i="5"/>
  <c r="I85" i="5"/>
  <c r="G85" i="5"/>
  <c r="AB86" i="5"/>
  <c r="AC85" i="5"/>
  <c r="AD85" i="5"/>
  <c r="AB85" i="5"/>
  <c r="AC84" i="5"/>
  <c r="AB84" i="5"/>
  <c r="AC83" i="5"/>
  <c r="AB83" i="5"/>
  <c r="AC82" i="5"/>
  <c r="AB82" i="5"/>
  <c r="AC81" i="5"/>
  <c r="AB81" i="5"/>
  <c r="AC79" i="5"/>
  <c r="AB79" i="5"/>
  <c r="AC78" i="5"/>
  <c r="AB78" i="5"/>
  <c r="AC77" i="5"/>
  <c r="AB77" i="5"/>
  <c r="AC76" i="5"/>
  <c r="AB76" i="5"/>
  <c r="AC75" i="5"/>
  <c r="AB75" i="5"/>
  <c r="AC73" i="5"/>
  <c r="AB73" i="5"/>
  <c r="AC72" i="5"/>
  <c r="AB72" i="5"/>
  <c r="AC71" i="5"/>
  <c r="AB71" i="5"/>
  <c r="AC70" i="5"/>
  <c r="AB70" i="5"/>
  <c r="AC69" i="5"/>
  <c r="AB69" i="5"/>
  <c r="AC67" i="5"/>
  <c r="AB67" i="5"/>
  <c r="AC66" i="5"/>
  <c r="AB66" i="5"/>
  <c r="AC65" i="5"/>
  <c r="AB65" i="5"/>
  <c r="AC64" i="5"/>
  <c r="AB64" i="5"/>
  <c r="AC62" i="5"/>
  <c r="AB62" i="5"/>
  <c r="AC61" i="5"/>
  <c r="AB61" i="5"/>
  <c r="AC60" i="5"/>
  <c r="AB60" i="5"/>
  <c r="AC59" i="5"/>
  <c r="AB59" i="5"/>
  <c r="AC58" i="5"/>
  <c r="AB58" i="5"/>
  <c r="AC57" i="5"/>
  <c r="AB57" i="5"/>
  <c r="AC53" i="5"/>
  <c r="AB53" i="5"/>
  <c r="AC52" i="5"/>
  <c r="AB52" i="5"/>
  <c r="AC51" i="5"/>
  <c r="AB51" i="5"/>
  <c r="AC50" i="5"/>
  <c r="AB50" i="5"/>
  <c r="AC47" i="5"/>
  <c r="AB47" i="5"/>
  <c r="AC46" i="5"/>
  <c r="AB46" i="5"/>
  <c r="AC45" i="5"/>
  <c r="AB45" i="5"/>
  <c r="AC44" i="5"/>
  <c r="AB44" i="5"/>
  <c r="AC43" i="5"/>
  <c r="AB43" i="5"/>
  <c r="AB35" i="5"/>
  <c r="AC35" i="5"/>
  <c r="AB36" i="5"/>
  <c r="AC36" i="5"/>
  <c r="AB37" i="5"/>
  <c r="AC37" i="5"/>
  <c r="AB38" i="5"/>
  <c r="AC38" i="5"/>
  <c r="AB39" i="5"/>
  <c r="AC39" i="5"/>
  <c r="AB40" i="5"/>
  <c r="AC40" i="5"/>
  <c r="AC34" i="5"/>
  <c r="AB34" i="5"/>
  <c r="AC32" i="5"/>
  <c r="AB32" i="5"/>
  <c r="AC31" i="5"/>
  <c r="AB31" i="5"/>
  <c r="AC30" i="5"/>
  <c r="AB30" i="5"/>
  <c r="AC29" i="5"/>
  <c r="AB29" i="5"/>
  <c r="AC28" i="5"/>
  <c r="AB28" i="5"/>
  <c r="AC24" i="5"/>
  <c r="AB24" i="5"/>
  <c r="AC23" i="5"/>
  <c r="AB23" i="5"/>
  <c r="AC22" i="5"/>
  <c r="AB22" i="5"/>
  <c r="AC21" i="5"/>
  <c r="AB21" i="5"/>
  <c r="AC20" i="5"/>
  <c r="AB20" i="5"/>
  <c r="AC19" i="5"/>
  <c r="AB19" i="5"/>
  <c r="AC18" i="5"/>
  <c r="AB18" i="5"/>
  <c r="AB10" i="5"/>
  <c r="AC10" i="5"/>
  <c r="AB11" i="5"/>
  <c r="AC11" i="5"/>
  <c r="AB12" i="5"/>
  <c r="AC12" i="5"/>
  <c r="AB13" i="5"/>
  <c r="AC13" i="5"/>
  <c r="AB14" i="5"/>
  <c r="AC14" i="5"/>
  <c r="AB15" i="5"/>
  <c r="AC15" i="5"/>
  <c r="AD9" i="5"/>
  <c r="AC9" i="5"/>
  <c r="AB9" i="5"/>
  <c r="X9" i="5"/>
  <c r="R9" i="5"/>
  <c r="L9" i="5"/>
  <c r="B24" i="5"/>
  <c r="B23" i="5"/>
  <c r="B22" i="5"/>
  <c r="B21" i="5"/>
  <c r="B20" i="5"/>
  <c r="B19" i="5"/>
  <c r="B18" i="5"/>
  <c r="V24" i="5"/>
  <c r="V23" i="5"/>
  <c r="V22" i="5"/>
  <c r="V21" i="5"/>
  <c r="V20" i="5"/>
  <c r="V19" i="5"/>
  <c r="V18" i="5"/>
  <c r="P24" i="5"/>
  <c r="P23" i="5"/>
  <c r="P22" i="5"/>
  <c r="P21" i="5"/>
  <c r="P20" i="5"/>
  <c r="P19" i="5"/>
  <c r="P18" i="5"/>
  <c r="J19" i="5"/>
  <c r="J20" i="5"/>
  <c r="J21" i="5"/>
  <c r="J22" i="5"/>
  <c r="J23" i="5"/>
  <c r="J24" i="5"/>
  <c r="J18" i="5"/>
  <c r="X18" i="5"/>
  <c r="Q20" i="5"/>
  <c r="Q18" i="5"/>
  <c r="W18" i="5"/>
  <c r="X84" i="5"/>
  <c r="Y84" i="5" s="1"/>
  <c r="Y83" i="5"/>
  <c r="X83" i="5"/>
  <c r="X82" i="5"/>
  <c r="Y82" i="5" s="1"/>
  <c r="Y81" i="5"/>
  <c r="X81" i="5"/>
  <c r="X79" i="5"/>
  <c r="Y79" i="5" s="1"/>
  <c r="Y78" i="5"/>
  <c r="X78" i="5"/>
  <c r="X77" i="5"/>
  <c r="Y77" i="5" s="1"/>
  <c r="Y76" i="5"/>
  <c r="X76" i="5"/>
  <c r="X75" i="5"/>
  <c r="Y75" i="5" s="1"/>
  <c r="Y73" i="5"/>
  <c r="X73" i="5"/>
  <c r="X72" i="5"/>
  <c r="Y72" i="5" s="1"/>
  <c r="Y71" i="5"/>
  <c r="X71" i="5"/>
  <c r="X70" i="5"/>
  <c r="Y70" i="5" s="1"/>
  <c r="Y69" i="5"/>
  <c r="X69" i="5"/>
  <c r="X67" i="5"/>
  <c r="Y67" i="5" s="1"/>
  <c r="Y66" i="5"/>
  <c r="X66" i="5"/>
  <c r="X65" i="5"/>
  <c r="Y65" i="5" s="1"/>
  <c r="Y64" i="5"/>
  <c r="X64" i="5"/>
  <c r="X62" i="5"/>
  <c r="Y62" i="5" s="1"/>
  <c r="Y61" i="5"/>
  <c r="X61" i="5"/>
  <c r="X60" i="5"/>
  <c r="Y60" i="5" s="1"/>
  <c r="Y59" i="5"/>
  <c r="X59" i="5"/>
  <c r="X58" i="5"/>
  <c r="Y58" i="5" s="1"/>
  <c r="Y57" i="5"/>
  <c r="X57" i="5"/>
  <c r="X53" i="5"/>
  <c r="Y53" i="5" s="1"/>
  <c r="X52" i="5"/>
  <c r="Y52" i="5" s="1"/>
  <c r="X51" i="5"/>
  <c r="Y51" i="5" s="1"/>
  <c r="X50" i="5"/>
  <c r="Y50" i="5" s="1"/>
  <c r="Y47" i="5"/>
  <c r="X47" i="5"/>
  <c r="X46" i="5"/>
  <c r="Y46" i="5" s="1"/>
  <c r="Y45" i="5"/>
  <c r="X45" i="5"/>
  <c r="X44" i="5"/>
  <c r="Y44" i="5" s="1"/>
  <c r="Y43" i="5"/>
  <c r="X43" i="5"/>
  <c r="X40" i="5"/>
  <c r="Y40" i="5" s="1"/>
  <c r="X39" i="5"/>
  <c r="Y39" i="5" s="1"/>
  <c r="X38" i="5"/>
  <c r="Y38" i="5" s="1"/>
  <c r="X37" i="5"/>
  <c r="Y37" i="5" s="1"/>
  <c r="X36" i="5"/>
  <c r="Y36" i="5" s="1"/>
  <c r="X35" i="5"/>
  <c r="Y35" i="5" s="1"/>
  <c r="X34" i="5"/>
  <c r="Y34" i="5" s="1"/>
  <c r="X32" i="5"/>
  <c r="Y32" i="5" s="1"/>
  <c r="X31" i="5"/>
  <c r="Y31" i="5" s="1"/>
  <c r="X30" i="5"/>
  <c r="Y30" i="5" s="1"/>
  <c r="X29" i="5"/>
  <c r="Y29" i="5" s="1"/>
  <c r="X28" i="5"/>
  <c r="Y28" i="5" s="1"/>
  <c r="W24" i="5"/>
  <c r="X23" i="5"/>
  <c r="Y23" i="5" s="1"/>
  <c r="W23" i="5"/>
  <c r="W22" i="5"/>
  <c r="W21" i="5"/>
  <c r="W20" i="5"/>
  <c r="W19" i="5"/>
  <c r="Y15" i="5"/>
  <c r="X15" i="5"/>
  <c r="X24" i="5" s="1"/>
  <c r="Y24" i="5" s="1"/>
  <c r="Y14" i="5"/>
  <c r="X14" i="5"/>
  <c r="Y13" i="5"/>
  <c r="X13" i="5"/>
  <c r="X22" i="5" s="1"/>
  <c r="X12" i="5"/>
  <c r="X21" i="5" s="1"/>
  <c r="Y21" i="5" s="1"/>
  <c r="Y11" i="5"/>
  <c r="Z11" i="5" s="1"/>
  <c r="X11" i="5"/>
  <c r="X20" i="5" s="1"/>
  <c r="Y20" i="5" s="1"/>
  <c r="X10" i="5"/>
  <c r="Y10" i="5" s="1"/>
  <c r="Y9" i="5"/>
  <c r="L45" i="5"/>
  <c r="M45" i="5" s="1"/>
  <c r="G45" i="5"/>
  <c r="H45" i="5" s="1"/>
  <c r="L44" i="5"/>
  <c r="R44" i="5" s="1"/>
  <c r="S44" i="5" s="1"/>
  <c r="G44" i="5"/>
  <c r="L62" i="5"/>
  <c r="M62" i="5" s="1"/>
  <c r="G62" i="5"/>
  <c r="L61" i="5"/>
  <c r="R61" i="5" s="1"/>
  <c r="S61" i="5" s="1"/>
  <c r="G61" i="5"/>
  <c r="H61" i="5" s="1"/>
  <c r="L60" i="5"/>
  <c r="R60" i="5" s="1"/>
  <c r="S60" i="5" s="1"/>
  <c r="G60" i="5"/>
  <c r="H60" i="5" s="1"/>
  <c r="L59" i="5"/>
  <c r="M59" i="5" s="1"/>
  <c r="G59" i="5"/>
  <c r="L58" i="5"/>
  <c r="R58" i="5" s="1"/>
  <c r="S58" i="5" s="1"/>
  <c r="G58" i="5"/>
  <c r="L57" i="5"/>
  <c r="M57" i="5" s="1"/>
  <c r="G57" i="5"/>
  <c r="M15" i="6"/>
  <c r="M13" i="6"/>
  <c r="M8" i="6"/>
  <c r="G79" i="5"/>
  <c r="H79" i="5" s="1"/>
  <c r="G9" i="5"/>
  <c r="G71" i="5"/>
  <c r="H71" i="5" s="1"/>
  <c r="L71" i="5"/>
  <c r="M71" i="5" s="1"/>
  <c r="L70" i="5"/>
  <c r="R70" i="5" s="1"/>
  <c r="S70" i="5" s="1"/>
  <c r="L69" i="5"/>
  <c r="G39" i="5"/>
  <c r="H39" i="5" s="1"/>
  <c r="L39" i="5"/>
  <c r="M39" i="5" s="1"/>
  <c r="G52" i="5"/>
  <c r="H52" i="5" s="1"/>
  <c r="L52" i="5"/>
  <c r="M52" i="5" s="1"/>
  <c r="N52" i="5" s="1"/>
  <c r="G10" i="5"/>
  <c r="D24" i="5"/>
  <c r="L83" i="5"/>
  <c r="L72" i="5"/>
  <c r="M72" i="5" s="1"/>
  <c r="G72" i="5"/>
  <c r="H72" i="5" s="1"/>
  <c r="G70" i="5"/>
  <c r="H70" i="5" s="1"/>
  <c r="L73" i="5"/>
  <c r="M73" i="5" s="1"/>
  <c r="G73" i="5"/>
  <c r="L67" i="5"/>
  <c r="M67" i="5" s="1"/>
  <c r="G67" i="5"/>
  <c r="L66" i="5"/>
  <c r="M66" i="5" s="1"/>
  <c r="G66" i="5"/>
  <c r="L65" i="5"/>
  <c r="R65" i="5" s="1"/>
  <c r="S65" i="5" s="1"/>
  <c r="G65" i="5"/>
  <c r="L64" i="5"/>
  <c r="M64" i="5" s="1"/>
  <c r="G64" i="5"/>
  <c r="L78" i="5"/>
  <c r="M78" i="5" s="1"/>
  <c r="G78" i="5"/>
  <c r="L77" i="5"/>
  <c r="M77" i="5" s="1"/>
  <c r="G77" i="5"/>
  <c r="H77" i="5" s="1"/>
  <c r="L53" i="5"/>
  <c r="J53" i="5"/>
  <c r="G53" i="5"/>
  <c r="L51" i="5"/>
  <c r="R51" i="5" s="1"/>
  <c r="S51" i="5" s="1"/>
  <c r="G51" i="5"/>
  <c r="L50" i="5"/>
  <c r="R50" i="5" s="1"/>
  <c r="M10" i="6" l="1"/>
  <c r="M16" i="6" s="1"/>
  <c r="M18" i="6" s="1"/>
  <c r="L16" i="6"/>
  <c r="L18" i="6" s="1"/>
  <c r="K16" i="6"/>
  <c r="K18" i="6" s="1"/>
  <c r="Y22" i="5"/>
  <c r="AA22" i="5" s="1"/>
  <c r="Y18" i="5"/>
  <c r="Z79" i="5"/>
  <c r="AA79" i="5"/>
  <c r="Z32" i="5"/>
  <c r="AA32" i="5" s="1"/>
  <c r="Y54" i="5"/>
  <c r="Z50" i="5"/>
  <c r="Z72" i="5"/>
  <c r="AA72" i="5"/>
  <c r="AA43" i="5"/>
  <c r="Z10" i="5"/>
  <c r="AA10" i="5" s="1"/>
  <c r="Z20" i="5"/>
  <c r="AA20" i="5" s="1"/>
  <c r="Z36" i="5"/>
  <c r="AA36" i="5"/>
  <c r="Z53" i="5"/>
  <c r="AA53" i="5" s="1"/>
  <c r="AA61" i="5"/>
  <c r="Z75" i="5"/>
  <c r="AA75" i="5"/>
  <c r="Z60" i="5"/>
  <c r="AA60" i="5"/>
  <c r="Z35" i="5"/>
  <c r="AA35" i="5" s="1"/>
  <c r="AA73" i="5"/>
  <c r="Z37" i="5"/>
  <c r="AA37" i="5" s="1"/>
  <c r="Z62" i="5"/>
  <c r="AA62" i="5"/>
  <c r="Z82" i="5"/>
  <c r="AA82" i="5"/>
  <c r="Z34" i="5"/>
  <c r="AA34" i="5"/>
  <c r="Z52" i="5"/>
  <c r="AA52" i="5" s="1"/>
  <c r="Z21" i="5"/>
  <c r="AA21" i="5" s="1"/>
  <c r="AA57" i="5"/>
  <c r="AA76" i="5"/>
  <c r="AA51" i="5"/>
  <c r="Z51" i="5"/>
  <c r="Z23" i="5"/>
  <c r="AA23" i="5"/>
  <c r="Z67" i="5"/>
  <c r="AA67" i="5"/>
  <c r="AA15" i="5"/>
  <c r="Z28" i="5"/>
  <c r="Y41" i="5"/>
  <c r="Z38" i="5"/>
  <c r="AA38" i="5" s="1"/>
  <c r="Z70" i="5"/>
  <c r="AA70" i="5"/>
  <c r="Z22" i="5"/>
  <c r="AA30" i="5"/>
  <c r="Z30" i="5"/>
  <c r="Z39" i="5"/>
  <c r="AA39" i="5" s="1"/>
  <c r="Z58" i="5"/>
  <c r="AA58" i="5"/>
  <c r="AA64" i="5"/>
  <c r="Z77" i="5"/>
  <c r="AA77" i="5"/>
  <c r="AA66" i="5"/>
  <c r="Z24" i="5"/>
  <c r="AA24" i="5"/>
  <c r="AA44" i="5"/>
  <c r="Z44" i="5"/>
  <c r="AA29" i="5"/>
  <c r="Z29" i="5"/>
  <c r="Z46" i="5"/>
  <c r="AA46" i="5" s="1"/>
  <c r="AA13" i="5"/>
  <c r="Z31" i="5"/>
  <c r="AA31" i="5"/>
  <c r="Z40" i="5"/>
  <c r="AA40" i="5"/>
  <c r="Z65" i="5"/>
  <c r="AA65" i="5"/>
  <c r="Z84" i="5"/>
  <c r="AA84" i="5"/>
  <c r="Z13" i="5"/>
  <c r="Z15" i="5"/>
  <c r="Z43" i="5"/>
  <c r="Z45" i="5"/>
  <c r="AA45" i="5" s="1"/>
  <c r="Z47" i="5"/>
  <c r="AA47" i="5" s="1"/>
  <c r="Z9" i="5"/>
  <c r="Y16" i="5"/>
  <c r="Y48" i="5"/>
  <c r="Z57" i="5"/>
  <c r="Z59" i="5"/>
  <c r="AA59" i="5" s="1"/>
  <c r="Z61" i="5"/>
  <c r="Z64" i="5"/>
  <c r="Z66" i="5"/>
  <c r="Z69" i="5"/>
  <c r="AA69" i="5" s="1"/>
  <c r="Z71" i="5"/>
  <c r="AA71" i="5" s="1"/>
  <c r="Z73" i="5"/>
  <c r="Z76" i="5"/>
  <c r="Z78" i="5"/>
  <c r="AA78" i="5" s="1"/>
  <c r="Z81" i="5"/>
  <c r="AA81" i="5" s="1"/>
  <c r="Z83" i="5"/>
  <c r="AA83" i="5" s="1"/>
  <c r="X19" i="5"/>
  <c r="Y19" i="5" s="1"/>
  <c r="Y12" i="5"/>
  <c r="Z12" i="5" s="1"/>
  <c r="Z14" i="5"/>
  <c r="AA14" i="5" s="1"/>
  <c r="M61" i="5"/>
  <c r="N61" i="5" s="1"/>
  <c r="O61" i="5" s="1"/>
  <c r="R62" i="5"/>
  <c r="S62" i="5" s="1"/>
  <c r="I61" i="5"/>
  <c r="N45" i="5"/>
  <c r="O45" i="5" s="1"/>
  <c r="I44" i="5"/>
  <c r="T44" i="5"/>
  <c r="U44" i="5" s="1"/>
  <c r="I45" i="5"/>
  <c r="R45" i="5"/>
  <c r="S45" i="5" s="1"/>
  <c r="M44" i="5"/>
  <c r="H44" i="5"/>
  <c r="T61" i="5"/>
  <c r="I60" i="5"/>
  <c r="N62" i="5"/>
  <c r="O62" i="5" s="1"/>
  <c r="T60" i="5"/>
  <c r="U60" i="5" s="1"/>
  <c r="T62" i="5"/>
  <c r="U62" i="5" s="1"/>
  <c r="M60" i="5"/>
  <c r="H62" i="5"/>
  <c r="M58" i="5"/>
  <c r="N58" i="5" s="1"/>
  <c r="O58" i="5" s="1"/>
  <c r="R59" i="5"/>
  <c r="S59" i="5" s="1"/>
  <c r="T59" i="5" s="1"/>
  <c r="T58" i="5"/>
  <c r="U58" i="5" s="1"/>
  <c r="N59" i="5"/>
  <c r="O59" i="5" s="1"/>
  <c r="H59" i="5"/>
  <c r="I59" i="5" s="1"/>
  <c r="H58" i="5"/>
  <c r="I58" i="5" s="1"/>
  <c r="N57" i="5"/>
  <c r="O57" i="5" s="1"/>
  <c r="R57" i="5"/>
  <c r="S57" i="5" s="1"/>
  <c r="H57" i="5"/>
  <c r="N39" i="5"/>
  <c r="O39" i="5" s="1"/>
  <c r="R39" i="5"/>
  <c r="S39" i="5" s="1"/>
  <c r="T39" i="5" s="1"/>
  <c r="R52" i="5"/>
  <c r="S52" i="5" s="1"/>
  <c r="T52" i="5" s="1"/>
  <c r="AD52" i="5" s="1"/>
  <c r="L79" i="5"/>
  <c r="M79" i="5" s="1"/>
  <c r="N79" i="5" s="1"/>
  <c r="I39" i="5"/>
  <c r="I52" i="5"/>
  <c r="N71" i="5"/>
  <c r="O71" i="5" s="1"/>
  <c r="I71" i="5"/>
  <c r="R71" i="5"/>
  <c r="S71" i="5" s="1"/>
  <c r="M70" i="5"/>
  <c r="N70" i="5" s="1"/>
  <c r="O70" i="5" s="1"/>
  <c r="O52" i="5"/>
  <c r="O54" i="5" s="1"/>
  <c r="R72" i="5"/>
  <c r="S72" i="5" s="1"/>
  <c r="T72" i="5" s="1"/>
  <c r="U72" i="5" s="1"/>
  <c r="N72" i="5"/>
  <c r="O72" i="5" s="1"/>
  <c r="I72" i="5"/>
  <c r="T70" i="5"/>
  <c r="U70" i="5" s="1"/>
  <c r="I70" i="5"/>
  <c r="R73" i="5"/>
  <c r="S73" i="5" s="1"/>
  <c r="T73" i="5" s="1"/>
  <c r="U73" i="5" s="1"/>
  <c r="N73" i="5"/>
  <c r="O73" i="5" s="1"/>
  <c r="H73" i="5"/>
  <c r="R67" i="5"/>
  <c r="S67" i="5" s="1"/>
  <c r="T67" i="5" s="1"/>
  <c r="U67" i="5" s="1"/>
  <c r="N67" i="5"/>
  <c r="O67" i="5" s="1"/>
  <c r="H67" i="5"/>
  <c r="I67" i="5" s="1"/>
  <c r="R66" i="5"/>
  <c r="S66" i="5" s="1"/>
  <c r="T66" i="5" s="1"/>
  <c r="U66" i="5" s="1"/>
  <c r="N66" i="5"/>
  <c r="O66" i="5" s="1"/>
  <c r="H66" i="5"/>
  <c r="T65" i="5"/>
  <c r="U65" i="5" s="1"/>
  <c r="H65" i="5"/>
  <c r="M65" i="5"/>
  <c r="R64" i="5"/>
  <c r="S64" i="5" s="1"/>
  <c r="N64" i="5"/>
  <c r="H64" i="5"/>
  <c r="R78" i="5"/>
  <c r="S78" i="5" s="1"/>
  <c r="I77" i="5"/>
  <c r="N77" i="5"/>
  <c r="O77" i="5" s="1"/>
  <c r="N78" i="5"/>
  <c r="O78" i="5" s="1"/>
  <c r="I79" i="5"/>
  <c r="R77" i="5"/>
  <c r="S77" i="5" s="1"/>
  <c r="H78" i="5"/>
  <c r="I78" i="5" s="1"/>
  <c r="M53" i="5"/>
  <c r="N53" i="5" s="1"/>
  <c r="R53" i="5"/>
  <c r="S53" i="5" s="1"/>
  <c r="H53" i="5"/>
  <c r="M51" i="5"/>
  <c r="N51" i="5" s="1"/>
  <c r="H51" i="5"/>
  <c r="I51" i="5" s="1"/>
  <c r="T51" i="5"/>
  <c r="Z18" i="5" l="1"/>
  <c r="AA18" i="5" s="1"/>
  <c r="AA48" i="5"/>
  <c r="Z19" i="5"/>
  <c r="AA19" i="5" s="1"/>
  <c r="Z16" i="5"/>
  <c r="Y25" i="5"/>
  <c r="Y86" i="5" s="1"/>
  <c r="Y87" i="5" s="1"/>
  <c r="Y88" i="5" s="1"/>
  <c r="Z48" i="5"/>
  <c r="Z41" i="5"/>
  <c r="Z54" i="5"/>
  <c r="AA28" i="5"/>
  <c r="AA41" i="5" s="1"/>
  <c r="AA9" i="5"/>
  <c r="AA16" i="5" s="1"/>
  <c r="AA50" i="5"/>
  <c r="AA54" i="5" s="1"/>
  <c r="U59" i="5"/>
  <c r="U61" i="5"/>
  <c r="T45" i="5"/>
  <c r="U45" i="5" s="1"/>
  <c r="N44" i="5"/>
  <c r="N60" i="5"/>
  <c r="I62" i="5"/>
  <c r="AD62" i="5" s="1"/>
  <c r="T57" i="5"/>
  <c r="U57" i="5" s="1"/>
  <c r="I57" i="5"/>
  <c r="U52" i="5"/>
  <c r="O79" i="5"/>
  <c r="U39" i="5"/>
  <c r="R79" i="5"/>
  <c r="S79" i="5" s="1"/>
  <c r="T71" i="5"/>
  <c r="AD71" i="5" s="1"/>
  <c r="I64" i="5"/>
  <c r="O64" i="5"/>
  <c r="AD72" i="5"/>
  <c r="AD70" i="5"/>
  <c r="AD73" i="5"/>
  <c r="I73" i="5"/>
  <c r="T64" i="5"/>
  <c r="AD66" i="5"/>
  <c r="I66" i="5"/>
  <c r="N65" i="5"/>
  <c r="AD65" i="5" s="1"/>
  <c r="I65" i="5"/>
  <c r="T78" i="5"/>
  <c r="U78" i="5" s="1"/>
  <c r="AD78" i="5" s="1"/>
  <c r="T77" i="5"/>
  <c r="U77" i="5" s="1"/>
  <c r="T53" i="5"/>
  <c r="U53" i="5" s="1"/>
  <c r="I53" i="5"/>
  <c r="U51" i="5"/>
  <c r="Z25" i="5" l="1"/>
  <c r="Z86" i="5" s="1"/>
  <c r="AA25" i="5"/>
  <c r="AA86" i="5" s="1"/>
  <c r="AD58" i="5"/>
  <c r="AD61" i="5"/>
  <c r="AD45" i="5"/>
  <c r="AD59" i="5"/>
  <c r="O44" i="5"/>
  <c r="AD44" i="5" s="1"/>
  <c r="O60" i="5"/>
  <c r="AD60" i="5" s="1"/>
  <c r="AD39" i="5"/>
  <c r="T79" i="5"/>
  <c r="AD79" i="5" s="1"/>
  <c r="U71" i="5"/>
  <c r="U64" i="5"/>
  <c r="AD67" i="5"/>
  <c r="O65" i="5"/>
  <c r="AD77" i="5"/>
  <c r="AD51" i="5"/>
  <c r="Y89" i="5" l="1"/>
  <c r="Z87" i="5"/>
  <c r="Z88" i="5" s="1"/>
  <c r="Z89" i="5" s="1"/>
  <c r="AD57" i="5"/>
  <c r="U79" i="5"/>
  <c r="AD53" i="5"/>
  <c r="I25" i="5"/>
  <c r="L36" i="5"/>
  <c r="M36" i="5" s="1"/>
  <c r="G36" i="5"/>
  <c r="H36" i="5" s="1"/>
  <c r="L37" i="5"/>
  <c r="M37" i="5" s="1"/>
  <c r="G37" i="5"/>
  <c r="H37" i="5" s="1"/>
  <c r="G32" i="5"/>
  <c r="AA87" i="5" l="1"/>
  <c r="AA88" i="5" s="1"/>
  <c r="AA89" i="5" s="1"/>
  <c r="AD64" i="5"/>
  <c r="R36" i="5"/>
  <c r="S36" i="5" s="1"/>
  <c r="N36" i="5"/>
  <c r="O36" i="5" s="1"/>
  <c r="I36" i="5"/>
  <c r="N37" i="5"/>
  <c r="O37" i="5" s="1"/>
  <c r="R37" i="5"/>
  <c r="S37" i="5" s="1"/>
  <c r="I37" i="5"/>
  <c r="L29" i="5"/>
  <c r="R29" i="5" s="1"/>
  <c r="L30" i="5"/>
  <c r="R30" i="5" s="1"/>
  <c r="L31" i="5"/>
  <c r="R31" i="5" s="1"/>
  <c r="L32" i="5"/>
  <c r="R32" i="5" s="1"/>
  <c r="L34" i="5"/>
  <c r="M34" i="5" s="1"/>
  <c r="L35" i="5"/>
  <c r="R35" i="5" s="1"/>
  <c r="L38" i="5"/>
  <c r="R38" i="5" s="1"/>
  <c r="L40" i="5"/>
  <c r="R40" i="5" s="1"/>
  <c r="L28" i="5"/>
  <c r="M28" i="5" s="1"/>
  <c r="L84" i="5"/>
  <c r="M84" i="5" s="1"/>
  <c r="G84" i="5"/>
  <c r="H84" i="5" s="1"/>
  <c r="M83" i="5"/>
  <c r="G83" i="5"/>
  <c r="G29" i="5"/>
  <c r="G34" i="5"/>
  <c r="Q19" i="5"/>
  <c r="Q21" i="5"/>
  <c r="Q22" i="5"/>
  <c r="Q23" i="5"/>
  <c r="Q24" i="5"/>
  <c r="K19" i="5"/>
  <c r="K20" i="5"/>
  <c r="K21" i="5"/>
  <c r="K22" i="5"/>
  <c r="K23" i="5"/>
  <c r="F19" i="5"/>
  <c r="F20" i="5"/>
  <c r="F21" i="5"/>
  <c r="F22" i="5"/>
  <c r="F23" i="5"/>
  <c r="F24" i="5"/>
  <c r="F18" i="5"/>
  <c r="D19" i="5"/>
  <c r="D20" i="5"/>
  <c r="D21" i="5"/>
  <c r="D22" i="5"/>
  <c r="D23" i="5"/>
  <c r="D18" i="5"/>
  <c r="A19" i="5"/>
  <c r="A20" i="5"/>
  <c r="A21" i="5"/>
  <c r="A22" i="5"/>
  <c r="A23" i="5"/>
  <c r="A24" i="5"/>
  <c r="A18" i="5"/>
  <c r="G23" i="5" l="1"/>
  <c r="M29" i="5"/>
  <c r="N29" i="5" s="1"/>
  <c r="O29" i="5" s="1"/>
  <c r="N28" i="5"/>
  <c r="T36" i="5"/>
  <c r="T37" i="5"/>
  <c r="R34" i="5"/>
  <c r="R28" i="5"/>
  <c r="S28" i="5" s="1"/>
  <c r="R84" i="5"/>
  <c r="S84" i="5" s="1"/>
  <c r="T84" i="5" s="1"/>
  <c r="N84" i="5"/>
  <c r="O84" i="5" s="1"/>
  <c r="I84" i="5"/>
  <c r="R83" i="5"/>
  <c r="S83" i="5" s="1"/>
  <c r="T83" i="5" s="1"/>
  <c r="U83" i="5" s="1"/>
  <c r="N83" i="5"/>
  <c r="O83" i="5" s="1"/>
  <c r="H83" i="5"/>
  <c r="G20" i="5"/>
  <c r="G19" i="5"/>
  <c r="H19" i="5" s="1"/>
  <c r="S29" i="5"/>
  <c r="T29" i="5" s="1"/>
  <c r="U29" i="5" s="1"/>
  <c r="H29" i="5"/>
  <c r="G18" i="5"/>
  <c r="G24" i="5"/>
  <c r="N34" i="5"/>
  <c r="O34" i="5" s="1"/>
  <c r="H34" i="5"/>
  <c r="I34" i="5" s="1"/>
  <c r="G22" i="5"/>
  <c r="G21" i="5"/>
  <c r="G25" i="5" l="1"/>
  <c r="U36" i="5"/>
  <c r="AD36" i="5" s="1"/>
  <c r="U37" i="5"/>
  <c r="AD37" i="5" s="1"/>
  <c r="S34" i="5"/>
  <c r="T34" i="5" s="1"/>
  <c r="U84" i="5"/>
  <c r="I83" i="5"/>
  <c r="I29" i="5"/>
  <c r="AD84" i="5" l="1"/>
  <c r="U34" i="5"/>
  <c r="AD29" i="5"/>
  <c r="AD83" i="5"/>
  <c r="AD34" i="5" l="1"/>
  <c r="L10" i="5"/>
  <c r="H10" i="5"/>
  <c r="H20" i="5"/>
  <c r="H21" i="5"/>
  <c r="L11" i="5"/>
  <c r="L12" i="5"/>
  <c r="L13" i="5"/>
  <c r="L14" i="5"/>
  <c r="L15" i="5"/>
  <c r="G12" i="5"/>
  <c r="H12" i="5" s="1"/>
  <c r="R14" i="5" l="1"/>
  <c r="R23" i="5" s="1"/>
  <c r="S23" i="5" s="1"/>
  <c r="L23" i="5"/>
  <c r="M23" i="5" s="1"/>
  <c r="R11" i="5"/>
  <c r="R20" i="5" s="1"/>
  <c r="S20" i="5" s="1"/>
  <c r="T20" i="5" s="1"/>
  <c r="U20" i="5" s="1"/>
  <c r="L20" i="5"/>
  <c r="M20" i="5" s="1"/>
  <c r="N20" i="5" s="1"/>
  <c r="R10" i="5"/>
  <c r="L19" i="5"/>
  <c r="M19" i="5" s="1"/>
  <c r="N19" i="5" s="1"/>
  <c r="O19" i="5" s="1"/>
  <c r="R13" i="5"/>
  <c r="R22" i="5" s="1"/>
  <c r="S22" i="5" s="1"/>
  <c r="L22" i="5"/>
  <c r="M22" i="5" s="1"/>
  <c r="M12" i="5"/>
  <c r="N12" i="5" s="1"/>
  <c r="L21" i="5"/>
  <c r="M21" i="5" s="1"/>
  <c r="N21" i="5" s="1"/>
  <c r="R18" i="5"/>
  <c r="S18" i="5" s="1"/>
  <c r="L18" i="5"/>
  <c r="R15" i="5"/>
  <c r="R24" i="5" s="1"/>
  <c r="S24" i="5" s="1"/>
  <c r="L24" i="5"/>
  <c r="M10" i="5"/>
  <c r="N10" i="5" s="1"/>
  <c r="O10" i="5" s="1"/>
  <c r="I10" i="5"/>
  <c r="R12" i="5"/>
  <c r="S12" i="5" l="1"/>
  <c r="T12" i="5" s="1"/>
  <c r="AD12" i="5" s="1"/>
  <c r="R21" i="5"/>
  <c r="S21" i="5" s="1"/>
  <c r="S10" i="5"/>
  <c r="T10" i="5" s="1"/>
  <c r="R19" i="5"/>
  <c r="S19" i="5" s="1"/>
  <c r="T19" i="5" s="1"/>
  <c r="U19" i="5" s="1"/>
  <c r="O20" i="5"/>
  <c r="O21" i="5"/>
  <c r="U10" i="5" l="1"/>
  <c r="AD10" i="5" s="1"/>
  <c r="S25" i="5"/>
  <c r="AD19" i="5"/>
  <c r="AD20" i="5"/>
  <c r="T21" i="5"/>
  <c r="U21" i="5" l="1"/>
  <c r="AD21" i="5" s="1"/>
  <c r="G13" i="5"/>
  <c r="M13" i="5" l="1"/>
  <c r="N13" i="5" s="1"/>
  <c r="O13" i="5" s="1"/>
  <c r="H13" i="5"/>
  <c r="S13" i="5"/>
  <c r="L76" i="5"/>
  <c r="R76" i="5" s="1"/>
  <c r="S76" i="5" s="1"/>
  <c r="G76" i="5"/>
  <c r="R69" i="5"/>
  <c r="S69" i="5" s="1"/>
  <c r="G69" i="5"/>
  <c r="T13" i="5" l="1"/>
  <c r="I13" i="5"/>
  <c r="M69" i="5"/>
  <c r="T69" i="5"/>
  <c r="U69" i="5" s="1"/>
  <c r="T76" i="5"/>
  <c r="U76" i="5" s="1"/>
  <c r="M76" i="5"/>
  <c r="H76" i="5"/>
  <c r="H69" i="5"/>
  <c r="N69" i="5" l="1"/>
  <c r="O69" i="5" s="1"/>
  <c r="U13" i="5"/>
  <c r="AD13" i="5" s="1"/>
  <c r="I69" i="5"/>
  <c r="N76" i="5"/>
  <c r="O76" i="5" s="1"/>
  <c r="I76" i="5"/>
  <c r="L75" i="5"/>
  <c r="M75" i="5" s="1"/>
  <c r="G75" i="5"/>
  <c r="AD69" i="5" l="1"/>
  <c r="AD76" i="5"/>
  <c r="N75" i="5"/>
  <c r="R75" i="5"/>
  <c r="S75" i="5" s="1"/>
  <c r="H75" i="5"/>
  <c r="I75" i="5" l="1"/>
  <c r="O75" i="5"/>
  <c r="T75" i="5"/>
  <c r="U75" i="5" l="1"/>
  <c r="G14" i="5" l="1"/>
  <c r="G11" i="5"/>
  <c r="AD75" i="5" l="1"/>
  <c r="G81" i="5"/>
  <c r="H81" i="5" s="1"/>
  <c r="L81" i="5"/>
  <c r="M81" i="5" s="1"/>
  <c r="G82" i="5"/>
  <c r="L82" i="5"/>
  <c r="R82" i="5" s="1"/>
  <c r="S82" i="5" s="1"/>
  <c r="G40" i="5"/>
  <c r="H40" i="5" s="1"/>
  <c r="G28" i="5"/>
  <c r="G30" i="5"/>
  <c r="H30" i="5" s="1"/>
  <c r="I30" i="5" s="1"/>
  <c r="M30" i="5"/>
  <c r="G31" i="5"/>
  <c r="H31" i="5" s="1"/>
  <c r="S31" i="5"/>
  <c r="T31" i="5" s="1"/>
  <c r="H32" i="5"/>
  <c r="S32" i="5"/>
  <c r="G35" i="5"/>
  <c r="H35" i="5" s="1"/>
  <c r="M35" i="5"/>
  <c r="N35" i="5" s="1"/>
  <c r="G38" i="5"/>
  <c r="H38" i="5" s="1"/>
  <c r="M38" i="5"/>
  <c r="H9" i="5"/>
  <c r="K18" i="5"/>
  <c r="M18" i="5" s="1"/>
  <c r="H11" i="5"/>
  <c r="H14" i="5"/>
  <c r="I14" i="5" s="1"/>
  <c r="G15" i="5"/>
  <c r="H15" i="5" s="1"/>
  <c r="K24" i="5"/>
  <c r="M24" i="5" s="1"/>
  <c r="G43" i="5"/>
  <c r="H43" i="5" s="1"/>
  <c r="I43" i="5" s="1"/>
  <c r="L43" i="5"/>
  <c r="R43" i="5" s="1"/>
  <c r="S43" i="5" s="1"/>
  <c r="T43" i="5" s="1"/>
  <c r="G46" i="5"/>
  <c r="L46" i="5"/>
  <c r="R46" i="5" s="1"/>
  <c r="S46" i="5" s="1"/>
  <c r="G47" i="5"/>
  <c r="H47" i="5" s="1"/>
  <c r="L47" i="5"/>
  <c r="J50" i="5"/>
  <c r="C9" i="6"/>
  <c r="G41" i="5" l="1"/>
  <c r="N81" i="5"/>
  <c r="O81" i="5" s="1"/>
  <c r="G16" i="5"/>
  <c r="H82" i="5"/>
  <c r="G48" i="5"/>
  <c r="M25" i="5"/>
  <c r="H16" i="5"/>
  <c r="N30" i="5"/>
  <c r="O30" i="5" s="1"/>
  <c r="H28" i="5"/>
  <c r="H41" i="5" s="1"/>
  <c r="H23" i="5"/>
  <c r="I31" i="5"/>
  <c r="U43" i="5"/>
  <c r="M46" i="5"/>
  <c r="N46" i="5" s="1"/>
  <c r="O46" i="5" s="1"/>
  <c r="S35" i="5"/>
  <c r="R81" i="5"/>
  <c r="S81" i="5" s="1"/>
  <c r="T81" i="5" s="1"/>
  <c r="T23" i="5"/>
  <c r="M32" i="5"/>
  <c r="N32" i="5" s="1"/>
  <c r="S14" i="5"/>
  <c r="T14" i="5" s="1"/>
  <c r="T46" i="5"/>
  <c r="U46" i="5" s="1"/>
  <c r="I47" i="5"/>
  <c r="U31" i="5"/>
  <c r="S50" i="5"/>
  <c r="N23" i="5"/>
  <c r="M11" i="5"/>
  <c r="N11" i="5" s="1"/>
  <c r="S38" i="5"/>
  <c r="S30" i="5"/>
  <c r="M82" i="5"/>
  <c r="M14" i="5"/>
  <c r="N14" i="5" s="1"/>
  <c r="H18" i="5"/>
  <c r="H46" i="5"/>
  <c r="H48" i="5" s="1"/>
  <c r="R47" i="5"/>
  <c r="S47" i="5" s="1"/>
  <c r="M47" i="5"/>
  <c r="T32" i="5"/>
  <c r="U32" i="5" s="1"/>
  <c r="O28" i="5"/>
  <c r="H22" i="5"/>
  <c r="T82" i="5"/>
  <c r="I81" i="5"/>
  <c r="M43" i="5"/>
  <c r="M15" i="5"/>
  <c r="N15" i="5" s="1"/>
  <c r="O15" i="5" s="1"/>
  <c r="N38" i="5"/>
  <c r="O38" i="5" s="1"/>
  <c r="I38" i="5"/>
  <c r="O35" i="5"/>
  <c r="M31" i="5"/>
  <c r="N24" i="5"/>
  <c r="O24" i="5" s="1"/>
  <c r="I35" i="5"/>
  <c r="I15" i="5"/>
  <c r="N22" i="5"/>
  <c r="I40" i="5"/>
  <c r="M9" i="5"/>
  <c r="I32" i="5"/>
  <c r="S40" i="5"/>
  <c r="M40" i="5"/>
  <c r="H24" i="5"/>
  <c r="M50" i="5"/>
  <c r="M54" i="5" s="1"/>
  <c r="I9" i="5"/>
  <c r="I82" i="5" l="1"/>
  <c r="C15" i="6" s="1"/>
  <c r="H15" i="6"/>
  <c r="S48" i="5"/>
  <c r="M48" i="5"/>
  <c r="B8" i="6"/>
  <c r="N82" i="5"/>
  <c r="B15" i="6"/>
  <c r="T50" i="5"/>
  <c r="T54" i="5" s="1"/>
  <c r="S54" i="5"/>
  <c r="I28" i="5"/>
  <c r="I41" i="5" s="1"/>
  <c r="C10" i="6" s="1"/>
  <c r="M41" i="5"/>
  <c r="I16" i="5"/>
  <c r="B12" i="6"/>
  <c r="T30" i="5"/>
  <c r="S41" i="5"/>
  <c r="N9" i="5"/>
  <c r="N16" i="5" s="1"/>
  <c r="M16" i="5"/>
  <c r="H25" i="5"/>
  <c r="B9" i="6" s="1"/>
  <c r="D9" i="6" s="1"/>
  <c r="O32" i="5"/>
  <c r="U81" i="5"/>
  <c r="AD81" i="5" s="1"/>
  <c r="T35" i="5"/>
  <c r="S15" i="5"/>
  <c r="T15" i="5" s="1"/>
  <c r="U23" i="5"/>
  <c r="T24" i="5"/>
  <c r="O23" i="5"/>
  <c r="S9" i="5"/>
  <c r="O14" i="5"/>
  <c r="T38" i="5"/>
  <c r="U38" i="5" s="1"/>
  <c r="U82" i="5"/>
  <c r="I46" i="5"/>
  <c r="N40" i="5"/>
  <c r="N47" i="5"/>
  <c r="O47" i="5" s="1"/>
  <c r="T40" i="5"/>
  <c r="U40" i="5" s="1"/>
  <c r="T28" i="5"/>
  <c r="U14" i="5"/>
  <c r="T47" i="5"/>
  <c r="U47" i="5" s="1"/>
  <c r="S11" i="5"/>
  <c r="T11" i="5" s="1"/>
  <c r="AD11" i="5" s="1"/>
  <c r="N31" i="5"/>
  <c r="O31" i="5" s="1"/>
  <c r="B10" i="6"/>
  <c r="N43" i="5"/>
  <c r="O43" i="5" s="1"/>
  <c r="N50" i="5"/>
  <c r="N54" i="5" s="1"/>
  <c r="G50" i="5"/>
  <c r="O22" i="5"/>
  <c r="I15" i="6" l="1"/>
  <c r="J15" i="6" s="1"/>
  <c r="G54" i="5"/>
  <c r="G86" i="5" s="1"/>
  <c r="G87" i="5" s="1"/>
  <c r="G88" i="5" s="1"/>
  <c r="G89" i="5" s="1"/>
  <c r="O82" i="5"/>
  <c r="N48" i="5"/>
  <c r="E12" i="6" s="1"/>
  <c r="I48" i="5"/>
  <c r="C12" i="6" s="1"/>
  <c r="D12" i="6" s="1"/>
  <c r="T48" i="5"/>
  <c r="H12" i="6" s="1"/>
  <c r="U50" i="5"/>
  <c r="U54" i="5" s="1"/>
  <c r="O9" i="5"/>
  <c r="O16" i="5" s="1"/>
  <c r="F8" i="6" s="1"/>
  <c r="M86" i="5"/>
  <c r="C8" i="6"/>
  <c r="D8" i="6" s="1"/>
  <c r="U30" i="5"/>
  <c r="AD30" i="5" s="1"/>
  <c r="U28" i="5"/>
  <c r="T41" i="5"/>
  <c r="H10" i="6" s="1"/>
  <c r="T9" i="5"/>
  <c r="S16" i="5"/>
  <c r="S86" i="5" s="1"/>
  <c r="S87" i="5" s="1"/>
  <c r="N41" i="5"/>
  <c r="E10" i="6" s="1"/>
  <c r="N18" i="5"/>
  <c r="AD46" i="5"/>
  <c r="U35" i="5"/>
  <c r="AD35" i="5" s="1"/>
  <c r="AD32" i="5"/>
  <c r="AD23" i="5"/>
  <c r="U15" i="5"/>
  <c r="AD15" i="5" s="1"/>
  <c r="U24" i="5"/>
  <c r="AD24" i="5" s="1"/>
  <c r="D15" i="6"/>
  <c r="AD14" i="5"/>
  <c r="AD38" i="5"/>
  <c r="D10" i="6"/>
  <c r="T18" i="5"/>
  <c r="T22" i="5"/>
  <c r="U22" i="5" s="1"/>
  <c r="AD31" i="5"/>
  <c r="O40" i="5"/>
  <c r="E15" i="6"/>
  <c r="E8" i="6"/>
  <c r="H50" i="5"/>
  <c r="F15" i="6" l="1"/>
  <c r="G15" i="6" s="1"/>
  <c r="AD82" i="5"/>
  <c r="O15" i="6"/>
  <c r="AB48" i="5"/>
  <c r="N12" i="6" s="1"/>
  <c r="AC48" i="5"/>
  <c r="O12" i="6" s="1"/>
  <c r="O48" i="5"/>
  <c r="F12" i="6" s="1"/>
  <c r="G12" i="6" s="1"/>
  <c r="U48" i="5"/>
  <c r="I12" i="6" s="1"/>
  <c r="J12" i="6" s="1"/>
  <c r="M87" i="5"/>
  <c r="AB54" i="5"/>
  <c r="H54" i="5"/>
  <c r="H86" i="5" s="1"/>
  <c r="AB41" i="5"/>
  <c r="N10" i="6" s="1"/>
  <c r="T25" i="5"/>
  <c r="H9" i="6" s="1"/>
  <c r="AB16" i="5"/>
  <c r="N8" i="6" s="1"/>
  <c r="T16" i="5"/>
  <c r="U9" i="5"/>
  <c r="U41" i="5"/>
  <c r="I10" i="6" s="1"/>
  <c r="AC41" i="5"/>
  <c r="O10" i="6" s="1"/>
  <c r="N25" i="5"/>
  <c r="O41" i="5"/>
  <c r="F10" i="6" s="1"/>
  <c r="O18" i="5"/>
  <c r="I13" i="6"/>
  <c r="AD40" i="5"/>
  <c r="AD47" i="5"/>
  <c r="U18" i="5"/>
  <c r="AD43" i="5"/>
  <c r="AD28" i="5"/>
  <c r="N15" i="6"/>
  <c r="G8" i="6"/>
  <c r="I50" i="5"/>
  <c r="G10" i="6" l="1"/>
  <c r="J10" i="6"/>
  <c r="AD48" i="5"/>
  <c r="E9" i="6"/>
  <c r="N86" i="5"/>
  <c r="H8" i="6"/>
  <c r="T86" i="5"/>
  <c r="I54" i="5"/>
  <c r="I86" i="5" s="1"/>
  <c r="AB25" i="5"/>
  <c r="N9" i="6" s="1"/>
  <c r="AD41" i="5"/>
  <c r="U25" i="5"/>
  <c r="I9" i="6" s="1"/>
  <c r="J9" i="6" s="1"/>
  <c r="O25" i="5"/>
  <c r="U16" i="5"/>
  <c r="H13" i="6"/>
  <c r="J13" i="6" s="1"/>
  <c r="P15" i="6"/>
  <c r="P12" i="6"/>
  <c r="AD22" i="5"/>
  <c r="P10" i="6"/>
  <c r="T87" i="5"/>
  <c r="H16" i="6" l="1"/>
  <c r="I8" i="6"/>
  <c r="U86" i="5"/>
  <c r="F9" i="6"/>
  <c r="O86" i="5"/>
  <c r="AD50" i="5"/>
  <c r="AD54" i="5" s="1"/>
  <c r="AC54" i="5"/>
  <c r="AD18" i="5"/>
  <c r="AD25" i="5" s="1"/>
  <c r="AC25" i="5"/>
  <c r="O9" i="6" s="1"/>
  <c r="P9" i="6" s="1"/>
  <c r="AD16" i="5"/>
  <c r="AC16" i="5"/>
  <c r="N87" i="5"/>
  <c r="O87" i="5" s="1"/>
  <c r="O88" i="5" s="1"/>
  <c r="S88" i="5"/>
  <c r="S89" i="5" s="1"/>
  <c r="U87" i="5"/>
  <c r="T88" i="5"/>
  <c r="T89" i="5" s="1"/>
  <c r="H17" i="6"/>
  <c r="H18" i="6" l="1"/>
  <c r="J8" i="6"/>
  <c r="J16" i="6" s="1"/>
  <c r="I16" i="6"/>
  <c r="G9" i="6"/>
  <c r="O89" i="5"/>
  <c r="AD86" i="5"/>
  <c r="O8" i="6"/>
  <c r="AC86" i="5"/>
  <c r="M88" i="5"/>
  <c r="M89" i="5" s="1"/>
  <c r="E13" i="6"/>
  <c r="E16" i="6" s="1"/>
  <c r="N13" i="6"/>
  <c r="N16" i="6" s="1"/>
  <c r="H87" i="5"/>
  <c r="E17" i="6"/>
  <c r="N88" i="5"/>
  <c r="N89" i="5" s="1"/>
  <c r="F17" i="6"/>
  <c r="U88" i="5"/>
  <c r="U89" i="5" s="1"/>
  <c r="I17" i="6"/>
  <c r="F13" i="6"/>
  <c r="F16" i="6" s="1"/>
  <c r="I87" i="5" l="1"/>
  <c r="AC87" i="5" s="1"/>
  <c r="AB87" i="5"/>
  <c r="AB88" i="5" s="1"/>
  <c r="AB89" i="5" s="1"/>
  <c r="E18" i="6"/>
  <c r="I18" i="6"/>
  <c r="P8" i="6"/>
  <c r="F18" i="6"/>
  <c r="H88" i="5"/>
  <c r="H89" i="5" s="1"/>
  <c r="B17" i="6"/>
  <c r="G13" i="6"/>
  <c r="G16" i="6" s="1"/>
  <c r="B13" i="6"/>
  <c r="B16" i="6" s="1"/>
  <c r="G17" i="6"/>
  <c r="C17" i="6"/>
  <c r="I88" i="5"/>
  <c r="I89" i="5" s="1"/>
  <c r="J17" i="6"/>
  <c r="J18" i="6" s="1"/>
  <c r="B18" i="6" l="1"/>
  <c r="G18" i="6"/>
  <c r="AD87" i="5"/>
  <c r="AD88" i="5" s="1"/>
  <c r="AD89" i="5" s="1"/>
  <c r="N17" i="6"/>
  <c r="N18" i="6" s="1"/>
  <c r="C13" i="6"/>
  <c r="C16" i="6" s="1"/>
  <c r="D17" i="6"/>
  <c r="O17" i="6"/>
  <c r="AC88" i="5"/>
  <c r="AC89" i="5" s="1"/>
  <c r="P17" i="6" l="1"/>
  <c r="O13" i="6"/>
  <c r="O16" i="6" s="1"/>
  <c r="O18" i="6" s="1"/>
  <c r="C18" i="6"/>
  <c r="D13" i="6"/>
  <c r="D16" i="6" s="1"/>
  <c r="D18" i="6" s="1"/>
  <c r="P13" i="6" l="1"/>
  <c r="P16" i="6" s="1"/>
  <c r="P1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tc={7D32D403-8E0F-4FA8-BC5A-7B907410F859}</author>
  </authors>
  <commentList>
    <comment ref="E18" authorId="0" shapeId="0" xr:uid="{7D32D403-8E0F-4FA8-BC5A-7B907410F859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home office positions the fringe should be 23.47%</t>
      </text>
    </comment>
  </commentList>
</comments>
</file>

<file path=xl/sharedStrings.xml><?xml version="1.0" encoding="utf-8"?>
<sst xmlns="http://schemas.openxmlformats.org/spreadsheetml/2006/main" count="198" uniqueCount="99">
  <si>
    <t>Total</t>
  </si>
  <si>
    <t>PARTNERS OF THE AMERICAS</t>
  </si>
  <si>
    <t>SUMMARY BUDGET</t>
  </si>
  <si>
    <t>BUDGET SUMMARY CATEGORIES</t>
  </si>
  <si>
    <t>Year 1</t>
  </si>
  <si>
    <t>Year 2</t>
  </si>
  <si>
    <t>Year 3</t>
  </si>
  <si>
    <t>JTIP</t>
  </si>
  <si>
    <t>Cost Share</t>
  </si>
  <si>
    <t>1. Personnel</t>
  </si>
  <si>
    <t>2. Fringe Benefits</t>
  </si>
  <si>
    <t xml:space="preserve">3. Travel </t>
  </si>
  <si>
    <t>4. Equipment</t>
  </si>
  <si>
    <t>5. Supplies</t>
  </si>
  <si>
    <t>6. Contractual</t>
  </si>
  <si>
    <t>7. Construction</t>
  </si>
  <si>
    <t>8. Other Direct Costs</t>
  </si>
  <si>
    <t>9. Total Direct Costs</t>
  </si>
  <si>
    <t>10. Indirect Costs</t>
  </si>
  <si>
    <t>11. Total Costs</t>
  </si>
  <si>
    <t>Detailed Budget</t>
  </si>
  <si>
    <t>All costs in US$</t>
  </si>
  <si>
    <t xml:space="preserve">Total </t>
  </si>
  <si>
    <t>Budget Line Items</t>
  </si>
  <si>
    <t>No.</t>
  </si>
  <si>
    <t>Unit Type</t>
  </si>
  <si>
    <t>Freq.</t>
  </si>
  <si>
    <t>%</t>
  </si>
  <si>
    <t>Rate</t>
  </si>
  <si>
    <t>Grand Total</t>
  </si>
  <si>
    <t>Personnel</t>
  </si>
  <si>
    <t>FTE/month</t>
  </si>
  <si>
    <t>Fringe Benefits</t>
  </si>
  <si>
    <t>Month</t>
  </si>
  <si>
    <t xml:space="preserve">Travel </t>
  </si>
  <si>
    <t xml:space="preserve">1. HQ Staff International Travel </t>
  </si>
  <si>
    <t>Trip</t>
  </si>
  <si>
    <t>Ground Transportation</t>
  </si>
  <si>
    <t>Night</t>
  </si>
  <si>
    <t>Day</t>
  </si>
  <si>
    <t xml:space="preserve">2. Local Staff In-Country Travel </t>
  </si>
  <si>
    <t xml:space="preserve">Transportation Stipend </t>
  </si>
  <si>
    <t>Person</t>
  </si>
  <si>
    <t>Supplies</t>
  </si>
  <si>
    <t>Communication Costs (internet, data, phones)</t>
  </si>
  <si>
    <t>Timekeeping and expense reporting platform and other subscriptions</t>
  </si>
  <si>
    <t>Office Supplies</t>
  </si>
  <si>
    <t>Banking and Cash Handling Fees</t>
  </si>
  <si>
    <t>Payroll Processing</t>
  </si>
  <si>
    <t>Recruitment, Procurement &amp; Advertising Fees</t>
  </si>
  <si>
    <t>Year</t>
  </si>
  <si>
    <t>Legal Fees</t>
  </si>
  <si>
    <t xml:space="preserve">Laptop Computers &amp; Software </t>
  </si>
  <si>
    <t>Unit</t>
  </si>
  <si>
    <t>Printer, Photocopier &amp; Scanner</t>
  </si>
  <si>
    <t>Contractual</t>
  </si>
  <si>
    <t>Lumpsum</t>
  </si>
  <si>
    <t>Other Direct Costs</t>
  </si>
  <si>
    <t>Objectives and Activities</t>
  </si>
  <si>
    <t>Training</t>
  </si>
  <si>
    <t>Meeting</t>
  </si>
  <si>
    <t>Workshop</t>
  </si>
  <si>
    <t xml:space="preserve">Monitoring, Evaluation, Research, and Learning </t>
  </si>
  <si>
    <t>M&amp;E Materials &amp; Database Development</t>
  </si>
  <si>
    <t>M&amp;E Training and Coordination Meetings</t>
  </si>
  <si>
    <t>Meetings</t>
  </si>
  <si>
    <t>External Midline Evaluation</t>
  </si>
  <si>
    <t>External Final Evaluation</t>
  </si>
  <si>
    <t>Sub Total Other Direct Costs</t>
  </si>
  <si>
    <t>Total Direct Costs</t>
  </si>
  <si>
    <t>Indirect Cost (28.69% NICRA rate)</t>
  </si>
  <si>
    <t>Total Indirect Cost</t>
  </si>
  <si>
    <t>GRAND TOTAL</t>
  </si>
  <si>
    <t>Funding Opportunity: , CFDA: 19.019</t>
  </si>
  <si>
    <t>Name of Project</t>
  </si>
  <si>
    <t>Project Coordinator (XX%)</t>
  </si>
  <si>
    <t>M&amp;E Specialist (XX%)</t>
  </si>
  <si>
    <t>Position (XX%)</t>
  </si>
  <si>
    <t>Year 4</t>
  </si>
  <si>
    <t>Program Name</t>
  </si>
  <si>
    <t>48 Months</t>
  </si>
  <si>
    <t>International Airfare (Washington, XXX)</t>
  </si>
  <si>
    <t>Domestic Airfare (Mexico City - XXXX)</t>
  </si>
  <si>
    <t>Lodging in XXX</t>
  </si>
  <si>
    <t>M&amp;IE in XXX</t>
  </si>
  <si>
    <t>Domestic Airfare (location - location)</t>
  </si>
  <si>
    <t>Lodging - XXX</t>
  </si>
  <si>
    <t>M&amp;IE - XXX</t>
  </si>
  <si>
    <t xml:space="preserve">Subtotal Travel </t>
  </si>
  <si>
    <t>Subtotal Fringe Benefits</t>
  </si>
  <si>
    <t>Subtotal Personnel</t>
  </si>
  <si>
    <t>Subtotal Supplies</t>
  </si>
  <si>
    <t>Subtotal Contractual</t>
  </si>
  <si>
    <t>O1: XXX</t>
  </si>
  <si>
    <t>O2: XXXX</t>
  </si>
  <si>
    <t>O3: XXX</t>
  </si>
  <si>
    <t>Consultants to XXXX</t>
  </si>
  <si>
    <t>Subaward (need to provide detailed breakdown)</t>
  </si>
  <si>
    <t>XXX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</si>
</sst>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INR]\ #,##0.00"/>
    <numFmt numFmtId="165" formatCode="_(* #,##0_);_(* \(#,##0\);_(* &quot;-&quot;??_);_(@_)"/>
    <numFmt numFmtId="166" formatCode="_(&quot;$&quot;* #,##0_);_(&quot;$&quot;* \(#,##0\);_(&quot;$&quot;* &quot;-&quot;??_);_(@_)"/>
    <numFmt numFmtId="167" formatCode="[$$-1009]#,##0"/>
    <numFmt numFmtId="168" formatCode="[$$-1009]#,##0.00"/>
    <numFmt numFmtId="169" formatCode="[$$-1009]#,##0;\-[$$-1009]#,##0"/>
    <numFmt numFmtId="170" formatCode="&quot;$&quot;#,##0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Times New Roman"/>
      <family val="1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34998626667073579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 tint="-0.24997711111789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9" fontId="1" fillId="0" borderId="0" applyFont="0" applyFill="0" applyBorder="0" applyAlignment="0" applyProtection="0"/>
  </cellStyleXfs>
  <cellXfs count="20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66" fontId="6" fillId="0" borderId="8" xfId="3" applyNumberFormat="1" applyFont="1" applyFill="1" applyBorder="1" applyAlignment="1">
      <alignment vertical="center" wrapText="1"/>
    </xf>
    <xf numFmtId="166" fontId="6" fillId="3" borderId="8" xfId="3" applyNumberFormat="1" applyFont="1" applyFill="1" applyBorder="1" applyAlignment="1">
      <alignment vertical="center" wrapText="1"/>
    </xf>
    <xf numFmtId="3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6" fillId="0" borderId="0" xfId="3" applyNumberFormat="1" applyFont="1" applyBorder="1" applyAlignment="1">
      <alignment vertical="center" wrapText="1"/>
    </xf>
    <xf numFmtId="166" fontId="6" fillId="0" borderId="0" xfId="3" applyNumberFormat="1" applyFont="1" applyFill="1" applyBorder="1" applyAlignment="1">
      <alignment vertical="center" wrapText="1"/>
    </xf>
    <xf numFmtId="3" fontId="6" fillId="0" borderId="0" xfId="0" applyNumberFormat="1" applyFont="1" applyAlignment="1">
      <alignment vertical="center" wrapText="1"/>
    </xf>
    <xf numFmtId="9" fontId="6" fillId="0" borderId="0" xfId="0" applyNumberFormat="1" applyFont="1" applyAlignment="1">
      <alignment horizontal="center" vertical="center" wrapText="1"/>
    </xf>
    <xf numFmtId="9" fontId="6" fillId="0" borderId="0" xfId="8" applyFont="1" applyFill="1" applyBorder="1" applyAlignment="1">
      <alignment vertical="center" wrapText="1"/>
    </xf>
    <xf numFmtId="3" fontId="6" fillId="0" borderId="8" xfId="0" applyNumberFormat="1" applyFont="1" applyBorder="1" applyAlignment="1">
      <alignment horizontal="center" vertical="center" wrapText="1"/>
    </xf>
    <xf numFmtId="9" fontId="6" fillId="0" borderId="8" xfId="0" applyNumberFormat="1" applyFont="1" applyBorder="1" applyAlignment="1">
      <alignment horizontal="center" vertical="center" wrapText="1"/>
    </xf>
    <xf numFmtId="166" fontId="6" fillId="0" borderId="8" xfId="3" applyNumberFormat="1" applyFont="1" applyBorder="1" applyAlignment="1">
      <alignment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70" fontId="6" fillId="3" borderId="8" xfId="0" applyNumberFormat="1" applyFont="1" applyFill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9" fontId="3" fillId="0" borderId="8" xfId="0" applyNumberFormat="1" applyFont="1" applyBorder="1" applyAlignment="1">
      <alignment horizontal="center" vertical="center" wrapText="1"/>
    </xf>
    <xf numFmtId="166" fontId="3" fillId="0" borderId="8" xfId="3" applyNumberFormat="1" applyFont="1" applyBorder="1" applyAlignment="1">
      <alignment horizontal="center" vertical="center" wrapText="1"/>
    </xf>
    <xf numFmtId="166" fontId="3" fillId="0" borderId="9" xfId="3" applyNumberFormat="1" applyFont="1" applyBorder="1" applyAlignment="1">
      <alignment horizontal="center" vertical="center" wrapText="1"/>
    </xf>
    <xf numFmtId="166" fontId="3" fillId="0" borderId="16" xfId="3" applyNumberFormat="1" applyFont="1" applyBorder="1" applyAlignment="1">
      <alignment horizontal="center" vertical="center" wrapText="1"/>
    </xf>
    <xf numFmtId="0" fontId="3" fillId="5" borderId="19" xfId="0" applyFont="1" applyFill="1" applyBorder="1" applyAlignment="1">
      <alignment vertical="center" wrapText="1"/>
    </xf>
    <xf numFmtId="166" fontId="3" fillId="5" borderId="8" xfId="0" applyNumberFormat="1" applyFont="1" applyFill="1" applyBorder="1" applyAlignment="1">
      <alignment horizontal="center" vertical="center" wrapText="1"/>
    </xf>
    <xf numFmtId="164" fontId="11" fillId="5" borderId="8" xfId="0" applyNumberFormat="1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166" fontId="11" fillId="5" borderId="8" xfId="3" applyNumberFormat="1" applyFont="1" applyFill="1" applyBorder="1" applyAlignment="1">
      <alignment vertical="center" wrapText="1"/>
    </xf>
    <xf numFmtId="166" fontId="11" fillId="5" borderId="8" xfId="3" applyNumberFormat="1" applyFont="1" applyFill="1" applyBorder="1" applyAlignment="1">
      <alignment horizontal="center" vertical="center" wrapText="1"/>
    </xf>
    <xf numFmtId="166" fontId="11" fillId="5" borderId="9" xfId="3" applyNumberFormat="1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166" fontId="11" fillId="5" borderId="16" xfId="3" applyNumberFormat="1" applyFont="1" applyFill="1" applyBorder="1" applyAlignment="1">
      <alignment horizontal="center" vertical="center" wrapText="1"/>
    </xf>
    <xf numFmtId="166" fontId="11" fillId="5" borderId="9" xfId="3" applyNumberFormat="1" applyFont="1" applyFill="1" applyBorder="1" applyAlignment="1">
      <alignment vertical="center" wrapText="1"/>
    </xf>
    <xf numFmtId="166" fontId="3" fillId="0" borderId="8" xfId="3" applyNumberFormat="1" applyFont="1" applyFill="1" applyBorder="1" applyAlignment="1">
      <alignment horizontal="center" vertical="center" wrapText="1"/>
    </xf>
    <xf numFmtId="166" fontId="3" fillId="0" borderId="9" xfId="3" applyNumberFormat="1" applyFont="1" applyFill="1" applyBorder="1" applyAlignment="1">
      <alignment horizontal="center" vertical="center" wrapText="1"/>
    </xf>
    <xf numFmtId="166" fontId="3" fillId="0" borderId="16" xfId="3" applyNumberFormat="1" applyFont="1" applyFill="1" applyBorder="1" applyAlignment="1">
      <alignment horizontal="center" vertical="center" wrapText="1"/>
    </xf>
    <xf numFmtId="166" fontId="6" fillId="0" borderId="9" xfId="3" applyNumberFormat="1" applyFont="1" applyFill="1" applyBorder="1" applyAlignment="1">
      <alignment vertical="center" wrapText="1"/>
    </xf>
    <xf numFmtId="166" fontId="6" fillId="0" borderId="8" xfId="3" applyNumberFormat="1" applyFont="1" applyFill="1" applyBorder="1" applyAlignment="1">
      <alignment horizontal="center" vertical="center" wrapText="1"/>
    </xf>
    <xf numFmtId="9" fontId="6" fillId="0" borderId="8" xfId="8" applyFont="1" applyFill="1" applyBorder="1" applyAlignment="1">
      <alignment horizontal="center" vertical="center" wrapText="1"/>
    </xf>
    <xf numFmtId="166" fontId="6" fillId="0" borderId="9" xfId="3" applyNumberFormat="1" applyFont="1" applyBorder="1" applyAlignment="1">
      <alignment vertical="center" wrapText="1"/>
    </xf>
    <xf numFmtId="0" fontId="3" fillId="3" borderId="19" xfId="0" applyFont="1" applyFill="1" applyBorder="1" applyAlignment="1">
      <alignment vertical="center" wrapText="1"/>
    </xf>
    <xf numFmtId="165" fontId="3" fillId="3" borderId="8" xfId="1" applyNumberFormat="1" applyFont="1" applyFill="1" applyBorder="1" applyAlignment="1">
      <alignment horizontal="center" vertical="center" wrapText="1"/>
    </xf>
    <xf numFmtId="9" fontId="3" fillId="3" borderId="8" xfId="0" applyNumberFormat="1" applyFont="1" applyFill="1" applyBorder="1" applyAlignment="1">
      <alignment horizontal="center" vertical="center" wrapText="1"/>
    </xf>
    <xf numFmtId="166" fontId="3" fillId="3" borderId="8" xfId="3" applyNumberFormat="1" applyFont="1" applyFill="1" applyBorder="1" applyAlignment="1">
      <alignment vertical="center" wrapText="1"/>
    </xf>
    <xf numFmtId="165" fontId="3" fillId="5" borderId="8" xfId="1" applyNumberFormat="1" applyFont="1" applyFill="1" applyBorder="1" applyAlignment="1">
      <alignment horizontal="center" vertical="center" wrapText="1"/>
    </xf>
    <xf numFmtId="9" fontId="3" fillId="5" borderId="8" xfId="0" applyNumberFormat="1" applyFont="1" applyFill="1" applyBorder="1" applyAlignment="1">
      <alignment horizontal="center" vertical="center" wrapText="1"/>
    </xf>
    <xf numFmtId="166" fontId="3" fillId="5" borderId="8" xfId="3" applyNumberFormat="1" applyFont="1" applyFill="1" applyBorder="1" applyAlignment="1">
      <alignment vertical="center" wrapText="1"/>
    </xf>
    <xf numFmtId="166" fontId="3" fillId="5" borderId="8" xfId="3" applyNumberFormat="1" applyFont="1" applyFill="1" applyBorder="1" applyAlignment="1">
      <alignment horizontal="center" vertical="center" wrapText="1"/>
    </xf>
    <xf numFmtId="166" fontId="3" fillId="5" borderId="9" xfId="3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vertical="center" wrapText="1"/>
    </xf>
    <xf numFmtId="166" fontId="3" fillId="5" borderId="16" xfId="3" applyNumberFormat="1" applyFont="1" applyFill="1" applyBorder="1" applyAlignment="1">
      <alignment horizontal="center" vertical="center" wrapText="1"/>
    </xf>
    <xf numFmtId="166" fontId="6" fillId="5" borderId="9" xfId="3" applyNumberFormat="1" applyFont="1" applyFill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166" fontId="6" fillId="0" borderId="16" xfId="3" applyNumberFormat="1" applyFont="1" applyFill="1" applyBorder="1" applyAlignment="1">
      <alignment vertical="center" wrapText="1"/>
    </xf>
    <xf numFmtId="168" fontId="6" fillId="3" borderId="16" xfId="0" applyNumberFormat="1" applyFont="1" applyFill="1" applyBorder="1" applyAlignment="1">
      <alignment horizontal="center" vertical="center" wrapText="1"/>
    </xf>
    <xf numFmtId="10" fontId="6" fillId="3" borderId="8" xfId="8" applyNumberFormat="1" applyFont="1" applyFill="1" applyBorder="1" applyAlignment="1">
      <alignment horizontal="center" vertical="center" wrapText="1"/>
    </xf>
    <xf numFmtId="165" fontId="6" fillId="3" borderId="8" xfId="1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166" fontId="6" fillId="3" borderId="8" xfId="3" applyNumberFormat="1" applyFont="1" applyFill="1" applyBorder="1" applyAlignment="1">
      <alignment horizontal="center" vertical="center" wrapText="1"/>
    </xf>
    <xf numFmtId="168" fontId="3" fillId="5" borderId="16" xfId="0" applyNumberFormat="1" applyFont="1" applyFill="1" applyBorder="1" applyAlignment="1">
      <alignment horizontal="center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165" fontId="3" fillId="0" borderId="8" xfId="1" applyNumberFormat="1" applyFont="1" applyFill="1" applyBorder="1" applyAlignment="1">
      <alignment horizontal="center" vertical="center" wrapText="1"/>
    </xf>
    <xf numFmtId="166" fontId="3" fillId="0" borderId="8" xfId="3" applyNumberFormat="1" applyFont="1" applyFill="1" applyBorder="1" applyAlignment="1">
      <alignment vertical="center" wrapText="1"/>
    </xf>
    <xf numFmtId="166" fontId="6" fillId="0" borderId="8" xfId="3" applyNumberFormat="1" applyFont="1" applyFill="1" applyBorder="1" applyAlignment="1">
      <alignment horizontal="right" vertical="center" wrapText="1"/>
    </xf>
    <xf numFmtId="3" fontId="3" fillId="3" borderId="16" xfId="0" applyNumberFormat="1" applyFont="1" applyFill="1" applyBorder="1" applyAlignment="1">
      <alignment horizontal="center" vertical="center" wrapText="1"/>
    </xf>
    <xf numFmtId="169" fontId="3" fillId="3" borderId="16" xfId="3" applyNumberFormat="1" applyFont="1" applyFill="1" applyBorder="1" applyAlignment="1">
      <alignment vertical="center" wrapText="1"/>
    </xf>
    <xf numFmtId="169" fontId="3" fillId="3" borderId="8" xfId="3" applyNumberFormat="1" applyFont="1" applyFill="1" applyBorder="1" applyAlignment="1">
      <alignment vertical="center" wrapText="1"/>
    </xf>
    <xf numFmtId="166" fontId="6" fillId="5" borderId="8" xfId="3" applyNumberFormat="1" applyFont="1" applyFill="1" applyBorder="1" applyAlignment="1">
      <alignment horizontal="center" vertical="center" wrapText="1"/>
    </xf>
    <xf numFmtId="166" fontId="6" fillId="5" borderId="9" xfId="3" applyNumberFormat="1" applyFont="1" applyFill="1" applyBorder="1" applyAlignment="1">
      <alignment horizontal="center" vertical="center" wrapText="1"/>
    </xf>
    <xf numFmtId="166" fontId="6" fillId="5" borderId="16" xfId="3" applyNumberFormat="1" applyFont="1" applyFill="1" applyBorder="1" applyAlignment="1">
      <alignment horizontal="center" vertical="center" wrapText="1"/>
    </xf>
    <xf numFmtId="9" fontId="6" fillId="3" borderId="8" xfId="0" applyNumberFormat="1" applyFont="1" applyFill="1" applyBorder="1" applyAlignment="1">
      <alignment horizontal="center" vertical="center" wrapText="1"/>
    </xf>
    <xf numFmtId="166" fontId="8" fillId="5" borderId="9" xfId="3" applyNumberFormat="1" applyFont="1" applyFill="1" applyBorder="1" applyAlignment="1">
      <alignment vertical="center" wrapText="1"/>
    </xf>
    <xf numFmtId="0" fontId="3" fillId="5" borderId="14" xfId="0" applyFont="1" applyFill="1" applyBorder="1" applyAlignment="1">
      <alignment horizontal="center" vertical="center" wrapText="1"/>
    </xf>
    <xf numFmtId="166" fontId="3" fillId="5" borderId="14" xfId="3" applyNumberFormat="1" applyFont="1" applyFill="1" applyBorder="1" applyAlignment="1">
      <alignment vertical="center" wrapText="1"/>
    </xf>
    <xf numFmtId="166" fontId="6" fillId="5" borderId="14" xfId="3" applyNumberFormat="1" applyFont="1" applyFill="1" applyBorder="1" applyAlignment="1">
      <alignment horizontal="center" vertical="center" wrapText="1"/>
    </xf>
    <xf numFmtId="166" fontId="6" fillId="5" borderId="26" xfId="3" applyNumberFormat="1" applyFont="1" applyFill="1" applyBorder="1" applyAlignment="1">
      <alignment horizontal="center" vertical="center" wrapText="1"/>
    </xf>
    <xf numFmtId="166" fontId="6" fillId="5" borderId="25" xfId="3" applyNumberFormat="1" applyFont="1" applyFill="1" applyBorder="1" applyAlignment="1">
      <alignment horizontal="center" vertical="center" wrapText="1"/>
    </xf>
    <xf numFmtId="166" fontId="6" fillId="5" borderId="26" xfId="3" applyNumberFormat="1" applyFont="1" applyFill="1" applyBorder="1" applyAlignment="1">
      <alignment vertical="center" wrapText="1"/>
    </xf>
    <xf numFmtId="0" fontId="6" fillId="0" borderId="8" xfId="7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9" fontId="6" fillId="5" borderId="8" xfId="0" applyNumberFormat="1" applyFont="1" applyFill="1" applyBorder="1" applyAlignment="1">
      <alignment horizontal="center" vertical="center" wrapText="1"/>
    </xf>
    <xf numFmtId="166" fontId="6" fillId="5" borderId="8" xfId="3" applyNumberFormat="1" applyFont="1" applyFill="1" applyBorder="1" applyAlignment="1">
      <alignment vertical="center" wrapText="1"/>
    </xf>
    <xf numFmtId="0" fontId="3" fillId="8" borderId="19" xfId="0" applyFont="1" applyFill="1" applyBorder="1" applyAlignment="1">
      <alignment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9" fontId="6" fillId="8" borderId="8" xfId="0" applyNumberFormat="1" applyFont="1" applyFill="1" applyBorder="1" applyAlignment="1">
      <alignment horizontal="center" vertical="center" wrapText="1"/>
    </xf>
    <xf numFmtId="166" fontId="6" fillId="8" borderId="8" xfId="3" applyNumberFormat="1" applyFont="1" applyFill="1" applyBorder="1" applyAlignment="1">
      <alignment vertical="center" wrapText="1"/>
    </xf>
    <xf numFmtId="166" fontId="6" fillId="8" borderId="8" xfId="3" applyNumberFormat="1" applyFont="1" applyFill="1" applyBorder="1" applyAlignment="1">
      <alignment horizontal="center" vertical="center" wrapText="1"/>
    </xf>
    <xf numFmtId="166" fontId="6" fillId="8" borderId="9" xfId="3" applyNumberFormat="1" applyFont="1" applyFill="1" applyBorder="1" applyAlignment="1">
      <alignment horizontal="center" vertical="center" wrapText="1"/>
    </xf>
    <xf numFmtId="166" fontId="6" fillId="8" borderId="16" xfId="3" applyNumberFormat="1" applyFont="1" applyFill="1" applyBorder="1" applyAlignment="1">
      <alignment horizontal="center" vertical="center" wrapText="1"/>
    </xf>
    <xf numFmtId="166" fontId="6" fillId="8" borderId="9" xfId="3" applyNumberFormat="1" applyFont="1" applyFill="1" applyBorder="1" applyAlignment="1">
      <alignment vertical="center" wrapText="1"/>
    </xf>
    <xf numFmtId="166" fontId="6" fillId="3" borderId="9" xfId="3" applyNumberFormat="1" applyFont="1" applyFill="1" applyBorder="1" applyAlignment="1">
      <alignment horizontal="center" vertical="center" wrapText="1"/>
    </xf>
    <xf numFmtId="166" fontId="6" fillId="3" borderId="16" xfId="3" applyNumberFormat="1" applyFont="1" applyFill="1" applyBorder="1" applyAlignment="1">
      <alignment horizontal="center" vertical="center" wrapText="1"/>
    </xf>
    <xf numFmtId="166" fontId="6" fillId="3" borderId="9" xfId="3" applyNumberFormat="1" applyFont="1" applyFill="1" applyBorder="1" applyAlignment="1">
      <alignment vertical="center" wrapText="1"/>
    </xf>
    <xf numFmtId="166" fontId="6" fillId="0" borderId="9" xfId="3" applyNumberFormat="1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vertical="center" wrapText="1"/>
    </xf>
    <xf numFmtId="166" fontId="6" fillId="4" borderId="8" xfId="3" applyNumberFormat="1" applyFont="1" applyFill="1" applyBorder="1" applyAlignment="1">
      <alignment vertical="center" wrapText="1"/>
    </xf>
    <xf numFmtId="166" fontId="6" fillId="4" borderId="9" xfId="3" applyNumberFormat="1" applyFont="1" applyFill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166" fontId="3" fillId="0" borderId="9" xfId="3" applyNumberFormat="1" applyFont="1" applyFill="1" applyBorder="1" applyAlignment="1">
      <alignment vertical="center" wrapText="1"/>
    </xf>
    <xf numFmtId="166" fontId="3" fillId="0" borderId="16" xfId="3" applyNumberFormat="1" applyFont="1" applyFill="1" applyBorder="1" applyAlignment="1">
      <alignment vertical="center" wrapText="1"/>
    </xf>
    <xf numFmtId="0" fontId="3" fillId="5" borderId="32" xfId="0" applyFont="1" applyFill="1" applyBorder="1" applyAlignment="1">
      <alignment vertical="center" wrapText="1"/>
    </xf>
    <xf numFmtId="10" fontId="3" fillId="5" borderId="29" xfId="8" applyNumberFormat="1" applyFont="1" applyFill="1" applyBorder="1" applyAlignment="1">
      <alignment horizontal="center" vertical="center" wrapText="1"/>
    </xf>
    <xf numFmtId="9" fontId="3" fillId="5" borderId="29" xfId="0" applyNumberFormat="1" applyFont="1" applyFill="1" applyBorder="1" applyAlignment="1">
      <alignment horizontal="center" vertical="center" wrapText="1"/>
    </xf>
    <xf numFmtId="166" fontId="3" fillId="5" borderId="29" xfId="3" applyNumberFormat="1" applyFont="1" applyFill="1" applyBorder="1" applyAlignment="1">
      <alignment vertical="center" wrapText="1"/>
    </xf>
    <xf numFmtId="166" fontId="3" fillId="5" borderId="30" xfId="3" applyNumberFormat="1" applyFont="1" applyFill="1" applyBorder="1" applyAlignment="1">
      <alignment vertical="center" wrapText="1"/>
    </xf>
    <xf numFmtId="0" fontId="3" fillId="5" borderId="29" xfId="0" applyFont="1" applyFill="1" applyBorder="1" applyAlignment="1">
      <alignment vertical="center" wrapText="1"/>
    </xf>
    <xf numFmtId="166" fontId="3" fillId="5" borderId="28" xfId="3" applyNumberFormat="1" applyFont="1" applyFill="1" applyBorder="1" applyAlignment="1">
      <alignment vertical="center" wrapText="1"/>
    </xf>
    <xf numFmtId="166" fontId="3" fillId="5" borderId="33" xfId="3" applyNumberFormat="1" applyFont="1" applyFill="1" applyBorder="1" applyAlignment="1">
      <alignment vertical="center" wrapText="1"/>
    </xf>
    <xf numFmtId="0" fontId="3" fillId="5" borderId="27" xfId="0" applyFont="1" applyFill="1" applyBorder="1" applyAlignment="1">
      <alignment vertical="center" wrapText="1"/>
    </xf>
    <xf numFmtId="9" fontId="3" fillId="5" borderId="10" xfId="0" applyNumberFormat="1" applyFont="1" applyFill="1" applyBorder="1" applyAlignment="1">
      <alignment horizontal="center" vertical="center" wrapText="1"/>
    </xf>
    <xf numFmtId="166" fontId="3" fillId="5" borderId="10" xfId="3" applyNumberFormat="1" applyFont="1" applyFill="1" applyBorder="1" applyAlignment="1">
      <alignment vertical="center" wrapText="1"/>
    </xf>
    <xf numFmtId="166" fontId="3" fillId="5" borderId="13" xfId="3" applyNumberFormat="1" applyFont="1" applyFill="1" applyBorder="1" applyAlignment="1">
      <alignment vertical="center" wrapText="1"/>
    </xf>
    <xf numFmtId="3" fontId="6" fillId="0" borderId="0" xfId="0" applyNumberFormat="1" applyFont="1"/>
    <xf numFmtId="3" fontId="3" fillId="0" borderId="0" xfId="0" applyNumberFormat="1" applyFont="1"/>
    <xf numFmtId="169" fontId="6" fillId="0" borderId="16" xfId="3" applyNumberFormat="1" applyFont="1" applyBorder="1" applyAlignment="1"/>
    <xf numFmtId="169" fontId="6" fillId="0" borderId="8" xfId="3" applyNumberFormat="1" applyFont="1" applyBorder="1" applyAlignment="1"/>
    <xf numFmtId="169" fontId="6" fillId="0" borderId="9" xfId="3" applyNumberFormat="1" applyFont="1" applyBorder="1" applyAlignment="1"/>
    <xf numFmtId="169" fontId="6" fillId="0" borderId="16" xfId="3" applyNumberFormat="1" applyFont="1" applyFill="1" applyBorder="1" applyAlignment="1"/>
    <xf numFmtId="9" fontId="6" fillId="0" borderId="0" xfId="8" applyFont="1"/>
    <xf numFmtId="169" fontId="6" fillId="7" borderId="16" xfId="3" applyNumberFormat="1" applyFont="1" applyFill="1" applyBorder="1" applyAlignment="1"/>
    <xf numFmtId="169" fontId="6" fillId="7" borderId="8" xfId="3" applyNumberFormat="1" applyFont="1" applyFill="1" applyBorder="1" applyAlignment="1"/>
    <xf numFmtId="169" fontId="6" fillId="7" borderId="9" xfId="3" applyNumberFormat="1" applyFont="1" applyFill="1" applyBorder="1" applyAlignment="1"/>
    <xf numFmtId="169" fontId="3" fillId="0" borderId="13" xfId="3" applyNumberFormat="1" applyFont="1" applyBorder="1" applyAlignment="1"/>
    <xf numFmtId="169" fontId="3" fillId="0" borderId="10" xfId="3" applyNumberFormat="1" applyFont="1" applyBorder="1" applyAlignment="1"/>
    <xf numFmtId="169" fontId="3" fillId="0" borderId="11" xfId="3" applyNumberFormat="1" applyFont="1" applyBorder="1" applyAlignment="1"/>
    <xf numFmtId="166" fontId="6" fillId="0" borderId="0" xfId="3" applyNumberFormat="1" applyFont="1"/>
    <xf numFmtId="169" fontId="3" fillId="0" borderId="0" xfId="8" applyNumberFormat="1" applyFont="1"/>
    <xf numFmtId="10" fontId="3" fillId="0" borderId="0" xfId="8" applyNumberFormat="1" applyFont="1"/>
    <xf numFmtId="0" fontId="3" fillId="5" borderId="36" xfId="0" applyFont="1" applyFill="1" applyBorder="1" applyAlignment="1">
      <alignment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10" fontId="3" fillId="0" borderId="8" xfId="8" applyNumberFormat="1" applyFont="1" applyFill="1" applyBorder="1" applyAlignment="1">
      <alignment horizontal="center" vertical="center" wrapText="1"/>
    </xf>
    <xf numFmtId="0" fontId="9" fillId="0" borderId="16" xfId="0" applyFont="1" applyBorder="1" applyAlignment="1">
      <alignment vertical="center" wrapText="1"/>
    </xf>
    <xf numFmtId="167" fontId="6" fillId="3" borderId="8" xfId="0" applyNumberFormat="1" applyFont="1" applyFill="1" applyBorder="1" applyAlignment="1">
      <alignment horizontal="center" vertical="center" wrapText="1"/>
    </xf>
    <xf numFmtId="167" fontId="6" fillId="3" borderId="8" xfId="0" applyNumberFormat="1" applyFont="1" applyFill="1" applyBorder="1" applyAlignment="1">
      <alignment vertical="center" wrapText="1"/>
    </xf>
    <xf numFmtId="170" fontId="6" fillId="3" borderId="8" xfId="0" applyNumberFormat="1" applyFont="1" applyFill="1" applyBorder="1" applyAlignment="1">
      <alignment horizontal="right" vertical="center" wrapText="1"/>
    </xf>
    <xf numFmtId="0" fontId="6" fillId="3" borderId="8" xfId="0" applyFont="1" applyFill="1" applyBorder="1" applyAlignment="1">
      <alignment vertical="center" wrapText="1"/>
    </xf>
    <xf numFmtId="168" fontId="6" fillId="3" borderId="8" xfId="0" applyNumberFormat="1" applyFont="1" applyFill="1" applyBorder="1" applyAlignment="1">
      <alignment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center" vertical="center" wrapText="1"/>
    </xf>
    <xf numFmtId="165" fontId="6" fillId="0" borderId="8" xfId="1" applyNumberFormat="1" applyFont="1" applyFill="1" applyBorder="1" applyAlignment="1">
      <alignment vertical="center" wrapText="1"/>
    </xf>
    <xf numFmtId="165" fontId="3" fillId="3" borderId="8" xfId="1" applyNumberFormat="1" applyFont="1" applyFill="1" applyBorder="1" applyAlignment="1">
      <alignment vertical="center" wrapText="1"/>
    </xf>
    <xf numFmtId="165" fontId="3" fillId="5" borderId="8" xfId="1" applyNumberFormat="1" applyFont="1" applyFill="1" applyBorder="1" applyAlignment="1">
      <alignment vertical="center" wrapText="1"/>
    </xf>
    <xf numFmtId="165" fontId="6" fillId="0" borderId="8" xfId="1" applyNumberFormat="1" applyFont="1" applyFill="1" applyBorder="1" applyAlignment="1">
      <alignment horizontal="center" vertical="center"/>
    </xf>
    <xf numFmtId="0" fontId="9" fillId="0" borderId="19" xfId="0" applyFont="1" applyBorder="1" applyAlignment="1">
      <alignment vertical="center" wrapText="1"/>
    </xf>
    <xf numFmtId="3" fontId="3" fillId="5" borderId="17" xfId="0" applyNumberFormat="1" applyFont="1" applyFill="1" applyBorder="1"/>
    <xf numFmtId="3" fontId="3" fillId="5" borderId="18" xfId="0" applyNumberFormat="1" applyFont="1" applyFill="1" applyBorder="1"/>
    <xf numFmtId="0" fontId="3" fillId="2" borderId="1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0" fontId="6" fillId="0" borderId="8" xfId="0" applyNumberFormat="1" applyFont="1" applyBorder="1" applyAlignment="1">
      <alignment horizontal="center" vertical="center" wrapText="1"/>
    </xf>
    <xf numFmtId="0" fontId="10" fillId="3" borderId="16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169" fontId="3" fillId="0" borderId="16" xfId="3" applyNumberFormat="1" applyFont="1" applyBorder="1" applyAlignment="1"/>
    <xf numFmtId="9" fontId="3" fillId="0" borderId="0" xfId="8" applyFont="1"/>
    <xf numFmtId="166" fontId="6" fillId="0" borderId="8" xfId="3" applyNumberFormat="1" applyFont="1" applyBorder="1" applyAlignment="1">
      <alignment horizontal="center" vertical="center" wrapText="1"/>
    </xf>
    <xf numFmtId="166" fontId="6" fillId="0" borderId="9" xfId="3" applyNumberFormat="1" applyFont="1" applyBorder="1" applyAlignment="1">
      <alignment horizontal="center" vertical="center" wrapText="1"/>
    </xf>
    <xf numFmtId="165" fontId="6" fillId="0" borderId="8" xfId="1" applyNumberFormat="1" applyFont="1" applyBorder="1" applyAlignment="1">
      <alignment horizontal="center" vertical="center"/>
    </xf>
    <xf numFmtId="166" fontId="6" fillId="0" borderId="8" xfId="3" applyNumberFormat="1" applyFont="1" applyBorder="1" applyAlignment="1">
      <alignment horizontal="righ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2" borderId="34" xfId="0" applyNumberFormat="1" applyFont="1" applyFill="1" applyBorder="1" applyAlignment="1">
      <alignment horizontal="center" vertical="center"/>
    </xf>
    <xf numFmtId="3" fontId="3" fillId="2" borderId="31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</cellXfs>
  <cellStyles count="9">
    <cellStyle name="Comma" xfId="1" builtinId="3"/>
    <cellStyle name="Comma 2" xfId="2" xr:uid="{00000000-0005-0000-0000-000001000000}"/>
    <cellStyle name="Currency" xfId="3" builtinId="4"/>
    <cellStyle name="Currency 2" xfId="4" xr:uid="{00000000-0005-0000-0000-000003000000}"/>
    <cellStyle name="Normal" xfId="0" builtinId="0"/>
    <cellStyle name="Normal 2" xfId="5" xr:uid="{00000000-0005-0000-0000-000006000000}"/>
    <cellStyle name="Normal 2 2" xfId="6" xr:uid="{00000000-0005-0000-0000-000007000000}"/>
    <cellStyle name="Normal_IOCC BPRM Budget - June 2008 draft 1 (051208)" xfId="7" xr:uid="{00000000-0005-0000-0000-000008000000}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3-04-17T14:38:42.15" personId="{00000000-0000-0000-0000-000000000000}" id="{7D32D403-8E0F-4FA8-BC5A-7B907410F859}">
    <text>For home office positions the fringe should be 23.47%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1"/>
  <sheetViews>
    <sheetView zoomScale="119" zoomScaleNormal="55" zoomScaleSheetLayoutView="100" workbookViewId="0">
      <selection activeCell="H18" sqref="H18"/>
    </sheetView>
  </sheetViews>
  <sheetFormatPr defaultColWidth="9.1640625" defaultRowHeight="15.3" x14ac:dyDescent="0.55000000000000004"/>
  <cols>
    <col min="1" max="1" width="38.5546875" style="136" bestFit="1" customWidth="1"/>
    <col min="2" max="2" width="9.33203125" style="136" bestFit="1" customWidth="1"/>
    <col min="3" max="3" width="11.0546875" style="136" bestFit="1" customWidth="1"/>
    <col min="4" max="4" width="9.33203125" style="136" bestFit="1" customWidth="1"/>
    <col min="5" max="10" width="11.0546875" style="136" bestFit="1" customWidth="1"/>
    <col min="11" max="13" width="11.0546875" style="136" customWidth="1"/>
    <col min="14" max="16" width="11.0546875" style="136" bestFit="1" customWidth="1"/>
    <col min="17" max="16384" width="9.1640625" style="136"/>
  </cols>
  <sheetData>
    <row r="1" spans="1:17" ht="30.75" customHeight="1" thickBot="1" x14ac:dyDescent="0.6">
      <c r="A1" s="183" t="s">
        <v>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</row>
    <row r="2" spans="1:17" ht="18.75" customHeight="1" thickBot="1" x14ac:dyDescent="0.6">
      <c r="A2" s="188" t="s">
        <v>2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90"/>
    </row>
    <row r="3" spans="1:17" ht="18.75" customHeight="1" thickBot="1" x14ac:dyDescent="0.6">
      <c r="A3" s="188" t="s">
        <v>73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90"/>
    </row>
    <row r="4" spans="1:17" ht="18.75" customHeight="1" thickBot="1" x14ac:dyDescent="0.6">
      <c r="A4" s="188" t="s">
        <v>79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90"/>
    </row>
    <row r="5" spans="1:17" ht="18.75" customHeight="1" thickBot="1" x14ac:dyDescent="0.6">
      <c r="A5" s="188" t="s">
        <v>80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90"/>
    </row>
    <row r="6" spans="1:17" s="137" customFormat="1" ht="15" x14ac:dyDescent="0.5">
      <c r="A6" s="191" t="s">
        <v>3</v>
      </c>
      <c r="B6" s="185" t="s">
        <v>4</v>
      </c>
      <c r="C6" s="186"/>
      <c r="D6" s="187"/>
      <c r="E6" s="185" t="s">
        <v>5</v>
      </c>
      <c r="F6" s="186"/>
      <c r="G6" s="187"/>
      <c r="H6" s="185" t="s">
        <v>6</v>
      </c>
      <c r="I6" s="186"/>
      <c r="J6" s="187"/>
      <c r="K6" s="185" t="s">
        <v>78</v>
      </c>
      <c r="L6" s="186"/>
      <c r="M6" s="187"/>
      <c r="N6" s="185" t="s">
        <v>0</v>
      </c>
      <c r="O6" s="186"/>
      <c r="P6" s="187"/>
    </row>
    <row r="7" spans="1:17" s="137" customFormat="1" ht="30.9" customHeight="1" x14ac:dyDescent="0.5">
      <c r="A7" s="192"/>
      <c r="B7" s="171" t="s">
        <v>7</v>
      </c>
      <c r="C7" s="172" t="s">
        <v>8</v>
      </c>
      <c r="D7" s="173" t="s">
        <v>0</v>
      </c>
      <c r="E7" s="171" t="s">
        <v>7</v>
      </c>
      <c r="F7" s="172" t="s">
        <v>8</v>
      </c>
      <c r="G7" s="173" t="s">
        <v>0</v>
      </c>
      <c r="H7" s="171" t="s">
        <v>7</v>
      </c>
      <c r="I7" s="172" t="s">
        <v>8</v>
      </c>
      <c r="J7" s="173" t="s">
        <v>0</v>
      </c>
      <c r="K7" s="171" t="s">
        <v>7</v>
      </c>
      <c r="L7" s="172" t="s">
        <v>8</v>
      </c>
      <c r="M7" s="173" t="s">
        <v>0</v>
      </c>
      <c r="N7" s="171" t="s">
        <v>7</v>
      </c>
      <c r="O7" s="172" t="s">
        <v>8</v>
      </c>
      <c r="P7" s="173" t="s">
        <v>0</v>
      </c>
    </row>
    <row r="8" spans="1:17" x14ac:dyDescent="0.55000000000000004">
      <c r="A8" s="169" t="s">
        <v>9</v>
      </c>
      <c r="B8" s="138">
        <f>'Line Item Budget'!H16</f>
        <v>0</v>
      </c>
      <c r="C8" s="139">
        <f>'Line Item Budget'!I16</f>
        <v>0</v>
      </c>
      <c r="D8" s="140">
        <f t="shared" ref="D8:D13" si="0">B8+C8</f>
        <v>0</v>
      </c>
      <c r="E8" s="138">
        <f>'Line Item Budget'!N16</f>
        <v>0</v>
      </c>
      <c r="F8" s="139">
        <f>'Line Item Budget'!O16</f>
        <v>0</v>
      </c>
      <c r="G8" s="140">
        <f t="shared" ref="G8:G15" si="1">E8+F8</f>
        <v>0</v>
      </c>
      <c r="H8" s="138">
        <f>'Line Item Budget'!T16</f>
        <v>0</v>
      </c>
      <c r="I8" s="139">
        <f>'Line Item Budget'!U16</f>
        <v>0</v>
      </c>
      <c r="J8" s="140">
        <f t="shared" ref="J8:J15" si="2">H8+I8</f>
        <v>0</v>
      </c>
      <c r="K8" s="138">
        <f>'Line Item Budget'!Z16</f>
        <v>0</v>
      </c>
      <c r="L8" s="138">
        <f>'Line Item Budget'!AA16</f>
        <v>0</v>
      </c>
      <c r="M8" s="140">
        <f t="shared" ref="M8:M10" si="3">K8+L8</f>
        <v>0</v>
      </c>
      <c r="N8" s="141">
        <f>'Line Item Budget'!AB16</f>
        <v>0</v>
      </c>
      <c r="O8" s="139">
        <f>'Line Item Budget'!AC16</f>
        <v>0</v>
      </c>
      <c r="P8" s="140">
        <f t="shared" ref="P8:P13" si="4">N8+O8</f>
        <v>0</v>
      </c>
      <c r="Q8" s="142"/>
    </row>
    <row r="9" spans="1:17" x14ac:dyDescent="0.55000000000000004">
      <c r="A9" s="169" t="s">
        <v>10</v>
      </c>
      <c r="B9" s="138">
        <f>'Line Item Budget'!H25</f>
        <v>0</v>
      </c>
      <c r="C9" s="139">
        <f>'Line Item Budget'!I25</f>
        <v>0</v>
      </c>
      <c r="D9" s="140">
        <f t="shared" si="0"/>
        <v>0</v>
      </c>
      <c r="E9" s="138">
        <f>'Line Item Budget'!N25</f>
        <v>0</v>
      </c>
      <c r="F9" s="139">
        <f>'Line Item Budget'!O25</f>
        <v>0</v>
      </c>
      <c r="G9" s="140">
        <f t="shared" si="1"/>
        <v>0</v>
      </c>
      <c r="H9" s="138">
        <f>'Line Item Budget'!T25</f>
        <v>0</v>
      </c>
      <c r="I9" s="139">
        <f>'Line Item Budget'!U25</f>
        <v>0</v>
      </c>
      <c r="J9" s="140">
        <f t="shared" si="2"/>
        <v>0</v>
      </c>
      <c r="K9" s="138">
        <f>'Line Item Budget'!Z25</f>
        <v>0</v>
      </c>
      <c r="L9" s="138">
        <f>'Line Item Budget'!AA25</f>
        <v>0</v>
      </c>
      <c r="M9" s="140">
        <f t="shared" si="3"/>
        <v>0</v>
      </c>
      <c r="N9" s="138">
        <f>'Line Item Budget'!AB25</f>
        <v>0</v>
      </c>
      <c r="O9" s="139">
        <f>'Line Item Budget'!AC25</f>
        <v>0</v>
      </c>
      <c r="P9" s="140">
        <f t="shared" si="4"/>
        <v>0</v>
      </c>
      <c r="Q9" s="142"/>
    </row>
    <row r="10" spans="1:17" x14ac:dyDescent="0.55000000000000004">
      <c r="A10" s="169" t="s">
        <v>11</v>
      </c>
      <c r="B10" s="138">
        <f>'Line Item Budget'!H41</f>
        <v>0</v>
      </c>
      <c r="C10" s="139">
        <f>'Line Item Budget'!I41</f>
        <v>0</v>
      </c>
      <c r="D10" s="140">
        <f t="shared" si="0"/>
        <v>0</v>
      </c>
      <c r="E10" s="138">
        <f>'Line Item Budget'!N41</f>
        <v>0</v>
      </c>
      <c r="F10" s="139">
        <f>'Line Item Budget'!O41</f>
        <v>0</v>
      </c>
      <c r="G10" s="140">
        <f t="shared" si="1"/>
        <v>0</v>
      </c>
      <c r="H10" s="138">
        <f>'Line Item Budget'!T41</f>
        <v>0</v>
      </c>
      <c r="I10" s="139">
        <f>'Line Item Budget'!U41</f>
        <v>0</v>
      </c>
      <c r="J10" s="140">
        <f t="shared" si="2"/>
        <v>0</v>
      </c>
      <c r="K10" s="138">
        <f>'Line Item Budget'!Z41</f>
        <v>0</v>
      </c>
      <c r="L10" s="138">
        <f>'Line Item Budget'!AA41</f>
        <v>0</v>
      </c>
      <c r="M10" s="140">
        <f t="shared" si="3"/>
        <v>0</v>
      </c>
      <c r="N10" s="138">
        <f>'Line Item Budget'!AB41</f>
        <v>0</v>
      </c>
      <c r="O10" s="139">
        <f>'Line Item Budget'!AC41</f>
        <v>0</v>
      </c>
      <c r="P10" s="140">
        <f t="shared" si="4"/>
        <v>0</v>
      </c>
      <c r="Q10" s="142"/>
    </row>
    <row r="11" spans="1:17" x14ac:dyDescent="0.55000000000000004">
      <c r="A11" s="169" t="s">
        <v>12</v>
      </c>
      <c r="B11" s="143"/>
      <c r="C11" s="144"/>
      <c r="D11" s="145"/>
      <c r="E11" s="143"/>
      <c r="F11" s="144"/>
      <c r="G11" s="145"/>
      <c r="H11" s="143"/>
      <c r="I11" s="144"/>
      <c r="J11" s="145"/>
      <c r="K11" s="143"/>
      <c r="L11" s="144"/>
      <c r="M11" s="145"/>
      <c r="N11" s="143"/>
      <c r="O11" s="144"/>
      <c r="P11" s="145"/>
      <c r="Q11" s="142"/>
    </row>
    <row r="12" spans="1:17" x14ac:dyDescent="0.55000000000000004">
      <c r="A12" s="169" t="s">
        <v>13</v>
      </c>
      <c r="B12" s="138">
        <f>'Line Item Budget'!H48</f>
        <v>0</v>
      </c>
      <c r="C12" s="139">
        <f>'Line Item Budget'!I48</f>
        <v>0</v>
      </c>
      <c r="D12" s="140">
        <f>B12+C12</f>
        <v>0</v>
      </c>
      <c r="E12" s="138">
        <f>'Line Item Budget'!N48</f>
        <v>0</v>
      </c>
      <c r="F12" s="139">
        <f>'Line Item Budget'!O48</f>
        <v>0</v>
      </c>
      <c r="G12" s="140">
        <f t="shared" si="1"/>
        <v>0</v>
      </c>
      <c r="H12" s="138">
        <f>'Line Item Budget'!T48</f>
        <v>0</v>
      </c>
      <c r="I12" s="139">
        <f>'Line Item Budget'!U48</f>
        <v>0</v>
      </c>
      <c r="J12" s="140">
        <f t="shared" si="2"/>
        <v>0</v>
      </c>
      <c r="K12" s="138">
        <f>'Line Item Budget'!Z48</f>
        <v>0</v>
      </c>
      <c r="L12" s="138">
        <f>'Line Item Budget'!AA48</f>
        <v>0</v>
      </c>
      <c r="M12" s="140">
        <f t="shared" ref="M12:M13" si="5">K12+L12</f>
        <v>0</v>
      </c>
      <c r="N12" s="138">
        <f>'Line Item Budget'!AB48</f>
        <v>0</v>
      </c>
      <c r="O12" s="139">
        <f>'Line Item Budget'!AC48</f>
        <v>0</v>
      </c>
      <c r="P12" s="140">
        <f t="shared" si="4"/>
        <v>0</v>
      </c>
      <c r="Q12" s="142"/>
    </row>
    <row r="13" spans="1:17" x14ac:dyDescent="0.55000000000000004">
      <c r="A13" s="169" t="s">
        <v>14</v>
      </c>
      <c r="B13" s="138">
        <f>'Line Item Budget'!H54</f>
        <v>0</v>
      </c>
      <c r="C13" s="139">
        <f>'Line Item Budget'!I54</f>
        <v>0</v>
      </c>
      <c r="D13" s="140">
        <f t="shared" si="0"/>
        <v>0</v>
      </c>
      <c r="E13" s="138">
        <f>'Line Item Budget'!N54</f>
        <v>0</v>
      </c>
      <c r="F13" s="139">
        <f>'Line Item Budget'!O54</f>
        <v>0</v>
      </c>
      <c r="G13" s="140">
        <f t="shared" si="1"/>
        <v>0</v>
      </c>
      <c r="H13" s="138">
        <f>'Line Item Budget'!T54</f>
        <v>0</v>
      </c>
      <c r="I13" s="139">
        <f>'Line Item Budget'!U54</f>
        <v>0</v>
      </c>
      <c r="J13" s="140">
        <f t="shared" si="2"/>
        <v>0</v>
      </c>
      <c r="K13" s="138">
        <f>'Line Item Budget'!Z54</f>
        <v>0</v>
      </c>
      <c r="L13" s="138">
        <f>'Line Item Budget'!AA54</f>
        <v>0</v>
      </c>
      <c r="M13" s="140">
        <f t="shared" si="5"/>
        <v>0</v>
      </c>
      <c r="N13" s="138">
        <f>'Line Item Budget'!AB54</f>
        <v>0</v>
      </c>
      <c r="O13" s="139">
        <f>'Line Item Budget'!AC54</f>
        <v>0</v>
      </c>
      <c r="P13" s="140">
        <f t="shared" si="4"/>
        <v>0</v>
      </c>
      <c r="Q13" s="142"/>
    </row>
    <row r="14" spans="1:17" x14ac:dyDescent="0.55000000000000004">
      <c r="A14" s="169" t="s">
        <v>15</v>
      </c>
      <c r="B14" s="143"/>
      <c r="C14" s="144"/>
      <c r="D14" s="145"/>
      <c r="E14" s="143"/>
      <c r="F14" s="144"/>
      <c r="G14" s="145"/>
      <c r="H14" s="143"/>
      <c r="I14" s="144"/>
      <c r="J14" s="145"/>
      <c r="K14" s="143"/>
      <c r="L14" s="144"/>
      <c r="M14" s="145"/>
      <c r="N14" s="143"/>
      <c r="O14" s="144"/>
      <c r="P14" s="145"/>
      <c r="Q14" s="142"/>
    </row>
    <row r="15" spans="1:17" x14ac:dyDescent="0.55000000000000004">
      <c r="A15" s="169" t="s">
        <v>16</v>
      </c>
      <c r="B15" s="138">
        <f>'Line Item Budget'!H85</f>
        <v>0</v>
      </c>
      <c r="C15" s="139">
        <f>'Line Item Budget'!I85</f>
        <v>0</v>
      </c>
      <c r="D15" s="140">
        <f>B15+C15</f>
        <v>0</v>
      </c>
      <c r="E15" s="138">
        <f>'Line Item Budget'!N85</f>
        <v>0</v>
      </c>
      <c r="F15" s="139">
        <f>'Line Item Budget'!O85</f>
        <v>0</v>
      </c>
      <c r="G15" s="140">
        <f t="shared" si="1"/>
        <v>0</v>
      </c>
      <c r="H15" s="138">
        <f>'Line Item Budget'!T85</f>
        <v>0</v>
      </c>
      <c r="I15" s="139">
        <f>'Line Item Budget'!U85</f>
        <v>0</v>
      </c>
      <c r="J15" s="140">
        <f t="shared" si="2"/>
        <v>0</v>
      </c>
      <c r="K15" s="138">
        <f>'Line Item Budget'!Z85</f>
        <v>0</v>
      </c>
      <c r="L15" s="138">
        <f>'Line Item Budget'!AA85</f>
        <v>0</v>
      </c>
      <c r="M15" s="140">
        <f t="shared" ref="M15" si="6">K15+L15</f>
        <v>0</v>
      </c>
      <c r="N15" s="138">
        <f>'Line Item Budget'!AB85</f>
        <v>0</v>
      </c>
      <c r="O15" s="139">
        <f>'Line Item Budget'!AC85</f>
        <v>0</v>
      </c>
      <c r="P15" s="140">
        <f>N15+O15</f>
        <v>0</v>
      </c>
      <c r="Q15" s="142"/>
    </row>
    <row r="16" spans="1:17" s="137" customFormat="1" ht="15" x14ac:dyDescent="0.5">
      <c r="A16" s="169" t="s">
        <v>17</v>
      </c>
      <c r="B16" s="177">
        <f>SUM(B8:B15)</f>
        <v>0</v>
      </c>
      <c r="C16" s="177">
        <f t="shared" ref="C16:D16" si="7">SUM(C8:C15)</f>
        <v>0</v>
      </c>
      <c r="D16" s="177">
        <f t="shared" si="7"/>
        <v>0</v>
      </c>
      <c r="E16" s="177">
        <f>SUM(E8:E15)</f>
        <v>0</v>
      </c>
      <c r="F16" s="177">
        <f t="shared" ref="F16" si="8">SUM(F8:F15)</f>
        <v>0</v>
      </c>
      <c r="G16" s="177">
        <f t="shared" ref="G16" si="9">SUM(G8:G15)</f>
        <v>0</v>
      </c>
      <c r="H16" s="177">
        <f>SUM(H8:H15)</f>
        <v>0</v>
      </c>
      <c r="I16" s="177">
        <f t="shared" ref="I16" si="10">SUM(I8:I15)</f>
        <v>0</v>
      </c>
      <c r="J16" s="177">
        <f t="shared" ref="J16" si="11">SUM(J8:J15)</f>
        <v>0</v>
      </c>
      <c r="K16" s="177">
        <f>SUM(K8:K15)</f>
        <v>0</v>
      </c>
      <c r="L16" s="177">
        <f t="shared" ref="L16" si="12">SUM(L8:L15)</f>
        <v>0</v>
      </c>
      <c r="M16" s="177">
        <f t="shared" ref="M16" si="13">SUM(M8:M15)</f>
        <v>0</v>
      </c>
      <c r="N16" s="177">
        <f>SUM(N8:N15)</f>
        <v>0</v>
      </c>
      <c r="O16" s="177">
        <f t="shared" ref="O16" si="14">SUM(O8:O15)</f>
        <v>0</v>
      </c>
      <c r="P16" s="177">
        <f t="shared" ref="P16" si="15">SUM(P8:P15)</f>
        <v>0</v>
      </c>
      <c r="Q16" s="178"/>
    </row>
    <row r="17" spans="1:17" x14ac:dyDescent="0.55000000000000004">
      <c r="A17" s="169" t="s">
        <v>18</v>
      </c>
      <c r="B17" s="138">
        <f>'Line Item Budget'!H87</f>
        <v>0</v>
      </c>
      <c r="C17" s="139">
        <f>'Line Item Budget'!I87</f>
        <v>0</v>
      </c>
      <c r="D17" s="140">
        <f>B17+C17</f>
        <v>0</v>
      </c>
      <c r="E17" s="138">
        <f>'Line Item Budget'!N87</f>
        <v>0</v>
      </c>
      <c r="F17" s="139">
        <f>'Line Item Budget'!O87</f>
        <v>0</v>
      </c>
      <c r="G17" s="140">
        <f>E17+F17</f>
        <v>0</v>
      </c>
      <c r="H17" s="138">
        <f>'Line Item Budget'!T87</f>
        <v>0</v>
      </c>
      <c r="I17" s="139">
        <f>'Line Item Budget'!U87</f>
        <v>0</v>
      </c>
      <c r="J17" s="140">
        <f>H17+I17</f>
        <v>0</v>
      </c>
      <c r="K17" s="138">
        <f>'Line Item Budget'!Z87</f>
        <v>0</v>
      </c>
      <c r="L17" s="138">
        <f>'Line Item Budget'!AA87</f>
        <v>0</v>
      </c>
      <c r="M17" s="140">
        <f>K17+L17</f>
        <v>0</v>
      </c>
      <c r="N17" s="138">
        <f>'Line Item Budget'!AB87</f>
        <v>0</v>
      </c>
      <c r="O17" s="139">
        <f>'Line Item Budget'!AC87</f>
        <v>0</v>
      </c>
      <c r="P17" s="140">
        <f>N17+O17</f>
        <v>0</v>
      </c>
      <c r="Q17" s="142"/>
    </row>
    <row r="18" spans="1:17" s="137" customFormat="1" ht="15.6" thickBot="1" x14ac:dyDescent="0.6">
      <c r="A18" s="170" t="s">
        <v>19</v>
      </c>
      <c r="B18" s="146">
        <f t="shared" ref="B18:P18" si="16">B16+B17</f>
        <v>0</v>
      </c>
      <c r="C18" s="147">
        <f t="shared" si="16"/>
        <v>0</v>
      </c>
      <c r="D18" s="148">
        <f t="shared" si="16"/>
        <v>0</v>
      </c>
      <c r="E18" s="146">
        <f t="shared" si="16"/>
        <v>0</v>
      </c>
      <c r="F18" s="147">
        <f t="shared" si="16"/>
        <v>0</v>
      </c>
      <c r="G18" s="148">
        <f t="shared" si="16"/>
        <v>0</v>
      </c>
      <c r="H18" s="146">
        <f t="shared" si="16"/>
        <v>0</v>
      </c>
      <c r="I18" s="147">
        <f t="shared" si="16"/>
        <v>0</v>
      </c>
      <c r="J18" s="148">
        <f t="shared" si="16"/>
        <v>0</v>
      </c>
      <c r="K18" s="146">
        <f t="shared" si="16"/>
        <v>0</v>
      </c>
      <c r="L18" s="147">
        <f t="shared" si="16"/>
        <v>0</v>
      </c>
      <c r="M18" s="148">
        <f t="shared" si="16"/>
        <v>0</v>
      </c>
      <c r="N18" s="146">
        <f t="shared" si="16"/>
        <v>0</v>
      </c>
      <c r="O18" s="147">
        <f t="shared" si="16"/>
        <v>0</v>
      </c>
      <c r="P18" s="148">
        <f t="shared" si="16"/>
        <v>0</v>
      </c>
      <c r="Q18" s="142"/>
    </row>
    <row r="20" spans="1:17" x14ac:dyDescent="0.55000000000000004">
      <c r="B20" s="149"/>
      <c r="C20" s="149"/>
      <c r="D20" s="149"/>
      <c r="O20" s="142"/>
    </row>
    <row r="21" spans="1:17" x14ac:dyDescent="0.55000000000000004">
      <c r="B21" s="150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</row>
  </sheetData>
  <mergeCells count="11">
    <mergeCell ref="A1:P1"/>
    <mergeCell ref="N6:P6"/>
    <mergeCell ref="A2:P2"/>
    <mergeCell ref="B6:D6"/>
    <mergeCell ref="E6:G6"/>
    <mergeCell ref="H6:J6"/>
    <mergeCell ref="A6:A7"/>
    <mergeCell ref="A3:P3"/>
    <mergeCell ref="A4:P4"/>
    <mergeCell ref="A5:P5"/>
    <mergeCell ref="K6:M6"/>
  </mergeCells>
  <phoneticPr fontId="2" type="noConversion"/>
  <printOptions horizontalCentered="1"/>
  <pageMargins left="1" right="1" top="1" bottom="1" header="0.5" footer="0.5"/>
  <pageSetup scale="49" fitToHeight="0" orientation="landscape" r:id="rId1"/>
  <headerFooter alignWithMargins="0">
    <oddHeader>&amp;CPartners of the Americas
Ñande Ko’ê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Z149"/>
  <sheetViews>
    <sheetView tabSelected="1" zoomScale="52" zoomScaleNormal="40" zoomScaleSheetLayoutView="100" workbookViewId="0">
      <pane ySplit="7" topLeftCell="A8" activePane="bottomLeft" state="frozen"/>
      <selection pane="bottomLeft" activeCell="X39" sqref="X39"/>
    </sheetView>
  </sheetViews>
  <sheetFormatPr defaultColWidth="9.1640625" defaultRowHeight="15.3" x14ac:dyDescent="0.4"/>
  <cols>
    <col min="1" max="1" width="71.71875" style="6" customWidth="1"/>
    <col min="2" max="2" width="6.83203125" style="6" customWidth="1"/>
    <col min="3" max="3" width="16" style="7" bestFit="1" customWidth="1"/>
    <col min="4" max="4" width="18.27734375" style="20" bestFit="1" customWidth="1"/>
    <col min="5" max="5" width="8.44140625" style="21" bestFit="1" customWidth="1"/>
    <col min="6" max="6" width="12.44140625" style="22" bestFit="1" customWidth="1"/>
    <col min="7" max="8" width="16.44140625" style="22" bestFit="1" customWidth="1"/>
    <col min="9" max="9" width="18" style="22" bestFit="1" customWidth="1"/>
    <col min="10" max="10" width="6.83203125" style="6" bestFit="1" customWidth="1"/>
    <col min="11" max="11" width="9" style="6" bestFit="1" customWidth="1"/>
    <col min="12" max="12" width="15.44140625" style="22" bestFit="1" customWidth="1"/>
    <col min="13" max="14" width="16" style="22" bestFit="1" customWidth="1"/>
    <col min="15" max="15" width="18" style="22" bestFit="1" customWidth="1"/>
    <col min="16" max="16" width="6.83203125" style="6" bestFit="1" customWidth="1"/>
    <col min="17" max="17" width="9" style="6" bestFit="1" customWidth="1"/>
    <col min="18" max="18" width="16" style="22" bestFit="1" customWidth="1"/>
    <col min="19" max="20" width="16.44140625" style="22" bestFit="1" customWidth="1"/>
    <col min="21" max="21" width="18" style="22" bestFit="1" customWidth="1"/>
    <col min="22" max="22" width="6.83203125" style="6" bestFit="1" customWidth="1"/>
    <col min="23" max="23" width="9" style="6" bestFit="1" customWidth="1"/>
    <col min="24" max="24" width="16" style="22" bestFit="1" customWidth="1"/>
    <col min="25" max="26" width="16.44140625" style="22" bestFit="1" customWidth="1"/>
    <col min="27" max="27" width="18" style="22" bestFit="1" customWidth="1"/>
    <col min="28" max="28" width="18.27734375" style="22" bestFit="1" customWidth="1"/>
    <col min="29" max="29" width="18" style="22" bestFit="1" customWidth="1"/>
    <col min="30" max="30" width="19.1640625" style="22" bestFit="1" customWidth="1"/>
    <col min="31" max="104" width="9.1640625" style="4" bestFit="1"/>
    <col min="105" max="16384" width="9.1640625" style="6"/>
  </cols>
  <sheetData>
    <row r="1" spans="1:104" ht="31.5" customHeight="1" x14ac:dyDescent="0.4">
      <c r="A1" s="193" t="s">
        <v>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</row>
    <row r="2" spans="1:104" x14ac:dyDescent="0.4">
      <c r="A2" s="195" t="s">
        <v>20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</row>
    <row r="3" spans="1:104" x14ac:dyDescent="0.4">
      <c r="A3" s="195" t="s">
        <v>73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</row>
    <row r="4" spans="1:104" ht="15.6" thickBot="1" x14ac:dyDescent="0.45">
      <c r="A4" s="197" t="s">
        <v>74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</row>
    <row r="5" spans="1:104" ht="15.6" thickBot="1" x14ac:dyDescent="0.45">
      <c r="A5" s="202" t="s">
        <v>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203"/>
    </row>
    <row r="6" spans="1:104" ht="18.600000000000001" customHeight="1" x14ac:dyDescent="0.4">
      <c r="A6" s="153" t="s">
        <v>21</v>
      </c>
      <c r="B6" s="200" t="s">
        <v>4</v>
      </c>
      <c r="C6" s="200"/>
      <c r="D6" s="200"/>
      <c r="E6" s="200"/>
      <c r="F6" s="200"/>
      <c r="G6" s="200"/>
      <c r="H6" s="200"/>
      <c r="I6" s="201"/>
      <c r="J6" s="199" t="s">
        <v>5</v>
      </c>
      <c r="K6" s="200"/>
      <c r="L6" s="200"/>
      <c r="M6" s="200"/>
      <c r="N6" s="200"/>
      <c r="O6" s="200"/>
      <c r="P6" s="199" t="s">
        <v>6</v>
      </c>
      <c r="Q6" s="200"/>
      <c r="R6" s="200"/>
      <c r="S6" s="200"/>
      <c r="T6" s="200"/>
      <c r="U6" s="200"/>
      <c r="V6" s="199" t="s">
        <v>78</v>
      </c>
      <c r="W6" s="200"/>
      <c r="X6" s="200"/>
      <c r="Y6" s="200"/>
      <c r="Z6" s="200"/>
      <c r="AA6" s="200"/>
      <c r="AB6" s="199" t="s">
        <v>22</v>
      </c>
      <c r="AC6" s="200"/>
      <c r="AD6" s="200"/>
    </row>
    <row r="7" spans="1:104" s="3" customFormat="1" thickBot="1" x14ac:dyDescent="0.45">
      <c r="A7" s="154" t="s">
        <v>23</v>
      </c>
      <c r="B7" s="2" t="s">
        <v>24</v>
      </c>
      <c r="C7" s="3" t="s">
        <v>25</v>
      </c>
      <c r="D7" s="3" t="s">
        <v>26</v>
      </c>
      <c r="E7" s="41" t="s">
        <v>27</v>
      </c>
      <c r="F7" s="42" t="s">
        <v>28</v>
      </c>
      <c r="G7" s="42" t="s">
        <v>0</v>
      </c>
      <c r="H7" s="42" t="s">
        <v>7</v>
      </c>
      <c r="I7" s="43" t="s">
        <v>8</v>
      </c>
      <c r="J7" s="40" t="s">
        <v>24</v>
      </c>
      <c r="K7" s="3" t="s">
        <v>26</v>
      </c>
      <c r="L7" s="42" t="s">
        <v>28</v>
      </c>
      <c r="M7" s="42" t="s">
        <v>0</v>
      </c>
      <c r="N7" s="42" t="s">
        <v>7</v>
      </c>
      <c r="O7" s="43" t="s">
        <v>8</v>
      </c>
      <c r="P7" s="40" t="s">
        <v>24</v>
      </c>
      <c r="Q7" s="3" t="s">
        <v>26</v>
      </c>
      <c r="R7" s="42" t="s">
        <v>28</v>
      </c>
      <c r="S7" s="42" t="s">
        <v>0</v>
      </c>
      <c r="T7" s="42" t="s">
        <v>7</v>
      </c>
      <c r="U7" s="43" t="s">
        <v>8</v>
      </c>
      <c r="V7" s="40" t="s">
        <v>24</v>
      </c>
      <c r="W7" s="3" t="s">
        <v>26</v>
      </c>
      <c r="X7" s="42" t="s">
        <v>28</v>
      </c>
      <c r="Y7" s="42" t="s">
        <v>0</v>
      </c>
      <c r="Z7" s="42" t="s">
        <v>7</v>
      </c>
      <c r="AA7" s="43" t="s">
        <v>8</v>
      </c>
      <c r="AB7" s="44" t="s">
        <v>7</v>
      </c>
      <c r="AC7" s="42" t="s">
        <v>8</v>
      </c>
      <c r="AD7" s="43" t="s">
        <v>29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s="9" customFormat="1" ht="15" x14ac:dyDescent="0.4">
      <c r="A8" s="152" t="s">
        <v>30</v>
      </c>
      <c r="B8" s="26"/>
      <c r="C8" s="46"/>
      <c r="D8" s="47"/>
      <c r="E8" s="48"/>
      <c r="F8" s="49"/>
      <c r="G8" s="49"/>
      <c r="H8" s="50"/>
      <c r="I8" s="51"/>
      <c r="J8" s="52"/>
      <c r="K8" s="53"/>
      <c r="L8" s="49"/>
      <c r="M8" s="49"/>
      <c r="N8" s="49"/>
      <c r="O8" s="51"/>
      <c r="P8" s="52"/>
      <c r="Q8" s="53"/>
      <c r="R8" s="49"/>
      <c r="S8" s="49"/>
      <c r="T8" s="49"/>
      <c r="U8" s="51"/>
      <c r="V8" s="52"/>
      <c r="W8" s="53"/>
      <c r="X8" s="49"/>
      <c r="Y8" s="49"/>
      <c r="Z8" s="49"/>
      <c r="AA8" s="51"/>
      <c r="AB8" s="54"/>
      <c r="AC8" s="50"/>
      <c r="AD8" s="55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</row>
    <row r="9" spans="1:104" x14ac:dyDescent="0.4">
      <c r="A9" s="34" t="s">
        <v>75</v>
      </c>
      <c r="B9" s="24">
        <v>0</v>
      </c>
      <c r="C9" s="60" t="s">
        <v>31</v>
      </c>
      <c r="D9" s="7">
        <v>0</v>
      </c>
      <c r="E9" s="61">
        <v>0</v>
      </c>
      <c r="F9" s="11">
        <v>0</v>
      </c>
      <c r="G9" s="11">
        <f>B9*F9*D9*E9</f>
        <v>0</v>
      </c>
      <c r="H9" s="11">
        <f t="shared" ref="H9:H15" si="0">G9</f>
        <v>0</v>
      </c>
      <c r="I9" s="59">
        <f>G9-H9</f>
        <v>0</v>
      </c>
      <c r="J9" s="24">
        <v>0</v>
      </c>
      <c r="K9" s="7">
        <v>0</v>
      </c>
      <c r="L9" s="11">
        <f>F9*1.04</f>
        <v>0</v>
      </c>
      <c r="M9" s="11">
        <f>J9*L9*K9*E9</f>
        <v>0</v>
      </c>
      <c r="N9" s="11">
        <f t="shared" ref="N9:N15" si="1">M9</f>
        <v>0</v>
      </c>
      <c r="O9" s="59">
        <f>M9-N9</f>
        <v>0</v>
      </c>
      <c r="P9" s="24">
        <v>0</v>
      </c>
      <c r="Q9" s="7">
        <v>0</v>
      </c>
      <c r="R9" s="11">
        <f>L9*1.04</f>
        <v>0</v>
      </c>
      <c r="S9" s="11">
        <f>P9*R9*Q9*E9</f>
        <v>0</v>
      </c>
      <c r="T9" s="11">
        <f t="shared" ref="T9:T15" si="2">S9</f>
        <v>0</v>
      </c>
      <c r="U9" s="59">
        <f>S9-T9</f>
        <v>0</v>
      </c>
      <c r="V9" s="24">
        <v>0</v>
      </c>
      <c r="W9" s="7">
        <v>0</v>
      </c>
      <c r="X9" s="11">
        <f>R9*1.04</f>
        <v>0</v>
      </c>
      <c r="Y9" s="11">
        <f>V9*X9*W9*K9</f>
        <v>0</v>
      </c>
      <c r="Z9" s="11">
        <f t="shared" ref="Z9:Z15" si="3">Y9</f>
        <v>0</v>
      </c>
      <c r="AA9" s="59">
        <f>Y9-Z9</f>
        <v>0</v>
      </c>
      <c r="AB9" s="76">
        <f>H9+N9+T9+Z9</f>
        <v>0</v>
      </c>
      <c r="AC9" s="11">
        <f>I9+O9+U9+AA9</f>
        <v>0</v>
      </c>
      <c r="AD9" s="59">
        <f>AB9+AC9</f>
        <v>0</v>
      </c>
    </row>
    <row r="10" spans="1:104" x14ac:dyDescent="0.4">
      <c r="A10" s="34" t="s">
        <v>76</v>
      </c>
      <c r="B10" s="24">
        <v>0</v>
      </c>
      <c r="C10" s="60" t="s">
        <v>31</v>
      </c>
      <c r="D10" s="7">
        <v>0</v>
      </c>
      <c r="E10" s="61">
        <v>0</v>
      </c>
      <c r="F10" s="11">
        <v>0</v>
      </c>
      <c r="G10" s="11">
        <f>B10*F10*D10*E10</f>
        <v>0</v>
      </c>
      <c r="H10" s="11">
        <f t="shared" si="0"/>
        <v>0</v>
      </c>
      <c r="I10" s="59">
        <f>G10-H10</f>
        <v>0</v>
      </c>
      <c r="J10" s="24">
        <v>0</v>
      </c>
      <c r="K10" s="7">
        <v>0</v>
      </c>
      <c r="L10" s="11">
        <f>F10*1.04</f>
        <v>0</v>
      </c>
      <c r="M10" s="11">
        <f>J10*L10*K10*E10</f>
        <v>0</v>
      </c>
      <c r="N10" s="11">
        <f t="shared" si="1"/>
        <v>0</v>
      </c>
      <c r="O10" s="59">
        <f>M10-N10</f>
        <v>0</v>
      </c>
      <c r="P10" s="24">
        <v>0</v>
      </c>
      <c r="Q10" s="7">
        <v>0</v>
      </c>
      <c r="R10" s="11">
        <f>L10*1.04</f>
        <v>0</v>
      </c>
      <c r="S10" s="11">
        <f>P10*R10*Q10*E10</f>
        <v>0</v>
      </c>
      <c r="T10" s="11">
        <f t="shared" si="2"/>
        <v>0</v>
      </c>
      <c r="U10" s="59">
        <f>S10-T10</f>
        <v>0</v>
      </c>
      <c r="V10" s="24">
        <v>0</v>
      </c>
      <c r="W10" s="7">
        <v>0</v>
      </c>
      <c r="X10" s="11">
        <f>R10*1.04</f>
        <v>0</v>
      </c>
      <c r="Y10" s="11">
        <f>V10*X10*W10*K10</f>
        <v>0</v>
      </c>
      <c r="Z10" s="11">
        <f t="shared" si="3"/>
        <v>0</v>
      </c>
      <c r="AA10" s="59">
        <f>Y10-Z10</f>
        <v>0</v>
      </c>
      <c r="AB10" s="76">
        <f t="shared" ref="AB10:AB15" si="4">H10+N10+T10+Z10</f>
        <v>0</v>
      </c>
      <c r="AC10" s="11">
        <f t="shared" ref="AC10:AC15" si="5">I10+O10+U10+AA10</f>
        <v>0</v>
      </c>
      <c r="AD10" s="59">
        <f t="shared" ref="AD10:AD15" si="6">AB10+AC10</f>
        <v>0</v>
      </c>
    </row>
    <row r="11" spans="1:104" x14ac:dyDescent="0.4">
      <c r="A11" s="34" t="s">
        <v>77</v>
      </c>
      <c r="B11" s="24">
        <v>0</v>
      </c>
      <c r="C11" s="60" t="s">
        <v>31</v>
      </c>
      <c r="D11" s="7">
        <v>0</v>
      </c>
      <c r="E11" s="61">
        <v>0</v>
      </c>
      <c r="F11" s="11">
        <v>0</v>
      </c>
      <c r="G11" s="11">
        <f t="shared" ref="G11:G14" si="7">B11*F11*D11*E11</f>
        <v>0</v>
      </c>
      <c r="H11" s="11">
        <f t="shared" si="0"/>
        <v>0</v>
      </c>
      <c r="I11" s="59">
        <v>0</v>
      </c>
      <c r="J11" s="24">
        <v>0</v>
      </c>
      <c r="K11" s="7">
        <v>0</v>
      </c>
      <c r="L11" s="11">
        <f t="shared" ref="L11:L15" si="8">F11*1.04</f>
        <v>0</v>
      </c>
      <c r="M11" s="11">
        <f t="shared" ref="M11:M15" si="9">J11*L11*K11*E11</f>
        <v>0</v>
      </c>
      <c r="N11" s="11">
        <f t="shared" si="1"/>
        <v>0</v>
      </c>
      <c r="O11" s="59">
        <v>0</v>
      </c>
      <c r="P11" s="24">
        <v>0</v>
      </c>
      <c r="Q11" s="7">
        <v>0</v>
      </c>
      <c r="R11" s="11">
        <f t="shared" ref="R11:R15" si="10">L11*1.04</f>
        <v>0</v>
      </c>
      <c r="S11" s="11">
        <f t="shared" ref="S11:S15" si="11">P11*R11*Q11*E11</f>
        <v>0</v>
      </c>
      <c r="T11" s="11">
        <f t="shared" si="2"/>
        <v>0</v>
      </c>
      <c r="U11" s="59">
        <v>0</v>
      </c>
      <c r="V11" s="24">
        <v>0</v>
      </c>
      <c r="W11" s="7">
        <v>0</v>
      </c>
      <c r="X11" s="11">
        <f t="shared" ref="X11:X15" si="12">R11*1.04</f>
        <v>0</v>
      </c>
      <c r="Y11" s="11">
        <f t="shared" ref="Y11:Y15" si="13">V11*X11*W11*K11</f>
        <v>0</v>
      </c>
      <c r="Z11" s="11">
        <f t="shared" si="3"/>
        <v>0</v>
      </c>
      <c r="AA11" s="59">
        <v>0</v>
      </c>
      <c r="AB11" s="76">
        <f t="shared" si="4"/>
        <v>0</v>
      </c>
      <c r="AC11" s="11">
        <f t="shared" si="5"/>
        <v>0</v>
      </c>
      <c r="AD11" s="59">
        <f t="shared" si="6"/>
        <v>0</v>
      </c>
    </row>
    <row r="12" spans="1:104" x14ac:dyDescent="0.4">
      <c r="A12" s="34" t="s">
        <v>77</v>
      </c>
      <c r="B12" s="24">
        <v>0</v>
      </c>
      <c r="C12" s="60" t="s">
        <v>31</v>
      </c>
      <c r="D12" s="7">
        <v>0</v>
      </c>
      <c r="E12" s="61">
        <v>0</v>
      </c>
      <c r="F12" s="11">
        <v>0</v>
      </c>
      <c r="G12" s="11">
        <f t="shared" si="7"/>
        <v>0</v>
      </c>
      <c r="H12" s="11">
        <f t="shared" si="0"/>
        <v>0</v>
      </c>
      <c r="I12" s="59">
        <v>0</v>
      </c>
      <c r="J12" s="24">
        <v>0</v>
      </c>
      <c r="K12" s="7">
        <v>0</v>
      </c>
      <c r="L12" s="11">
        <f t="shared" si="8"/>
        <v>0</v>
      </c>
      <c r="M12" s="11">
        <f t="shared" ref="M12" si="14">J12*L12*K12*E12</f>
        <v>0</v>
      </c>
      <c r="N12" s="11">
        <f t="shared" si="1"/>
        <v>0</v>
      </c>
      <c r="O12" s="59">
        <v>0</v>
      </c>
      <c r="P12" s="24">
        <v>0</v>
      </c>
      <c r="Q12" s="7">
        <v>0</v>
      </c>
      <c r="R12" s="11">
        <f t="shared" si="10"/>
        <v>0</v>
      </c>
      <c r="S12" s="11">
        <f t="shared" ref="S12" si="15">P12*R12*Q12*E12</f>
        <v>0</v>
      </c>
      <c r="T12" s="11">
        <f t="shared" si="2"/>
        <v>0</v>
      </c>
      <c r="U12" s="59">
        <v>0</v>
      </c>
      <c r="V12" s="24">
        <v>0</v>
      </c>
      <c r="W12" s="7">
        <v>0</v>
      </c>
      <c r="X12" s="11">
        <f t="shared" si="12"/>
        <v>0</v>
      </c>
      <c r="Y12" s="11">
        <f t="shared" si="13"/>
        <v>0</v>
      </c>
      <c r="Z12" s="11">
        <f t="shared" si="3"/>
        <v>0</v>
      </c>
      <c r="AA12" s="59">
        <v>0</v>
      </c>
      <c r="AB12" s="76">
        <f t="shared" si="4"/>
        <v>0</v>
      </c>
      <c r="AC12" s="11">
        <f t="shared" si="5"/>
        <v>0</v>
      </c>
      <c r="AD12" s="59">
        <f t="shared" si="6"/>
        <v>0</v>
      </c>
    </row>
    <row r="13" spans="1:104" x14ac:dyDescent="0.4">
      <c r="A13" s="34" t="s">
        <v>77</v>
      </c>
      <c r="B13" s="24">
        <v>0</v>
      </c>
      <c r="C13" s="60" t="s">
        <v>31</v>
      </c>
      <c r="D13" s="7">
        <v>0</v>
      </c>
      <c r="E13" s="61">
        <v>0</v>
      </c>
      <c r="F13" s="11">
        <v>0</v>
      </c>
      <c r="G13" s="11">
        <f t="shared" si="7"/>
        <v>0</v>
      </c>
      <c r="H13" s="11">
        <f t="shared" si="0"/>
        <v>0</v>
      </c>
      <c r="I13" s="59">
        <f>G13-H13</f>
        <v>0</v>
      </c>
      <c r="J13" s="24">
        <v>0</v>
      </c>
      <c r="K13" s="7">
        <v>0</v>
      </c>
      <c r="L13" s="11">
        <f t="shared" si="8"/>
        <v>0</v>
      </c>
      <c r="M13" s="11">
        <f t="shared" ref="M13" si="16">J13*L13*K13*E13</f>
        <v>0</v>
      </c>
      <c r="N13" s="11">
        <f t="shared" si="1"/>
        <v>0</v>
      </c>
      <c r="O13" s="59">
        <f>M13-N13</f>
        <v>0</v>
      </c>
      <c r="P13" s="24">
        <v>0</v>
      </c>
      <c r="Q13" s="7">
        <v>0</v>
      </c>
      <c r="R13" s="11">
        <f t="shared" si="10"/>
        <v>0</v>
      </c>
      <c r="S13" s="11">
        <f t="shared" ref="S13" si="17">P13*R13*Q13*E13</f>
        <v>0</v>
      </c>
      <c r="T13" s="11">
        <f t="shared" si="2"/>
        <v>0</v>
      </c>
      <c r="U13" s="59">
        <f>S13-T13</f>
        <v>0</v>
      </c>
      <c r="V13" s="24">
        <v>0</v>
      </c>
      <c r="W13" s="7">
        <v>0</v>
      </c>
      <c r="X13" s="11">
        <f t="shared" si="12"/>
        <v>0</v>
      </c>
      <c r="Y13" s="11">
        <f t="shared" si="13"/>
        <v>0</v>
      </c>
      <c r="Z13" s="11">
        <f t="shared" si="3"/>
        <v>0</v>
      </c>
      <c r="AA13" s="59">
        <f>Y13-Z13</f>
        <v>0</v>
      </c>
      <c r="AB13" s="76">
        <f t="shared" si="4"/>
        <v>0</v>
      </c>
      <c r="AC13" s="11">
        <f t="shared" si="5"/>
        <v>0</v>
      </c>
      <c r="AD13" s="59">
        <f t="shared" si="6"/>
        <v>0</v>
      </c>
    </row>
    <row r="14" spans="1:104" x14ac:dyDescent="0.4">
      <c r="A14" s="34" t="s">
        <v>77</v>
      </c>
      <c r="B14" s="24">
        <v>0</v>
      </c>
      <c r="C14" s="60" t="s">
        <v>31</v>
      </c>
      <c r="D14" s="7">
        <v>0</v>
      </c>
      <c r="E14" s="61">
        <v>0</v>
      </c>
      <c r="F14" s="11">
        <v>0</v>
      </c>
      <c r="G14" s="11">
        <f t="shared" si="7"/>
        <v>0</v>
      </c>
      <c r="H14" s="11">
        <f t="shared" si="0"/>
        <v>0</v>
      </c>
      <c r="I14" s="59">
        <f>G14-H14</f>
        <v>0</v>
      </c>
      <c r="J14" s="24">
        <v>0</v>
      </c>
      <c r="K14" s="7">
        <v>0</v>
      </c>
      <c r="L14" s="11">
        <f t="shared" si="8"/>
        <v>0</v>
      </c>
      <c r="M14" s="11">
        <f t="shared" si="9"/>
        <v>0</v>
      </c>
      <c r="N14" s="11">
        <f t="shared" si="1"/>
        <v>0</v>
      </c>
      <c r="O14" s="59">
        <f>M14-N14</f>
        <v>0</v>
      </c>
      <c r="P14" s="24">
        <v>0</v>
      </c>
      <c r="Q14" s="7">
        <v>0</v>
      </c>
      <c r="R14" s="11">
        <f t="shared" si="10"/>
        <v>0</v>
      </c>
      <c r="S14" s="11">
        <f t="shared" si="11"/>
        <v>0</v>
      </c>
      <c r="T14" s="11">
        <f t="shared" si="2"/>
        <v>0</v>
      </c>
      <c r="U14" s="59">
        <f>S14-T14</f>
        <v>0</v>
      </c>
      <c r="V14" s="24">
        <v>0</v>
      </c>
      <c r="W14" s="7">
        <v>0</v>
      </c>
      <c r="X14" s="11">
        <f t="shared" si="12"/>
        <v>0</v>
      </c>
      <c r="Y14" s="11">
        <f t="shared" si="13"/>
        <v>0</v>
      </c>
      <c r="Z14" s="11">
        <f t="shared" si="3"/>
        <v>0</v>
      </c>
      <c r="AA14" s="59">
        <f>Y14-Z14</f>
        <v>0</v>
      </c>
      <c r="AB14" s="76">
        <f t="shared" si="4"/>
        <v>0</v>
      </c>
      <c r="AC14" s="11">
        <f t="shared" si="5"/>
        <v>0</v>
      </c>
      <c r="AD14" s="59">
        <f t="shared" si="6"/>
        <v>0</v>
      </c>
    </row>
    <row r="15" spans="1:104" x14ac:dyDescent="0.4">
      <c r="A15" s="34" t="s">
        <v>77</v>
      </c>
      <c r="B15" s="24">
        <v>0</v>
      </c>
      <c r="C15" s="60" t="s">
        <v>31</v>
      </c>
      <c r="D15" s="7">
        <v>0</v>
      </c>
      <c r="E15" s="61">
        <v>0</v>
      </c>
      <c r="F15" s="11">
        <v>0</v>
      </c>
      <c r="G15" s="11">
        <f t="shared" ref="G15" si="18">B15*F15*D15*E15</f>
        <v>0</v>
      </c>
      <c r="H15" s="11">
        <f t="shared" si="0"/>
        <v>0</v>
      </c>
      <c r="I15" s="59">
        <f>G15-H15</f>
        <v>0</v>
      </c>
      <c r="J15" s="24">
        <v>0</v>
      </c>
      <c r="K15" s="7">
        <v>0</v>
      </c>
      <c r="L15" s="11">
        <f t="shared" si="8"/>
        <v>0</v>
      </c>
      <c r="M15" s="11">
        <f t="shared" si="9"/>
        <v>0</v>
      </c>
      <c r="N15" s="11">
        <f t="shared" si="1"/>
        <v>0</v>
      </c>
      <c r="O15" s="59">
        <f>M15-N15</f>
        <v>0</v>
      </c>
      <c r="P15" s="24">
        <v>0</v>
      </c>
      <c r="Q15" s="7">
        <v>0</v>
      </c>
      <c r="R15" s="11">
        <f t="shared" si="10"/>
        <v>0</v>
      </c>
      <c r="S15" s="11">
        <f t="shared" si="11"/>
        <v>0</v>
      </c>
      <c r="T15" s="11">
        <f t="shared" si="2"/>
        <v>0</v>
      </c>
      <c r="U15" s="59">
        <f>S15-T15</f>
        <v>0</v>
      </c>
      <c r="V15" s="24">
        <v>0</v>
      </c>
      <c r="W15" s="7">
        <v>0</v>
      </c>
      <c r="X15" s="11">
        <f t="shared" si="12"/>
        <v>0</v>
      </c>
      <c r="Y15" s="11">
        <f t="shared" si="13"/>
        <v>0</v>
      </c>
      <c r="Z15" s="11">
        <f t="shared" si="3"/>
        <v>0</v>
      </c>
      <c r="AA15" s="59">
        <f>Y15-Z15</f>
        <v>0</v>
      </c>
      <c r="AB15" s="76">
        <f t="shared" si="4"/>
        <v>0</v>
      </c>
      <c r="AC15" s="11">
        <f t="shared" si="5"/>
        <v>0</v>
      </c>
      <c r="AD15" s="59">
        <f t="shared" si="6"/>
        <v>0</v>
      </c>
    </row>
    <row r="16" spans="1:104" s="10" customFormat="1" ht="15" x14ac:dyDescent="0.4">
      <c r="A16" s="63" t="s">
        <v>90</v>
      </c>
      <c r="B16" s="28"/>
      <c r="C16" s="32"/>
      <c r="D16" s="64"/>
      <c r="E16" s="65"/>
      <c r="F16" s="66"/>
      <c r="G16" s="66">
        <f>SUM(G9:G15)</f>
        <v>0</v>
      </c>
      <c r="H16" s="66">
        <f>SUM(H9:H15)</f>
        <v>0</v>
      </c>
      <c r="I16" s="66">
        <f>SUM(I9:I15)</f>
        <v>0</v>
      </c>
      <c r="J16" s="28"/>
      <c r="K16" s="9"/>
      <c r="L16" s="66"/>
      <c r="M16" s="66">
        <f>SUM(M9:M15)</f>
        <v>0</v>
      </c>
      <c r="N16" s="66">
        <f>SUM(N9:N15)</f>
        <v>0</v>
      </c>
      <c r="O16" s="66">
        <f>SUM(O9:O15)</f>
        <v>0</v>
      </c>
      <c r="P16" s="28"/>
      <c r="Q16" s="9"/>
      <c r="R16" s="66"/>
      <c r="S16" s="66">
        <f t="shared" ref="S16:AD16" si="19">SUM(S9:S15)</f>
        <v>0</v>
      </c>
      <c r="T16" s="66">
        <f t="shared" si="19"/>
        <v>0</v>
      </c>
      <c r="U16" s="66">
        <f t="shared" si="19"/>
        <v>0</v>
      </c>
      <c r="V16" s="28"/>
      <c r="W16" s="9"/>
      <c r="X16" s="66"/>
      <c r="Y16" s="66">
        <f t="shared" ref="Y16:AA16" si="20">SUM(Y9:Y15)</f>
        <v>0</v>
      </c>
      <c r="Z16" s="66">
        <f t="shared" si="20"/>
        <v>0</v>
      </c>
      <c r="AA16" s="66">
        <f t="shared" si="20"/>
        <v>0</v>
      </c>
      <c r="AB16" s="66">
        <f t="shared" si="19"/>
        <v>0</v>
      </c>
      <c r="AC16" s="66">
        <f t="shared" si="19"/>
        <v>0</v>
      </c>
      <c r="AD16" s="66">
        <f t="shared" si="19"/>
        <v>0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</row>
    <row r="17" spans="1:30" x14ac:dyDescent="0.4">
      <c r="A17" s="45" t="s">
        <v>32</v>
      </c>
      <c r="B17" s="26"/>
      <c r="C17" s="31"/>
      <c r="D17" s="67"/>
      <c r="E17" s="68"/>
      <c r="F17" s="69"/>
      <c r="G17" s="69"/>
      <c r="H17" s="70"/>
      <c r="I17" s="71"/>
      <c r="J17" s="26"/>
      <c r="K17" s="72"/>
      <c r="L17" s="69"/>
      <c r="M17" s="69"/>
      <c r="N17" s="70"/>
      <c r="O17" s="71"/>
      <c r="P17" s="26"/>
      <c r="Q17" s="72"/>
      <c r="R17" s="69"/>
      <c r="S17" s="69"/>
      <c r="T17" s="70"/>
      <c r="U17" s="71"/>
      <c r="V17" s="26"/>
      <c r="W17" s="72"/>
      <c r="X17" s="69"/>
      <c r="Y17" s="69"/>
      <c r="Z17" s="70"/>
      <c r="AA17" s="71"/>
      <c r="AB17" s="73"/>
      <c r="AC17" s="70"/>
      <c r="AD17" s="74"/>
    </row>
    <row r="18" spans="1:30" x14ac:dyDescent="0.4">
      <c r="A18" s="34" t="str">
        <f t="shared" ref="A18:B24" si="21">A9</f>
        <v>Project Coordinator (XX%)</v>
      </c>
      <c r="B18" s="24">
        <f>B9</f>
        <v>0</v>
      </c>
      <c r="C18" s="7" t="s">
        <v>33</v>
      </c>
      <c r="D18" s="7">
        <f t="shared" ref="D18:D23" si="22">D9</f>
        <v>0</v>
      </c>
      <c r="E18" s="174">
        <v>0</v>
      </c>
      <c r="F18" s="11">
        <f t="shared" ref="F18:F24" si="23">F9</f>
        <v>0</v>
      </c>
      <c r="G18" s="11">
        <f>B18*F18*D18*E18</f>
        <v>0</v>
      </c>
      <c r="H18" s="11">
        <f t="shared" ref="H18:H24" si="24">G18</f>
        <v>0</v>
      </c>
      <c r="I18" s="59">
        <v>0</v>
      </c>
      <c r="J18" s="24">
        <f>J9</f>
        <v>0</v>
      </c>
      <c r="K18" s="7">
        <f t="shared" ref="K18:L24" si="25">K9</f>
        <v>0</v>
      </c>
      <c r="L18" s="11">
        <f t="shared" si="25"/>
        <v>0</v>
      </c>
      <c r="M18" s="11">
        <f>E18*L18*J18*K18</f>
        <v>0</v>
      </c>
      <c r="N18" s="11">
        <f t="shared" ref="N18:N24" si="26">M18</f>
        <v>0</v>
      </c>
      <c r="O18" s="59">
        <f t="shared" ref="O18:O24" si="27">M18-N18</f>
        <v>0</v>
      </c>
      <c r="P18" s="24">
        <f>P9</f>
        <v>0</v>
      </c>
      <c r="Q18" s="7">
        <f>Q9</f>
        <v>0</v>
      </c>
      <c r="R18" s="11">
        <f t="shared" ref="Q18:R24" si="28">R9</f>
        <v>0</v>
      </c>
      <c r="S18" s="11">
        <f>E18*R18*P18*Q18</f>
        <v>0</v>
      </c>
      <c r="T18" s="11">
        <f t="shared" ref="T18:T24" si="29">S18</f>
        <v>0</v>
      </c>
      <c r="U18" s="59">
        <f t="shared" ref="U18:U24" si="30">S18-T18</f>
        <v>0</v>
      </c>
      <c r="V18" s="24">
        <f>V9</f>
        <v>0</v>
      </c>
      <c r="W18" s="7">
        <f>W9</f>
        <v>0</v>
      </c>
      <c r="X18" s="11">
        <f>X9</f>
        <v>0</v>
      </c>
      <c r="Y18" s="11">
        <f>K18*X18*V18*W18</f>
        <v>0</v>
      </c>
      <c r="Z18" s="11">
        <f>Y18</f>
        <v>0</v>
      </c>
      <c r="AA18" s="59">
        <f>Y18-Z18</f>
        <v>0</v>
      </c>
      <c r="AB18" s="76">
        <f>H18+N18+T18+Z18</f>
        <v>0</v>
      </c>
      <c r="AC18" s="11">
        <f>I18+O18+U18+AA18</f>
        <v>0</v>
      </c>
      <c r="AD18" s="59">
        <f t="shared" ref="AD18:AD24" si="31">AB18+AC18</f>
        <v>0</v>
      </c>
    </row>
    <row r="19" spans="1:30" x14ac:dyDescent="0.4">
      <c r="A19" s="34" t="str">
        <f t="shared" si="21"/>
        <v>M&amp;E Specialist (XX%)</v>
      </c>
      <c r="B19" s="24">
        <f t="shared" si="21"/>
        <v>0</v>
      </c>
      <c r="C19" s="7" t="s">
        <v>33</v>
      </c>
      <c r="D19" s="7">
        <f t="shared" si="22"/>
        <v>0</v>
      </c>
      <c r="E19" s="174">
        <v>0</v>
      </c>
      <c r="F19" s="11">
        <f t="shared" si="23"/>
        <v>0</v>
      </c>
      <c r="G19" s="11">
        <f t="shared" ref="G19:G24" si="32">B19*F19*D19*E19</f>
        <v>0</v>
      </c>
      <c r="H19" s="11">
        <f>G19</f>
        <v>0</v>
      </c>
      <c r="I19" s="59">
        <v>0</v>
      </c>
      <c r="J19" s="24">
        <f t="shared" ref="J19:J24" si="33">J10</f>
        <v>0</v>
      </c>
      <c r="K19" s="7">
        <f t="shared" si="25"/>
        <v>0</v>
      </c>
      <c r="L19" s="11">
        <f t="shared" si="25"/>
        <v>0</v>
      </c>
      <c r="M19" s="11">
        <f t="shared" ref="M19:M24" si="34">E19*L19*J19*K19</f>
        <v>0</v>
      </c>
      <c r="N19" s="11">
        <f t="shared" si="26"/>
        <v>0</v>
      </c>
      <c r="O19" s="59">
        <f t="shared" si="27"/>
        <v>0</v>
      </c>
      <c r="P19" s="24">
        <f t="shared" ref="P19:P24" si="35">P10</f>
        <v>0</v>
      </c>
      <c r="Q19" s="7">
        <f t="shared" si="28"/>
        <v>0</v>
      </c>
      <c r="R19" s="11">
        <f t="shared" si="28"/>
        <v>0</v>
      </c>
      <c r="S19" s="11">
        <f t="shared" ref="S19:S24" si="36">E19*R19*P19*Q19</f>
        <v>0</v>
      </c>
      <c r="T19" s="11">
        <f t="shared" si="29"/>
        <v>0</v>
      </c>
      <c r="U19" s="59">
        <f t="shared" si="30"/>
        <v>0</v>
      </c>
      <c r="V19" s="24">
        <f t="shared" ref="V19:V24" si="37">V10</f>
        <v>0</v>
      </c>
      <c r="W19" s="7">
        <f t="shared" ref="W19:X19" si="38">W10</f>
        <v>0</v>
      </c>
      <c r="X19" s="11">
        <f t="shared" si="38"/>
        <v>0</v>
      </c>
      <c r="Y19" s="11">
        <f t="shared" ref="Y19:Y24" si="39">K19*X19*V19*W19</f>
        <v>0</v>
      </c>
      <c r="Z19" s="11">
        <f t="shared" ref="Z19:Z24" si="40">Y19</f>
        <v>0</v>
      </c>
      <c r="AA19" s="59">
        <f t="shared" ref="AA19:AA24" si="41">Y19-Z19</f>
        <v>0</v>
      </c>
      <c r="AB19" s="76">
        <f t="shared" ref="AB19:AB24" si="42">H19+N19+T19+Z19</f>
        <v>0</v>
      </c>
      <c r="AC19" s="11">
        <f t="shared" ref="AC19:AC24" si="43">I19+O19+U19+AA19</f>
        <v>0</v>
      </c>
      <c r="AD19" s="59">
        <f t="shared" si="31"/>
        <v>0</v>
      </c>
    </row>
    <row r="20" spans="1:30" x14ac:dyDescent="0.4">
      <c r="A20" s="34" t="str">
        <f t="shared" si="21"/>
        <v>Position (XX%)</v>
      </c>
      <c r="B20" s="24">
        <f t="shared" si="21"/>
        <v>0</v>
      </c>
      <c r="C20" s="7" t="s">
        <v>33</v>
      </c>
      <c r="D20" s="7">
        <f t="shared" si="22"/>
        <v>0</v>
      </c>
      <c r="E20" s="174">
        <v>0</v>
      </c>
      <c r="F20" s="11">
        <f t="shared" si="23"/>
        <v>0</v>
      </c>
      <c r="G20" s="11">
        <f t="shared" si="32"/>
        <v>0</v>
      </c>
      <c r="H20" s="11">
        <f t="shared" si="24"/>
        <v>0</v>
      </c>
      <c r="I20" s="59">
        <v>0</v>
      </c>
      <c r="J20" s="24">
        <f t="shared" si="33"/>
        <v>0</v>
      </c>
      <c r="K20" s="7">
        <f t="shared" si="25"/>
        <v>0</v>
      </c>
      <c r="L20" s="11">
        <f t="shared" si="25"/>
        <v>0</v>
      </c>
      <c r="M20" s="11">
        <f t="shared" si="34"/>
        <v>0</v>
      </c>
      <c r="N20" s="11">
        <f t="shared" si="26"/>
        <v>0</v>
      </c>
      <c r="O20" s="59">
        <f t="shared" si="27"/>
        <v>0</v>
      </c>
      <c r="P20" s="24">
        <f t="shared" si="35"/>
        <v>0</v>
      </c>
      <c r="Q20" s="7">
        <f>Q11</f>
        <v>0</v>
      </c>
      <c r="R20" s="11">
        <f t="shared" si="28"/>
        <v>0</v>
      </c>
      <c r="S20" s="11">
        <f t="shared" si="36"/>
        <v>0</v>
      </c>
      <c r="T20" s="11">
        <f t="shared" si="29"/>
        <v>0</v>
      </c>
      <c r="U20" s="59">
        <f t="shared" si="30"/>
        <v>0</v>
      </c>
      <c r="V20" s="24">
        <f t="shared" si="37"/>
        <v>0</v>
      </c>
      <c r="W20" s="7">
        <f t="shared" ref="W20:X20" si="44">W11</f>
        <v>0</v>
      </c>
      <c r="X20" s="11">
        <f t="shared" si="44"/>
        <v>0</v>
      </c>
      <c r="Y20" s="11">
        <f t="shared" si="39"/>
        <v>0</v>
      </c>
      <c r="Z20" s="11">
        <f t="shared" si="40"/>
        <v>0</v>
      </c>
      <c r="AA20" s="59">
        <f t="shared" si="41"/>
        <v>0</v>
      </c>
      <c r="AB20" s="76">
        <f t="shared" si="42"/>
        <v>0</v>
      </c>
      <c r="AC20" s="11">
        <f t="shared" si="43"/>
        <v>0</v>
      </c>
      <c r="AD20" s="59">
        <f t="shared" si="31"/>
        <v>0</v>
      </c>
    </row>
    <row r="21" spans="1:30" x14ac:dyDescent="0.4">
      <c r="A21" s="34" t="str">
        <f t="shared" si="21"/>
        <v>Position (XX%)</v>
      </c>
      <c r="B21" s="24">
        <f t="shared" si="21"/>
        <v>0</v>
      </c>
      <c r="C21" s="7" t="s">
        <v>33</v>
      </c>
      <c r="D21" s="7">
        <f t="shared" si="22"/>
        <v>0</v>
      </c>
      <c r="E21" s="174">
        <v>0</v>
      </c>
      <c r="F21" s="11">
        <f t="shared" si="23"/>
        <v>0</v>
      </c>
      <c r="G21" s="11">
        <f t="shared" si="32"/>
        <v>0</v>
      </c>
      <c r="H21" s="11">
        <f t="shared" si="24"/>
        <v>0</v>
      </c>
      <c r="I21" s="59">
        <v>0</v>
      </c>
      <c r="J21" s="24">
        <f t="shared" si="33"/>
        <v>0</v>
      </c>
      <c r="K21" s="7">
        <f t="shared" si="25"/>
        <v>0</v>
      </c>
      <c r="L21" s="11">
        <f t="shared" si="25"/>
        <v>0</v>
      </c>
      <c r="M21" s="11">
        <f t="shared" si="34"/>
        <v>0</v>
      </c>
      <c r="N21" s="11">
        <f t="shared" si="26"/>
        <v>0</v>
      </c>
      <c r="O21" s="59">
        <f t="shared" si="27"/>
        <v>0</v>
      </c>
      <c r="P21" s="24">
        <f t="shared" si="35"/>
        <v>0</v>
      </c>
      <c r="Q21" s="7">
        <f t="shared" si="28"/>
        <v>0</v>
      </c>
      <c r="R21" s="11">
        <f t="shared" si="28"/>
        <v>0</v>
      </c>
      <c r="S21" s="11">
        <f t="shared" si="36"/>
        <v>0</v>
      </c>
      <c r="T21" s="11">
        <f t="shared" si="29"/>
        <v>0</v>
      </c>
      <c r="U21" s="59">
        <f t="shared" si="30"/>
        <v>0</v>
      </c>
      <c r="V21" s="24">
        <f t="shared" si="37"/>
        <v>0</v>
      </c>
      <c r="W21" s="7">
        <f t="shared" ref="W21:X21" si="45">W12</f>
        <v>0</v>
      </c>
      <c r="X21" s="11">
        <f t="shared" si="45"/>
        <v>0</v>
      </c>
      <c r="Y21" s="11">
        <f t="shared" si="39"/>
        <v>0</v>
      </c>
      <c r="Z21" s="11">
        <f t="shared" si="40"/>
        <v>0</v>
      </c>
      <c r="AA21" s="59">
        <f t="shared" si="41"/>
        <v>0</v>
      </c>
      <c r="AB21" s="76">
        <f t="shared" si="42"/>
        <v>0</v>
      </c>
      <c r="AC21" s="11">
        <f t="shared" si="43"/>
        <v>0</v>
      </c>
      <c r="AD21" s="59">
        <f t="shared" si="31"/>
        <v>0</v>
      </c>
    </row>
    <row r="22" spans="1:30" x14ac:dyDescent="0.4">
      <c r="A22" s="34" t="str">
        <f t="shared" si="21"/>
        <v>Position (XX%)</v>
      </c>
      <c r="B22" s="24">
        <f t="shared" si="21"/>
        <v>0</v>
      </c>
      <c r="C22" s="7" t="s">
        <v>33</v>
      </c>
      <c r="D22" s="7">
        <f t="shared" si="22"/>
        <v>0</v>
      </c>
      <c r="E22" s="174">
        <v>0</v>
      </c>
      <c r="F22" s="11">
        <f t="shared" si="23"/>
        <v>0</v>
      </c>
      <c r="G22" s="11">
        <f t="shared" si="32"/>
        <v>0</v>
      </c>
      <c r="H22" s="11">
        <f t="shared" si="24"/>
        <v>0</v>
      </c>
      <c r="I22" s="59">
        <v>0</v>
      </c>
      <c r="J22" s="24">
        <f t="shared" si="33"/>
        <v>0</v>
      </c>
      <c r="K22" s="7">
        <f t="shared" si="25"/>
        <v>0</v>
      </c>
      <c r="L22" s="11">
        <f t="shared" si="25"/>
        <v>0</v>
      </c>
      <c r="M22" s="11">
        <f t="shared" si="34"/>
        <v>0</v>
      </c>
      <c r="N22" s="11">
        <f t="shared" si="26"/>
        <v>0</v>
      </c>
      <c r="O22" s="59">
        <f t="shared" si="27"/>
        <v>0</v>
      </c>
      <c r="P22" s="24">
        <f t="shared" si="35"/>
        <v>0</v>
      </c>
      <c r="Q22" s="7">
        <f t="shared" si="28"/>
        <v>0</v>
      </c>
      <c r="R22" s="11">
        <f t="shared" si="28"/>
        <v>0</v>
      </c>
      <c r="S22" s="11">
        <f t="shared" si="36"/>
        <v>0</v>
      </c>
      <c r="T22" s="11">
        <f t="shared" si="29"/>
        <v>0</v>
      </c>
      <c r="U22" s="59">
        <f t="shared" si="30"/>
        <v>0</v>
      </c>
      <c r="V22" s="24">
        <f t="shared" si="37"/>
        <v>0</v>
      </c>
      <c r="W22" s="7">
        <f t="shared" ref="W22:X22" si="46">W13</f>
        <v>0</v>
      </c>
      <c r="X22" s="11">
        <f t="shared" si="46"/>
        <v>0</v>
      </c>
      <c r="Y22" s="11">
        <f t="shared" si="39"/>
        <v>0</v>
      </c>
      <c r="Z22" s="11">
        <f t="shared" si="40"/>
        <v>0</v>
      </c>
      <c r="AA22" s="59">
        <f t="shared" si="41"/>
        <v>0</v>
      </c>
      <c r="AB22" s="76">
        <f t="shared" si="42"/>
        <v>0</v>
      </c>
      <c r="AC22" s="11">
        <f t="shared" si="43"/>
        <v>0</v>
      </c>
      <c r="AD22" s="59">
        <f t="shared" si="31"/>
        <v>0</v>
      </c>
    </row>
    <row r="23" spans="1:30" x14ac:dyDescent="0.4">
      <c r="A23" s="34" t="str">
        <f t="shared" si="21"/>
        <v>Position (XX%)</v>
      </c>
      <c r="B23" s="24">
        <f t="shared" si="21"/>
        <v>0</v>
      </c>
      <c r="C23" s="7" t="s">
        <v>33</v>
      </c>
      <c r="D23" s="7">
        <f t="shared" si="22"/>
        <v>0</v>
      </c>
      <c r="E23" s="174">
        <v>0</v>
      </c>
      <c r="F23" s="11">
        <f t="shared" si="23"/>
        <v>0</v>
      </c>
      <c r="G23" s="11">
        <f>B23*F23*D23*E23</f>
        <v>0</v>
      </c>
      <c r="H23" s="11">
        <f t="shared" si="24"/>
        <v>0</v>
      </c>
      <c r="I23" s="59">
        <v>0</v>
      </c>
      <c r="J23" s="24">
        <f t="shared" si="33"/>
        <v>0</v>
      </c>
      <c r="K23" s="7">
        <f t="shared" si="25"/>
        <v>0</v>
      </c>
      <c r="L23" s="11">
        <f t="shared" si="25"/>
        <v>0</v>
      </c>
      <c r="M23" s="11">
        <f t="shared" si="34"/>
        <v>0</v>
      </c>
      <c r="N23" s="11">
        <f t="shared" si="26"/>
        <v>0</v>
      </c>
      <c r="O23" s="59">
        <f t="shared" si="27"/>
        <v>0</v>
      </c>
      <c r="P23" s="24">
        <f t="shared" si="35"/>
        <v>0</v>
      </c>
      <c r="Q23" s="7">
        <f t="shared" si="28"/>
        <v>0</v>
      </c>
      <c r="R23" s="11">
        <f t="shared" si="28"/>
        <v>0</v>
      </c>
      <c r="S23" s="11">
        <f t="shared" si="36"/>
        <v>0</v>
      </c>
      <c r="T23" s="11">
        <f t="shared" si="29"/>
        <v>0</v>
      </c>
      <c r="U23" s="59">
        <f t="shared" si="30"/>
        <v>0</v>
      </c>
      <c r="V23" s="24">
        <f t="shared" si="37"/>
        <v>0</v>
      </c>
      <c r="W23" s="7">
        <f t="shared" ref="W23:X23" si="47">W14</f>
        <v>0</v>
      </c>
      <c r="X23" s="11">
        <f t="shared" si="47"/>
        <v>0</v>
      </c>
      <c r="Y23" s="11">
        <f t="shared" si="39"/>
        <v>0</v>
      </c>
      <c r="Z23" s="11">
        <f t="shared" si="40"/>
        <v>0</v>
      </c>
      <c r="AA23" s="59">
        <f t="shared" si="41"/>
        <v>0</v>
      </c>
      <c r="AB23" s="76">
        <f t="shared" si="42"/>
        <v>0</v>
      </c>
      <c r="AC23" s="11">
        <f t="shared" si="43"/>
        <v>0</v>
      </c>
      <c r="AD23" s="59">
        <f t="shared" si="31"/>
        <v>0</v>
      </c>
    </row>
    <row r="24" spans="1:30" x14ac:dyDescent="0.4">
      <c r="A24" s="34" t="str">
        <f t="shared" si="21"/>
        <v>Position (XX%)</v>
      </c>
      <c r="B24" s="24">
        <f t="shared" si="21"/>
        <v>0</v>
      </c>
      <c r="C24" s="7" t="s">
        <v>33</v>
      </c>
      <c r="D24" s="7">
        <f>D15</f>
        <v>0</v>
      </c>
      <c r="E24" s="174">
        <v>0</v>
      </c>
      <c r="F24" s="11">
        <f t="shared" si="23"/>
        <v>0</v>
      </c>
      <c r="G24" s="11">
        <f t="shared" si="32"/>
        <v>0</v>
      </c>
      <c r="H24" s="11">
        <f t="shared" si="24"/>
        <v>0</v>
      </c>
      <c r="I24" s="59">
        <v>0</v>
      </c>
      <c r="J24" s="24">
        <f t="shared" si="33"/>
        <v>0</v>
      </c>
      <c r="K24" s="7">
        <f t="shared" si="25"/>
        <v>0</v>
      </c>
      <c r="L24" s="11">
        <f t="shared" si="25"/>
        <v>0</v>
      </c>
      <c r="M24" s="11">
        <f t="shared" si="34"/>
        <v>0</v>
      </c>
      <c r="N24" s="11">
        <f t="shared" si="26"/>
        <v>0</v>
      </c>
      <c r="O24" s="59">
        <f t="shared" si="27"/>
        <v>0</v>
      </c>
      <c r="P24" s="24">
        <f t="shared" si="35"/>
        <v>0</v>
      </c>
      <c r="Q24" s="7">
        <f t="shared" si="28"/>
        <v>0</v>
      </c>
      <c r="R24" s="11">
        <f t="shared" si="28"/>
        <v>0</v>
      </c>
      <c r="S24" s="11">
        <f t="shared" si="36"/>
        <v>0</v>
      </c>
      <c r="T24" s="11">
        <f t="shared" si="29"/>
        <v>0</v>
      </c>
      <c r="U24" s="59">
        <f t="shared" si="30"/>
        <v>0</v>
      </c>
      <c r="V24" s="24">
        <f t="shared" si="37"/>
        <v>0</v>
      </c>
      <c r="W24" s="7">
        <f t="shared" ref="W24:X24" si="48">W15</f>
        <v>0</v>
      </c>
      <c r="X24" s="11">
        <f t="shared" si="48"/>
        <v>0</v>
      </c>
      <c r="Y24" s="11">
        <f t="shared" si="39"/>
        <v>0</v>
      </c>
      <c r="Z24" s="11">
        <f t="shared" si="40"/>
        <v>0</v>
      </c>
      <c r="AA24" s="59">
        <f t="shared" si="41"/>
        <v>0</v>
      </c>
      <c r="AB24" s="76">
        <f t="shared" si="42"/>
        <v>0</v>
      </c>
      <c r="AC24" s="11">
        <f t="shared" si="43"/>
        <v>0</v>
      </c>
      <c r="AD24" s="59">
        <f t="shared" si="31"/>
        <v>0</v>
      </c>
    </row>
    <row r="25" spans="1:30" x14ac:dyDescent="0.4">
      <c r="A25" s="63" t="s">
        <v>89</v>
      </c>
      <c r="B25" s="77"/>
      <c r="C25" s="78"/>
      <c r="D25" s="79"/>
      <c r="E25" s="80"/>
      <c r="F25" s="81"/>
      <c r="G25" s="66">
        <f>SUM(G18:G24)</f>
        <v>0</v>
      </c>
      <c r="H25" s="66">
        <f>SUM(H18:H24)</f>
        <v>0</v>
      </c>
      <c r="I25" s="66">
        <f>SUM(I18:I24)</f>
        <v>0</v>
      </c>
      <c r="J25" s="35"/>
      <c r="K25" s="80"/>
      <c r="L25" s="81"/>
      <c r="M25" s="66">
        <f>SUM(M18:M24)</f>
        <v>0</v>
      </c>
      <c r="N25" s="66">
        <f>SUM(N18:N24)</f>
        <v>0</v>
      </c>
      <c r="O25" s="66">
        <f>SUM(O18:O24)</f>
        <v>0</v>
      </c>
      <c r="P25" s="35"/>
      <c r="Q25" s="80"/>
      <c r="R25" s="81"/>
      <c r="S25" s="66">
        <f t="shared" ref="S25:AD25" si="49">SUM(S18:S24)</f>
        <v>0</v>
      </c>
      <c r="T25" s="66">
        <f t="shared" si="49"/>
        <v>0</v>
      </c>
      <c r="U25" s="66">
        <f t="shared" si="49"/>
        <v>0</v>
      </c>
      <c r="V25" s="35"/>
      <c r="W25" s="80"/>
      <c r="X25" s="81"/>
      <c r="Y25" s="66">
        <f t="shared" ref="Y25:AA25" si="50">SUM(Y18:Y24)</f>
        <v>0</v>
      </c>
      <c r="Z25" s="66">
        <f t="shared" si="50"/>
        <v>0</v>
      </c>
      <c r="AA25" s="66">
        <f t="shared" si="50"/>
        <v>0</v>
      </c>
      <c r="AB25" s="66">
        <f t="shared" si="49"/>
        <v>0</v>
      </c>
      <c r="AC25" s="66">
        <f t="shared" si="49"/>
        <v>0</v>
      </c>
      <c r="AD25" s="66">
        <f t="shared" si="49"/>
        <v>0</v>
      </c>
    </row>
    <row r="26" spans="1:30" x14ac:dyDescent="0.4">
      <c r="A26" s="45" t="s">
        <v>34</v>
      </c>
      <c r="B26" s="82"/>
      <c r="C26" s="31"/>
      <c r="D26" s="67"/>
      <c r="E26" s="68"/>
      <c r="F26" s="69"/>
      <c r="G26" s="69"/>
      <c r="H26" s="70"/>
      <c r="I26" s="71"/>
      <c r="J26" s="27"/>
      <c r="K26" s="31"/>
      <c r="L26" s="69"/>
      <c r="M26" s="69"/>
      <c r="N26" s="70"/>
      <c r="O26" s="71"/>
      <c r="P26" s="27"/>
      <c r="Q26" s="31"/>
      <c r="R26" s="69"/>
      <c r="S26" s="69"/>
      <c r="T26" s="70"/>
      <c r="U26" s="71"/>
      <c r="V26" s="27"/>
      <c r="W26" s="31"/>
      <c r="X26" s="69"/>
      <c r="Y26" s="69"/>
      <c r="Z26" s="70"/>
      <c r="AA26" s="71"/>
      <c r="AB26" s="73"/>
      <c r="AC26" s="70"/>
      <c r="AD26" s="74"/>
    </row>
    <row r="27" spans="1:30" x14ac:dyDescent="0.4">
      <c r="A27" s="75" t="s">
        <v>35</v>
      </c>
      <c r="B27" s="83"/>
      <c r="D27" s="84"/>
      <c r="F27" s="85"/>
      <c r="G27" s="85"/>
      <c r="H27" s="56"/>
      <c r="I27" s="57"/>
      <c r="J27" s="40"/>
      <c r="K27" s="3"/>
      <c r="L27" s="85"/>
      <c r="M27" s="85"/>
      <c r="N27" s="56"/>
      <c r="O27" s="57"/>
      <c r="P27" s="40"/>
      <c r="Q27" s="3"/>
      <c r="R27" s="85"/>
      <c r="S27" s="85"/>
      <c r="T27" s="56"/>
      <c r="U27" s="57"/>
      <c r="V27" s="40"/>
      <c r="W27" s="3"/>
      <c r="X27" s="85"/>
      <c r="Y27" s="85"/>
      <c r="Z27" s="56"/>
      <c r="AA27" s="57"/>
      <c r="AB27" s="58"/>
      <c r="AC27" s="56"/>
      <c r="AD27" s="59"/>
    </row>
    <row r="28" spans="1:30" x14ac:dyDescent="0.4">
      <c r="A28" s="34" t="s">
        <v>81</v>
      </c>
      <c r="B28" s="24">
        <v>0</v>
      </c>
      <c r="C28" s="7" t="s">
        <v>36</v>
      </c>
      <c r="D28" s="167">
        <v>0</v>
      </c>
      <c r="E28" s="21">
        <v>1</v>
      </c>
      <c r="F28" s="11">
        <v>0</v>
      </c>
      <c r="G28" s="11">
        <f>B28*F28*D28</f>
        <v>0</v>
      </c>
      <c r="H28" s="11">
        <f>G28</f>
        <v>0</v>
      </c>
      <c r="I28" s="59">
        <f>G28-H28</f>
        <v>0</v>
      </c>
      <c r="J28" s="24">
        <v>0</v>
      </c>
      <c r="K28" s="167">
        <v>0</v>
      </c>
      <c r="L28" s="11">
        <f>F28*1.03</f>
        <v>0</v>
      </c>
      <c r="M28" s="11">
        <f>J28*L28*K28*E28</f>
        <v>0</v>
      </c>
      <c r="N28" s="86">
        <f>M28</f>
        <v>0</v>
      </c>
      <c r="O28" s="59">
        <f>M28-N28</f>
        <v>0</v>
      </c>
      <c r="P28" s="24">
        <v>0</v>
      </c>
      <c r="Q28" s="167">
        <v>0</v>
      </c>
      <c r="R28" s="11">
        <f>L28*1.03</f>
        <v>0</v>
      </c>
      <c r="S28" s="22">
        <f>P28*R28*Q28*E28</f>
        <v>0</v>
      </c>
      <c r="T28" s="22">
        <f>S28</f>
        <v>0</v>
      </c>
      <c r="U28" s="62">
        <f>S28-T28</f>
        <v>0</v>
      </c>
      <c r="V28" s="24">
        <v>0</v>
      </c>
      <c r="W28" s="167">
        <v>0</v>
      </c>
      <c r="X28" s="11">
        <f>R28*1.03</f>
        <v>0</v>
      </c>
      <c r="Y28" s="22">
        <f>V28*X28*W28*K28</f>
        <v>0</v>
      </c>
      <c r="Z28" s="22">
        <f>Y28</f>
        <v>0</v>
      </c>
      <c r="AA28" s="62">
        <f>Y28-Z28</f>
        <v>0</v>
      </c>
      <c r="AB28" s="76">
        <f>H28+N28+T28+Z28</f>
        <v>0</v>
      </c>
      <c r="AC28" s="11">
        <f>I28+O28+U28+AA28</f>
        <v>0</v>
      </c>
      <c r="AD28" s="62">
        <f>AB28+AC28</f>
        <v>0</v>
      </c>
    </row>
    <row r="29" spans="1:30" x14ac:dyDescent="0.4">
      <c r="A29" s="34" t="s">
        <v>82</v>
      </c>
      <c r="B29" s="24">
        <v>0</v>
      </c>
      <c r="C29" s="7" t="s">
        <v>36</v>
      </c>
      <c r="D29" s="167">
        <v>0</v>
      </c>
      <c r="E29" s="21">
        <v>1</v>
      </c>
      <c r="F29" s="11">
        <v>0</v>
      </c>
      <c r="G29" s="11">
        <f>B29*F29*D29</f>
        <v>0</v>
      </c>
      <c r="H29" s="11">
        <f>G29</f>
        <v>0</v>
      </c>
      <c r="I29" s="59">
        <f>G29-H29</f>
        <v>0</v>
      </c>
      <c r="J29" s="24">
        <v>0</v>
      </c>
      <c r="K29" s="167">
        <v>0</v>
      </c>
      <c r="L29" s="11">
        <f t="shared" ref="L29:L40" si="51">F29*1.03</f>
        <v>0</v>
      </c>
      <c r="M29" s="11">
        <f t="shared" ref="M29" si="52">J29*L29*K29*E29</f>
        <v>0</v>
      </c>
      <c r="N29" s="86">
        <f>M29</f>
        <v>0</v>
      </c>
      <c r="O29" s="59">
        <f>M29-N29</f>
        <v>0</v>
      </c>
      <c r="P29" s="24">
        <v>0</v>
      </c>
      <c r="Q29" s="167">
        <v>0</v>
      </c>
      <c r="R29" s="11">
        <f t="shared" ref="R29:R40" si="53">L29*1.03</f>
        <v>0</v>
      </c>
      <c r="S29" s="22">
        <f>P29*R29*Q29*E29</f>
        <v>0</v>
      </c>
      <c r="T29" s="22">
        <f>S29</f>
        <v>0</v>
      </c>
      <c r="U29" s="62">
        <f>S29-T29</f>
        <v>0</v>
      </c>
      <c r="V29" s="24">
        <v>0</v>
      </c>
      <c r="W29" s="167">
        <v>0</v>
      </c>
      <c r="X29" s="11">
        <f t="shared" ref="X29:X32" si="54">R29*1.03</f>
        <v>0</v>
      </c>
      <c r="Y29" s="22">
        <f>V29*X29*W29*K29</f>
        <v>0</v>
      </c>
      <c r="Z29" s="22">
        <f>Y29</f>
        <v>0</v>
      </c>
      <c r="AA29" s="62">
        <f>Y29-Z29</f>
        <v>0</v>
      </c>
      <c r="AB29" s="76">
        <f t="shared" ref="AB29:AB34" si="55">H29+N29+T29+Z29</f>
        <v>0</v>
      </c>
      <c r="AC29" s="11">
        <f t="shared" ref="AC29:AC34" si="56">I29+O29+U29+AA29</f>
        <v>0</v>
      </c>
      <c r="AD29" s="62">
        <f>AB29+AC29</f>
        <v>0</v>
      </c>
    </row>
    <row r="30" spans="1:30" x14ac:dyDescent="0.4">
      <c r="A30" s="34" t="s">
        <v>37</v>
      </c>
      <c r="B30" s="24">
        <v>0</v>
      </c>
      <c r="C30" s="7" t="s">
        <v>36</v>
      </c>
      <c r="D30" s="167">
        <v>0</v>
      </c>
      <c r="E30" s="21">
        <v>1</v>
      </c>
      <c r="F30" s="11">
        <v>0</v>
      </c>
      <c r="G30" s="11">
        <f>B30*F30*D30</f>
        <v>0</v>
      </c>
      <c r="H30" s="11">
        <f>G30</f>
        <v>0</v>
      </c>
      <c r="I30" s="59">
        <f>G30-H30</f>
        <v>0</v>
      </c>
      <c r="J30" s="24">
        <v>0</v>
      </c>
      <c r="K30" s="167">
        <v>0</v>
      </c>
      <c r="L30" s="11">
        <f t="shared" si="51"/>
        <v>0</v>
      </c>
      <c r="M30" s="11">
        <f t="shared" ref="M30:M40" si="57">J30*L30*K30*E30</f>
        <v>0</v>
      </c>
      <c r="N30" s="86">
        <f>M30</f>
        <v>0</v>
      </c>
      <c r="O30" s="59">
        <f>M30-N30</f>
        <v>0</v>
      </c>
      <c r="P30" s="24">
        <v>0</v>
      </c>
      <c r="Q30" s="167">
        <v>0</v>
      </c>
      <c r="R30" s="11">
        <f t="shared" si="53"/>
        <v>0</v>
      </c>
      <c r="S30" s="22">
        <f t="shared" ref="S30:S31" si="58">P30*R30*Q30*E30</f>
        <v>0</v>
      </c>
      <c r="T30" s="22">
        <f>S30</f>
        <v>0</v>
      </c>
      <c r="U30" s="62">
        <f>S30-T30</f>
        <v>0</v>
      </c>
      <c r="V30" s="24">
        <v>0</v>
      </c>
      <c r="W30" s="167">
        <v>0</v>
      </c>
      <c r="X30" s="11">
        <f t="shared" si="54"/>
        <v>0</v>
      </c>
      <c r="Y30" s="22">
        <f t="shared" ref="Y30:Y31" si="59">V30*X30*W30*K30</f>
        <v>0</v>
      </c>
      <c r="Z30" s="22">
        <f>Y30</f>
        <v>0</v>
      </c>
      <c r="AA30" s="62">
        <f>Y30-Z30</f>
        <v>0</v>
      </c>
      <c r="AB30" s="76">
        <f t="shared" si="55"/>
        <v>0</v>
      </c>
      <c r="AC30" s="11">
        <f t="shared" si="56"/>
        <v>0</v>
      </c>
      <c r="AD30" s="62">
        <f>AB30+AC30</f>
        <v>0</v>
      </c>
    </row>
    <row r="31" spans="1:30" x14ac:dyDescent="0.4">
      <c r="A31" s="34" t="s">
        <v>83</v>
      </c>
      <c r="B31" s="24">
        <v>0</v>
      </c>
      <c r="C31" s="7" t="s">
        <v>38</v>
      </c>
      <c r="D31" s="167">
        <v>0</v>
      </c>
      <c r="E31" s="21">
        <v>1</v>
      </c>
      <c r="F31" s="11">
        <v>0</v>
      </c>
      <c r="G31" s="11">
        <f>B31*F31*D31</f>
        <v>0</v>
      </c>
      <c r="H31" s="11">
        <f>G31</f>
        <v>0</v>
      </c>
      <c r="I31" s="59">
        <f>G31-H31</f>
        <v>0</v>
      </c>
      <c r="J31" s="24">
        <v>0</v>
      </c>
      <c r="K31" s="167">
        <v>0</v>
      </c>
      <c r="L31" s="11">
        <f t="shared" si="51"/>
        <v>0</v>
      </c>
      <c r="M31" s="11">
        <f t="shared" si="57"/>
        <v>0</v>
      </c>
      <c r="N31" s="86">
        <f>M31</f>
        <v>0</v>
      </c>
      <c r="O31" s="59">
        <f>M31-N31</f>
        <v>0</v>
      </c>
      <c r="P31" s="24">
        <v>0</v>
      </c>
      <c r="Q31" s="167">
        <v>0</v>
      </c>
      <c r="R31" s="11">
        <f t="shared" si="53"/>
        <v>0</v>
      </c>
      <c r="S31" s="22">
        <f t="shared" si="58"/>
        <v>0</v>
      </c>
      <c r="T31" s="22">
        <f>S31</f>
        <v>0</v>
      </c>
      <c r="U31" s="62">
        <f>S31-T31</f>
        <v>0</v>
      </c>
      <c r="V31" s="24">
        <v>0</v>
      </c>
      <c r="W31" s="167">
        <v>0</v>
      </c>
      <c r="X31" s="11">
        <f t="shared" si="54"/>
        <v>0</v>
      </c>
      <c r="Y31" s="22">
        <f t="shared" si="59"/>
        <v>0</v>
      </c>
      <c r="Z31" s="22">
        <f>Y31</f>
        <v>0</v>
      </c>
      <c r="AA31" s="62">
        <f>Y31-Z31</f>
        <v>0</v>
      </c>
      <c r="AB31" s="76">
        <f t="shared" si="55"/>
        <v>0</v>
      </c>
      <c r="AC31" s="11">
        <f t="shared" si="56"/>
        <v>0</v>
      </c>
      <c r="AD31" s="62">
        <f>AB31+AC31</f>
        <v>0</v>
      </c>
    </row>
    <row r="32" spans="1:30" x14ac:dyDescent="0.4">
      <c r="A32" s="34" t="s">
        <v>84</v>
      </c>
      <c r="B32" s="24">
        <v>0</v>
      </c>
      <c r="C32" s="7" t="s">
        <v>39</v>
      </c>
      <c r="D32" s="167">
        <v>0</v>
      </c>
      <c r="E32" s="21">
        <v>1</v>
      </c>
      <c r="F32" s="11">
        <v>0</v>
      </c>
      <c r="G32" s="11">
        <f>B32*F32*D32</f>
        <v>0</v>
      </c>
      <c r="H32" s="11">
        <f>G32</f>
        <v>0</v>
      </c>
      <c r="I32" s="59">
        <f>G32-H32</f>
        <v>0</v>
      </c>
      <c r="J32" s="24">
        <v>0</v>
      </c>
      <c r="K32" s="167">
        <v>0</v>
      </c>
      <c r="L32" s="11">
        <f t="shared" si="51"/>
        <v>0</v>
      </c>
      <c r="M32" s="11">
        <f t="shared" si="57"/>
        <v>0</v>
      </c>
      <c r="N32" s="86">
        <f>M32</f>
        <v>0</v>
      </c>
      <c r="O32" s="59">
        <f>M32-N32</f>
        <v>0</v>
      </c>
      <c r="P32" s="24">
        <v>0</v>
      </c>
      <c r="Q32" s="167">
        <v>0</v>
      </c>
      <c r="R32" s="11">
        <f t="shared" si="53"/>
        <v>0</v>
      </c>
      <c r="S32" s="22">
        <f>P32*R32*Q32*E32</f>
        <v>0</v>
      </c>
      <c r="T32" s="22">
        <f>S32</f>
        <v>0</v>
      </c>
      <c r="U32" s="62">
        <f>S32-T32</f>
        <v>0</v>
      </c>
      <c r="V32" s="24">
        <v>0</v>
      </c>
      <c r="W32" s="167">
        <v>0</v>
      </c>
      <c r="X32" s="11">
        <f t="shared" si="54"/>
        <v>0</v>
      </c>
      <c r="Y32" s="22">
        <f>V32*X32*W32*K32</f>
        <v>0</v>
      </c>
      <c r="Z32" s="22">
        <f>Y32</f>
        <v>0</v>
      </c>
      <c r="AA32" s="62">
        <f>Y32-Z32</f>
        <v>0</v>
      </c>
      <c r="AB32" s="76">
        <f t="shared" si="55"/>
        <v>0</v>
      </c>
      <c r="AC32" s="11">
        <f t="shared" si="56"/>
        <v>0</v>
      </c>
      <c r="AD32" s="62">
        <f>AB32+AC32</f>
        <v>0</v>
      </c>
    </row>
    <row r="33" spans="1:104" x14ac:dyDescent="0.4">
      <c r="A33" s="75" t="s">
        <v>40</v>
      </c>
      <c r="B33" s="24"/>
      <c r="D33" s="167"/>
      <c r="F33" s="11"/>
      <c r="G33" s="11"/>
      <c r="H33" s="11"/>
      <c r="I33" s="59"/>
      <c r="J33" s="24"/>
      <c r="K33" s="7"/>
      <c r="L33" s="11"/>
      <c r="M33" s="11"/>
      <c r="N33" s="86"/>
      <c r="O33" s="59"/>
      <c r="P33" s="24"/>
      <c r="Q33" s="7"/>
      <c r="R33" s="11"/>
      <c r="U33" s="62"/>
      <c r="V33" s="24"/>
      <c r="W33" s="7"/>
      <c r="X33" s="11"/>
      <c r="AA33" s="62"/>
      <c r="AB33" s="76"/>
      <c r="AC33" s="11"/>
      <c r="AD33" s="62"/>
    </row>
    <row r="34" spans="1:104" x14ac:dyDescent="0.4">
      <c r="A34" s="34" t="s">
        <v>85</v>
      </c>
      <c r="B34" s="24">
        <v>0</v>
      </c>
      <c r="C34" s="7" t="s">
        <v>36</v>
      </c>
      <c r="D34" s="167">
        <v>0</v>
      </c>
      <c r="E34" s="21">
        <v>1</v>
      </c>
      <c r="F34" s="11">
        <v>0</v>
      </c>
      <c r="G34" s="11">
        <f t="shared" ref="G34:G40" si="60">B34*F34*D34</f>
        <v>0</v>
      </c>
      <c r="H34" s="11">
        <f t="shared" ref="H34:H40" si="61">G34</f>
        <v>0</v>
      </c>
      <c r="I34" s="59">
        <f t="shared" ref="I34:I40" si="62">G34-H34</f>
        <v>0</v>
      </c>
      <c r="J34" s="24">
        <v>0</v>
      </c>
      <c r="K34" s="167">
        <v>0</v>
      </c>
      <c r="L34" s="11">
        <f t="shared" si="51"/>
        <v>0</v>
      </c>
      <c r="M34" s="11">
        <f t="shared" ref="M34" si="63">J34*L34*K34*E34</f>
        <v>0</v>
      </c>
      <c r="N34" s="86">
        <f t="shared" ref="N34:N40" si="64">M34</f>
        <v>0</v>
      </c>
      <c r="O34" s="59">
        <f t="shared" ref="O34:O40" si="65">M34-N34</f>
        <v>0</v>
      </c>
      <c r="P34" s="24">
        <v>0</v>
      </c>
      <c r="Q34" s="167">
        <v>0</v>
      </c>
      <c r="R34" s="11">
        <f t="shared" si="53"/>
        <v>0</v>
      </c>
      <c r="S34" s="22">
        <f>P34*R34*Q34*E34</f>
        <v>0</v>
      </c>
      <c r="T34" s="22">
        <f t="shared" ref="T34:T40" si="66">S34</f>
        <v>0</v>
      </c>
      <c r="U34" s="62">
        <f t="shared" ref="U34:U40" si="67">S34-T34</f>
        <v>0</v>
      </c>
      <c r="V34" s="24">
        <v>0</v>
      </c>
      <c r="W34" s="167">
        <v>0</v>
      </c>
      <c r="X34" s="11">
        <f t="shared" ref="X34:X38" si="68">R34*1.03</f>
        <v>0</v>
      </c>
      <c r="Y34" s="22">
        <f>V34*X34*W34*K34</f>
        <v>0</v>
      </c>
      <c r="Z34" s="22">
        <f t="shared" ref="Z34:Z38" si="69">Y34</f>
        <v>0</v>
      </c>
      <c r="AA34" s="62">
        <f t="shared" ref="AA34:AA38" si="70">Y34-Z34</f>
        <v>0</v>
      </c>
      <c r="AB34" s="76">
        <f t="shared" si="55"/>
        <v>0</v>
      </c>
      <c r="AC34" s="11">
        <f t="shared" si="56"/>
        <v>0</v>
      </c>
      <c r="AD34" s="62">
        <f t="shared" ref="AD34:AD40" si="71">AB34+AC34</f>
        <v>0</v>
      </c>
    </row>
    <row r="35" spans="1:104" x14ac:dyDescent="0.4">
      <c r="A35" s="34" t="s">
        <v>86</v>
      </c>
      <c r="B35" s="24">
        <v>0</v>
      </c>
      <c r="C35" s="7" t="s">
        <v>38</v>
      </c>
      <c r="D35" s="167">
        <v>0</v>
      </c>
      <c r="E35" s="21">
        <v>1</v>
      </c>
      <c r="F35" s="11">
        <v>0</v>
      </c>
      <c r="G35" s="11">
        <f t="shared" si="60"/>
        <v>0</v>
      </c>
      <c r="H35" s="11">
        <f t="shared" si="61"/>
        <v>0</v>
      </c>
      <c r="I35" s="59">
        <f t="shared" si="62"/>
        <v>0</v>
      </c>
      <c r="J35" s="24">
        <v>0</v>
      </c>
      <c r="K35" s="167">
        <v>0</v>
      </c>
      <c r="L35" s="11">
        <f t="shared" si="51"/>
        <v>0</v>
      </c>
      <c r="M35" s="11">
        <f t="shared" si="57"/>
        <v>0</v>
      </c>
      <c r="N35" s="86">
        <f t="shared" si="64"/>
        <v>0</v>
      </c>
      <c r="O35" s="59">
        <f t="shared" si="65"/>
        <v>0</v>
      </c>
      <c r="P35" s="24">
        <v>0</v>
      </c>
      <c r="Q35" s="167">
        <v>0</v>
      </c>
      <c r="R35" s="11">
        <f t="shared" si="53"/>
        <v>0</v>
      </c>
      <c r="S35" s="22">
        <f>P35*R35*Q35*E35</f>
        <v>0</v>
      </c>
      <c r="T35" s="22">
        <f t="shared" si="66"/>
        <v>0</v>
      </c>
      <c r="U35" s="62">
        <f t="shared" si="67"/>
        <v>0</v>
      </c>
      <c r="V35" s="24">
        <v>0</v>
      </c>
      <c r="W35" s="167">
        <v>0</v>
      </c>
      <c r="X35" s="11">
        <f t="shared" si="68"/>
        <v>0</v>
      </c>
      <c r="Y35" s="22">
        <f>V35*X35*W35*K35</f>
        <v>0</v>
      </c>
      <c r="Z35" s="22">
        <f t="shared" si="69"/>
        <v>0</v>
      </c>
      <c r="AA35" s="62">
        <f t="shared" si="70"/>
        <v>0</v>
      </c>
      <c r="AB35" s="76">
        <f t="shared" ref="AB35:AB40" si="72">H35+N35+T35+Z35</f>
        <v>0</v>
      </c>
      <c r="AC35" s="11">
        <f t="shared" ref="AC35:AC40" si="73">I35+O35+U35+AA35</f>
        <v>0</v>
      </c>
      <c r="AD35" s="62">
        <f t="shared" si="71"/>
        <v>0</v>
      </c>
    </row>
    <row r="36" spans="1:104" x14ac:dyDescent="0.4">
      <c r="A36" s="34" t="s">
        <v>87</v>
      </c>
      <c r="B36" s="24">
        <v>0</v>
      </c>
      <c r="C36" s="7" t="s">
        <v>39</v>
      </c>
      <c r="D36" s="167">
        <v>0</v>
      </c>
      <c r="E36" s="21">
        <v>1</v>
      </c>
      <c r="F36" s="11">
        <v>0</v>
      </c>
      <c r="G36" s="11">
        <f t="shared" si="60"/>
        <v>0</v>
      </c>
      <c r="H36" s="11">
        <f t="shared" si="61"/>
        <v>0</v>
      </c>
      <c r="I36" s="59">
        <f t="shared" si="62"/>
        <v>0</v>
      </c>
      <c r="J36" s="24">
        <v>0</v>
      </c>
      <c r="K36" s="167">
        <v>0</v>
      </c>
      <c r="L36" s="11">
        <f t="shared" ref="L36" si="74">F36*1.03</f>
        <v>0</v>
      </c>
      <c r="M36" s="11">
        <f t="shared" ref="M36" si="75">J36*L36*K36*E36</f>
        <v>0</v>
      </c>
      <c r="N36" s="86">
        <f t="shared" si="64"/>
        <v>0</v>
      </c>
      <c r="O36" s="59">
        <f t="shared" si="65"/>
        <v>0</v>
      </c>
      <c r="P36" s="24">
        <v>0</v>
      </c>
      <c r="Q36" s="167">
        <v>0</v>
      </c>
      <c r="R36" s="11">
        <f t="shared" ref="R36" si="76">L36*1.03</f>
        <v>0</v>
      </c>
      <c r="S36" s="22">
        <f t="shared" ref="S36" si="77">P36*R36*Q36*E36</f>
        <v>0</v>
      </c>
      <c r="T36" s="22">
        <f t="shared" si="66"/>
        <v>0</v>
      </c>
      <c r="U36" s="62">
        <f t="shared" si="67"/>
        <v>0</v>
      </c>
      <c r="V36" s="24">
        <v>0</v>
      </c>
      <c r="W36" s="167">
        <v>0</v>
      </c>
      <c r="X36" s="11">
        <f t="shared" si="68"/>
        <v>0</v>
      </c>
      <c r="Y36" s="22">
        <f t="shared" ref="Y36" si="78">V36*X36*W36*K36</f>
        <v>0</v>
      </c>
      <c r="Z36" s="22">
        <f t="shared" si="69"/>
        <v>0</v>
      </c>
      <c r="AA36" s="62">
        <f t="shared" si="70"/>
        <v>0</v>
      </c>
      <c r="AB36" s="76">
        <f t="shared" si="72"/>
        <v>0</v>
      </c>
      <c r="AC36" s="11">
        <f t="shared" si="73"/>
        <v>0</v>
      </c>
      <c r="AD36" s="62">
        <f t="shared" si="71"/>
        <v>0</v>
      </c>
    </row>
    <row r="37" spans="1:104" x14ac:dyDescent="0.4">
      <c r="A37" s="34" t="s">
        <v>86</v>
      </c>
      <c r="B37" s="24">
        <v>0</v>
      </c>
      <c r="C37" s="7" t="s">
        <v>38</v>
      </c>
      <c r="D37" s="167">
        <v>0</v>
      </c>
      <c r="E37" s="21">
        <v>1</v>
      </c>
      <c r="F37" s="11">
        <v>0</v>
      </c>
      <c r="G37" s="11">
        <f t="shared" si="60"/>
        <v>0</v>
      </c>
      <c r="H37" s="11">
        <f t="shared" si="61"/>
        <v>0</v>
      </c>
      <c r="I37" s="59">
        <f t="shared" si="62"/>
        <v>0</v>
      </c>
      <c r="J37" s="24">
        <v>0</v>
      </c>
      <c r="K37" s="167">
        <v>0</v>
      </c>
      <c r="L37" s="11">
        <f t="shared" ref="L37" si="79">F37*1.03</f>
        <v>0</v>
      </c>
      <c r="M37" s="11">
        <f t="shared" ref="M37" si="80">J37*L37*K37*E37</f>
        <v>0</v>
      </c>
      <c r="N37" s="86">
        <f t="shared" si="64"/>
        <v>0</v>
      </c>
      <c r="O37" s="59">
        <f t="shared" si="65"/>
        <v>0</v>
      </c>
      <c r="P37" s="24">
        <v>0</v>
      </c>
      <c r="Q37" s="167">
        <v>0</v>
      </c>
      <c r="R37" s="11">
        <f t="shared" ref="R37" si="81">L37*1.03</f>
        <v>0</v>
      </c>
      <c r="S37" s="22">
        <f>P37*R37*Q37*E37</f>
        <v>0</v>
      </c>
      <c r="T37" s="22">
        <f t="shared" si="66"/>
        <v>0</v>
      </c>
      <c r="U37" s="62">
        <f t="shared" si="67"/>
        <v>0</v>
      </c>
      <c r="V37" s="24">
        <v>0</v>
      </c>
      <c r="W37" s="167">
        <v>0</v>
      </c>
      <c r="X37" s="11">
        <f t="shared" si="68"/>
        <v>0</v>
      </c>
      <c r="Y37" s="22">
        <f>V37*X37*W37*K37</f>
        <v>0</v>
      </c>
      <c r="Z37" s="22">
        <f t="shared" si="69"/>
        <v>0</v>
      </c>
      <c r="AA37" s="62">
        <f t="shared" si="70"/>
        <v>0</v>
      </c>
      <c r="AB37" s="76">
        <f t="shared" si="72"/>
        <v>0</v>
      </c>
      <c r="AC37" s="11">
        <f t="shared" si="73"/>
        <v>0</v>
      </c>
      <c r="AD37" s="62">
        <f t="shared" si="71"/>
        <v>0</v>
      </c>
    </row>
    <row r="38" spans="1:104" x14ac:dyDescent="0.4">
      <c r="A38" s="34" t="s">
        <v>87</v>
      </c>
      <c r="B38" s="24">
        <v>0</v>
      </c>
      <c r="C38" s="7" t="s">
        <v>39</v>
      </c>
      <c r="D38" s="167">
        <v>0</v>
      </c>
      <c r="E38" s="21">
        <v>1</v>
      </c>
      <c r="F38" s="11">
        <v>0</v>
      </c>
      <c r="G38" s="11">
        <f t="shared" si="60"/>
        <v>0</v>
      </c>
      <c r="H38" s="11">
        <f t="shared" si="61"/>
        <v>0</v>
      </c>
      <c r="I38" s="59">
        <f t="shared" si="62"/>
        <v>0</v>
      </c>
      <c r="J38" s="24">
        <v>0</v>
      </c>
      <c r="K38" s="167">
        <v>0</v>
      </c>
      <c r="L38" s="11">
        <f t="shared" si="51"/>
        <v>0</v>
      </c>
      <c r="M38" s="11">
        <f t="shared" si="57"/>
        <v>0</v>
      </c>
      <c r="N38" s="86">
        <f t="shared" si="64"/>
        <v>0</v>
      </c>
      <c r="O38" s="59">
        <f t="shared" si="65"/>
        <v>0</v>
      </c>
      <c r="P38" s="24">
        <v>0</v>
      </c>
      <c r="Q38" s="167">
        <v>0</v>
      </c>
      <c r="R38" s="11">
        <f t="shared" si="53"/>
        <v>0</v>
      </c>
      <c r="S38" s="22">
        <f t="shared" ref="S38:S40" si="82">P38*R38*Q38*E38</f>
        <v>0</v>
      </c>
      <c r="T38" s="22">
        <f t="shared" si="66"/>
        <v>0</v>
      </c>
      <c r="U38" s="62">
        <f t="shared" si="67"/>
        <v>0</v>
      </c>
      <c r="V38" s="24">
        <v>0</v>
      </c>
      <c r="W38" s="167">
        <v>0</v>
      </c>
      <c r="X38" s="11">
        <f t="shared" si="68"/>
        <v>0</v>
      </c>
      <c r="Y38" s="22">
        <f t="shared" ref="Y38" si="83">V38*X38*W38*K38</f>
        <v>0</v>
      </c>
      <c r="Z38" s="22">
        <f t="shared" si="69"/>
        <v>0</v>
      </c>
      <c r="AA38" s="62">
        <f t="shared" si="70"/>
        <v>0</v>
      </c>
      <c r="AB38" s="76">
        <f t="shared" si="72"/>
        <v>0</v>
      </c>
      <c r="AC38" s="11">
        <f t="shared" si="73"/>
        <v>0</v>
      </c>
      <c r="AD38" s="62">
        <f t="shared" si="71"/>
        <v>0</v>
      </c>
    </row>
    <row r="39" spans="1:104" x14ac:dyDescent="0.4">
      <c r="A39" s="34" t="s">
        <v>41</v>
      </c>
      <c r="B39" s="24">
        <v>0</v>
      </c>
      <c r="C39" s="7" t="s">
        <v>42</v>
      </c>
      <c r="D39" s="181">
        <v>0</v>
      </c>
      <c r="E39" s="21">
        <v>1</v>
      </c>
      <c r="F39" s="22">
        <v>0</v>
      </c>
      <c r="G39" s="22">
        <f>B39*F39*D39</f>
        <v>0</v>
      </c>
      <c r="H39" s="22">
        <f>G39</f>
        <v>0</v>
      </c>
      <c r="I39" s="62">
        <f>G39-H39</f>
        <v>0</v>
      </c>
      <c r="J39" s="24">
        <v>0</v>
      </c>
      <c r="K39" s="181">
        <v>0</v>
      </c>
      <c r="L39" s="22">
        <f>F39*1.03</f>
        <v>0</v>
      </c>
      <c r="M39" s="22">
        <f>J39*L39*K39*E39</f>
        <v>0</v>
      </c>
      <c r="N39" s="182">
        <f>M39</f>
        <v>0</v>
      </c>
      <c r="O39" s="62">
        <f>M39-N39</f>
        <v>0</v>
      </c>
      <c r="P39" s="24">
        <v>0</v>
      </c>
      <c r="Q39" s="181">
        <v>0</v>
      </c>
      <c r="R39" s="22">
        <f>L39*1.03</f>
        <v>0</v>
      </c>
      <c r="S39" s="22">
        <f>P39*R39*Q39*E39</f>
        <v>0</v>
      </c>
      <c r="T39" s="22">
        <f>S39</f>
        <v>0</v>
      </c>
      <c r="U39" s="62">
        <f>S39-T39</f>
        <v>0</v>
      </c>
      <c r="V39" s="24">
        <v>0</v>
      </c>
      <c r="W39" s="181">
        <v>0</v>
      </c>
      <c r="X39" s="22">
        <f>R39*1.03</f>
        <v>0</v>
      </c>
      <c r="Y39" s="22">
        <f>V39*X39*W39*K39</f>
        <v>0</v>
      </c>
      <c r="Z39" s="22">
        <f>Y39</f>
        <v>0</v>
      </c>
      <c r="AA39" s="62">
        <f>Y39-Z39</f>
        <v>0</v>
      </c>
      <c r="AB39" s="76">
        <f t="shared" si="72"/>
        <v>0</v>
      </c>
      <c r="AC39" s="11">
        <f t="shared" si="73"/>
        <v>0</v>
      </c>
      <c r="AD39" s="62">
        <f>AB39+AC39</f>
        <v>0</v>
      </c>
    </row>
    <row r="40" spans="1:104" x14ac:dyDescent="0.4">
      <c r="A40" s="34" t="s">
        <v>37</v>
      </c>
      <c r="B40" s="24">
        <v>0</v>
      </c>
      <c r="C40" s="7" t="s">
        <v>33</v>
      </c>
      <c r="D40" s="167">
        <v>0</v>
      </c>
      <c r="E40" s="21">
        <v>1</v>
      </c>
      <c r="F40" s="11">
        <v>0</v>
      </c>
      <c r="G40" s="11">
        <f t="shared" si="60"/>
        <v>0</v>
      </c>
      <c r="H40" s="11">
        <f t="shared" si="61"/>
        <v>0</v>
      </c>
      <c r="I40" s="59">
        <f t="shared" si="62"/>
        <v>0</v>
      </c>
      <c r="J40" s="24">
        <v>0</v>
      </c>
      <c r="K40" s="167">
        <v>0</v>
      </c>
      <c r="L40" s="11">
        <f t="shared" si="51"/>
        <v>0</v>
      </c>
      <c r="M40" s="11">
        <f t="shared" si="57"/>
        <v>0</v>
      </c>
      <c r="N40" s="86">
        <f t="shared" si="64"/>
        <v>0</v>
      </c>
      <c r="O40" s="59">
        <f t="shared" si="65"/>
        <v>0</v>
      </c>
      <c r="P40" s="24">
        <v>0</v>
      </c>
      <c r="Q40" s="167">
        <v>0</v>
      </c>
      <c r="R40" s="11">
        <f t="shared" si="53"/>
        <v>0</v>
      </c>
      <c r="S40" s="22">
        <f t="shared" si="82"/>
        <v>0</v>
      </c>
      <c r="T40" s="22">
        <f t="shared" si="66"/>
        <v>0</v>
      </c>
      <c r="U40" s="62">
        <f t="shared" si="67"/>
        <v>0</v>
      </c>
      <c r="V40" s="24">
        <v>0</v>
      </c>
      <c r="W40" s="167">
        <v>0</v>
      </c>
      <c r="X40" s="11">
        <f t="shared" ref="X40" si="84">R40*1.03</f>
        <v>0</v>
      </c>
      <c r="Y40" s="22">
        <f t="shared" ref="Y40" si="85">V40*X40*W40*K40</f>
        <v>0</v>
      </c>
      <c r="Z40" s="22">
        <f t="shared" ref="Z40" si="86">Y40</f>
        <v>0</v>
      </c>
      <c r="AA40" s="62">
        <f t="shared" ref="AA40" si="87">Y40-Z40</f>
        <v>0</v>
      </c>
      <c r="AB40" s="76">
        <f t="shared" si="72"/>
        <v>0</v>
      </c>
      <c r="AC40" s="11">
        <f t="shared" si="73"/>
        <v>0</v>
      </c>
      <c r="AD40" s="62">
        <f t="shared" si="71"/>
        <v>0</v>
      </c>
    </row>
    <row r="41" spans="1:104" x14ac:dyDescent="0.4">
      <c r="A41" s="63" t="s">
        <v>88</v>
      </c>
      <c r="B41" s="87"/>
      <c r="C41" s="32"/>
      <c r="D41" s="165"/>
      <c r="E41" s="65"/>
      <c r="F41" s="66"/>
      <c r="G41" s="66">
        <f>SUM(G28:G40)</f>
        <v>0</v>
      </c>
      <c r="H41" s="66">
        <f t="shared" ref="H41:I41" si="88">SUM(H28:H40)</f>
        <v>0</v>
      </c>
      <c r="I41" s="66">
        <f t="shared" si="88"/>
        <v>0</v>
      </c>
      <c r="J41" s="88"/>
      <c r="K41" s="89"/>
      <c r="L41" s="66"/>
      <c r="M41" s="66">
        <f>SUM(M28:M40)</f>
        <v>0</v>
      </c>
      <c r="N41" s="66">
        <f t="shared" ref="N41" si="89">SUM(N28:N40)</f>
        <v>0</v>
      </c>
      <c r="O41" s="66">
        <f t="shared" ref="O41" si="90">SUM(O28:O40)</f>
        <v>0</v>
      </c>
      <c r="P41" s="88"/>
      <c r="Q41" s="89"/>
      <c r="R41" s="66"/>
      <c r="S41" s="66">
        <f>SUM(S28:S40)</f>
        <v>0</v>
      </c>
      <c r="T41" s="66">
        <f t="shared" ref="T41" si="91">SUM(T28:T40)</f>
        <v>0</v>
      </c>
      <c r="U41" s="66">
        <f t="shared" ref="U41" si="92">SUM(U28:U40)</f>
        <v>0</v>
      </c>
      <c r="V41" s="88"/>
      <c r="W41" s="89"/>
      <c r="X41" s="66"/>
      <c r="Y41" s="66">
        <f>SUM(Y28:Y40)</f>
        <v>0</v>
      </c>
      <c r="Z41" s="66">
        <f t="shared" ref="Z41:AA41" si="93">SUM(Z28:Z40)</f>
        <v>0</v>
      </c>
      <c r="AA41" s="66">
        <f t="shared" si="93"/>
        <v>0</v>
      </c>
      <c r="AB41" s="66">
        <f>SUM(AB28:AB40)</f>
        <v>0</v>
      </c>
      <c r="AC41" s="66">
        <f t="shared" ref="AC41" si="94">SUM(AC28:AC40)</f>
        <v>0</v>
      </c>
      <c r="AD41" s="66">
        <f t="shared" ref="AD41" si="95">SUM(AD28:AD40)</f>
        <v>0</v>
      </c>
    </row>
    <row r="42" spans="1:104" x14ac:dyDescent="0.4">
      <c r="A42" s="45" t="s">
        <v>43</v>
      </c>
      <c r="B42" s="27"/>
      <c r="C42" s="31"/>
      <c r="D42" s="166"/>
      <c r="E42" s="68"/>
      <c r="F42" s="69"/>
      <c r="G42" s="69"/>
      <c r="H42" s="90"/>
      <c r="I42" s="91"/>
      <c r="J42" s="27"/>
      <c r="K42" s="31"/>
      <c r="L42" s="69"/>
      <c r="M42" s="69"/>
      <c r="N42" s="90"/>
      <c r="O42" s="91"/>
      <c r="P42" s="27"/>
      <c r="Q42" s="31"/>
      <c r="R42" s="69"/>
      <c r="S42" s="69"/>
      <c r="T42" s="90"/>
      <c r="U42" s="91"/>
      <c r="V42" s="27"/>
      <c r="W42" s="31"/>
      <c r="X42" s="69"/>
      <c r="Y42" s="69"/>
      <c r="Z42" s="90"/>
      <c r="AA42" s="91"/>
      <c r="AB42" s="92"/>
      <c r="AC42" s="90"/>
      <c r="AD42" s="74"/>
    </row>
    <row r="43" spans="1:104" x14ac:dyDescent="0.4">
      <c r="A43" s="34" t="s">
        <v>46</v>
      </c>
      <c r="B43" s="24">
        <v>0</v>
      </c>
      <c r="C43" s="7" t="s">
        <v>33</v>
      </c>
      <c r="D43" s="164">
        <v>0</v>
      </c>
      <c r="E43" s="21">
        <v>1</v>
      </c>
      <c r="F43" s="11">
        <v>0</v>
      </c>
      <c r="G43" s="22">
        <f t="shared" ref="G43:G47" si="96">B43*F43*D43*E43</f>
        <v>0</v>
      </c>
      <c r="H43" s="22">
        <f t="shared" ref="H43:H47" si="97">G43</f>
        <v>0</v>
      </c>
      <c r="I43" s="62">
        <f t="shared" ref="I43:I47" si="98">G43-H43</f>
        <v>0</v>
      </c>
      <c r="J43" s="24">
        <v>0</v>
      </c>
      <c r="K43" s="7">
        <v>0</v>
      </c>
      <c r="L43" s="22">
        <f t="shared" ref="L43:L47" si="99">F43</f>
        <v>0</v>
      </c>
      <c r="M43" s="22">
        <f t="shared" ref="M43:M47" si="100">J43*L43*K43*E43</f>
        <v>0</v>
      </c>
      <c r="N43" s="22">
        <f t="shared" ref="N43" si="101">M43</f>
        <v>0</v>
      </c>
      <c r="O43" s="62">
        <f t="shared" ref="O43:O47" si="102">M43-N43</f>
        <v>0</v>
      </c>
      <c r="P43" s="24">
        <v>0</v>
      </c>
      <c r="Q43" s="7">
        <v>0</v>
      </c>
      <c r="R43" s="22">
        <f t="shared" ref="R43:R47" si="103">L43</f>
        <v>0</v>
      </c>
      <c r="S43" s="22">
        <f t="shared" ref="S43:S47" si="104">P43*R43*Q43*E43</f>
        <v>0</v>
      </c>
      <c r="T43" s="22">
        <f t="shared" ref="T43:T47" si="105">S43</f>
        <v>0</v>
      </c>
      <c r="U43" s="62">
        <f t="shared" ref="U43:U47" si="106">S43-T43</f>
        <v>0</v>
      </c>
      <c r="V43" s="24">
        <v>0</v>
      </c>
      <c r="W43" s="7">
        <v>0</v>
      </c>
      <c r="X43" s="22">
        <f t="shared" ref="X43:X47" si="107">R43</f>
        <v>0</v>
      </c>
      <c r="Y43" s="22">
        <f t="shared" ref="Y43:Y47" si="108">V43*X43*W43*K43</f>
        <v>0</v>
      </c>
      <c r="Z43" s="22">
        <f t="shared" ref="Z43:Z47" si="109">Y43</f>
        <v>0</v>
      </c>
      <c r="AA43" s="62">
        <f t="shared" ref="AA43:AA47" si="110">Y43-Z43</f>
        <v>0</v>
      </c>
      <c r="AB43" s="76">
        <f t="shared" ref="AB43:AB47" si="111">H43+N43+T43+Z43</f>
        <v>0</v>
      </c>
      <c r="AC43" s="11">
        <f t="shared" ref="AC43:AC47" si="112">I43+O43+U43+AA43</f>
        <v>0</v>
      </c>
      <c r="AD43" s="62">
        <f t="shared" ref="AD43:AD47" si="113">AB43+AC43</f>
        <v>0</v>
      </c>
    </row>
    <row r="44" spans="1:104" x14ac:dyDescent="0.4">
      <c r="A44" s="34" t="s">
        <v>52</v>
      </c>
      <c r="B44" s="24">
        <v>0</v>
      </c>
      <c r="C44" s="7" t="s">
        <v>53</v>
      </c>
      <c r="D44" s="164">
        <v>0</v>
      </c>
      <c r="E44" s="21">
        <v>1</v>
      </c>
      <c r="F44" s="11">
        <v>0</v>
      </c>
      <c r="G44" s="22">
        <f t="shared" ref="G44:G45" si="114">B44*F44*D44*E44</f>
        <v>0</v>
      </c>
      <c r="H44" s="22">
        <f t="shared" ref="H44:H45" si="115">G44</f>
        <v>0</v>
      </c>
      <c r="I44" s="62">
        <f t="shared" ref="I44:I45" si="116">G44-H44</f>
        <v>0</v>
      </c>
      <c r="J44" s="24">
        <v>0</v>
      </c>
      <c r="K44" s="7">
        <v>0</v>
      </c>
      <c r="L44" s="22">
        <f t="shared" ref="L44:L45" si="117">F44</f>
        <v>0</v>
      </c>
      <c r="M44" s="22">
        <f t="shared" ref="M44:M45" si="118">J44*L44*K44*E44</f>
        <v>0</v>
      </c>
      <c r="N44" s="22">
        <f t="shared" ref="N44:N45" si="119">M44</f>
        <v>0</v>
      </c>
      <c r="O44" s="62">
        <f t="shared" ref="O44:O45" si="120">M44-N44</f>
        <v>0</v>
      </c>
      <c r="P44" s="24">
        <v>0</v>
      </c>
      <c r="Q44" s="7">
        <v>0</v>
      </c>
      <c r="R44" s="22">
        <f t="shared" ref="R44:R45" si="121">L44</f>
        <v>0</v>
      </c>
      <c r="S44" s="22">
        <f t="shared" ref="S44:S45" si="122">P44*R44*Q44*E44</f>
        <v>0</v>
      </c>
      <c r="T44" s="22">
        <f t="shared" ref="T44:T45" si="123">S44</f>
        <v>0</v>
      </c>
      <c r="U44" s="62">
        <f t="shared" ref="U44:U45" si="124">S44-T44</f>
        <v>0</v>
      </c>
      <c r="V44" s="24">
        <v>0</v>
      </c>
      <c r="W44" s="7">
        <v>0</v>
      </c>
      <c r="X44" s="22">
        <f t="shared" si="107"/>
        <v>0</v>
      </c>
      <c r="Y44" s="22">
        <f t="shared" si="108"/>
        <v>0</v>
      </c>
      <c r="Z44" s="22">
        <f t="shared" si="109"/>
        <v>0</v>
      </c>
      <c r="AA44" s="62">
        <f t="shared" si="110"/>
        <v>0</v>
      </c>
      <c r="AB44" s="76">
        <f t="shared" si="111"/>
        <v>0</v>
      </c>
      <c r="AC44" s="11">
        <f t="shared" si="112"/>
        <v>0</v>
      </c>
      <c r="AD44" s="62">
        <f t="shared" ref="AD44:AD45" si="125">AB44+AC44</f>
        <v>0</v>
      </c>
    </row>
    <row r="45" spans="1:104" x14ac:dyDescent="0.4">
      <c r="A45" s="34" t="s">
        <v>54</v>
      </c>
      <c r="B45" s="24">
        <v>0</v>
      </c>
      <c r="C45" s="7" t="s">
        <v>53</v>
      </c>
      <c r="D45" s="164">
        <v>0</v>
      </c>
      <c r="E45" s="21">
        <v>1</v>
      </c>
      <c r="F45" s="11">
        <v>0</v>
      </c>
      <c r="G45" s="22">
        <f t="shared" si="114"/>
        <v>0</v>
      </c>
      <c r="H45" s="22">
        <f t="shared" si="115"/>
        <v>0</v>
      </c>
      <c r="I45" s="62">
        <f t="shared" si="116"/>
        <v>0</v>
      </c>
      <c r="J45" s="24">
        <v>0</v>
      </c>
      <c r="K45" s="7">
        <v>0</v>
      </c>
      <c r="L45" s="22">
        <f t="shared" si="117"/>
        <v>0</v>
      </c>
      <c r="M45" s="22">
        <f t="shared" si="118"/>
        <v>0</v>
      </c>
      <c r="N45" s="22">
        <f t="shared" si="119"/>
        <v>0</v>
      </c>
      <c r="O45" s="62">
        <f t="shared" si="120"/>
        <v>0</v>
      </c>
      <c r="P45" s="24">
        <v>0</v>
      </c>
      <c r="Q45" s="7">
        <v>0</v>
      </c>
      <c r="R45" s="22">
        <f t="shared" si="121"/>
        <v>0</v>
      </c>
      <c r="S45" s="22">
        <f t="shared" si="122"/>
        <v>0</v>
      </c>
      <c r="T45" s="22">
        <f t="shared" si="123"/>
        <v>0</v>
      </c>
      <c r="U45" s="62">
        <f t="shared" si="124"/>
        <v>0</v>
      </c>
      <c r="V45" s="24">
        <v>0</v>
      </c>
      <c r="W45" s="7">
        <v>0</v>
      </c>
      <c r="X45" s="22">
        <f t="shared" si="107"/>
        <v>0</v>
      </c>
      <c r="Y45" s="22">
        <f t="shared" si="108"/>
        <v>0</v>
      </c>
      <c r="Z45" s="22">
        <f t="shared" si="109"/>
        <v>0</v>
      </c>
      <c r="AA45" s="62">
        <f t="shared" si="110"/>
        <v>0</v>
      </c>
      <c r="AB45" s="76">
        <f t="shared" si="111"/>
        <v>0</v>
      </c>
      <c r="AC45" s="11">
        <f t="shared" si="112"/>
        <v>0</v>
      </c>
      <c r="AD45" s="62">
        <f t="shared" si="125"/>
        <v>0</v>
      </c>
    </row>
    <row r="46" spans="1:104" x14ac:dyDescent="0.4">
      <c r="A46" s="34" t="s">
        <v>98</v>
      </c>
      <c r="B46" s="24">
        <v>0</v>
      </c>
      <c r="C46" s="7" t="s">
        <v>53</v>
      </c>
      <c r="D46" s="164">
        <v>0</v>
      </c>
      <c r="E46" s="21">
        <v>1</v>
      </c>
      <c r="F46" s="11">
        <v>0</v>
      </c>
      <c r="G46" s="22">
        <f t="shared" si="96"/>
        <v>0</v>
      </c>
      <c r="H46" s="22">
        <f t="shared" si="97"/>
        <v>0</v>
      </c>
      <c r="I46" s="62">
        <f t="shared" si="98"/>
        <v>0</v>
      </c>
      <c r="J46" s="24">
        <v>0</v>
      </c>
      <c r="K46" s="7">
        <v>0</v>
      </c>
      <c r="L46" s="22">
        <f t="shared" si="99"/>
        <v>0</v>
      </c>
      <c r="M46" s="22">
        <f t="shared" si="100"/>
        <v>0</v>
      </c>
      <c r="N46" s="22">
        <f t="shared" ref="N46:N47" si="126">M46</f>
        <v>0</v>
      </c>
      <c r="O46" s="62">
        <f t="shared" si="102"/>
        <v>0</v>
      </c>
      <c r="P46" s="24">
        <v>0</v>
      </c>
      <c r="Q46" s="7">
        <v>0</v>
      </c>
      <c r="R46" s="22">
        <f t="shared" si="103"/>
        <v>0</v>
      </c>
      <c r="S46" s="22">
        <f t="shared" si="104"/>
        <v>0</v>
      </c>
      <c r="T46" s="22">
        <f t="shared" si="105"/>
        <v>0</v>
      </c>
      <c r="U46" s="62">
        <f t="shared" si="106"/>
        <v>0</v>
      </c>
      <c r="V46" s="24">
        <v>0</v>
      </c>
      <c r="W46" s="7">
        <v>0</v>
      </c>
      <c r="X46" s="22">
        <f t="shared" si="107"/>
        <v>0</v>
      </c>
      <c r="Y46" s="22">
        <f t="shared" si="108"/>
        <v>0</v>
      </c>
      <c r="Z46" s="22">
        <f t="shared" si="109"/>
        <v>0</v>
      </c>
      <c r="AA46" s="62">
        <f t="shared" si="110"/>
        <v>0</v>
      </c>
      <c r="AB46" s="76">
        <f t="shared" si="111"/>
        <v>0</v>
      </c>
      <c r="AC46" s="11">
        <f t="shared" si="112"/>
        <v>0</v>
      </c>
      <c r="AD46" s="62">
        <f t="shared" si="113"/>
        <v>0</v>
      </c>
    </row>
    <row r="47" spans="1:104" x14ac:dyDescent="0.4">
      <c r="A47" s="34" t="s">
        <v>98</v>
      </c>
      <c r="B47" s="24">
        <v>0</v>
      </c>
      <c r="C47" s="7" t="s">
        <v>53</v>
      </c>
      <c r="D47" s="164">
        <v>0</v>
      </c>
      <c r="E47" s="21">
        <v>1</v>
      </c>
      <c r="F47" s="11">
        <v>0</v>
      </c>
      <c r="G47" s="22">
        <f t="shared" si="96"/>
        <v>0</v>
      </c>
      <c r="H47" s="22">
        <f t="shared" si="97"/>
        <v>0</v>
      </c>
      <c r="I47" s="62">
        <f t="shared" si="98"/>
        <v>0</v>
      </c>
      <c r="J47" s="24">
        <v>0</v>
      </c>
      <c r="K47" s="7">
        <v>0</v>
      </c>
      <c r="L47" s="22">
        <f t="shared" si="99"/>
        <v>0</v>
      </c>
      <c r="M47" s="22">
        <f t="shared" si="100"/>
        <v>0</v>
      </c>
      <c r="N47" s="22">
        <f t="shared" si="126"/>
        <v>0</v>
      </c>
      <c r="O47" s="62">
        <f t="shared" si="102"/>
        <v>0</v>
      </c>
      <c r="P47" s="24">
        <v>0</v>
      </c>
      <c r="Q47" s="7">
        <v>0</v>
      </c>
      <c r="R47" s="22">
        <f t="shared" si="103"/>
        <v>0</v>
      </c>
      <c r="S47" s="22">
        <f t="shared" si="104"/>
        <v>0</v>
      </c>
      <c r="T47" s="22">
        <f t="shared" si="105"/>
        <v>0</v>
      </c>
      <c r="U47" s="62">
        <f t="shared" si="106"/>
        <v>0</v>
      </c>
      <c r="V47" s="24">
        <v>0</v>
      </c>
      <c r="W47" s="7">
        <v>0</v>
      </c>
      <c r="X47" s="22">
        <f t="shared" si="107"/>
        <v>0</v>
      </c>
      <c r="Y47" s="22">
        <f t="shared" si="108"/>
        <v>0</v>
      </c>
      <c r="Z47" s="22">
        <f t="shared" si="109"/>
        <v>0</v>
      </c>
      <c r="AA47" s="62">
        <f t="shared" si="110"/>
        <v>0</v>
      </c>
      <c r="AB47" s="76">
        <f t="shared" si="111"/>
        <v>0</v>
      </c>
      <c r="AC47" s="11">
        <f t="shared" si="112"/>
        <v>0</v>
      </c>
      <c r="AD47" s="62">
        <f t="shared" si="113"/>
        <v>0</v>
      </c>
    </row>
    <row r="48" spans="1:104" s="10" customFormat="1" x14ac:dyDescent="0.4">
      <c r="A48" s="63" t="s">
        <v>91</v>
      </c>
      <c r="B48" s="35"/>
      <c r="C48" s="80"/>
      <c r="D48" s="79"/>
      <c r="E48" s="93"/>
      <c r="F48" s="12"/>
      <c r="G48" s="66">
        <f>SUM(G43:G47)</f>
        <v>0</v>
      </c>
      <c r="H48" s="66">
        <f>SUM(H43:H47)</f>
        <v>0</v>
      </c>
      <c r="I48" s="66">
        <f>SUM(I43:I47)</f>
        <v>0</v>
      </c>
      <c r="J48" s="88"/>
      <c r="K48" s="89"/>
      <c r="L48" s="66"/>
      <c r="M48" s="66">
        <f>SUM(M43:M47)</f>
        <v>0</v>
      </c>
      <c r="N48" s="66">
        <f>SUM(N43:N47)</f>
        <v>0</v>
      </c>
      <c r="O48" s="66">
        <f>SUM(O43:O47)</f>
        <v>0</v>
      </c>
      <c r="P48" s="88"/>
      <c r="Q48" s="89"/>
      <c r="R48" s="66"/>
      <c r="S48" s="66">
        <f>SUM(S43:S47)</f>
        <v>0</v>
      </c>
      <c r="T48" s="66">
        <f>SUM(T43:T47)</f>
        <v>0</v>
      </c>
      <c r="U48" s="66">
        <f>SUM(U43:U47)</f>
        <v>0</v>
      </c>
      <c r="V48" s="88"/>
      <c r="W48" s="89"/>
      <c r="X48" s="66"/>
      <c r="Y48" s="66">
        <f t="shared" ref="Y48:AD48" si="127">SUM(Y43:Y47)</f>
        <v>0</v>
      </c>
      <c r="Z48" s="66">
        <f t="shared" si="127"/>
        <v>0</v>
      </c>
      <c r="AA48" s="66">
        <f t="shared" si="127"/>
        <v>0</v>
      </c>
      <c r="AB48" s="66">
        <f t="shared" si="127"/>
        <v>0</v>
      </c>
      <c r="AC48" s="66">
        <f t="shared" si="127"/>
        <v>0</v>
      </c>
      <c r="AD48" s="66">
        <f t="shared" si="127"/>
        <v>0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</row>
    <row r="49" spans="1:30" x14ac:dyDescent="0.4">
      <c r="A49" s="45" t="s">
        <v>55</v>
      </c>
      <c r="B49" s="27"/>
      <c r="C49" s="31"/>
      <c r="D49" s="31"/>
      <c r="E49" s="68"/>
      <c r="F49" s="69"/>
      <c r="G49" s="69"/>
      <c r="H49" s="69"/>
      <c r="I49" s="94"/>
      <c r="J49" s="23"/>
      <c r="K49" s="95"/>
      <c r="L49" s="96"/>
      <c r="M49" s="96"/>
      <c r="N49" s="97"/>
      <c r="O49" s="98"/>
      <c r="P49" s="23"/>
      <c r="Q49" s="95"/>
      <c r="R49" s="96"/>
      <c r="S49" s="96"/>
      <c r="T49" s="97"/>
      <c r="U49" s="98"/>
      <c r="V49" s="23"/>
      <c r="W49" s="95"/>
      <c r="X49" s="96"/>
      <c r="Y49" s="96"/>
      <c r="Z49" s="97"/>
      <c r="AA49" s="98"/>
      <c r="AB49" s="99"/>
      <c r="AC49" s="97"/>
      <c r="AD49" s="100"/>
    </row>
    <row r="50" spans="1:30" x14ac:dyDescent="0.4">
      <c r="A50" s="34" t="s">
        <v>96</v>
      </c>
      <c r="B50" s="24">
        <v>0</v>
      </c>
      <c r="C50" s="101" t="s">
        <v>33</v>
      </c>
      <c r="D50" s="7">
        <v>0</v>
      </c>
      <c r="E50" s="21">
        <v>1</v>
      </c>
      <c r="F50" s="22">
        <v>0</v>
      </c>
      <c r="G50" s="22">
        <f t="shared" ref="G50" si="128">B50*D50*E50*F50</f>
        <v>0</v>
      </c>
      <c r="H50" s="22">
        <f t="shared" ref="H50:H53" si="129">G50</f>
        <v>0</v>
      </c>
      <c r="I50" s="62">
        <f t="shared" ref="I50:I53" si="130">G50-H50</f>
        <v>0</v>
      </c>
      <c r="J50" s="24">
        <f>B50</f>
        <v>0</v>
      </c>
      <c r="K50" s="7">
        <v>0</v>
      </c>
      <c r="L50" s="22">
        <f t="shared" ref="L50" si="131">F50</f>
        <v>0</v>
      </c>
      <c r="M50" s="22">
        <f t="shared" ref="M50" si="132">J50*K50*L50*E50</f>
        <v>0</v>
      </c>
      <c r="N50" s="22">
        <f t="shared" ref="N50:N53" si="133">M50</f>
        <v>0</v>
      </c>
      <c r="O50" s="62">
        <v>0</v>
      </c>
      <c r="P50" s="24">
        <v>0</v>
      </c>
      <c r="Q50" s="7">
        <v>0</v>
      </c>
      <c r="R50" s="22">
        <f t="shared" ref="R50" si="134">L50</f>
        <v>0</v>
      </c>
      <c r="S50" s="22">
        <f t="shared" ref="S50" si="135">P50*R50*Q50*E50</f>
        <v>0</v>
      </c>
      <c r="T50" s="22">
        <f t="shared" ref="T50:T53" si="136">S50</f>
        <v>0</v>
      </c>
      <c r="U50" s="62">
        <f t="shared" ref="U50:U53" si="137">S50-T50</f>
        <v>0</v>
      </c>
      <c r="V50" s="24">
        <v>0</v>
      </c>
      <c r="W50" s="7">
        <v>0</v>
      </c>
      <c r="X50" s="22">
        <f t="shared" ref="X50:X51" si="138">R50</f>
        <v>0</v>
      </c>
      <c r="Y50" s="22">
        <f t="shared" ref="Y50:Y51" si="139">V50*X50*W50*K50</f>
        <v>0</v>
      </c>
      <c r="Z50" s="22">
        <f t="shared" ref="Z50:Z51" si="140">Y50</f>
        <v>0</v>
      </c>
      <c r="AA50" s="62">
        <f t="shared" ref="AA50:AA51" si="141">Y50-Z50</f>
        <v>0</v>
      </c>
      <c r="AB50" s="76">
        <f t="shared" ref="AB50:AB53" si="142">H50+N50+T50+Z50</f>
        <v>0</v>
      </c>
      <c r="AC50" s="11">
        <f t="shared" ref="AC50:AC53" si="143">I50+O50+U50+AA50</f>
        <v>0</v>
      </c>
      <c r="AD50" s="62">
        <f t="shared" ref="AD50:AD53" si="144">AB50+AC50</f>
        <v>0</v>
      </c>
    </row>
    <row r="51" spans="1:30" x14ac:dyDescent="0.4">
      <c r="A51" s="34" t="s">
        <v>96</v>
      </c>
      <c r="B51" s="24">
        <v>0</v>
      </c>
      <c r="C51" s="101" t="s">
        <v>33</v>
      </c>
      <c r="D51" s="7">
        <v>0</v>
      </c>
      <c r="E51" s="21">
        <v>1</v>
      </c>
      <c r="F51" s="22">
        <v>0</v>
      </c>
      <c r="G51" s="22">
        <f t="shared" ref="G51:G53" si="145">B51*D51*E51*F51</f>
        <v>0</v>
      </c>
      <c r="H51" s="22">
        <f t="shared" si="129"/>
        <v>0</v>
      </c>
      <c r="I51" s="62">
        <f t="shared" si="130"/>
        <v>0</v>
      </c>
      <c r="J51" s="24">
        <v>0</v>
      </c>
      <c r="K51" s="7">
        <v>0</v>
      </c>
      <c r="L51" s="22">
        <f t="shared" ref="L51:L53" si="146">F51</f>
        <v>0</v>
      </c>
      <c r="M51" s="22">
        <f t="shared" ref="M51:M53" si="147">J51*K51*L51*E51</f>
        <v>0</v>
      </c>
      <c r="N51" s="22">
        <f t="shared" si="133"/>
        <v>0</v>
      </c>
      <c r="O51" s="62">
        <v>0</v>
      </c>
      <c r="P51" s="24">
        <v>0</v>
      </c>
      <c r="Q51" s="7">
        <v>0</v>
      </c>
      <c r="R51" s="22">
        <f t="shared" ref="R51:R53" si="148">L51</f>
        <v>0</v>
      </c>
      <c r="S51" s="22">
        <f t="shared" ref="S51:S53" si="149">P51*R51*Q51*E51</f>
        <v>0</v>
      </c>
      <c r="T51" s="22">
        <f t="shared" si="136"/>
        <v>0</v>
      </c>
      <c r="U51" s="62">
        <f t="shared" si="137"/>
        <v>0</v>
      </c>
      <c r="V51" s="24">
        <v>0</v>
      </c>
      <c r="W51" s="7">
        <v>0</v>
      </c>
      <c r="X51" s="22">
        <f t="shared" si="138"/>
        <v>0</v>
      </c>
      <c r="Y51" s="22">
        <f t="shared" si="139"/>
        <v>0</v>
      </c>
      <c r="Z51" s="22">
        <f t="shared" si="140"/>
        <v>0</v>
      </c>
      <c r="AA51" s="62">
        <f t="shared" si="141"/>
        <v>0</v>
      </c>
      <c r="AB51" s="76">
        <f t="shared" si="142"/>
        <v>0</v>
      </c>
      <c r="AC51" s="11">
        <f t="shared" si="143"/>
        <v>0</v>
      </c>
      <c r="AD51" s="62">
        <f t="shared" si="144"/>
        <v>0</v>
      </c>
    </row>
    <row r="52" spans="1:30" x14ac:dyDescent="0.4">
      <c r="A52" s="34" t="s">
        <v>96</v>
      </c>
      <c r="B52" s="24">
        <v>0</v>
      </c>
      <c r="C52" s="7" t="s">
        <v>33</v>
      </c>
      <c r="D52" s="7">
        <v>0</v>
      </c>
      <c r="E52" s="21">
        <v>1</v>
      </c>
      <c r="F52" s="22">
        <v>0</v>
      </c>
      <c r="G52" s="22">
        <f>B52*D52*E52*F52</f>
        <v>0</v>
      </c>
      <c r="H52" s="22">
        <f>G52</f>
        <v>0</v>
      </c>
      <c r="I52" s="62">
        <f>G52-H52</f>
        <v>0</v>
      </c>
      <c r="J52" s="24">
        <v>0</v>
      </c>
      <c r="K52" s="7">
        <v>0</v>
      </c>
      <c r="L52" s="22">
        <f>F52</f>
        <v>0</v>
      </c>
      <c r="M52" s="22">
        <f>E52*J52*K52*L52</f>
        <v>0</v>
      </c>
      <c r="N52" s="22">
        <f>M52</f>
        <v>0</v>
      </c>
      <c r="O52" s="62">
        <f>M52-N52</f>
        <v>0</v>
      </c>
      <c r="P52" s="24">
        <v>0</v>
      </c>
      <c r="Q52" s="7">
        <v>0</v>
      </c>
      <c r="R52" s="22">
        <f>L52</f>
        <v>0</v>
      </c>
      <c r="S52" s="22">
        <f>E52*P52*Q52*R52</f>
        <v>0</v>
      </c>
      <c r="T52" s="22">
        <f>S52</f>
        <v>0</v>
      </c>
      <c r="U52" s="62">
        <f>S52-T52</f>
        <v>0</v>
      </c>
      <c r="V52" s="24">
        <v>0</v>
      </c>
      <c r="W52" s="7">
        <v>0</v>
      </c>
      <c r="X52" s="22">
        <f>R52</f>
        <v>0</v>
      </c>
      <c r="Y52" s="22">
        <f>K52*V52*W52*X52</f>
        <v>0</v>
      </c>
      <c r="Z52" s="22">
        <f>Y52</f>
        <v>0</v>
      </c>
      <c r="AA52" s="62">
        <f>Y52-Z52</f>
        <v>0</v>
      </c>
      <c r="AB52" s="76">
        <f t="shared" si="142"/>
        <v>0</v>
      </c>
      <c r="AC52" s="11">
        <f t="shared" si="143"/>
        <v>0</v>
      </c>
      <c r="AD52" s="62">
        <f>AB52</f>
        <v>0</v>
      </c>
    </row>
    <row r="53" spans="1:30" x14ac:dyDescent="0.4">
      <c r="A53" s="34" t="s">
        <v>97</v>
      </c>
      <c r="B53" s="24">
        <v>0</v>
      </c>
      <c r="C53" s="101" t="s">
        <v>56</v>
      </c>
      <c r="D53" s="7">
        <v>0</v>
      </c>
      <c r="E53" s="21">
        <v>1</v>
      </c>
      <c r="F53" s="22">
        <v>0</v>
      </c>
      <c r="G53" s="22">
        <f t="shared" si="145"/>
        <v>0</v>
      </c>
      <c r="H53" s="22">
        <f t="shared" si="129"/>
        <v>0</v>
      </c>
      <c r="I53" s="62">
        <f t="shared" si="130"/>
        <v>0</v>
      </c>
      <c r="J53" s="24">
        <f>B53</f>
        <v>0</v>
      </c>
      <c r="K53" s="7">
        <v>0</v>
      </c>
      <c r="L53" s="22">
        <f t="shared" si="146"/>
        <v>0</v>
      </c>
      <c r="M53" s="22">
        <f t="shared" si="147"/>
        <v>0</v>
      </c>
      <c r="N53" s="22">
        <f t="shared" si="133"/>
        <v>0</v>
      </c>
      <c r="O53" s="62">
        <v>0</v>
      </c>
      <c r="P53" s="24">
        <v>0</v>
      </c>
      <c r="Q53" s="7">
        <v>0</v>
      </c>
      <c r="R53" s="22">
        <f t="shared" si="148"/>
        <v>0</v>
      </c>
      <c r="S53" s="22">
        <f t="shared" si="149"/>
        <v>0</v>
      </c>
      <c r="T53" s="22">
        <f t="shared" si="136"/>
        <v>0</v>
      </c>
      <c r="U53" s="62">
        <f t="shared" si="137"/>
        <v>0</v>
      </c>
      <c r="V53" s="24">
        <v>0</v>
      </c>
      <c r="W53" s="7">
        <v>0</v>
      </c>
      <c r="X53" s="22">
        <f t="shared" ref="X53" si="150">R53</f>
        <v>0</v>
      </c>
      <c r="Y53" s="22">
        <f t="shared" ref="Y53" si="151">V53*X53*W53*K53</f>
        <v>0</v>
      </c>
      <c r="Z53" s="22">
        <f t="shared" ref="Z53" si="152">Y53</f>
        <v>0</v>
      </c>
      <c r="AA53" s="62">
        <f t="shared" ref="AA53" si="153">Y53-Z53</f>
        <v>0</v>
      </c>
      <c r="AB53" s="76">
        <f t="shared" si="142"/>
        <v>0</v>
      </c>
      <c r="AC53" s="11">
        <f t="shared" si="143"/>
        <v>0</v>
      </c>
      <c r="AD53" s="62">
        <f t="shared" si="144"/>
        <v>0</v>
      </c>
    </row>
    <row r="54" spans="1:30" x14ac:dyDescent="0.4">
      <c r="A54" s="63" t="s">
        <v>92</v>
      </c>
      <c r="B54" s="29"/>
      <c r="C54" s="32"/>
      <c r="D54" s="30"/>
      <c r="E54" s="65"/>
      <c r="F54" s="66"/>
      <c r="G54" s="66">
        <f>SUM(G50:G53)</f>
        <v>0</v>
      </c>
      <c r="H54" s="66">
        <f>SUM(H50:H53)</f>
        <v>0</v>
      </c>
      <c r="I54" s="66">
        <f>SUM(I50:I53)</f>
        <v>0</v>
      </c>
      <c r="J54" s="88"/>
      <c r="K54" s="89"/>
      <c r="L54" s="66"/>
      <c r="M54" s="66">
        <f>SUM(M50:M53)</f>
        <v>0</v>
      </c>
      <c r="N54" s="66">
        <f>SUM(N50:N53)</f>
        <v>0</v>
      </c>
      <c r="O54" s="66">
        <f>SUM(O50:O53)</f>
        <v>0</v>
      </c>
      <c r="P54" s="88"/>
      <c r="Q54" s="89"/>
      <c r="R54" s="66"/>
      <c r="S54" s="66">
        <f>SUM(S50:S53)</f>
        <v>0</v>
      </c>
      <c r="T54" s="66">
        <f>SUM(T50:T53)</f>
        <v>0</v>
      </c>
      <c r="U54" s="66">
        <f>SUM(U50:U53)</f>
        <v>0</v>
      </c>
      <c r="V54" s="88"/>
      <c r="W54" s="89"/>
      <c r="X54" s="66"/>
      <c r="Y54" s="66">
        <f t="shared" ref="Y54:AD54" si="154">SUM(Y50:Y53)</f>
        <v>0</v>
      </c>
      <c r="Z54" s="66">
        <f t="shared" si="154"/>
        <v>0</v>
      </c>
      <c r="AA54" s="66">
        <f t="shared" si="154"/>
        <v>0</v>
      </c>
      <c r="AB54" s="66">
        <f t="shared" si="154"/>
        <v>0</v>
      </c>
      <c r="AC54" s="66">
        <f t="shared" si="154"/>
        <v>0</v>
      </c>
      <c r="AD54" s="66">
        <f t="shared" si="154"/>
        <v>0</v>
      </c>
    </row>
    <row r="55" spans="1:30" x14ac:dyDescent="0.4">
      <c r="A55" s="45" t="s">
        <v>57</v>
      </c>
      <c r="B55" s="102"/>
      <c r="C55" s="36"/>
      <c r="D55" s="36"/>
      <c r="E55" s="103"/>
      <c r="F55" s="104"/>
      <c r="G55" s="104"/>
      <c r="H55" s="90"/>
      <c r="I55" s="91"/>
      <c r="J55" s="102"/>
      <c r="K55" s="36"/>
      <c r="L55" s="104"/>
      <c r="M55" s="104"/>
      <c r="N55" s="90"/>
      <c r="O55" s="91"/>
      <c r="P55" s="102"/>
      <c r="Q55" s="36"/>
      <c r="R55" s="104"/>
      <c r="S55" s="104"/>
      <c r="T55" s="90"/>
      <c r="U55" s="91"/>
      <c r="V55" s="102"/>
      <c r="W55" s="36"/>
      <c r="X55" s="104"/>
      <c r="Y55" s="104"/>
      <c r="Z55" s="90"/>
      <c r="AA55" s="91"/>
      <c r="AB55" s="92"/>
      <c r="AC55" s="90"/>
      <c r="AD55" s="74"/>
    </row>
    <row r="56" spans="1:30" x14ac:dyDescent="0.4">
      <c r="A56" s="105" t="s">
        <v>58</v>
      </c>
      <c r="B56" s="106"/>
      <c r="C56" s="107"/>
      <c r="D56" s="107"/>
      <c r="E56" s="108"/>
      <c r="F56" s="109"/>
      <c r="G56" s="109"/>
      <c r="H56" s="110"/>
      <c r="I56" s="111"/>
      <c r="J56" s="106"/>
      <c r="K56" s="107"/>
      <c r="L56" s="109"/>
      <c r="M56" s="109"/>
      <c r="N56" s="110"/>
      <c r="O56" s="111"/>
      <c r="P56" s="106"/>
      <c r="Q56" s="107"/>
      <c r="R56" s="109"/>
      <c r="S56" s="109"/>
      <c r="T56" s="110"/>
      <c r="U56" s="111"/>
      <c r="V56" s="106"/>
      <c r="W56" s="107"/>
      <c r="X56" s="109"/>
      <c r="Y56" s="109"/>
      <c r="Z56" s="110"/>
      <c r="AA56" s="111"/>
      <c r="AB56" s="112"/>
      <c r="AC56" s="110"/>
      <c r="AD56" s="113"/>
    </row>
    <row r="57" spans="1:30" x14ac:dyDescent="0.4">
      <c r="A57" s="34" t="s">
        <v>47</v>
      </c>
      <c r="B57" s="24">
        <v>0</v>
      </c>
      <c r="C57" s="7" t="s">
        <v>33</v>
      </c>
      <c r="D57" s="164">
        <v>0</v>
      </c>
      <c r="E57" s="21">
        <v>1</v>
      </c>
      <c r="F57" s="11">
        <v>0</v>
      </c>
      <c r="G57" s="22">
        <f t="shared" ref="G57:G62" si="155">B57*F57*D57*E57</f>
        <v>0</v>
      </c>
      <c r="H57" s="22">
        <f t="shared" ref="H57:H62" si="156">G57</f>
        <v>0</v>
      </c>
      <c r="I57" s="62">
        <f t="shared" ref="I57:I62" si="157">G57-H57</f>
        <v>0</v>
      </c>
      <c r="J57" s="24">
        <v>0</v>
      </c>
      <c r="K57" s="7">
        <v>0</v>
      </c>
      <c r="L57" s="22">
        <f t="shared" ref="L57:L62" si="158">F57</f>
        <v>0</v>
      </c>
      <c r="M57" s="22">
        <f t="shared" ref="M57:M62" si="159">J57*L57*K57*E57</f>
        <v>0</v>
      </c>
      <c r="N57" s="22">
        <f t="shared" ref="N57:N62" si="160">M57</f>
        <v>0</v>
      </c>
      <c r="O57" s="62">
        <f t="shared" ref="O57:O62" si="161">M57-N57</f>
        <v>0</v>
      </c>
      <c r="P57" s="24">
        <v>0</v>
      </c>
      <c r="Q57" s="7">
        <v>0</v>
      </c>
      <c r="R57" s="22">
        <f t="shared" ref="R57:R62" si="162">L57</f>
        <v>0</v>
      </c>
      <c r="S57" s="22">
        <f t="shared" ref="S57:S62" si="163">P57*R57*Q57*E57</f>
        <v>0</v>
      </c>
      <c r="T57" s="22">
        <f t="shared" ref="T57" si="164">S57</f>
        <v>0</v>
      </c>
      <c r="U57" s="62">
        <f t="shared" ref="U57:U62" si="165">S57-T57</f>
        <v>0</v>
      </c>
      <c r="V57" s="24">
        <v>0</v>
      </c>
      <c r="W57" s="7">
        <v>0</v>
      </c>
      <c r="X57" s="22">
        <f t="shared" ref="X57:X62" si="166">R57</f>
        <v>0</v>
      </c>
      <c r="Y57" s="22">
        <f t="shared" ref="Y57:Y62" si="167">V57*X57*W57*K57</f>
        <v>0</v>
      </c>
      <c r="Z57" s="22">
        <f t="shared" ref="Z57" si="168">Y57</f>
        <v>0</v>
      </c>
      <c r="AA57" s="62">
        <f t="shared" ref="AA57:AA62" si="169">Y57-Z57</f>
        <v>0</v>
      </c>
      <c r="AB57" s="76">
        <f t="shared" ref="AB57:AB62" si="170">H57+N57+T57+Z57</f>
        <v>0</v>
      </c>
      <c r="AC57" s="11">
        <f t="shared" ref="AC57:AC62" si="171">I57+O57+U57+AA57</f>
        <v>0</v>
      </c>
      <c r="AD57" s="62">
        <f t="shared" ref="AD57:AD62" si="172">AB57+AC57</f>
        <v>0</v>
      </c>
    </row>
    <row r="58" spans="1:30" x14ac:dyDescent="0.4">
      <c r="A58" s="34" t="s">
        <v>44</v>
      </c>
      <c r="B58" s="24">
        <v>0</v>
      </c>
      <c r="C58" s="7" t="s">
        <v>33</v>
      </c>
      <c r="D58" s="164">
        <v>0</v>
      </c>
      <c r="E58" s="21">
        <v>1</v>
      </c>
      <c r="F58" s="11">
        <v>0</v>
      </c>
      <c r="G58" s="22">
        <f t="shared" si="155"/>
        <v>0</v>
      </c>
      <c r="H58" s="22">
        <f t="shared" si="156"/>
        <v>0</v>
      </c>
      <c r="I58" s="62">
        <f t="shared" si="157"/>
        <v>0</v>
      </c>
      <c r="J58" s="24">
        <v>0</v>
      </c>
      <c r="K58" s="7">
        <v>0</v>
      </c>
      <c r="L58" s="22">
        <f t="shared" si="158"/>
        <v>0</v>
      </c>
      <c r="M58" s="22">
        <f t="shared" si="159"/>
        <v>0</v>
      </c>
      <c r="N58" s="22">
        <f t="shared" si="160"/>
        <v>0</v>
      </c>
      <c r="O58" s="62">
        <f t="shared" si="161"/>
        <v>0</v>
      </c>
      <c r="P58" s="24">
        <v>0</v>
      </c>
      <c r="Q58" s="7">
        <v>0</v>
      </c>
      <c r="R58" s="22">
        <f t="shared" si="162"/>
        <v>0</v>
      </c>
      <c r="S58" s="22">
        <f t="shared" si="163"/>
        <v>0</v>
      </c>
      <c r="T58" s="22">
        <f>S58</f>
        <v>0</v>
      </c>
      <c r="U58" s="62">
        <f t="shared" si="165"/>
        <v>0</v>
      </c>
      <c r="V58" s="24">
        <v>0</v>
      </c>
      <c r="W58" s="7">
        <v>0</v>
      </c>
      <c r="X58" s="22">
        <f t="shared" si="166"/>
        <v>0</v>
      </c>
      <c r="Y58" s="22">
        <f t="shared" si="167"/>
        <v>0</v>
      </c>
      <c r="Z58" s="22">
        <f>Y58</f>
        <v>0</v>
      </c>
      <c r="AA58" s="62">
        <f t="shared" si="169"/>
        <v>0</v>
      </c>
      <c r="AB58" s="76">
        <f t="shared" si="170"/>
        <v>0</v>
      </c>
      <c r="AC58" s="11">
        <f t="shared" si="171"/>
        <v>0</v>
      </c>
      <c r="AD58" s="62">
        <f t="shared" si="172"/>
        <v>0</v>
      </c>
    </row>
    <row r="59" spans="1:30" x14ac:dyDescent="0.4">
      <c r="A59" s="34" t="s">
        <v>45</v>
      </c>
      <c r="B59" s="24">
        <v>0</v>
      </c>
      <c r="C59" s="7" t="s">
        <v>33</v>
      </c>
      <c r="D59" s="164">
        <v>0</v>
      </c>
      <c r="E59" s="21">
        <v>1</v>
      </c>
      <c r="F59" s="11">
        <v>0</v>
      </c>
      <c r="G59" s="22">
        <f t="shared" si="155"/>
        <v>0</v>
      </c>
      <c r="H59" s="22">
        <f t="shared" si="156"/>
        <v>0</v>
      </c>
      <c r="I59" s="62">
        <f t="shared" si="157"/>
        <v>0</v>
      </c>
      <c r="J59" s="24">
        <v>0</v>
      </c>
      <c r="K59" s="7">
        <v>0</v>
      </c>
      <c r="L59" s="22">
        <f t="shared" si="158"/>
        <v>0</v>
      </c>
      <c r="M59" s="22">
        <f t="shared" si="159"/>
        <v>0</v>
      </c>
      <c r="N59" s="22">
        <f t="shared" si="160"/>
        <v>0</v>
      </c>
      <c r="O59" s="62">
        <f t="shared" si="161"/>
        <v>0</v>
      </c>
      <c r="P59" s="24">
        <v>0</v>
      </c>
      <c r="Q59" s="7">
        <v>0</v>
      </c>
      <c r="R59" s="22">
        <f t="shared" si="162"/>
        <v>0</v>
      </c>
      <c r="S59" s="22">
        <f t="shared" si="163"/>
        <v>0</v>
      </c>
      <c r="T59" s="22">
        <f>S59</f>
        <v>0</v>
      </c>
      <c r="U59" s="62">
        <f t="shared" si="165"/>
        <v>0</v>
      </c>
      <c r="V59" s="24">
        <v>0</v>
      </c>
      <c r="W59" s="7">
        <v>0</v>
      </c>
      <c r="X59" s="22">
        <f t="shared" si="166"/>
        <v>0</v>
      </c>
      <c r="Y59" s="22">
        <f t="shared" si="167"/>
        <v>0</v>
      </c>
      <c r="Z59" s="22">
        <f>Y59</f>
        <v>0</v>
      </c>
      <c r="AA59" s="62">
        <f t="shared" si="169"/>
        <v>0</v>
      </c>
      <c r="AB59" s="76">
        <f t="shared" si="170"/>
        <v>0</v>
      </c>
      <c r="AC59" s="11">
        <f t="shared" si="171"/>
        <v>0</v>
      </c>
      <c r="AD59" s="62">
        <f t="shared" si="172"/>
        <v>0</v>
      </c>
    </row>
    <row r="60" spans="1:30" x14ac:dyDescent="0.4">
      <c r="A60" s="34" t="s">
        <v>48</v>
      </c>
      <c r="B60" s="24">
        <v>0</v>
      </c>
      <c r="C60" s="7" t="s">
        <v>33</v>
      </c>
      <c r="D60" s="164">
        <v>0</v>
      </c>
      <c r="E60" s="21">
        <v>1</v>
      </c>
      <c r="F60" s="11">
        <v>0</v>
      </c>
      <c r="G60" s="22">
        <f t="shared" si="155"/>
        <v>0</v>
      </c>
      <c r="H60" s="22">
        <f t="shared" si="156"/>
        <v>0</v>
      </c>
      <c r="I60" s="62">
        <f t="shared" si="157"/>
        <v>0</v>
      </c>
      <c r="J60" s="24">
        <v>0</v>
      </c>
      <c r="K60" s="7">
        <v>0</v>
      </c>
      <c r="L60" s="22">
        <f t="shared" si="158"/>
        <v>0</v>
      </c>
      <c r="M60" s="22">
        <f t="shared" si="159"/>
        <v>0</v>
      </c>
      <c r="N60" s="22">
        <f t="shared" si="160"/>
        <v>0</v>
      </c>
      <c r="O60" s="62">
        <f t="shared" si="161"/>
        <v>0</v>
      </c>
      <c r="P60" s="24">
        <v>0</v>
      </c>
      <c r="Q60" s="7">
        <v>0</v>
      </c>
      <c r="R60" s="22">
        <f t="shared" si="162"/>
        <v>0</v>
      </c>
      <c r="S60" s="22">
        <f t="shared" si="163"/>
        <v>0</v>
      </c>
      <c r="T60" s="22">
        <f t="shared" ref="T60:T62" si="173">S60</f>
        <v>0</v>
      </c>
      <c r="U60" s="62">
        <f t="shared" si="165"/>
        <v>0</v>
      </c>
      <c r="V60" s="24">
        <v>0</v>
      </c>
      <c r="W60" s="7">
        <v>0</v>
      </c>
      <c r="X60" s="22">
        <f t="shared" si="166"/>
        <v>0</v>
      </c>
      <c r="Y60" s="22">
        <f t="shared" si="167"/>
        <v>0</v>
      </c>
      <c r="Z60" s="22">
        <f t="shared" ref="Z60:Z62" si="174">Y60</f>
        <v>0</v>
      </c>
      <c r="AA60" s="62">
        <f t="shared" si="169"/>
        <v>0</v>
      </c>
      <c r="AB60" s="76">
        <f t="shared" si="170"/>
        <v>0</v>
      </c>
      <c r="AC60" s="11">
        <f t="shared" si="171"/>
        <v>0</v>
      </c>
      <c r="AD60" s="62">
        <f t="shared" si="172"/>
        <v>0</v>
      </c>
    </row>
    <row r="61" spans="1:30" x14ac:dyDescent="0.4">
      <c r="A61" s="34" t="s">
        <v>49</v>
      </c>
      <c r="B61" s="24">
        <v>0</v>
      </c>
      <c r="C61" s="7" t="s">
        <v>50</v>
      </c>
      <c r="D61" s="164">
        <v>0</v>
      </c>
      <c r="E61" s="21">
        <v>1</v>
      </c>
      <c r="F61" s="11">
        <v>0</v>
      </c>
      <c r="G61" s="22">
        <f t="shared" si="155"/>
        <v>0</v>
      </c>
      <c r="H61" s="22">
        <f t="shared" si="156"/>
        <v>0</v>
      </c>
      <c r="I61" s="62">
        <f t="shared" si="157"/>
        <v>0</v>
      </c>
      <c r="J61" s="24">
        <v>0</v>
      </c>
      <c r="K61" s="7">
        <v>0</v>
      </c>
      <c r="L61" s="22">
        <f t="shared" si="158"/>
        <v>0</v>
      </c>
      <c r="M61" s="22">
        <f t="shared" si="159"/>
        <v>0</v>
      </c>
      <c r="N61" s="22">
        <f t="shared" si="160"/>
        <v>0</v>
      </c>
      <c r="O61" s="62">
        <f t="shared" si="161"/>
        <v>0</v>
      </c>
      <c r="P61" s="24">
        <v>0</v>
      </c>
      <c r="Q61" s="7">
        <v>0</v>
      </c>
      <c r="R61" s="22">
        <f t="shared" si="162"/>
        <v>0</v>
      </c>
      <c r="S61" s="22">
        <f t="shared" si="163"/>
        <v>0</v>
      </c>
      <c r="T61" s="22">
        <f t="shared" si="173"/>
        <v>0</v>
      </c>
      <c r="U61" s="62">
        <f t="shared" si="165"/>
        <v>0</v>
      </c>
      <c r="V61" s="24">
        <v>0</v>
      </c>
      <c r="W61" s="7">
        <v>0</v>
      </c>
      <c r="X61" s="22">
        <f t="shared" si="166"/>
        <v>0</v>
      </c>
      <c r="Y61" s="22">
        <f t="shared" si="167"/>
        <v>0</v>
      </c>
      <c r="Z61" s="22">
        <f t="shared" si="174"/>
        <v>0</v>
      </c>
      <c r="AA61" s="62">
        <f t="shared" si="169"/>
        <v>0</v>
      </c>
      <c r="AB61" s="76">
        <f t="shared" si="170"/>
        <v>0</v>
      </c>
      <c r="AC61" s="11">
        <f t="shared" si="171"/>
        <v>0</v>
      </c>
      <c r="AD61" s="62">
        <f t="shared" si="172"/>
        <v>0</v>
      </c>
    </row>
    <row r="62" spans="1:30" x14ac:dyDescent="0.4">
      <c r="A62" s="34" t="s">
        <v>51</v>
      </c>
      <c r="B62" s="24">
        <v>0</v>
      </c>
      <c r="C62" s="7" t="s">
        <v>50</v>
      </c>
      <c r="D62" s="164">
        <v>0</v>
      </c>
      <c r="E62" s="21">
        <v>1</v>
      </c>
      <c r="F62" s="11">
        <v>0</v>
      </c>
      <c r="G62" s="22">
        <f t="shared" si="155"/>
        <v>0</v>
      </c>
      <c r="H62" s="22">
        <f t="shared" si="156"/>
        <v>0</v>
      </c>
      <c r="I62" s="62">
        <f t="shared" si="157"/>
        <v>0</v>
      </c>
      <c r="J62" s="24">
        <v>0</v>
      </c>
      <c r="K62" s="7">
        <v>0</v>
      </c>
      <c r="L62" s="22">
        <f t="shared" si="158"/>
        <v>0</v>
      </c>
      <c r="M62" s="22">
        <f t="shared" si="159"/>
        <v>0</v>
      </c>
      <c r="N62" s="22">
        <f t="shared" si="160"/>
        <v>0</v>
      </c>
      <c r="O62" s="62">
        <f t="shared" si="161"/>
        <v>0</v>
      </c>
      <c r="P62" s="24">
        <v>0</v>
      </c>
      <c r="Q62" s="7">
        <v>0</v>
      </c>
      <c r="R62" s="22">
        <f t="shared" si="162"/>
        <v>0</v>
      </c>
      <c r="S62" s="22">
        <f t="shared" si="163"/>
        <v>0</v>
      </c>
      <c r="T62" s="22">
        <f t="shared" si="173"/>
        <v>0</v>
      </c>
      <c r="U62" s="62">
        <f t="shared" si="165"/>
        <v>0</v>
      </c>
      <c r="V62" s="24">
        <v>0</v>
      </c>
      <c r="W62" s="7">
        <v>0</v>
      </c>
      <c r="X62" s="22">
        <f t="shared" si="166"/>
        <v>0</v>
      </c>
      <c r="Y62" s="22">
        <f t="shared" si="167"/>
        <v>0</v>
      </c>
      <c r="Z62" s="22">
        <f t="shared" si="174"/>
        <v>0</v>
      </c>
      <c r="AA62" s="62">
        <f t="shared" si="169"/>
        <v>0</v>
      </c>
      <c r="AB62" s="76">
        <f t="shared" si="170"/>
        <v>0</v>
      </c>
      <c r="AC62" s="11">
        <f t="shared" si="171"/>
        <v>0</v>
      </c>
      <c r="AD62" s="62">
        <f t="shared" si="172"/>
        <v>0</v>
      </c>
    </row>
    <row r="63" spans="1:30" s="4" customFormat="1" x14ac:dyDescent="0.4">
      <c r="A63" s="175" t="s">
        <v>93</v>
      </c>
      <c r="B63" s="162"/>
      <c r="C63" s="163"/>
      <c r="D63" s="33"/>
      <c r="E63" s="157"/>
      <c r="F63" s="158"/>
      <c r="G63" s="158"/>
      <c r="H63" s="33"/>
      <c r="I63" s="33"/>
      <c r="J63" s="33"/>
      <c r="K63" s="33"/>
      <c r="L63" s="33"/>
      <c r="M63" s="33"/>
      <c r="N63" s="33"/>
      <c r="O63" s="159"/>
      <c r="P63" s="33"/>
      <c r="Q63" s="33"/>
      <c r="R63" s="33"/>
      <c r="S63" s="33"/>
      <c r="T63" s="161"/>
      <c r="U63" s="160"/>
      <c r="V63" s="33"/>
      <c r="W63" s="33"/>
      <c r="X63" s="33"/>
      <c r="Y63" s="33"/>
      <c r="Z63" s="161"/>
      <c r="AA63" s="160"/>
      <c r="AB63" s="160"/>
      <c r="AC63" s="160"/>
      <c r="AD63" s="160"/>
    </row>
    <row r="64" spans="1:30" x14ac:dyDescent="0.4">
      <c r="A64" s="156"/>
      <c r="B64" s="24">
        <v>0</v>
      </c>
      <c r="C64" s="7" t="s">
        <v>59</v>
      </c>
      <c r="D64" s="7">
        <v>0</v>
      </c>
      <c r="E64" s="21">
        <v>1</v>
      </c>
      <c r="F64" s="119">
        <v>0</v>
      </c>
      <c r="G64" s="11">
        <f t="shared" ref="G64" si="175">B64*D64*F64*E64</f>
        <v>0</v>
      </c>
      <c r="H64" s="60">
        <f>G64</f>
        <v>0</v>
      </c>
      <c r="I64" s="117">
        <f t="shared" ref="I64" si="176">G64-H64</f>
        <v>0</v>
      </c>
      <c r="J64" s="24">
        <v>0</v>
      </c>
      <c r="K64" s="7">
        <v>0</v>
      </c>
      <c r="L64" s="11">
        <f>F64</f>
        <v>0</v>
      </c>
      <c r="M64" s="11">
        <f>J64*K64*L64*E64</f>
        <v>0</v>
      </c>
      <c r="N64" s="60">
        <f t="shared" ref="N64" si="177">M64</f>
        <v>0</v>
      </c>
      <c r="O64" s="117">
        <f t="shared" ref="O64" si="178">M64-N64</f>
        <v>0</v>
      </c>
      <c r="P64" s="24">
        <v>0</v>
      </c>
      <c r="Q64" s="7">
        <v>0</v>
      </c>
      <c r="R64" s="11">
        <f>L64</f>
        <v>0</v>
      </c>
      <c r="S64" s="11">
        <f t="shared" ref="S64" si="179">P64*Q64*R64*E64</f>
        <v>0</v>
      </c>
      <c r="T64" s="60">
        <f>S64</f>
        <v>0</v>
      </c>
      <c r="U64" s="117">
        <f>S64-T64</f>
        <v>0</v>
      </c>
      <c r="V64" s="24">
        <v>0</v>
      </c>
      <c r="W64" s="7">
        <v>0</v>
      </c>
      <c r="X64" s="11">
        <f>R64</f>
        <v>0</v>
      </c>
      <c r="Y64" s="11">
        <f t="shared" ref="Y64" si="180">V64*W64*X64*K64</f>
        <v>0</v>
      </c>
      <c r="Z64" s="60">
        <f>Y64</f>
        <v>0</v>
      </c>
      <c r="AA64" s="117">
        <f>Y64-Z64</f>
        <v>0</v>
      </c>
      <c r="AB64" s="76">
        <f t="shared" ref="AB64:AB67" si="181">H64+N64+T64+Z64</f>
        <v>0</v>
      </c>
      <c r="AC64" s="11">
        <f t="shared" ref="AC64:AC67" si="182">I64+O64+U64+AA64</f>
        <v>0</v>
      </c>
      <c r="AD64" s="62">
        <f>AB64+AC64</f>
        <v>0</v>
      </c>
    </row>
    <row r="65" spans="1:30" x14ac:dyDescent="0.4">
      <c r="A65" s="156"/>
      <c r="B65" s="24">
        <v>0</v>
      </c>
      <c r="C65" s="7" t="s">
        <v>53</v>
      </c>
      <c r="D65" s="7">
        <v>0</v>
      </c>
      <c r="E65" s="21">
        <v>1</v>
      </c>
      <c r="F65" s="119">
        <v>0</v>
      </c>
      <c r="G65" s="11">
        <f>B65*D65*E65*F65</f>
        <v>0</v>
      </c>
      <c r="H65" s="60">
        <f>G65</f>
        <v>0</v>
      </c>
      <c r="I65" s="117">
        <f>G65-H65</f>
        <v>0</v>
      </c>
      <c r="J65" s="24">
        <v>0</v>
      </c>
      <c r="K65" s="7">
        <v>0</v>
      </c>
      <c r="L65" s="11">
        <f>F65</f>
        <v>0</v>
      </c>
      <c r="M65" s="11">
        <f>E65*J65*K65*L65</f>
        <v>0</v>
      </c>
      <c r="N65" s="60">
        <f>M65</f>
        <v>0</v>
      </c>
      <c r="O65" s="117">
        <f>M65-N65</f>
        <v>0</v>
      </c>
      <c r="P65" s="24">
        <v>0</v>
      </c>
      <c r="Q65" s="7">
        <v>0</v>
      </c>
      <c r="R65" s="11">
        <f>L65</f>
        <v>0</v>
      </c>
      <c r="S65" s="11">
        <f>E65*P65*Q65*R65</f>
        <v>0</v>
      </c>
      <c r="T65" s="60">
        <f>S65</f>
        <v>0</v>
      </c>
      <c r="U65" s="117">
        <f>S65-T65</f>
        <v>0</v>
      </c>
      <c r="V65" s="24">
        <v>0</v>
      </c>
      <c r="W65" s="7">
        <v>0</v>
      </c>
      <c r="X65" s="11">
        <f>R65</f>
        <v>0</v>
      </c>
      <c r="Y65" s="11">
        <f>K65*V65*W65*X65</f>
        <v>0</v>
      </c>
      <c r="Z65" s="60">
        <f>Y65</f>
        <v>0</v>
      </c>
      <c r="AA65" s="117">
        <f>Y65-Z65</f>
        <v>0</v>
      </c>
      <c r="AB65" s="76">
        <f t="shared" si="181"/>
        <v>0</v>
      </c>
      <c r="AC65" s="11">
        <f t="shared" si="182"/>
        <v>0</v>
      </c>
      <c r="AD65" s="59">
        <f>AB65</f>
        <v>0</v>
      </c>
    </row>
    <row r="66" spans="1:30" x14ac:dyDescent="0.4">
      <c r="A66" s="156"/>
      <c r="B66" s="24">
        <v>0</v>
      </c>
      <c r="C66" s="7" t="s">
        <v>53</v>
      </c>
      <c r="D66" s="7">
        <v>0</v>
      </c>
      <c r="E66" s="21">
        <v>1</v>
      </c>
      <c r="F66" s="22">
        <v>0</v>
      </c>
      <c r="G66" s="11">
        <f>B66*D66*E66*F66</f>
        <v>0</v>
      </c>
      <c r="H66" s="60">
        <f>G66</f>
        <v>0</v>
      </c>
      <c r="I66" s="117">
        <f>G66-H66</f>
        <v>0</v>
      </c>
      <c r="J66" s="24">
        <v>0</v>
      </c>
      <c r="K66" s="7">
        <v>0</v>
      </c>
      <c r="L66" s="11">
        <f>F66</f>
        <v>0</v>
      </c>
      <c r="M66" s="11">
        <f>E66*J66*K66*L66</f>
        <v>0</v>
      </c>
      <c r="N66" s="60">
        <f>M66</f>
        <v>0</v>
      </c>
      <c r="O66" s="117">
        <f>M66-N66</f>
        <v>0</v>
      </c>
      <c r="P66" s="24">
        <v>0</v>
      </c>
      <c r="Q66" s="7">
        <v>0</v>
      </c>
      <c r="R66" s="11">
        <f>L66</f>
        <v>0</v>
      </c>
      <c r="S66" s="11">
        <f>E66*P66*Q66*R66</f>
        <v>0</v>
      </c>
      <c r="T66" s="60">
        <f>S66</f>
        <v>0</v>
      </c>
      <c r="U66" s="117">
        <f>S66-T66</f>
        <v>0</v>
      </c>
      <c r="V66" s="24">
        <v>0</v>
      </c>
      <c r="W66" s="7">
        <v>0</v>
      </c>
      <c r="X66" s="11">
        <f>R66</f>
        <v>0</v>
      </c>
      <c r="Y66" s="11">
        <f>K66*V66*W66*X66</f>
        <v>0</v>
      </c>
      <c r="Z66" s="60">
        <f>Y66</f>
        <v>0</v>
      </c>
      <c r="AA66" s="117">
        <f>Y66-Z66</f>
        <v>0</v>
      </c>
      <c r="AB66" s="76">
        <f t="shared" si="181"/>
        <v>0</v>
      </c>
      <c r="AC66" s="11">
        <f t="shared" si="182"/>
        <v>0</v>
      </c>
      <c r="AD66" s="59">
        <f>AB66</f>
        <v>0</v>
      </c>
    </row>
    <row r="67" spans="1:30" x14ac:dyDescent="0.4">
      <c r="A67" s="156"/>
      <c r="B67" s="24">
        <v>0</v>
      </c>
      <c r="C67" s="7" t="s">
        <v>59</v>
      </c>
      <c r="D67" s="7">
        <v>0</v>
      </c>
      <c r="E67" s="21">
        <v>1</v>
      </c>
      <c r="F67" s="22">
        <v>0</v>
      </c>
      <c r="G67" s="11">
        <f t="shared" ref="G67" si="183">B67*D67*F67*E67</f>
        <v>0</v>
      </c>
      <c r="H67" s="60">
        <f>G67</f>
        <v>0</v>
      </c>
      <c r="I67" s="117">
        <f t="shared" ref="I67" si="184">G67-H67</f>
        <v>0</v>
      </c>
      <c r="J67" s="24">
        <v>0</v>
      </c>
      <c r="K67" s="7">
        <v>0</v>
      </c>
      <c r="L67" s="11">
        <f>F67</f>
        <v>0</v>
      </c>
      <c r="M67" s="11">
        <f>J67*K67*L67*E67</f>
        <v>0</v>
      </c>
      <c r="N67" s="60">
        <f t="shared" ref="N67" si="185">M67</f>
        <v>0</v>
      </c>
      <c r="O67" s="117">
        <f t="shared" ref="O67" si="186">M67-N67</f>
        <v>0</v>
      </c>
      <c r="P67" s="24">
        <v>0</v>
      </c>
      <c r="Q67" s="7">
        <v>0</v>
      </c>
      <c r="R67" s="11">
        <f>L67</f>
        <v>0</v>
      </c>
      <c r="S67" s="11">
        <f t="shared" ref="S67" si="187">P67*Q67*R67*E67</f>
        <v>0</v>
      </c>
      <c r="T67" s="60">
        <f>S67</f>
        <v>0</v>
      </c>
      <c r="U67" s="117">
        <f>S67-T67</f>
        <v>0</v>
      </c>
      <c r="V67" s="24">
        <v>0</v>
      </c>
      <c r="W67" s="7">
        <v>0</v>
      </c>
      <c r="X67" s="11">
        <f>R67</f>
        <v>0</v>
      </c>
      <c r="Y67" s="11">
        <f t="shared" ref="Y67" si="188">V67*W67*X67*K67</f>
        <v>0</v>
      </c>
      <c r="Z67" s="60">
        <f>Y67</f>
        <v>0</v>
      </c>
      <c r="AA67" s="117">
        <f>Y67-Z67</f>
        <v>0</v>
      </c>
      <c r="AB67" s="76">
        <f t="shared" si="181"/>
        <v>0</v>
      </c>
      <c r="AC67" s="11">
        <f t="shared" si="182"/>
        <v>0</v>
      </c>
      <c r="AD67" s="62">
        <f>AB67+AC67</f>
        <v>0</v>
      </c>
    </row>
    <row r="68" spans="1:30" x14ac:dyDescent="0.4">
      <c r="A68" s="175" t="s">
        <v>94</v>
      </c>
      <c r="B68" s="35"/>
      <c r="C68" s="80"/>
      <c r="D68" s="80"/>
      <c r="E68" s="93"/>
      <c r="F68" s="12"/>
      <c r="G68" s="12"/>
      <c r="H68" s="81"/>
      <c r="I68" s="114"/>
      <c r="J68" s="35"/>
      <c r="K68" s="80"/>
      <c r="L68" s="12"/>
      <c r="M68" s="12"/>
      <c r="N68" s="81"/>
      <c r="O68" s="114"/>
      <c r="P68" s="35"/>
      <c r="Q68" s="80"/>
      <c r="R68" s="12"/>
      <c r="S68" s="12"/>
      <c r="T68" s="81"/>
      <c r="U68" s="114"/>
      <c r="V68" s="35"/>
      <c r="W68" s="80"/>
      <c r="X68" s="12"/>
      <c r="Y68" s="12"/>
      <c r="Z68" s="81"/>
      <c r="AA68" s="114"/>
      <c r="AB68" s="115"/>
      <c r="AC68" s="81"/>
      <c r="AD68" s="116"/>
    </row>
    <row r="69" spans="1:30" ht="32.25" customHeight="1" x14ac:dyDescent="0.4">
      <c r="A69" s="168"/>
      <c r="B69" s="24">
        <v>0</v>
      </c>
      <c r="C69" s="7" t="s">
        <v>60</v>
      </c>
      <c r="D69" s="7">
        <v>0</v>
      </c>
      <c r="E69" s="21">
        <v>1</v>
      </c>
      <c r="F69" s="22">
        <v>0</v>
      </c>
      <c r="G69" s="22">
        <f>B69*D69*E69*F69</f>
        <v>0</v>
      </c>
      <c r="H69" s="60">
        <f>G69</f>
        <v>0</v>
      </c>
      <c r="I69" s="117">
        <f>G69-H69</f>
        <v>0</v>
      </c>
      <c r="J69" s="24">
        <v>0</v>
      </c>
      <c r="K69" s="7">
        <v>0</v>
      </c>
      <c r="L69" s="22">
        <f>F69</f>
        <v>0</v>
      </c>
      <c r="M69" s="11">
        <f>E69*J69*K69*L69</f>
        <v>0</v>
      </c>
      <c r="N69" s="60">
        <f>M69</f>
        <v>0</v>
      </c>
      <c r="O69" s="117">
        <f>M69-N69</f>
        <v>0</v>
      </c>
      <c r="P69" s="24">
        <v>0</v>
      </c>
      <c r="Q69" s="7">
        <v>0</v>
      </c>
      <c r="R69" s="11">
        <f>L69</f>
        <v>0</v>
      </c>
      <c r="S69" s="11">
        <f>E69*P69*Q69*R69</f>
        <v>0</v>
      </c>
      <c r="T69" s="60">
        <f>S69</f>
        <v>0</v>
      </c>
      <c r="U69" s="117">
        <f>S69-T69</f>
        <v>0</v>
      </c>
      <c r="V69" s="24">
        <v>0</v>
      </c>
      <c r="W69" s="7">
        <v>0</v>
      </c>
      <c r="X69" s="11">
        <f>R69</f>
        <v>0</v>
      </c>
      <c r="Y69" s="11">
        <f>K69*V69*W69*X69</f>
        <v>0</v>
      </c>
      <c r="Z69" s="60">
        <f>Y69</f>
        <v>0</v>
      </c>
      <c r="AA69" s="117">
        <f>Y69-Z69</f>
        <v>0</v>
      </c>
      <c r="AB69" s="76">
        <f t="shared" ref="AB69:AB73" si="189">H69+N69+T69+Z69</f>
        <v>0</v>
      </c>
      <c r="AC69" s="11">
        <f t="shared" ref="AC69:AC73" si="190">I69+O69+U69+AA69</f>
        <v>0</v>
      </c>
      <c r="AD69" s="59">
        <f>AB69</f>
        <v>0</v>
      </c>
    </row>
    <row r="70" spans="1:30" x14ac:dyDescent="0.4">
      <c r="A70" s="168"/>
      <c r="B70" s="24">
        <v>0</v>
      </c>
      <c r="C70" s="7" t="s">
        <v>61</v>
      </c>
      <c r="D70" s="7">
        <v>0</v>
      </c>
      <c r="E70" s="21">
        <v>1</v>
      </c>
      <c r="F70" s="22">
        <v>0</v>
      </c>
      <c r="G70" s="11">
        <f t="shared" ref="G70:G73" si="191">B70*D70*E70*F70</f>
        <v>0</v>
      </c>
      <c r="H70" s="60">
        <f t="shared" ref="H70:H73" si="192">G70</f>
        <v>0</v>
      </c>
      <c r="I70" s="117">
        <f t="shared" ref="I70:I73" si="193">G70-H70</f>
        <v>0</v>
      </c>
      <c r="J70" s="24">
        <v>0</v>
      </c>
      <c r="K70" s="7">
        <v>0</v>
      </c>
      <c r="L70" s="22">
        <f>F70</f>
        <v>0</v>
      </c>
      <c r="M70" s="11">
        <f t="shared" ref="M70:M73" si="194">E70*J70*K70*L70</f>
        <v>0</v>
      </c>
      <c r="N70" s="60">
        <f t="shared" ref="N70:N73" si="195">M70</f>
        <v>0</v>
      </c>
      <c r="O70" s="117">
        <f t="shared" ref="O70:O73" si="196">M70-N70</f>
        <v>0</v>
      </c>
      <c r="P70" s="24">
        <v>0</v>
      </c>
      <c r="Q70" s="7">
        <v>0</v>
      </c>
      <c r="R70" s="11">
        <f t="shared" ref="R70:R73" si="197">L70</f>
        <v>0</v>
      </c>
      <c r="S70" s="11">
        <f t="shared" ref="S70:S73" si="198">E70*P70*Q70*R70</f>
        <v>0</v>
      </c>
      <c r="T70" s="60">
        <f t="shared" ref="T70:T73" si="199">S70</f>
        <v>0</v>
      </c>
      <c r="U70" s="117">
        <f t="shared" ref="U70:U73" si="200">S70-T70</f>
        <v>0</v>
      </c>
      <c r="V70" s="24">
        <v>0</v>
      </c>
      <c r="W70" s="7">
        <v>0</v>
      </c>
      <c r="X70" s="11">
        <f t="shared" ref="X70" si="201">R70</f>
        <v>0</v>
      </c>
      <c r="Y70" s="11">
        <f t="shared" ref="Y70" si="202">K70*V70*W70*X70</f>
        <v>0</v>
      </c>
      <c r="Z70" s="60">
        <f t="shared" ref="Z70" si="203">Y70</f>
        <v>0</v>
      </c>
      <c r="AA70" s="117">
        <f t="shared" ref="AA70" si="204">Y70-Z70</f>
        <v>0</v>
      </c>
      <c r="AB70" s="76">
        <f t="shared" si="189"/>
        <v>0</v>
      </c>
      <c r="AC70" s="11">
        <f t="shared" si="190"/>
        <v>0</v>
      </c>
      <c r="AD70" s="59">
        <f t="shared" ref="AD70:AD73" si="205">AB70</f>
        <v>0</v>
      </c>
    </row>
    <row r="71" spans="1:30" x14ac:dyDescent="0.4">
      <c r="A71" s="168"/>
      <c r="B71" s="24">
        <v>0</v>
      </c>
      <c r="C71" s="7" t="s">
        <v>39</v>
      </c>
      <c r="D71" s="7">
        <v>0</v>
      </c>
      <c r="E71" s="21">
        <v>1</v>
      </c>
      <c r="F71" s="22">
        <v>0</v>
      </c>
      <c r="G71" s="22">
        <f>B71*D71*E71*F71</f>
        <v>0</v>
      </c>
      <c r="H71" s="179">
        <f>G71</f>
        <v>0</v>
      </c>
      <c r="I71" s="180">
        <f>G71-H71</f>
        <v>0</v>
      </c>
      <c r="J71" s="24">
        <v>0</v>
      </c>
      <c r="K71" s="7">
        <v>0</v>
      </c>
      <c r="L71" s="22">
        <f>F71</f>
        <v>0</v>
      </c>
      <c r="M71" s="22">
        <f>E71*J71*K71*L71</f>
        <v>0</v>
      </c>
      <c r="N71" s="179">
        <f>M71</f>
        <v>0</v>
      </c>
      <c r="O71" s="180">
        <f>M71-N71</f>
        <v>0</v>
      </c>
      <c r="P71" s="24">
        <v>0</v>
      </c>
      <c r="Q71" s="7">
        <v>0</v>
      </c>
      <c r="R71" s="22">
        <f>L71</f>
        <v>0</v>
      </c>
      <c r="S71" s="22">
        <f>E71*P71*Q71*R71</f>
        <v>0</v>
      </c>
      <c r="T71" s="179">
        <f>S71</f>
        <v>0</v>
      </c>
      <c r="U71" s="180">
        <f>S71-T71</f>
        <v>0</v>
      </c>
      <c r="V71" s="24">
        <v>0</v>
      </c>
      <c r="W71" s="7">
        <v>0</v>
      </c>
      <c r="X71" s="22">
        <f>R71</f>
        <v>0</v>
      </c>
      <c r="Y71" s="22">
        <f>K71*V71*W71*X71</f>
        <v>0</v>
      </c>
      <c r="Z71" s="179">
        <f>Y71</f>
        <v>0</v>
      </c>
      <c r="AA71" s="180">
        <f>Y71-Z71</f>
        <v>0</v>
      </c>
      <c r="AB71" s="76">
        <f t="shared" si="189"/>
        <v>0</v>
      </c>
      <c r="AC71" s="11">
        <f t="shared" si="190"/>
        <v>0</v>
      </c>
      <c r="AD71" s="62">
        <f>AB71</f>
        <v>0</v>
      </c>
    </row>
    <row r="72" spans="1:30" x14ac:dyDescent="0.4">
      <c r="A72" s="168"/>
      <c r="B72" s="24">
        <v>0</v>
      </c>
      <c r="C72" s="7" t="s">
        <v>53</v>
      </c>
      <c r="D72" s="7">
        <v>0</v>
      </c>
      <c r="E72" s="21">
        <v>1</v>
      </c>
      <c r="F72" s="11">
        <v>0</v>
      </c>
      <c r="G72" s="11">
        <f t="shared" si="191"/>
        <v>0</v>
      </c>
      <c r="H72" s="60">
        <f t="shared" si="192"/>
        <v>0</v>
      </c>
      <c r="I72" s="117">
        <f t="shared" si="193"/>
        <v>0</v>
      </c>
      <c r="J72" s="24">
        <v>0</v>
      </c>
      <c r="K72" s="7">
        <v>0</v>
      </c>
      <c r="L72" s="11">
        <f>F72</f>
        <v>0</v>
      </c>
      <c r="M72" s="11">
        <f t="shared" si="194"/>
        <v>0</v>
      </c>
      <c r="N72" s="60">
        <f t="shared" si="195"/>
        <v>0</v>
      </c>
      <c r="O72" s="117">
        <f t="shared" si="196"/>
        <v>0</v>
      </c>
      <c r="P72" s="24">
        <v>0</v>
      </c>
      <c r="Q72" s="7">
        <v>0</v>
      </c>
      <c r="R72" s="11">
        <f t="shared" si="197"/>
        <v>0</v>
      </c>
      <c r="S72" s="11">
        <f t="shared" si="198"/>
        <v>0</v>
      </c>
      <c r="T72" s="60">
        <f t="shared" si="199"/>
        <v>0</v>
      </c>
      <c r="U72" s="117">
        <f t="shared" si="200"/>
        <v>0</v>
      </c>
      <c r="V72" s="24">
        <v>0</v>
      </c>
      <c r="W72" s="7">
        <v>0</v>
      </c>
      <c r="X72" s="11">
        <f t="shared" ref="X72:X73" si="206">R72</f>
        <v>0</v>
      </c>
      <c r="Y72" s="11">
        <f t="shared" ref="Y72:Y73" si="207">K72*V72*W72*X72</f>
        <v>0</v>
      </c>
      <c r="Z72" s="60">
        <f t="shared" ref="Z72:Z73" si="208">Y72</f>
        <v>0</v>
      </c>
      <c r="AA72" s="117">
        <f t="shared" ref="AA72:AA73" si="209">Y72-Z72</f>
        <v>0</v>
      </c>
      <c r="AB72" s="76">
        <f t="shared" si="189"/>
        <v>0</v>
      </c>
      <c r="AC72" s="11">
        <f t="shared" si="190"/>
        <v>0</v>
      </c>
      <c r="AD72" s="59">
        <f t="shared" si="205"/>
        <v>0</v>
      </c>
    </row>
    <row r="73" spans="1:30" x14ac:dyDescent="0.4">
      <c r="A73" s="168"/>
      <c r="B73" s="24">
        <v>0</v>
      </c>
      <c r="C73" s="7" t="s">
        <v>61</v>
      </c>
      <c r="D73" s="7">
        <v>0</v>
      </c>
      <c r="E73" s="21">
        <v>1</v>
      </c>
      <c r="F73" s="11">
        <v>0</v>
      </c>
      <c r="G73" s="11">
        <f t="shared" si="191"/>
        <v>0</v>
      </c>
      <c r="H73" s="60">
        <f t="shared" si="192"/>
        <v>0</v>
      </c>
      <c r="I73" s="117">
        <f t="shared" si="193"/>
        <v>0</v>
      </c>
      <c r="J73" s="24">
        <v>0</v>
      </c>
      <c r="K73" s="7">
        <v>0</v>
      </c>
      <c r="L73" s="11">
        <f>F73</f>
        <v>0</v>
      </c>
      <c r="M73" s="11">
        <f t="shared" si="194"/>
        <v>0</v>
      </c>
      <c r="N73" s="60">
        <f t="shared" si="195"/>
        <v>0</v>
      </c>
      <c r="O73" s="117">
        <f t="shared" si="196"/>
        <v>0</v>
      </c>
      <c r="P73" s="24">
        <v>0</v>
      </c>
      <c r="Q73" s="7">
        <v>0</v>
      </c>
      <c r="R73" s="11">
        <f t="shared" si="197"/>
        <v>0</v>
      </c>
      <c r="S73" s="11">
        <f t="shared" si="198"/>
        <v>0</v>
      </c>
      <c r="T73" s="60">
        <f t="shared" si="199"/>
        <v>0</v>
      </c>
      <c r="U73" s="117">
        <f t="shared" si="200"/>
        <v>0</v>
      </c>
      <c r="V73" s="24">
        <v>0</v>
      </c>
      <c r="W73" s="7">
        <v>0</v>
      </c>
      <c r="X73" s="11">
        <f t="shared" si="206"/>
        <v>0</v>
      </c>
      <c r="Y73" s="11">
        <f t="shared" si="207"/>
        <v>0</v>
      </c>
      <c r="Z73" s="60">
        <f t="shared" si="208"/>
        <v>0</v>
      </c>
      <c r="AA73" s="117">
        <f t="shared" si="209"/>
        <v>0</v>
      </c>
      <c r="AB73" s="76">
        <f t="shared" si="189"/>
        <v>0</v>
      </c>
      <c r="AC73" s="11">
        <f t="shared" si="190"/>
        <v>0</v>
      </c>
      <c r="AD73" s="59">
        <f t="shared" si="205"/>
        <v>0</v>
      </c>
    </row>
    <row r="74" spans="1:30" x14ac:dyDescent="0.4">
      <c r="A74" s="176" t="s">
        <v>95</v>
      </c>
      <c r="B74" s="35"/>
      <c r="C74" s="80"/>
      <c r="D74" s="80"/>
      <c r="E74" s="93"/>
      <c r="F74" s="12"/>
      <c r="G74" s="12"/>
      <c r="H74" s="81"/>
      <c r="I74" s="114"/>
      <c r="J74" s="35"/>
      <c r="K74" s="80"/>
      <c r="L74" s="12"/>
      <c r="M74" s="12"/>
      <c r="N74" s="81"/>
      <c r="O74" s="114"/>
      <c r="P74" s="35"/>
      <c r="Q74" s="80"/>
      <c r="R74" s="12"/>
      <c r="S74" s="12"/>
      <c r="T74" s="81"/>
      <c r="U74" s="114"/>
      <c r="V74" s="35"/>
      <c r="W74" s="80"/>
      <c r="X74" s="12"/>
      <c r="Y74" s="12"/>
      <c r="Z74" s="81"/>
      <c r="AA74" s="114"/>
      <c r="AB74" s="115"/>
      <c r="AC74" s="81"/>
      <c r="AD74" s="116"/>
    </row>
    <row r="75" spans="1:30" x14ac:dyDescent="0.4">
      <c r="A75" s="34"/>
      <c r="B75" s="24">
        <v>0</v>
      </c>
      <c r="C75" s="7" t="s">
        <v>59</v>
      </c>
      <c r="D75" s="7">
        <v>0</v>
      </c>
      <c r="E75" s="21">
        <v>1</v>
      </c>
      <c r="F75" s="22">
        <v>0</v>
      </c>
      <c r="G75" s="11">
        <f t="shared" ref="G75" si="210">B75*D75*F75*E75</f>
        <v>0</v>
      </c>
      <c r="H75" s="60">
        <f>G75</f>
        <v>0</v>
      </c>
      <c r="I75" s="117">
        <f t="shared" ref="I75" si="211">G75-H75</f>
        <v>0</v>
      </c>
      <c r="J75" s="24">
        <v>0</v>
      </c>
      <c r="K75" s="7">
        <v>0</v>
      </c>
      <c r="L75" s="11">
        <f>F75</f>
        <v>0</v>
      </c>
      <c r="M75" s="11">
        <f>J75*K75*L75*E75</f>
        <v>0</v>
      </c>
      <c r="N75" s="60">
        <f t="shared" ref="N75" si="212">M75</f>
        <v>0</v>
      </c>
      <c r="O75" s="117">
        <f t="shared" ref="O75" si="213">M75-N75</f>
        <v>0</v>
      </c>
      <c r="P75" s="24">
        <v>0</v>
      </c>
      <c r="Q75" s="7">
        <v>0</v>
      </c>
      <c r="R75" s="11">
        <f>L75</f>
        <v>0</v>
      </c>
      <c r="S75" s="11">
        <f t="shared" ref="S75" si="214">P75*Q75*R75*E75</f>
        <v>0</v>
      </c>
      <c r="T75" s="60">
        <f>S75</f>
        <v>0</v>
      </c>
      <c r="U75" s="117">
        <f>S75-T75</f>
        <v>0</v>
      </c>
      <c r="V75" s="24">
        <v>0</v>
      </c>
      <c r="W75" s="7">
        <v>0</v>
      </c>
      <c r="X75" s="11">
        <f>R75</f>
        <v>0</v>
      </c>
      <c r="Y75" s="11">
        <f t="shared" ref="Y75" si="215">V75*W75*X75*K75</f>
        <v>0</v>
      </c>
      <c r="Z75" s="60">
        <f>Y75</f>
        <v>0</v>
      </c>
      <c r="AA75" s="117">
        <f>Y75-Z75</f>
        <v>0</v>
      </c>
      <c r="AB75" s="76">
        <f t="shared" ref="AB75:AB79" si="216">H75+N75+T75+Z75</f>
        <v>0</v>
      </c>
      <c r="AC75" s="11">
        <f t="shared" ref="AC75:AC79" si="217">I75+O75+U75+AA75</f>
        <v>0</v>
      </c>
      <c r="AD75" s="62">
        <f>AB75+AC75</f>
        <v>0</v>
      </c>
    </row>
    <row r="76" spans="1:30" x14ac:dyDescent="0.4">
      <c r="A76" s="34"/>
      <c r="B76" s="24">
        <v>0</v>
      </c>
      <c r="C76" s="7" t="s">
        <v>59</v>
      </c>
      <c r="D76" s="7">
        <v>0</v>
      </c>
      <c r="E76" s="21">
        <v>1</v>
      </c>
      <c r="F76" s="22">
        <v>0</v>
      </c>
      <c r="G76" s="11">
        <f>B76*D76*E76*F76</f>
        <v>0</v>
      </c>
      <c r="H76" s="60">
        <f>G76</f>
        <v>0</v>
      </c>
      <c r="I76" s="117">
        <f>G76-H76</f>
        <v>0</v>
      </c>
      <c r="J76" s="24">
        <v>0</v>
      </c>
      <c r="K76" s="7">
        <v>0</v>
      </c>
      <c r="L76" s="11">
        <f>F76</f>
        <v>0</v>
      </c>
      <c r="M76" s="11">
        <f>E76*J76*K76*L76</f>
        <v>0</v>
      </c>
      <c r="N76" s="60">
        <f>M76</f>
        <v>0</v>
      </c>
      <c r="O76" s="117">
        <f>M76-N76</f>
        <v>0</v>
      </c>
      <c r="P76" s="24">
        <v>0</v>
      </c>
      <c r="Q76" s="7">
        <v>0</v>
      </c>
      <c r="R76" s="11">
        <f>L76</f>
        <v>0</v>
      </c>
      <c r="S76" s="11">
        <f>E76*P76*Q76*R76</f>
        <v>0</v>
      </c>
      <c r="T76" s="60">
        <f>S76</f>
        <v>0</v>
      </c>
      <c r="U76" s="117">
        <f>S76-T76</f>
        <v>0</v>
      </c>
      <c r="V76" s="24">
        <v>0</v>
      </c>
      <c r="W76" s="7">
        <v>0</v>
      </c>
      <c r="X76" s="11">
        <f>R76</f>
        <v>0</v>
      </c>
      <c r="Y76" s="11">
        <f>K76*V76*W76*X76</f>
        <v>0</v>
      </c>
      <c r="Z76" s="60">
        <f>Y76</f>
        <v>0</v>
      </c>
      <c r="AA76" s="117">
        <f>Y76-Z76</f>
        <v>0</v>
      </c>
      <c r="AB76" s="76">
        <f t="shared" si="216"/>
        <v>0</v>
      </c>
      <c r="AC76" s="11">
        <f t="shared" si="217"/>
        <v>0</v>
      </c>
      <c r="AD76" s="62">
        <f>AB76</f>
        <v>0</v>
      </c>
    </row>
    <row r="77" spans="1:30" x14ac:dyDescent="0.4">
      <c r="A77" s="34"/>
      <c r="B77" s="24">
        <v>0</v>
      </c>
      <c r="C77" s="7" t="s">
        <v>50</v>
      </c>
      <c r="D77" s="7">
        <v>0</v>
      </c>
      <c r="E77" s="21">
        <v>1</v>
      </c>
      <c r="F77" s="11">
        <v>0</v>
      </c>
      <c r="G77" s="11">
        <f t="shared" ref="G77:G78" si="218">B77*D77*F77*E77</f>
        <v>0</v>
      </c>
      <c r="H77" s="60">
        <f>G77</f>
        <v>0</v>
      </c>
      <c r="I77" s="117">
        <f t="shared" ref="I77:I78" si="219">G77-H77</f>
        <v>0</v>
      </c>
      <c r="J77" s="24">
        <v>0</v>
      </c>
      <c r="K77" s="7">
        <v>0</v>
      </c>
      <c r="L77" s="11">
        <f>F77</f>
        <v>0</v>
      </c>
      <c r="M77" s="11">
        <f>J77*K77*L77*E77</f>
        <v>0</v>
      </c>
      <c r="N77" s="60">
        <f t="shared" ref="N77:N78" si="220">M77</f>
        <v>0</v>
      </c>
      <c r="O77" s="117">
        <f t="shared" ref="O77:O78" si="221">M77-N77</f>
        <v>0</v>
      </c>
      <c r="P77" s="24">
        <v>0</v>
      </c>
      <c r="Q77" s="7">
        <v>0</v>
      </c>
      <c r="R77" s="11">
        <f>L77</f>
        <v>0</v>
      </c>
      <c r="S77" s="11">
        <f t="shared" ref="S77:S78" si="222">P77*Q77*R77*E77</f>
        <v>0</v>
      </c>
      <c r="T77" s="60">
        <f>S77</f>
        <v>0</v>
      </c>
      <c r="U77" s="117">
        <f>S77-T77</f>
        <v>0</v>
      </c>
      <c r="V77" s="24">
        <v>0</v>
      </c>
      <c r="W77" s="7">
        <v>0</v>
      </c>
      <c r="X77" s="11">
        <f>R77</f>
        <v>0</v>
      </c>
      <c r="Y77" s="11">
        <f t="shared" ref="Y77:Y78" si="223">V77*W77*X77*K77</f>
        <v>0</v>
      </c>
      <c r="Z77" s="60">
        <f>Y77</f>
        <v>0</v>
      </c>
      <c r="AA77" s="117">
        <f>Y77-Z77</f>
        <v>0</v>
      </c>
      <c r="AB77" s="76">
        <f t="shared" si="216"/>
        <v>0</v>
      </c>
      <c r="AC77" s="11">
        <f t="shared" si="217"/>
        <v>0</v>
      </c>
      <c r="AD77" s="62">
        <f>AB77+AC77</f>
        <v>0</v>
      </c>
    </row>
    <row r="78" spans="1:30" x14ac:dyDescent="0.4">
      <c r="A78" s="34"/>
      <c r="B78" s="24">
        <v>0</v>
      </c>
      <c r="C78" s="7" t="s">
        <v>53</v>
      </c>
      <c r="D78" s="7">
        <v>0</v>
      </c>
      <c r="E78" s="21">
        <v>1</v>
      </c>
      <c r="F78" s="11">
        <v>0</v>
      </c>
      <c r="G78" s="11">
        <f t="shared" si="218"/>
        <v>0</v>
      </c>
      <c r="H78" s="60">
        <f>G78</f>
        <v>0</v>
      </c>
      <c r="I78" s="117">
        <f t="shared" si="219"/>
        <v>0</v>
      </c>
      <c r="J78" s="24">
        <v>0</v>
      </c>
      <c r="K78" s="7">
        <v>0</v>
      </c>
      <c r="L78" s="11">
        <f>F78</f>
        <v>0</v>
      </c>
      <c r="M78" s="11">
        <f>J78*K78*L78*E78</f>
        <v>0</v>
      </c>
      <c r="N78" s="60">
        <f t="shared" si="220"/>
        <v>0</v>
      </c>
      <c r="O78" s="117">
        <f t="shared" si="221"/>
        <v>0</v>
      </c>
      <c r="P78" s="24">
        <v>0</v>
      </c>
      <c r="Q78" s="7">
        <v>0</v>
      </c>
      <c r="R78" s="11">
        <f>L78</f>
        <v>0</v>
      </c>
      <c r="S78" s="11">
        <f t="shared" si="222"/>
        <v>0</v>
      </c>
      <c r="T78" s="60">
        <f>S78</f>
        <v>0</v>
      </c>
      <c r="U78" s="117">
        <f>S78-T78</f>
        <v>0</v>
      </c>
      <c r="V78" s="24">
        <v>0</v>
      </c>
      <c r="W78" s="7">
        <v>0</v>
      </c>
      <c r="X78" s="11">
        <f>R78</f>
        <v>0</v>
      </c>
      <c r="Y78" s="11">
        <f t="shared" si="223"/>
        <v>0</v>
      </c>
      <c r="Z78" s="60">
        <f>Y78</f>
        <v>0</v>
      </c>
      <c r="AA78" s="117">
        <f>Y78-Z78</f>
        <v>0</v>
      </c>
      <c r="AB78" s="76">
        <f t="shared" si="216"/>
        <v>0</v>
      </c>
      <c r="AC78" s="11">
        <f t="shared" si="217"/>
        <v>0</v>
      </c>
      <c r="AD78" s="62">
        <f>AB78+AC78</f>
        <v>0</v>
      </c>
    </row>
    <row r="79" spans="1:30" x14ac:dyDescent="0.4">
      <c r="A79" s="34"/>
      <c r="B79" s="24">
        <v>0</v>
      </c>
      <c r="C79" s="7" t="s">
        <v>59</v>
      </c>
      <c r="D79" s="7">
        <v>0</v>
      </c>
      <c r="E79" s="21">
        <v>1</v>
      </c>
      <c r="F79" s="11">
        <v>0</v>
      </c>
      <c r="G79" s="11">
        <f>B79*D79*E79*F79</f>
        <v>0</v>
      </c>
      <c r="H79" s="60">
        <f>G79</f>
        <v>0</v>
      </c>
      <c r="I79" s="117">
        <f>G79-H79</f>
        <v>0</v>
      </c>
      <c r="J79" s="24">
        <v>0</v>
      </c>
      <c r="K79" s="7">
        <v>0</v>
      </c>
      <c r="L79" s="11">
        <f>F79</f>
        <v>0</v>
      </c>
      <c r="M79" s="11">
        <f>E79*J79*K79*L79</f>
        <v>0</v>
      </c>
      <c r="N79" s="60">
        <f>M79</f>
        <v>0</v>
      </c>
      <c r="O79" s="117">
        <f>M79-N79</f>
        <v>0</v>
      </c>
      <c r="P79" s="24">
        <v>0</v>
      </c>
      <c r="Q79" s="7">
        <v>0</v>
      </c>
      <c r="R79" s="11">
        <f>L79</f>
        <v>0</v>
      </c>
      <c r="S79" s="11">
        <f>E79*P79*Q79*R79</f>
        <v>0</v>
      </c>
      <c r="T79" s="60">
        <f>S79</f>
        <v>0</v>
      </c>
      <c r="U79" s="117">
        <f>S79-T79</f>
        <v>0</v>
      </c>
      <c r="V79" s="24">
        <v>0</v>
      </c>
      <c r="W79" s="7">
        <v>0</v>
      </c>
      <c r="X79" s="11">
        <f>R79</f>
        <v>0</v>
      </c>
      <c r="Y79" s="11">
        <f>K79*V79*W79*X79</f>
        <v>0</v>
      </c>
      <c r="Z79" s="60">
        <f>Y79</f>
        <v>0</v>
      </c>
      <c r="AA79" s="117">
        <f>Y79-Z79</f>
        <v>0</v>
      </c>
      <c r="AB79" s="76">
        <f t="shared" si="216"/>
        <v>0</v>
      </c>
      <c r="AC79" s="11">
        <f t="shared" si="217"/>
        <v>0</v>
      </c>
      <c r="AD79" s="62">
        <f>AB79</f>
        <v>0</v>
      </c>
    </row>
    <row r="80" spans="1:30" x14ac:dyDescent="0.4">
      <c r="A80" s="176" t="s">
        <v>62</v>
      </c>
      <c r="B80" s="35"/>
      <c r="C80" s="80"/>
      <c r="D80" s="80"/>
      <c r="E80" s="93"/>
      <c r="F80" s="12"/>
      <c r="G80" s="12"/>
      <c r="H80" s="81"/>
      <c r="I80" s="114"/>
      <c r="J80" s="35"/>
      <c r="K80" s="80"/>
      <c r="L80" s="12"/>
      <c r="M80" s="12"/>
      <c r="N80" s="81"/>
      <c r="O80" s="114"/>
      <c r="P80" s="35"/>
      <c r="Q80" s="80"/>
      <c r="R80" s="12"/>
      <c r="S80" s="12"/>
      <c r="T80" s="81"/>
      <c r="U80" s="114"/>
      <c r="V80" s="35"/>
      <c r="W80" s="80"/>
      <c r="X80" s="12"/>
      <c r="Y80" s="12"/>
      <c r="Z80" s="81"/>
      <c r="AA80" s="114"/>
      <c r="AB80" s="115"/>
      <c r="AC80" s="12"/>
      <c r="AD80" s="114"/>
    </row>
    <row r="81" spans="1:30" x14ac:dyDescent="0.4">
      <c r="A81" s="118" t="s">
        <v>63</v>
      </c>
      <c r="B81" s="24">
        <v>0</v>
      </c>
      <c r="C81" s="7" t="s">
        <v>50</v>
      </c>
      <c r="D81" s="7">
        <v>0</v>
      </c>
      <c r="E81" s="21">
        <v>1</v>
      </c>
      <c r="F81" s="11">
        <v>0</v>
      </c>
      <c r="G81" s="119">
        <f t="shared" ref="G81" si="224">B81*D81*F81</f>
        <v>0</v>
      </c>
      <c r="H81" s="119">
        <f t="shared" ref="H81" si="225">G81</f>
        <v>0</v>
      </c>
      <c r="I81" s="117">
        <f>G81-H81</f>
        <v>0</v>
      </c>
      <c r="J81" s="24">
        <v>0</v>
      </c>
      <c r="K81" s="7">
        <v>0</v>
      </c>
      <c r="L81" s="11">
        <f>F81</f>
        <v>0</v>
      </c>
      <c r="M81" s="119">
        <f t="shared" ref="M81:M82" si="226">J81*K81*L81</f>
        <v>0</v>
      </c>
      <c r="N81" s="119">
        <f t="shared" ref="N81:N82" si="227">M81</f>
        <v>0</v>
      </c>
      <c r="O81" s="117">
        <f>M81-N81</f>
        <v>0</v>
      </c>
      <c r="P81" s="24">
        <v>0</v>
      </c>
      <c r="Q81" s="7">
        <v>0</v>
      </c>
      <c r="R81" s="11">
        <f>L81</f>
        <v>0</v>
      </c>
      <c r="S81" s="11">
        <f t="shared" ref="S81:S82" si="228">P81*Q81*R81</f>
        <v>0</v>
      </c>
      <c r="T81" s="119">
        <f t="shared" ref="T81:T82" si="229">S81</f>
        <v>0</v>
      </c>
      <c r="U81" s="117">
        <f>S81-T81</f>
        <v>0</v>
      </c>
      <c r="V81" s="24">
        <v>0</v>
      </c>
      <c r="W81" s="7">
        <v>0</v>
      </c>
      <c r="X81" s="11">
        <f>R81</f>
        <v>0</v>
      </c>
      <c r="Y81" s="11">
        <f t="shared" ref="Y81:Y84" si="230">V81*W81*X81</f>
        <v>0</v>
      </c>
      <c r="Z81" s="119">
        <f t="shared" ref="Z81:Z84" si="231">Y81</f>
        <v>0</v>
      </c>
      <c r="AA81" s="117">
        <f>Y81-Z81</f>
        <v>0</v>
      </c>
      <c r="AB81" s="76">
        <f t="shared" ref="AB81:AB84" si="232">H81+N81+T81+Z81</f>
        <v>0</v>
      </c>
      <c r="AC81" s="11">
        <f t="shared" ref="AC81:AC84" si="233">I81+O81+U81+AA81</f>
        <v>0</v>
      </c>
      <c r="AD81" s="120">
        <f t="shared" ref="AD81:AD82" si="234">AB81+AC81</f>
        <v>0</v>
      </c>
    </row>
    <row r="82" spans="1:30" x14ac:dyDescent="0.4">
      <c r="A82" s="118" t="s">
        <v>64</v>
      </c>
      <c r="B82" s="24">
        <v>0</v>
      </c>
      <c r="C82" s="7" t="s">
        <v>65</v>
      </c>
      <c r="D82" s="7">
        <v>0</v>
      </c>
      <c r="E82" s="21">
        <v>1</v>
      </c>
      <c r="F82" s="11">
        <v>0</v>
      </c>
      <c r="G82" s="119">
        <f>B82*D82*F82</f>
        <v>0</v>
      </c>
      <c r="H82" s="119">
        <f>G82</f>
        <v>0</v>
      </c>
      <c r="I82" s="117">
        <f t="shared" ref="I82" si="235">G82-H82</f>
        <v>0</v>
      </c>
      <c r="J82" s="24">
        <v>0</v>
      </c>
      <c r="K82" s="7">
        <v>0</v>
      </c>
      <c r="L82" s="11">
        <f>F82</f>
        <v>0</v>
      </c>
      <c r="M82" s="119">
        <f t="shared" si="226"/>
        <v>0</v>
      </c>
      <c r="N82" s="119">
        <f t="shared" si="227"/>
        <v>0</v>
      </c>
      <c r="O82" s="117">
        <f t="shared" ref="O82" si="236">M82-N82</f>
        <v>0</v>
      </c>
      <c r="P82" s="24">
        <v>0</v>
      </c>
      <c r="Q82" s="7">
        <v>0</v>
      </c>
      <c r="R82" s="11">
        <f>L82</f>
        <v>0</v>
      </c>
      <c r="S82" s="11">
        <f t="shared" si="228"/>
        <v>0</v>
      </c>
      <c r="T82" s="119">
        <f t="shared" si="229"/>
        <v>0</v>
      </c>
      <c r="U82" s="117">
        <f t="shared" ref="U82" si="237">S82-T82</f>
        <v>0</v>
      </c>
      <c r="V82" s="24">
        <v>0</v>
      </c>
      <c r="W82" s="7">
        <v>0</v>
      </c>
      <c r="X82" s="11">
        <f>R82</f>
        <v>0</v>
      </c>
      <c r="Y82" s="11">
        <f t="shared" si="230"/>
        <v>0</v>
      </c>
      <c r="Z82" s="119">
        <f t="shared" si="231"/>
        <v>0</v>
      </c>
      <c r="AA82" s="117">
        <f t="shared" ref="AA82:AA84" si="238">Y82-Z82</f>
        <v>0</v>
      </c>
      <c r="AB82" s="76">
        <f t="shared" si="232"/>
        <v>0</v>
      </c>
      <c r="AC82" s="11">
        <f t="shared" si="233"/>
        <v>0</v>
      </c>
      <c r="AD82" s="120">
        <f t="shared" si="234"/>
        <v>0</v>
      </c>
    </row>
    <row r="83" spans="1:30" x14ac:dyDescent="0.4">
      <c r="A83" s="118" t="s">
        <v>66</v>
      </c>
      <c r="B83" s="24">
        <v>0</v>
      </c>
      <c r="C83" s="7" t="s">
        <v>56</v>
      </c>
      <c r="D83" s="7">
        <v>0</v>
      </c>
      <c r="E83" s="21">
        <v>1</v>
      </c>
      <c r="F83" s="11">
        <v>0</v>
      </c>
      <c r="G83" s="119">
        <f>B83*D83*F83</f>
        <v>0</v>
      </c>
      <c r="H83" s="119">
        <f>G83</f>
        <v>0</v>
      </c>
      <c r="I83" s="117">
        <f t="shared" ref="I83" si="239">G83-H83</f>
        <v>0</v>
      </c>
      <c r="J83" s="24">
        <v>0</v>
      </c>
      <c r="K83" s="7">
        <v>0</v>
      </c>
      <c r="L83" s="11">
        <f>F83</f>
        <v>0</v>
      </c>
      <c r="M83" s="119">
        <f t="shared" ref="M83" si="240">J83*K83*L83</f>
        <v>0</v>
      </c>
      <c r="N83" s="119">
        <f t="shared" ref="N83" si="241">M83</f>
        <v>0</v>
      </c>
      <c r="O83" s="117">
        <f t="shared" ref="O83" si="242">M83-N83</f>
        <v>0</v>
      </c>
      <c r="P83" s="24">
        <v>0</v>
      </c>
      <c r="Q83" s="7">
        <v>0</v>
      </c>
      <c r="R83" s="11">
        <f>L83</f>
        <v>0</v>
      </c>
      <c r="S83" s="11">
        <f t="shared" ref="S83" si="243">P83*Q83*R83</f>
        <v>0</v>
      </c>
      <c r="T83" s="119">
        <f t="shared" ref="T83" si="244">S83</f>
        <v>0</v>
      </c>
      <c r="U83" s="117">
        <f t="shared" ref="U83" si="245">S83-T83</f>
        <v>0</v>
      </c>
      <c r="V83" s="24">
        <v>0</v>
      </c>
      <c r="W83" s="7">
        <v>0</v>
      </c>
      <c r="X83" s="11">
        <f>R83</f>
        <v>0</v>
      </c>
      <c r="Y83" s="11">
        <f t="shared" si="230"/>
        <v>0</v>
      </c>
      <c r="Z83" s="119">
        <f t="shared" si="231"/>
        <v>0</v>
      </c>
      <c r="AA83" s="117">
        <f t="shared" si="238"/>
        <v>0</v>
      </c>
      <c r="AB83" s="76">
        <f t="shared" si="232"/>
        <v>0</v>
      </c>
      <c r="AC83" s="11">
        <f t="shared" si="233"/>
        <v>0</v>
      </c>
      <c r="AD83" s="120">
        <f t="shared" ref="AD83" si="246">AB83+AC83</f>
        <v>0</v>
      </c>
    </row>
    <row r="84" spans="1:30" x14ac:dyDescent="0.4">
      <c r="A84" s="118" t="s">
        <v>67</v>
      </c>
      <c r="B84" s="24">
        <v>0</v>
      </c>
      <c r="C84" s="7" t="s">
        <v>56</v>
      </c>
      <c r="D84" s="7">
        <v>0</v>
      </c>
      <c r="E84" s="21">
        <v>1</v>
      </c>
      <c r="F84" s="11">
        <v>0</v>
      </c>
      <c r="G84" s="119">
        <f>B84*D84*F84</f>
        <v>0</v>
      </c>
      <c r="H84" s="119">
        <f>G84</f>
        <v>0</v>
      </c>
      <c r="I84" s="117">
        <f t="shared" ref="I84" si="247">G84-H84</f>
        <v>0</v>
      </c>
      <c r="J84" s="24">
        <v>0</v>
      </c>
      <c r="K84" s="7">
        <v>0</v>
      </c>
      <c r="L84" s="11">
        <f>F84</f>
        <v>0</v>
      </c>
      <c r="M84" s="119">
        <f t="shared" ref="M84" si="248">J84*K84*L84</f>
        <v>0</v>
      </c>
      <c r="N84" s="119">
        <f t="shared" ref="N84" si="249">M84</f>
        <v>0</v>
      </c>
      <c r="O84" s="117">
        <f t="shared" ref="O84" si="250">M84-N84</f>
        <v>0</v>
      </c>
      <c r="P84" s="24">
        <v>0</v>
      </c>
      <c r="Q84" s="7">
        <v>0</v>
      </c>
      <c r="R84" s="11">
        <f>L84</f>
        <v>0</v>
      </c>
      <c r="S84" s="11">
        <f t="shared" ref="S84" si="251">P84*Q84*R84</f>
        <v>0</v>
      </c>
      <c r="T84" s="119">
        <f t="shared" ref="T84" si="252">S84</f>
        <v>0</v>
      </c>
      <c r="U84" s="117">
        <f t="shared" ref="U84" si="253">S84-T84</f>
        <v>0</v>
      </c>
      <c r="V84" s="24">
        <v>0</v>
      </c>
      <c r="W84" s="7">
        <v>0</v>
      </c>
      <c r="X84" s="11">
        <f>R84</f>
        <v>0</v>
      </c>
      <c r="Y84" s="11">
        <f t="shared" si="230"/>
        <v>0</v>
      </c>
      <c r="Z84" s="119">
        <f t="shared" si="231"/>
        <v>0</v>
      </c>
      <c r="AA84" s="117">
        <f t="shared" si="238"/>
        <v>0</v>
      </c>
      <c r="AB84" s="76">
        <f t="shared" si="232"/>
        <v>0</v>
      </c>
      <c r="AC84" s="11">
        <f t="shared" si="233"/>
        <v>0</v>
      </c>
      <c r="AD84" s="120">
        <f t="shared" ref="AD84" si="254">AB84+AC84</f>
        <v>0</v>
      </c>
    </row>
    <row r="85" spans="1:30" s="4" customFormat="1" x14ac:dyDescent="0.4">
      <c r="A85" s="63" t="s">
        <v>68</v>
      </c>
      <c r="B85" s="29"/>
      <c r="C85" s="32"/>
      <c r="D85" s="30"/>
      <c r="E85" s="65"/>
      <c r="F85" s="66"/>
      <c r="G85" s="66">
        <f>SUM(G57:G84)</f>
        <v>0</v>
      </c>
      <c r="H85" s="66">
        <f t="shared" ref="H85:I85" si="255">SUM(H57:H84)</f>
        <v>0</v>
      </c>
      <c r="I85" s="66">
        <f t="shared" si="255"/>
        <v>0</v>
      </c>
      <c r="J85" s="88"/>
      <c r="K85" s="89"/>
      <c r="L85" s="66"/>
      <c r="M85" s="66">
        <f>SUM(M57:M84)</f>
        <v>0</v>
      </c>
      <c r="N85" s="66">
        <f t="shared" ref="N85" si="256">SUM(N57:N84)</f>
        <v>0</v>
      </c>
      <c r="O85" s="66">
        <f t="shared" ref="O85" si="257">SUM(O57:O84)</f>
        <v>0</v>
      </c>
      <c r="P85" s="88"/>
      <c r="Q85" s="89"/>
      <c r="R85" s="66"/>
      <c r="S85" s="66">
        <f>SUM(S57:S84)</f>
        <v>0</v>
      </c>
      <c r="T85" s="66">
        <f t="shared" ref="T85" si="258">SUM(T57:T84)</f>
        <v>0</v>
      </c>
      <c r="U85" s="66">
        <f t="shared" ref="U85" si="259">SUM(U57:U84)</f>
        <v>0</v>
      </c>
      <c r="V85" s="88"/>
      <c r="W85" s="89"/>
      <c r="X85" s="66"/>
      <c r="Y85" s="66">
        <f>SUM(Y57:Y84)</f>
        <v>0</v>
      </c>
      <c r="Z85" s="66">
        <f t="shared" ref="Z85" si="260">SUM(Z57:Z84)</f>
        <v>0</v>
      </c>
      <c r="AA85" s="66">
        <f t="shared" ref="AA85" si="261">SUM(AA57:AA84)</f>
        <v>0</v>
      </c>
      <c r="AB85" s="66">
        <f>SUM(AB57:AB84)</f>
        <v>0</v>
      </c>
      <c r="AC85" s="66">
        <f t="shared" ref="AC85:AD85" si="262">SUM(AC57:AC84)</f>
        <v>0</v>
      </c>
      <c r="AD85" s="66">
        <f t="shared" si="262"/>
        <v>0</v>
      </c>
    </row>
    <row r="86" spans="1:30" s="4" customFormat="1" x14ac:dyDescent="0.4">
      <c r="A86" s="45" t="s">
        <v>69</v>
      </c>
      <c r="B86" s="26"/>
      <c r="C86" s="31"/>
      <c r="D86" s="31"/>
      <c r="E86" s="68"/>
      <c r="F86" s="69"/>
      <c r="G86" s="69">
        <f>G16+G25+G41+G48+G54+G85</f>
        <v>0</v>
      </c>
      <c r="H86" s="69">
        <f>H16+H25+H41+H48+H54+H85</f>
        <v>0</v>
      </c>
      <c r="I86" s="69">
        <f>I16+I25+I41+I48+I54+I85</f>
        <v>0</v>
      </c>
      <c r="J86" s="26"/>
      <c r="K86" s="72"/>
      <c r="L86" s="69"/>
      <c r="M86" s="69">
        <f>M16+M25+M41+M48+M54+M85</f>
        <v>0</v>
      </c>
      <c r="N86" s="69">
        <f>N16+N25+N41+N48+N54+N85</f>
        <v>0</v>
      </c>
      <c r="O86" s="69">
        <f>O16+O25+O41+O48+O54+O85</f>
        <v>0</v>
      </c>
      <c r="P86" s="26"/>
      <c r="Q86" s="72"/>
      <c r="R86" s="69"/>
      <c r="S86" s="69">
        <f>S16+S25+S41+S48+S54+S85</f>
        <v>0</v>
      </c>
      <c r="T86" s="69">
        <f>T16+T25+T41+T48+T54+T85</f>
        <v>0</v>
      </c>
      <c r="U86" s="69">
        <f>U16+U25+U41+U48+U54+U85</f>
        <v>0</v>
      </c>
      <c r="V86" s="26"/>
      <c r="W86" s="72"/>
      <c r="X86" s="69"/>
      <c r="Y86" s="69">
        <f t="shared" ref="Y86:AD86" si="263">Y16+Y25+Y41+Y48+Y54+Y85</f>
        <v>0</v>
      </c>
      <c r="Z86" s="69">
        <f t="shared" si="263"/>
        <v>0</v>
      </c>
      <c r="AA86" s="69">
        <f t="shared" si="263"/>
        <v>0</v>
      </c>
      <c r="AB86" s="69">
        <f t="shared" si="263"/>
        <v>0</v>
      </c>
      <c r="AC86" s="69">
        <f t="shared" si="263"/>
        <v>0</v>
      </c>
      <c r="AD86" s="69">
        <f t="shared" si="263"/>
        <v>0</v>
      </c>
    </row>
    <row r="87" spans="1:30" s="4" customFormat="1" x14ac:dyDescent="0.4">
      <c r="A87" s="75" t="s">
        <v>70</v>
      </c>
      <c r="B87" s="121"/>
      <c r="C87" s="155">
        <v>0.2828</v>
      </c>
      <c r="D87" s="3"/>
      <c r="E87" s="41"/>
      <c r="F87" s="85"/>
      <c r="G87" s="85">
        <f>G86*$C$87</f>
        <v>0</v>
      </c>
      <c r="H87" s="85">
        <f>G87</f>
        <v>0</v>
      </c>
      <c r="I87" s="122">
        <f>G87-H87</f>
        <v>0</v>
      </c>
      <c r="J87" s="121"/>
      <c r="K87" s="10"/>
      <c r="L87" s="85"/>
      <c r="M87" s="85">
        <f>M86*$C$87</f>
        <v>0</v>
      </c>
      <c r="N87" s="85">
        <f>M87</f>
        <v>0</v>
      </c>
      <c r="O87" s="122">
        <f>M87-N87</f>
        <v>0</v>
      </c>
      <c r="P87" s="121"/>
      <c r="Q87" s="10"/>
      <c r="R87" s="85"/>
      <c r="S87" s="85">
        <f>S86*$C$87</f>
        <v>0</v>
      </c>
      <c r="T87" s="85">
        <f>S87</f>
        <v>0</v>
      </c>
      <c r="U87" s="122">
        <f>S87-T87</f>
        <v>0</v>
      </c>
      <c r="V87" s="121"/>
      <c r="W87" s="10"/>
      <c r="X87" s="85"/>
      <c r="Y87" s="85">
        <f>Y86*$C$87</f>
        <v>0</v>
      </c>
      <c r="Z87" s="85">
        <f>Y87</f>
        <v>0</v>
      </c>
      <c r="AA87" s="122">
        <f>Y87-Z87</f>
        <v>0</v>
      </c>
      <c r="AB87" s="123">
        <f t="shared" ref="AB87" si="264">H87+N87+T87+Z87</f>
        <v>0</v>
      </c>
      <c r="AC87" s="85">
        <f t="shared" ref="AC87" si="265">I87+O87+U87+AA87</f>
        <v>0</v>
      </c>
      <c r="AD87" s="122">
        <f>AB87+AC87</f>
        <v>0</v>
      </c>
    </row>
    <row r="88" spans="1:30" s="4" customFormat="1" x14ac:dyDescent="0.4">
      <c r="A88" s="124" t="s">
        <v>71</v>
      </c>
      <c r="B88" s="37"/>
      <c r="C88" s="125"/>
      <c r="D88" s="38"/>
      <c r="E88" s="126"/>
      <c r="F88" s="127"/>
      <c r="G88" s="127">
        <f>G87</f>
        <v>0</v>
      </c>
      <c r="H88" s="127">
        <f t="shared" ref="H88:I88" si="266">H87</f>
        <v>0</v>
      </c>
      <c r="I88" s="128">
        <f t="shared" si="266"/>
        <v>0</v>
      </c>
      <c r="J88" s="37"/>
      <c r="K88" s="129"/>
      <c r="L88" s="127"/>
      <c r="M88" s="127">
        <f>M87</f>
        <v>0</v>
      </c>
      <c r="N88" s="127">
        <f t="shared" ref="N88:O88" si="267">N87</f>
        <v>0</v>
      </c>
      <c r="O88" s="128">
        <f t="shared" si="267"/>
        <v>0</v>
      </c>
      <c r="P88" s="37"/>
      <c r="Q88" s="129"/>
      <c r="R88" s="127"/>
      <c r="S88" s="127">
        <f>S87</f>
        <v>0</v>
      </c>
      <c r="T88" s="127">
        <f t="shared" ref="T88:U88" si="268">T87</f>
        <v>0</v>
      </c>
      <c r="U88" s="128">
        <f t="shared" si="268"/>
        <v>0</v>
      </c>
      <c r="V88" s="37"/>
      <c r="W88" s="129"/>
      <c r="X88" s="127"/>
      <c r="Y88" s="127">
        <f>Y87</f>
        <v>0</v>
      </c>
      <c r="Z88" s="127">
        <f t="shared" ref="Z88:AA88" si="269">Z87</f>
        <v>0</v>
      </c>
      <c r="AA88" s="128">
        <f t="shared" si="269"/>
        <v>0</v>
      </c>
      <c r="AB88" s="130">
        <f>AB87</f>
        <v>0</v>
      </c>
      <c r="AC88" s="130">
        <f t="shared" ref="AC88:AD88" si="270">AC87</f>
        <v>0</v>
      </c>
      <c r="AD88" s="131">
        <f t="shared" si="270"/>
        <v>0</v>
      </c>
    </row>
    <row r="89" spans="1:30" s="4" customFormat="1" ht="15.6" thickBot="1" x14ac:dyDescent="0.45">
      <c r="A89" s="132" t="s">
        <v>72</v>
      </c>
      <c r="B89" s="39"/>
      <c r="C89" s="25"/>
      <c r="D89" s="25"/>
      <c r="E89" s="133"/>
      <c r="F89" s="134"/>
      <c r="G89" s="134">
        <f>G86+G88</f>
        <v>0</v>
      </c>
      <c r="H89" s="134">
        <f t="shared" ref="H89:I89" si="271">H86+H88</f>
        <v>0</v>
      </c>
      <c r="I89" s="134">
        <f t="shared" si="271"/>
        <v>0</v>
      </c>
      <c r="J89" s="135"/>
      <c r="K89" s="134"/>
      <c r="L89" s="134"/>
      <c r="M89" s="134">
        <f>M86+M88</f>
        <v>0</v>
      </c>
      <c r="N89" s="134">
        <f t="shared" ref="N89" si="272">N86+N88</f>
        <v>0</v>
      </c>
      <c r="O89" s="134">
        <f t="shared" ref="O89" si="273">O86+O88</f>
        <v>0</v>
      </c>
      <c r="P89" s="135"/>
      <c r="Q89" s="134"/>
      <c r="R89" s="134"/>
      <c r="S89" s="134">
        <f>S86+S88</f>
        <v>0</v>
      </c>
      <c r="T89" s="134">
        <f t="shared" ref="T89" si="274">T86+T88</f>
        <v>0</v>
      </c>
      <c r="U89" s="134">
        <f t="shared" ref="U89" si="275">U86+U88</f>
        <v>0</v>
      </c>
      <c r="V89" s="135"/>
      <c r="W89" s="134"/>
      <c r="X89" s="134"/>
      <c r="Y89" s="134">
        <f>Y86+Y88</f>
        <v>0</v>
      </c>
      <c r="Z89" s="134">
        <f t="shared" ref="Z89:AA89" si="276">Z86+Z88</f>
        <v>0</v>
      </c>
      <c r="AA89" s="134">
        <f t="shared" si="276"/>
        <v>0</v>
      </c>
      <c r="AB89" s="134">
        <f>AB86+AB88</f>
        <v>0</v>
      </c>
      <c r="AC89" s="134">
        <f t="shared" ref="AC89" si="277">AC86+AC88</f>
        <v>0</v>
      </c>
      <c r="AD89" s="134">
        <f t="shared" ref="AD89" si="278">AD86+AD88</f>
        <v>0</v>
      </c>
    </row>
    <row r="90" spans="1:30" s="4" customFormat="1" x14ac:dyDescent="0.4">
      <c r="C90" s="5"/>
      <c r="D90" s="13"/>
      <c r="E90" s="14"/>
      <c r="F90" s="15"/>
      <c r="G90" s="15"/>
      <c r="H90" s="16"/>
      <c r="I90" s="16"/>
      <c r="J90" s="17"/>
      <c r="K90" s="17"/>
      <c r="L90" s="16"/>
      <c r="M90" s="16"/>
      <c r="N90" s="16"/>
      <c r="O90" s="16"/>
      <c r="P90" s="17"/>
      <c r="Q90" s="17"/>
      <c r="R90" s="16"/>
      <c r="S90" s="16"/>
      <c r="T90" s="16"/>
      <c r="U90" s="16"/>
      <c r="V90" s="17"/>
      <c r="W90" s="17"/>
      <c r="X90" s="16"/>
      <c r="Y90" s="16"/>
      <c r="Z90" s="16"/>
      <c r="AA90" s="16"/>
      <c r="AB90" s="16"/>
      <c r="AC90" s="16"/>
      <c r="AD90" s="15"/>
    </row>
    <row r="91" spans="1:30" s="4" customFormat="1" x14ac:dyDescent="0.4">
      <c r="C91" s="5"/>
      <c r="D91" s="13"/>
      <c r="E91" s="18"/>
      <c r="F91" s="15"/>
      <c r="G91" s="15"/>
      <c r="H91" s="16"/>
      <c r="I91" s="16"/>
      <c r="J91" s="19"/>
      <c r="K91" s="19"/>
      <c r="L91" s="16"/>
      <c r="M91" s="16"/>
      <c r="N91" s="16"/>
      <c r="O91" s="16"/>
      <c r="P91" s="19"/>
      <c r="Q91" s="19"/>
      <c r="R91" s="16"/>
      <c r="S91" s="16"/>
      <c r="T91" s="16"/>
      <c r="U91" s="16"/>
      <c r="V91" s="19"/>
      <c r="W91" s="19"/>
      <c r="X91" s="16"/>
      <c r="Y91" s="16"/>
      <c r="Z91" s="16"/>
      <c r="AA91" s="16"/>
      <c r="AB91" s="16"/>
      <c r="AC91" s="16"/>
      <c r="AD91" s="15"/>
    </row>
    <row r="92" spans="1:30" s="4" customFormat="1" x14ac:dyDescent="0.4">
      <c r="C92" s="5"/>
      <c r="D92" s="13"/>
      <c r="E92" s="18"/>
      <c r="F92" s="15"/>
      <c r="G92" s="15"/>
      <c r="H92" s="15"/>
      <c r="I92" s="15"/>
      <c r="L92" s="15"/>
      <c r="M92" s="15"/>
      <c r="N92" s="15"/>
      <c r="O92" s="15"/>
      <c r="R92" s="15"/>
      <c r="S92" s="15"/>
      <c r="T92" s="15"/>
      <c r="U92" s="15"/>
      <c r="X92" s="15"/>
      <c r="Y92" s="15"/>
      <c r="Z92" s="15"/>
      <c r="AA92" s="15"/>
      <c r="AB92" s="15"/>
      <c r="AC92" s="15"/>
      <c r="AD92" s="15"/>
    </row>
    <row r="93" spans="1:30" s="4" customFormat="1" x14ac:dyDescent="0.4">
      <c r="C93" s="5"/>
      <c r="D93" s="13"/>
      <c r="E93" s="18"/>
      <c r="F93" s="15"/>
      <c r="G93" s="15"/>
      <c r="H93" s="15"/>
      <c r="I93" s="15"/>
      <c r="L93" s="15"/>
      <c r="M93" s="15"/>
      <c r="N93" s="15"/>
      <c r="O93" s="15"/>
      <c r="R93" s="15"/>
      <c r="S93" s="15"/>
      <c r="T93" s="15"/>
      <c r="U93" s="15"/>
      <c r="X93" s="15"/>
      <c r="Y93" s="15"/>
      <c r="Z93" s="15"/>
      <c r="AA93" s="15"/>
      <c r="AB93" s="15"/>
      <c r="AC93" s="15"/>
      <c r="AD93" s="15"/>
    </row>
    <row r="94" spans="1:30" s="4" customFormat="1" x14ac:dyDescent="0.4">
      <c r="C94" s="5"/>
      <c r="D94" s="13"/>
      <c r="E94" s="18"/>
      <c r="F94" s="15"/>
      <c r="G94" s="15"/>
      <c r="H94" s="15"/>
      <c r="I94" s="15"/>
      <c r="L94" s="15"/>
      <c r="M94" s="15"/>
      <c r="N94" s="15"/>
      <c r="O94" s="15"/>
      <c r="R94" s="15"/>
      <c r="S94" s="15"/>
      <c r="T94" s="15"/>
      <c r="U94" s="15"/>
      <c r="X94" s="15"/>
      <c r="Y94" s="15"/>
      <c r="Z94" s="15"/>
      <c r="AA94" s="15"/>
      <c r="AB94" s="15"/>
      <c r="AC94" s="15"/>
      <c r="AD94" s="15"/>
    </row>
    <row r="95" spans="1:30" s="4" customFormat="1" x14ac:dyDescent="0.4">
      <c r="C95" s="5"/>
      <c r="D95" s="13"/>
      <c r="E95" s="18"/>
      <c r="F95" s="15"/>
      <c r="G95" s="15"/>
      <c r="H95" s="15"/>
      <c r="I95" s="15"/>
      <c r="L95" s="15"/>
      <c r="M95" s="15"/>
      <c r="N95" s="15"/>
      <c r="O95" s="15"/>
      <c r="R95" s="15"/>
      <c r="S95" s="15"/>
      <c r="T95" s="15"/>
      <c r="U95" s="15"/>
      <c r="X95" s="15"/>
      <c r="Y95" s="15"/>
      <c r="Z95" s="15"/>
      <c r="AA95" s="15"/>
      <c r="AB95" s="15"/>
      <c r="AC95" s="15"/>
      <c r="AD95" s="15"/>
    </row>
    <row r="96" spans="1:30" s="4" customFormat="1" x14ac:dyDescent="0.4">
      <c r="C96" s="5"/>
      <c r="D96" s="13"/>
      <c r="E96" s="18"/>
      <c r="F96" s="15"/>
      <c r="G96" s="15"/>
      <c r="H96" s="15"/>
      <c r="I96" s="15"/>
      <c r="L96" s="15"/>
      <c r="M96" s="15"/>
      <c r="N96" s="15"/>
      <c r="O96" s="15"/>
      <c r="R96" s="15"/>
      <c r="S96" s="15"/>
      <c r="T96" s="15"/>
      <c r="U96" s="15"/>
      <c r="X96" s="15"/>
      <c r="Y96" s="15"/>
      <c r="Z96" s="15"/>
      <c r="AA96" s="15"/>
      <c r="AB96" s="15"/>
      <c r="AC96" s="15"/>
      <c r="AD96" s="15"/>
    </row>
    <row r="97" spans="1:30" s="4" customFormat="1" x14ac:dyDescent="0.4">
      <c r="C97" s="5"/>
      <c r="D97" s="13"/>
      <c r="E97" s="18"/>
      <c r="F97" s="15"/>
      <c r="G97" s="15"/>
      <c r="H97" s="15"/>
      <c r="I97" s="15"/>
      <c r="L97" s="15"/>
      <c r="M97" s="15"/>
      <c r="N97" s="15"/>
      <c r="O97" s="15"/>
      <c r="R97" s="15"/>
      <c r="S97" s="15"/>
      <c r="T97" s="15"/>
      <c r="U97" s="15"/>
      <c r="X97" s="15"/>
      <c r="Y97" s="15"/>
      <c r="Z97" s="15"/>
      <c r="AA97" s="15"/>
      <c r="AB97" s="15"/>
      <c r="AC97" s="15"/>
      <c r="AD97" s="15"/>
    </row>
    <row r="98" spans="1:30" s="4" customFormat="1" x14ac:dyDescent="0.4">
      <c r="C98" s="5"/>
      <c r="D98" s="13"/>
      <c r="E98" s="18"/>
      <c r="F98" s="15"/>
      <c r="G98" s="15"/>
      <c r="H98" s="15"/>
      <c r="I98" s="15"/>
      <c r="L98" s="15"/>
      <c r="M98" s="15"/>
      <c r="N98" s="15"/>
      <c r="O98" s="15"/>
      <c r="R98" s="15"/>
      <c r="S98" s="15"/>
      <c r="T98" s="15"/>
      <c r="U98" s="15"/>
      <c r="X98" s="15"/>
      <c r="Y98" s="15"/>
      <c r="Z98" s="15"/>
      <c r="AA98" s="15"/>
      <c r="AB98" s="15"/>
      <c r="AC98" s="15"/>
      <c r="AD98" s="15"/>
    </row>
    <row r="99" spans="1:30" s="4" customFormat="1" x14ac:dyDescent="0.4">
      <c r="C99" s="5"/>
      <c r="D99" s="13"/>
      <c r="E99" s="18"/>
      <c r="F99" s="15"/>
      <c r="G99" s="15"/>
      <c r="H99" s="15"/>
      <c r="I99" s="15"/>
      <c r="L99" s="15"/>
      <c r="M99" s="15"/>
      <c r="N99" s="15"/>
      <c r="O99" s="15"/>
      <c r="R99" s="15"/>
      <c r="S99" s="15"/>
      <c r="T99" s="15"/>
      <c r="U99" s="15"/>
      <c r="X99" s="15"/>
      <c r="Y99" s="15"/>
      <c r="Z99" s="15"/>
      <c r="AA99" s="15"/>
      <c r="AB99" s="15"/>
      <c r="AC99" s="15"/>
      <c r="AD99" s="15"/>
    </row>
    <row r="100" spans="1:30" s="4" customFormat="1" x14ac:dyDescent="0.4">
      <c r="C100" s="5"/>
      <c r="D100" s="13"/>
      <c r="E100" s="18"/>
      <c r="F100" s="15"/>
      <c r="G100" s="15"/>
      <c r="H100" s="15"/>
      <c r="I100" s="15"/>
      <c r="L100" s="15"/>
      <c r="M100" s="15"/>
      <c r="N100" s="15"/>
      <c r="O100" s="15"/>
      <c r="R100" s="15"/>
      <c r="S100" s="15"/>
      <c r="T100" s="15"/>
      <c r="U100" s="15"/>
      <c r="X100" s="15"/>
      <c r="Y100" s="15"/>
      <c r="Z100" s="15"/>
      <c r="AA100" s="15"/>
      <c r="AB100" s="15"/>
      <c r="AC100" s="15"/>
      <c r="AD100" s="15"/>
    </row>
    <row r="101" spans="1:30" s="4" customFormat="1" x14ac:dyDescent="0.4">
      <c r="C101" s="5"/>
      <c r="D101" s="13"/>
      <c r="E101" s="18"/>
      <c r="F101" s="15"/>
      <c r="G101" s="15"/>
      <c r="H101" s="15"/>
      <c r="I101" s="15"/>
      <c r="L101" s="15"/>
      <c r="M101" s="15"/>
      <c r="N101" s="15"/>
      <c r="O101" s="15"/>
      <c r="R101" s="15"/>
      <c r="S101" s="15"/>
      <c r="T101" s="15"/>
      <c r="U101" s="15"/>
      <c r="X101" s="15"/>
      <c r="Y101" s="15"/>
      <c r="Z101" s="15"/>
      <c r="AA101" s="15"/>
      <c r="AB101" s="15"/>
      <c r="AC101" s="15"/>
      <c r="AD101" s="15"/>
    </row>
    <row r="102" spans="1:30" s="4" customFormat="1" x14ac:dyDescent="0.4">
      <c r="C102" s="5"/>
      <c r="D102" s="13"/>
      <c r="E102" s="18"/>
      <c r="F102" s="15"/>
      <c r="G102" s="15"/>
      <c r="H102" s="15"/>
      <c r="I102" s="15"/>
      <c r="L102" s="15"/>
      <c r="M102" s="15"/>
      <c r="N102" s="15"/>
      <c r="O102" s="15"/>
      <c r="R102" s="15"/>
      <c r="S102" s="15"/>
      <c r="T102" s="15"/>
      <c r="U102" s="15"/>
      <c r="X102" s="15"/>
      <c r="Y102" s="15"/>
      <c r="Z102" s="15"/>
      <c r="AA102" s="15"/>
      <c r="AB102" s="15"/>
      <c r="AC102" s="15"/>
      <c r="AD102" s="15"/>
    </row>
    <row r="103" spans="1:30" x14ac:dyDescent="0.4">
      <c r="A103" s="4"/>
      <c r="B103" s="4"/>
      <c r="C103" s="5"/>
      <c r="D103" s="13"/>
      <c r="E103" s="18"/>
      <c r="F103" s="15"/>
      <c r="G103" s="15"/>
      <c r="H103" s="15"/>
      <c r="I103" s="15"/>
      <c r="J103" s="4"/>
      <c r="K103" s="4"/>
      <c r="L103" s="15"/>
      <c r="M103" s="15"/>
      <c r="N103" s="15"/>
      <c r="O103" s="15"/>
      <c r="P103" s="4"/>
      <c r="Q103" s="4"/>
      <c r="R103" s="15"/>
      <c r="S103" s="15"/>
      <c r="T103" s="15"/>
      <c r="U103" s="15"/>
      <c r="V103" s="4"/>
      <c r="W103" s="4"/>
      <c r="X103" s="15"/>
      <c r="Y103" s="15"/>
      <c r="Z103" s="15"/>
      <c r="AA103" s="15"/>
      <c r="AB103" s="15"/>
      <c r="AC103" s="15"/>
      <c r="AD103" s="15"/>
    </row>
    <row r="104" spans="1:30" x14ac:dyDescent="0.4">
      <c r="A104" s="4"/>
      <c r="B104" s="4"/>
      <c r="C104" s="5"/>
      <c r="D104" s="13"/>
      <c r="E104" s="18"/>
      <c r="F104" s="15"/>
      <c r="G104" s="15"/>
      <c r="H104" s="15"/>
      <c r="I104" s="15"/>
      <c r="J104" s="4"/>
      <c r="K104" s="4"/>
      <c r="L104" s="15"/>
      <c r="M104" s="15"/>
      <c r="N104" s="15"/>
      <c r="O104" s="15"/>
      <c r="P104" s="4"/>
      <c r="Q104" s="4"/>
      <c r="R104" s="15"/>
      <c r="S104" s="15"/>
      <c r="T104" s="15"/>
      <c r="U104" s="15"/>
      <c r="V104" s="4"/>
      <c r="W104" s="4"/>
      <c r="X104" s="15"/>
      <c r="Y104" s="15"/>
      <c r="Z104" s="15"/>
      <c r="AA104" s="15"/>
      <c r="AB104" s="15"/>
      <c r="AC104" s="15"/>
      <c r="AD104" s="15"/>
    </row>
    <row r="105" spans="1:30" x14ac:dyDescent="0.4">
      <c r="A105" s="4"/>
      <c r="B105" s="4"/>
      <c r="C105" s="5"/>
      <c r="D105" s="13"/>
      <c r="E105" s="18"/>
      <c r="F105" s="15"/>
      <c r="G105" s="15"/>
      <c r="H105" s="15"/>
      <c r="I105" s="15"/>
      <c r="J105" s="4"/>
      <c r="K105" s="4"/>
      <c r="L105" s="15"/>
      <c r="M105" s="15"/>
      <c r="N105" s="15"/>
      <c r="O105" s="15"/>
      <c r="P105" s="4"/>
      <c r="Q105" s="4"/>
      <c r="R105" s="15"/>
      <c r="S105" s="15"/>
      <c r="T105" s="15"/>
      <c r="U105" s="15"/>
      <c r="V105" s="4"/>
      <c r="W105" s="4"/>
      <c r="X105" s="15"/>
      <c r="Y105" s="15"/>
      <c r="Z105" s="15"/>
      <c r="AA105" s="15"/>
      <c r="AB105" s="15"/>
      <c r="AC105" s="15"/>
      <c r="AD105" s="15"/>
    </row>
    <row r="106" spans="1:30" x14ac:dyDescent="0.4">
      <c r="A106" s="4"/>
      <c r="B106" s="4"/>
      <c r="C106" s="5"/>
      <c r="D106" s="13"/>
      <c r="E106" s="18"/>
      <c r="F106" s="15"/>
      <c r="G106" s="15"/>
      <c r="H106" s="15"/>
      <c r="I106" s="15"/>
      <c r="J106" s="4"/>
      <c r="K106" s="4"/>
      <c r="L106" s="15"/>
      <c r="M106" s="15"/>
      <c r="N106" s="15"/>
      <c r="O106" s="15"/>
      <c r="P106" s="4"/>
      <c r="Q106" s="4"/>
      <c r="R106" s="15"/>
      <c r="S106" s="15"/>
      <c r="T106" s="15"/>
      <c r="U106" s="15"/>
      <c r="V106" s="4"/>
      <c r="W106" s="4"/>
      <c r="X106" s="15"/>
      <c r="Y106" s="15"/>
      <c r="Z106" s="15"/>
      <c r="AA106" s="15"/>
      <c r="AB106" s="15"/>
      <c r="AC106" s="15"/>
      <c r="AD106" s="15"/>
    </row>
    <row r="107" spans="1:30" x14ac:dyDescent="0.4">
      <c r="A107" s="4"/>
      <c r="B107" s="4"/>
      <c r="C107" s="5"/>
      <c r="D107" s="13"/>
      <c r="E107" s="18"/>
      <c r="F107" s="15"/>
      <c r="G107" s="15"/>
      <c r="H107" s="15"/>
      <c r="I107" s="15"/>
      <c r="J107" s="4"/>
      <c r="K107" s="4"/>
      <c r="L107" s="15"/>
      <c r="M107" s="15"/>
      <c r="N107" s="15"/>
      <c r="O107" s="15"/>
      <c r="P107" s="4"/>
      <c r="Q107" s="4"/>
      <c r="R107" s="15"/>
      <c r="S107" s="15"/>
      <c r="T107" s="15"/>
      <c r="U107" s="15"/>
      <c r="V107" s="4"/>
      <c r="W107" s="4"/>
      <c r="X107" s="15"/>
      <c r="Y107" s="15"/>
      <c r="Z107" s="15"/>
      <c r="AA107" s="15"/>
      <c r="AB107" s="15"/>
      <c r="AC107" s="15"/>
      <c r="AD107" s="15"/>
    </row>
    <row r="108" spans="1:30" x14ac:dyDescent="0.4">
      <c r="A108" s="4"/>
      <c r="B108" s="4"/>
      <c r="C108" s="5"/>
      <c r="D108" s="13"/>
      <c r="E108" s="18"/>
      <c r="F108" s="15"/>
      <c r="G108" s="15"/>
      <c r="H108" s="15"/>
      <c r="I108" s="15"/>
      <c r="J108" s="4"/>
      <c r="K108" s="4"/>
      <c r="L108" s="15"/>
      <c r="M108" s="15"/>
      <c r="N108" s="15"/>
      <c r="O108" s="15"/>
      <c r="P108" s="4"/>
      <c r="Q108" s="4"/>
      <c r="R108" s="15"/>
      <c r="S108" s="15"/>
      <c r="T108" s="15"/>
      <c r="U108" s="15"/>
      <c r="V108" s="4"/>
      <c r="W108" s="4"/>
      <c r="X108" s="15"/>
      <c r="Y108" s="15"/>
      <c r="Z108" s="15"/>
      <c r="AA108" s="15"/>
      <c r="AB108" s="15"/>
      <c r="AC108" s="15"/>
      <c r="AD108" s="15"/>
    </row>
    <row r="109" spans="1:30" x14ac:dyDescent="0.4">
      <c r="A109" s="4"/>
      <c r="B109" s="4"/>
      <c r="C109" s="5"/>
      <c r="D109" s="13"/>
      <c r="E109" s="18"/>
      <c r="F109" s="15"/>
      <c r="G109" s="15"/>
      <c r="H109" s="15"/>
      <c r="I109" s="15"/>
      <c r="J109" s="4"/>
      <c r="K109" s="4"/>
      <c r="L109" s="15"/>
      <c r="M109" s="15"/>
      <c r="N109" s="15"/>
      <c r="O109" s="15"/>
      <c r="P109" s="4"/>
      <c r="Q109" s="4"/>
      <c r="R109" s="15"/>
      <c r="S109" s="15"/>
      <c r="T109" s="15"/>
      <c r="U109" s="15"/>
      <c r="V109" s="4"/>
      <c r="W109" s="4"/>
      <c r="X109" s="15"/>
      <c r="Y109" s="15"/>
      <c r="Z109" s="15"/>
      <c r="AA109" s="15"/>
      <c r="AB109" s="15"/>
      <c r="AC109" s="15"/>
      <c r="AD109" s="15"/>
    </row>
    <row r="110" spans="1:30" x14ac:dyDescent="0.4">
      <c r="A110" s="4"/>
      <c r="B110" s="4"/>
      <c r="C110" s="5"/>
      <c r="D110" s="13"/>
      <c r="E110" s="18"/>
      <c r="F110" s="15"/>
      <c r="G110" s="15"/>
      <c r="H110" s="15"/>
      <c r="I110" s="15"/>
      <c r="J110" s="4"/>
      <c r="K110" s="4"/>
      <c r="L110" s="15"/>
      <c r="M110" s="15"/>
      <c r="N110" s="15"/>
      <c r="O110" s="15"/>
      <c r="P110" s="4"/>
      <c r="Q110" s="4"/>
      <c r="R110" s="15"/>
      <c r="S110" s="15"/>
      <c r="T110" s="15"/>
      <c r="U110" s="15"/>
      <c r="V110" s="4"/>
      <c r="W110" s="4"/>
      <c r="X110" s="15"/>
      <c r="Y110" s="15"/>
      <c r="Z110" s="15"/>
      <c r="AA110" s="15"/>
      <c r="AB110" s="15"/>
      <c r="AC110" s="15"/>
      <c r="AD110" s="15"/>
    </row>
    <row r="111" spans="1:30" x14ac:dyDescent="0.4">
      <c r="A111" s="4"/>
      <c r="B111" s="4"/>
      <c r="C111" s="5"/>
      <c r="D111" s="13"/>
      <c r="E111" s="18"/>
      <c r="F111" s="15"/>
      <c r="G111" s="15"/>
      <c r="H111" s="15"/>
      <c r="I111" s="15"/>
      <c r="J111" s="4"/>
      <c r="K111" s="4"/>
      <c r="L111" s="15"/>
      <c r="M111" s="15"/>
      <c r="N111" s="15"/>
      <c r="O111" s="15"/>
      <c r="P111" s="4"/>
      <c r="Q111" s="4"/>
      <c r="R111" s="15"/>
      <c r="S111" s="15"/>
      <c r="T111" s="15"/>
      <c r="U111" s="15"/>
      <c r="V111" s="4"/>
      <c r="W111" s="4"/>
      <c r="X111" s="15"/>
      <c r="Y111" s="15"/>
      <c r="Z111" s="15"/>
      <c r="AA111" s="15"/>
      <c r="AB111" s="15"/>
      <c r="AC111" s="15"/>
      <c r="AD111" s="15"/>
    </row>
    <row r="112" spans="1:30" x14ac:dyDescent="0.4">
      <c r="A112" s="4"/>
      <c r="B112" s="4"/>
      <c r="C112" s="5"/>
      <c r="D112" s="13"/>
      <c r="E112" s="18"/>
      <c r="F112" s="15"/>
      <c r="G112" s="15"/>
      <c r="H112" s="15"/>
      <c r="I112" s="15"/>
      <c r="J112" s="4"/>
      <c r="K112" s="4"/>
      <c r="L112" s="15"/>
      <c r="M112" s="15"/>
      <c r="N112" s="15"/>
      <c r="O112" s="15"/>
      <c r="P112" s="4"/>
      <c r="Q112" s="4"/>
      <c r="R112" s="15"/>
      <c r="S112" s="15"/>
      <c r="T112" s="15"/>
      <c r="U112" s="15"/>
      <c r="V112" s="4"/>
      <c r="W112" s="4"/>
      <c r="X112" s="15"/>
      <c r="Y112" s="15"/>
      <c r="Z112" s="15"/>
      <c r="AA112" s="15"/>
      <c r="AB112" s="15"/>
      <c r="AC112" s="15"/>
      <c r="AD112" s="15"/>
    </row>
    <row r="113" spans="1:30" x14ac:dyDescent="0.4">
      <c r="A113" s="4"/>
      <c r="B113" s="4"/>
      <c r="C113" s="5"/>
      <c r="D113" s="13"/>
      <c r="E113" s="18"/>
      <c r="F113" s="15"/>
      <c r="G113" s="15"/>
      <c r="H113" s="15"/>
      <c r="I113" s="15"/>
      <c r="J113" s="4"/>
      <c r="K113" s="4"/>
      <c r="L113" s="15"/>
      <c r="M113" s="15"/>
      <c r="N113" s="15"/>
      <c r="O113" s="15"/>
      <c r="P113" s="4"/>
      <c r="Q113" s="4"/>
      <c r="R113" s="15"/>
      <c r="S113" s="15"/>
      <c r="T113" s="15"/>
      <c r="U113" s="15"/>
      <c r="V113" s="4"/>
      <c r="W113" s="4"/>
      <c r="X113" s="15"/>
      <c r="Y113" s="15"/>
      <c r="Z113" s="15"/>
      <c r="AA113" s="15"/>
      <c r="AB113" s="15"/>
      <c r="AC113" s="15"/>
      <c r="AD113" s="15"/>
    </row>
    <row r="114" spans="1:30" x14ac:dyDescent="0.4">
      <c r="A114" s="4"/>
      <c r="B114" s="4"/>
      <c r="C114" s="5"/>
      <c r="D114" s="13"/>
      <c r="E114" s="18"/>
      <c r="F114" s="15"/>
      <c r="G114" s="15"/>
      <c r="H114" s="15"/>
      <c r="I114" s="15"/>
      <c r="J114" s="4"/>
      <c r="K114" s="4"/>
      <c r="L114" s="15"/>
      <c r="M114" s="15"/>
      <c r="N114" s="15"/>
      <c r="O114" s="15"/>
      <c r="P114" s="4"/>
      <c r="Q114" s="4"/>
      <c r="R114" s="15"/>
      <c r="S114" s="15"/>
      <c r="T114" s="15"/>
      <c r="U114" s="15"/>
      <c r="V114" s="4"/>
      <c r="W114" s="4"/>
      <c r="X114" s="15"/>
      <c r="Y114" s="15"/>
      <c r="Z114" s="15"/>
      <c r="AA114" s="15"/>
      <c r="AB114" s="15"/>
      <c r="AC114" s="15"/>
      <c r="AD114" s="15"/>
    </row>
    <row r="115" spans="1:30" x14ac:dyDescent="0.4">
      <c r="A115" s="4"/>
      <c r="B115" s="4"/>
      <c r="C115" s="5"/>
      <c r="D115" s="13"/>
      <c r="E115" s="18"/>
      <c r="F115" s="15"/>
      <c r="G115" s="15"/>
      <c r="H115" s="15"/>
      <c r="I115" s="15"/>
      <c r="J115" s="4"/>
      <c r="K115" s="4"/>
      <c r="L115" s="15"/>
      <c r="M115" s="15"/>
      <c r="N115" s="15"/>
      <c r="O115" s="15"/>
      <c r="P115" s="4"/>
      <c r="Q115" s="4"/>
      <c r="R115" s="15"/>
      <c r="S115" s="15"/>
      <c r="T115" s="15"/>
      <c r="U115" s="15"/>
      <c r="V115" s="4"/>
      <c r="W115" s="4"/>
      <c r="X115" s="15"/>
      <c r="Y115" s="15"/>
      <c r="Z115" s="15"/>
      <c r="AA115" s="15"/>
      <c r="AB115" s="15"/>
      <c r="AC115" s="15"/>
      <c r="AD115" s="15"/>
    </row>
    <row r="116" spans="1:30" x14ac:dyDescent="0.4">
      <c r="A116" s="4"/>
      <c r="B116" s="4"/>
      <c r="C116" s="5"/>
      <c r="D116" s="13"/>
      <c r="E116" s="18"/>
      <c r="F116" s="15"/>
      <c r="G116" s="15"/>
      <c r="H116" s="15"/>
      <c r="I116" s="15"/>
      <c r="J116" s="4"/>
      <c r="K116" s="4"/>
      <c r="L116" s="15"/>
      <c r="M116" s="15"/>
      <c r="N116" s="15"/>
      <c r="O116" s="15"/>
      <c r="P116" s="4"/>
      <c r="Q116" s="4"/>
      <c r="R116" s="15"/>
      <c r="S116" s="15"/>
      <c r="T116" s="15"/>
      <c r="U116" s="15"/>
      <c r="V116" s="4"/>
      <c r="W116" s="4"/>
      <c r="X116" s="15"/>
      <c r="Y116" s="15"/>
      <c r="Z116" s="15"/>
      <c r="AA116" s="15"/>
      <c r="AB116" s="15"/>
      <c r="AC116" s="15"/>
      <c r="AD116" s="15"/>
    </row>
    <row r="117" spans="1:30" x14ac:dyDescent="0.4">
      <c r="A117" s="4"/>
      <c r="B117" s="4"/>
      <c r="C117" s="5"/>
      <c r="D117" s="13"/>
      <c r="E117" s="18"/>
      <c r="F117" s="15"/>
      <c r="G117" s="15"/>
      <c r="H117" s="15"/>
      <c r="I117" s="15"/>
      <c r="J117" s="4"/>
      <c r="K117" s="4"/>
      <c r="L117" s="15"/>
      <c r="M117" s="15"/>
      <c r="N117" s="15"/>
      <c r="O117" s="15"/>
      <c r="P117" s="4"/>
      <c r="Q117" s="4"/>
      <c r="R117" s="15"/>
      <c r="S117" s="15"/>
      <c r="T117" s="15"/>
      <c r="U117" s="15"/>
      <c r="V117" s="4"/>
      <c r="W117" s="4"/>
      <c r="X117" s="15"/>
      <c r="Y117" s="15"/>
      <c r="Z117" s="15"/>
      <c r="AA117" s="15"/>
      <c r="AB117" s="15"/>
      <c r="AC117" s="15"/>
      <c r="AD117" s="15"/>
    </row>
    <row r="118" spans="1:30" x14ac:dyDescent="0.4">
      <c r="A118" s="4"/>
      <c r="B118" s="4"/>
      <c r="C118" s="5"/>
      <c r="D118" s="13"/>
      <c r="E118" s="18"/>
      <c r="F118" s="15"/>
      <c r="G118" s="15"/>
      <c r="H118" s="15"/>
      <c r="I118" s="15"/>
      <c r="J118" s="4"/>
      <c r="K118" s="4"/>
      <c r="L118" s="15"/>
      <c r="M118" s="15"/>
      <c r="N118" s="15"/>
      <c r="O118" s="15"/>
      <c r="P118" s="4"/>
      <c r="Q118" s="4"/>
      <c r="R118" s="15"/>
      <c r="S118" s="15"/>
      <c r="T118" s="15"/>
      <c r="U118" s="15"/>
      <c r="V118" s="4"/>
      <c r="W118" s="4"/>
      <c r="X118" s="15"/>
      <c r="Y118" s="15"/>
      <c r="Z118" s="15"/>
      <c r="AA118" s="15"/>
      <c r="AB118" s="15"/>
      <c r="AC118" s="15"/>
      <c r="AD118" s="15"/>
    </row>
    <row r="119" spans="1:30" x14ac:dyDescent="0.4">
      <c r="A119" s="4"/>
      <c r="B119" s="4"/>
      <c r="C119" s="5"/>
      <c r="D119" s="13"/>
      <c r="E119" s="18"/>
      <c r="F119" s="15"/>
      <c r="G119" s="15"/>
      <c r="H119" s="15"/>
      <c r="I119" s="15"/>
      <c r="J119" s="4"/>
      <c r="K119" s="4"/>
      <c r="L119" s="15"/>
      <c r="M119" s="15"/>
      <c r="N119" s="15"/>
      <c r="O119" s="15"/>
      <c r="P119" s="4"/>
      <c r="Q119" s="4"/>
      <c r="R119" s="15"/>
      <c r="S119" s="15"/>
      <c r="T119" s="15"/>
      <c r="U119" s="15"/>
      <c r="V119" s="4"/>
      <c r="W119" s="4"/>
      <c r="X119" s="15"/>
      <c r="Y119" s="15"/>
      <c r="Z119" s="15"/>
      <c r="AA119" s="15"/>
      <c r="AB119" s="15"/>
      <c r="AC119" s="15"/>
      <c r="AD119" s="15"/>
    </row>
    <row r="120" spans="1:30" x14ac:dyDescent="0.4">
      <c r="A120" s="4"/>
      <c r="B120" s="4"/>
      <c r="C120" s="5"/>
      <c r="D120" s="13"/>
      <c r="E120" s="18"/>
      <c r="F120" s="15"/>
      <c r="G120" s="15"/>
      <c r="H120" s="15"/>
      <c r="I120" s="15"/>
      <c r="J120" s="4"/>
      <c r="K120" s="4"/>
      <c r="L120" s="15"/>
      <c r="M120" s="15"/>
      <c r="N120" s="15"/>
      <c r="O120" s="15"/>
      <c r="P120" s="4"/>
      <c r="Q120" s="4"/>
      <c r="R120" s="15"/>
      <c r="S120" s="15"/>
      <c r="T120" s="15"/>
      <c r="U120" s="15"/>
      <c r="V120" s="4"/>
      <c r="W120" s="4"/>
      <c r="X120" s="15"/>
      <c r="Y120" s="15"/>
      <c r="Z120" s="15"/>
      <c r="AA120" s="15"/>
      <c r="AB120" s="15"/>
      <c r="AC120" s="15"/>
      <c r="AD120" s="15"/>
    </row>
    <row r="121" spans="1:30" x14ac:dyDescent="0.4">
      <c r="A121" s="4"/>
      <c r="B121" s="4"/>
      <c r="C121" s="5"/>
      <c r="D121" s="13"/>
      <c r="E121" s="18"/>
      <c r="F121" s="15"/>
      <c r="G121" s="15"/>
      <c r="H121" s="15"/>
      <c r="I121" s="15"/>
      <c r="J121" s="4"/>
      <c r="K121" s="4"/>
      <c r="L121" s="15"/>
      <c r="M121" s="15"/>
      <c r="N121" s="15"/>
      <c r="O121" s="15"/>
      <c r="P121" s="4"/>
      <c r="Q121" s="4"/>
      <c r="R121" s="15"/>
      <c r="S121" s="15"/>
      <c r="T121" s="15"/>
      <c r="U121" s="15"/>
      <c r="V121" s="4"/>
      <c r="W121" s="4"/>
      <c r="X121" s="15"/>
      <c r="Y121" s="15"/>
      <c r="Z121" s="15"/>
      <c r="AA121" s="15"/>
      <c r="AB121" s="15"/>
      <c r="AC121" s="15"/>
      <c r="AD121" s="15"/>
    </row>
    <row r="122" spans="1:30" x14ac:dyDescent="0.4">
      <c r="A122" s="4"/>
      <c r="B122" s="4"/>
      <c r="C122" s="5"/>
      <c r="D122" s="13"/>
      <c r="E122" s="18"/>
      <c r="F122" s="15"/>
      <c r="G122" s="15"/>
      <c r="H122" s="15"/>
      <c r="I122" s="15"/>
      <c r="J122" s="4"/>
      <c r="K122" s="4"/>
      <c r="L122" s="15"/>
      <c r="M122" s="15"/>
      <c r="N122" s="15"/>
      <c r="O122" s="15"/>
      <c r="P122" s="4"/>
      <c r="Q122" s="4"/>
      <c r="R122" s="15"/>
      <c r="S122" s="15"/>
      <c r="T122" s="15"/>
      <c r="U122" s="15"/>
      <c r="V122" s="4"/>
      <c r="W122" s="4"/>
      <c r="X122" s="15"/>
      <c r="Y122" s="15"/>
      <c r="Z122" s="15"/>
      <c r="AA122" s="15"/>
      <c r="AB122" s="15"/>
      <c r="AC122" s="15"/>
      <c r="AD122" s="15"/>
    </row>
    <row r="123" spans="1:30" x14ac:dyDescent="0.4">
      <c r="A123" s="4"/>
      <c r="B123" s="4"/>
      <c r="C123" s="5"/>
      <c r="D123" s="13"/>
      <c r="E123" s="18"/>
      <c r="F123" s="15"/>
      <c r="G123" s="15"/>
      <c r="H123" s="15"/>
      <c r="I123" s="15"/>
      <c r="J123" s="4"/>
      <c r="K123" s="4"/>
      <c r="L123" s="15"/>
      <c r="M123" s="15"/>
      <c r="N123" s="15"/>
      <c r="O123" s="15"/>
      <c r="P123" s="4"/>
      <c r="Q123" s="4"/>
      <c r="R123" s="15"/>
      <c r="S123" s="15"/>
      <c r="T123" s="15"/>
      <c r="U123" s="15"/>
      <c r="V123" s="4"/>
      <c r="W123" s="4"/>
      <c r="X123" s="15"/>
      <c r="Y123" s="15"/>
      <c r="Z123" s="15"/>
      <c r="AA123" s="15"/>
      <c r="AB123" s="15"/>
      <c r="AC123" s="15"/>
      <c r="AD123" s="15"/>
    </row>
    <row r="124" spans="1:30" x14ac:dyDescent="0.4">
      <c r="A124" s="4"/>
      <c r="B124" s="4"/>
      <c r="C124" s="5"/>
      <c r="D124" s="13"/>
      <c r="E124" s="18"/>
      <c r="F124" s="15"/>
      <c r="G124" s="15"/>
      <c r="H124" s="15"/>
      <c r="I124" s="15"/>
      <c r="J124" s="4"/>
      <c r="K124" s="4"/>
      <c r="L124" s="15"/>
      <c r="M124" s="15"/>
      <c r="N124" s="15"/>
      <c r="O124" s="15"/>
      <c r="P124" s="4"/>
      <c r="Q124" s="4"/>
      <c r="R124" s="15"/>
      <c r="S124" s="15"/>
      <c r="T124" s="15"/>
      <c r="U124" s="15"/>
      <c r="V124" s="4"/>
      <c r="W124" s="4"/>
      <c r="X124" s="15"/>
      <c r="Y124" s="15"/>
      <c r="Z124" s="15"/>
      <c r="AA124" s="15"/>
      <c r="AB124" s="15"/>
      <c r="AC124" s="15"/>
      <c r="AD124" s="15"/>
    </row>
    <row r="125" spans="1:30" x14ac:dyDescent="0.4">
      <c r="A125" s="4"/>
      <c r="B125" s="4"/>
      <c r="C125" s="5"/>
      <c r="D125" s="13"/>
      <c r="E125" s="18"/>
      <c r="F125" s="15"/>
      <c r="G125" s="15"/>
      <c r="H125" s="15"/>
      <c r="I125" s="15"/>
      <c r="J125" s="4"/>
      <c r="K125" s="4"/>
      <c r="L125" s="15"/>
      <c r="M125" s="15"/>
      <c r="N125" s="15"/>
      <c r="O125" s="15"/>
      <c r="P125" s="4"/>
      <c r="Q125" s="4"/>
      <c r="R125" s="15"/>
      <c r="S125" s="15"/>
      <c r="T125" s="15"/>
      <c r="U125" s="15"/>
      <c r="V125" s="4"/>
      <c r="W125" s="4"/>
      <c r="X125" s="15"/>
      <c r="Y125" s="15"/>
      <c r="Z125" s="15"/>
      <c r="AA125" s="15"/>
      <c r="AB125" s="15"/>
      <c r="AC125" s="15"/>
      <c r="AD125" s="15"/>
    </row>
    <row r="126" spans="1:30" x14ac:dyDescent="0.4">
      <c r="A126" s="4"/>
      <c r="B126" s="4"/>
      <c r="C126" s="5"/>
      <c r="D126" s="13"/>
      <c r="E126" s="18"/>
      <c r="F126" s="15"/>
      <c r="G126" s="15"/>
      <c r="H126" s="15"/>
      <c r="I126" s="15"/>
      <c r="J126" s="4"/>
      <c r="K126" s="4"/>
      <c r="L126" s="15"/>
      <c r="M126" s="15"/>
      <c r="N126" s="15"/>
      <c r="O126" s="15"/>
      <c r="P126" s="4"/>
      <c r="Q126" s="4"/>
      <c r="R126" s="15"/>
      <c r="S126" s="15"/>
      <c r="T126" s="15"/>
      <c r="U126" s="15"/>
      <c r="V126" s="4"/>
      <c r="W126" s="4"/>
      <c r="X126" s="15"/>
      <c r="Y126" s="15"/>
      <c r="Z126" s="15"/>
      <c r="AA126" s="15"/>
      <c r="AB126" s="15"/>
      <c r="AC126" s="15"/>
      <c r="AD126" s="15"/>
    </row>
    <row r="127" spans="1:30" x14ac:dyDescent="0.4">
      <c r="A127" s="4"/>
      <c r="B127" s="4"/>
      <c r="C127" s="5"/>
      <c r="D127" s="13"/>
      <c r="E127" s="18"/>
      <c r="F127" s="15"/>
      <c r="G127" s="15"/>
      <c r="H127" s="15"/>
      <c r="I127" s="15"/>
      <c r="J127" s="4"/>
      <c r="K127" s="4"/>
      <c r="L127" s="15"/>
      <c r="M127" s="15"/>
      <c r="N127" s="15"/>
      <c r="O127" s="15"/>
      <c r="P127" s="4"/>
      <c r="Q127" s="4"/>
      <c r="R127" s="15"/>
      <c r="S127" s="15"/>
      <c r="T127" s="15"/>
      <c r="U127" s="15"/>
      <c r="V127" s="4"/>
      <c r="W127" s="4"/>
      <c r="X127" s="15"/>
      <c r="Y127" s="15"/>
      <c r="Z127" s="15"/>
      <c r="AA127" s="15"/>
      <c r="AB127" s="15"/>
      <c r="AC127" s="15"/>
      <c r="AD127" s="15"/>
    </row>
    <row r="128" spans="1:30" x14ac:dyDescent="0.4">
      <c r="A128" s="4"/>
      <c r="B128" s="4"/>
      <c r="C128" s="5"/>
      <c r="D128" s="13"/>
      <c r="E128" s="18"/>
      <c r="F128" s="15"/>
      <c r="G128" s="15"/>
      <c r="H128" s="15"/>
      <c r="I128" s="15"/>
      <c r="J128" s="4"/>
      <c r="K128" s="4"/>
      <c r="L128" s="15"/>
      <c r="M128" s="15"/>
      <c r="N128" s="15"/>
      <c r="O128" s="15"/>
      <c r="P128" s="4"/>
      <c r="Q128" s="4"/>
      <c r="R128" s="15"/>
      <c r="S128" s="15"/>
      <c r="T128" s="15"/>
      <c r="U128" s="15"/>
      <c r="V128" s="4"/>
      <c r="W128" s="4"/>
      <c r="X128" s="15"/>
      <c r="Y128" s="15"/>
      <c r="Z128" s="15"/>
      <c r="AA128" s="15"/>
      <c r="AB128" s="15"/>
      <c r="AC128" s="15"/>
      <c r="AD128" s="15"/>
    </row>
    <row r="129" spans="1:30" x14ac:dyDescent="0.4">
      <c r="A129" s="4"/>
      <c r="B129" s="4"/>
      <c r="C129" s="5"/>
      <c r="D129" s="13"/>
      <c r="E129" s="18"/>
      <c r="F129" s="15"/>
      <c r="G129" s="15"/>
      <c r="H129" s="15"/>
      <c r="I129" s="15"/>
      <c r="J129" s="4"/>
      <c r="K129" s="4"/>
      <c r="L129" s="15"/>
      <c r="M129" s="15"/>
      <c r="N129" s="15"/>
      <c r="O129" s="15"/>
      <c r="P129" s="4"/>
      <c r="Q129" s="4"/>
      <c r="R129" s="15"/>
      <c r="S129" s="15"/>
      <c r="T129" s="15"/>
      <c r="U129" s="15"/>
      <c r="V129" s="4"/>
      <c r="W129" s="4"/>
      <c r="X129" s="15"/>
      <c r="Y129" s="15"/>
      <c r="Z129" s="15"/>
      <c r="AA129" s="15"/>
      <c r="AB129" s="15"/>
      <c r="AC129" s="15"/>
      <c r="AD129" s="15"/>
    </row>
    <row r="130" spans="1:30" x14ac:dyDescent="0.4">
      <c r="A130" s="4"/>
      <c r="B130" s="4"/>
      <c r="C130" s="5"/>
      <c r="D130" s="13"/>
      <c r="E130" s="18"/>
      <c r="F130" s="15"/>
      <c r="G130" s="15"/>
      <c r="H130" s="15"/>
      <c r="I130" s="15"/>
      <c r="J130" s="4"/>
      <c r="K130" s="4"/>
      <c r="L130" s="15"/>
      <c r="M130" s="15"/>
      <c r="N130" s="15"/>
      <c r="O130" s="15"/>
      <c r="P130" s="4"/>
      <c r="Q130" s="4"/>
      <c r="R130" s="15"/>
      <c r="S130" s="15"/>
      <c r="T130" s="15"/>
      <c r="U130" s="15"/>
      <c r="V130" s="4"/>
      <c r="W130" s="4"/>
      <c r="X130" s="15"/>
      <c r="Y130" s="15"/>
      <c r="Z130" s="15"/>
      <c r="AA130" s="15"/>
      <c r="AB130" s="15"/>
      <c r="AC130" s="15"/>
      <c r="AD130" s="15"/>
    </row>
    <row r="131" spans="1:30" x14ac:dyDescent="0.4">
      <c r="A131" s="4"/>
      <c r="B131" s="4"/>
      <c r="C131" s="5"/>
      <c r="D131" s="13"/>
      <c r="E131" s="18"/>
      <c r="F131" s="15"/>
      <c r="G131" s="15"/>
      <c r="H131" s="15"/>
      <c r="I131" s="15"/>
      <c r="J131" s="4"/>
      <c r="K131" s="4"/>
      <c r="L131" s="15"/>
      <c r="M131" s="15"/>
      <c r="N131" s="15"/>
      <c r="O131" s="15"/>
      <c r="P131" s="4"/>
      <c r="Q131" s="4"/>
      <c r="R131" s="15"/>
      <c r="S131" s="15"/>
      <c r="T131" s="15"/>
      <c r="U131" s="15"/>
      <c r="V131" s="4"/>
      <c r="W131" s="4"/>
      <c r="X131" s="15"/>
      <c r="Y131" s="15"/>
      <c r="Z131" s="15"/>
      <c r="AA131" s="15"/>
      <c r="AB131" s="15"/>
      <c r="AC131" s="15"/>
      <c r="AD131" s="15"/>
    </row>
    <row r="132" spans="1:30" x14ac:dyDescent="0.4">
      <c r="A132" s="4"/>
      <c r="B132" s="4"/>
      <c r="C132" s="5"/>
      <c r="D132" s="13"/>
      <c r="E132" s="18"/>
      <c r="F132" s="15"/>
      <c r="G132" s="15"/>
      <c r="H132" s="15"/>
      <c r="I132" s="15"/>
      <c r="J132" s="4"/>
      <c r="K132" s="4"/>
      <c r="L132" s="15"/>
      <c r="M132" s="15"/>
      <c r="N132" s="15"/>
      <c r="O132" s="15"/>
      <c r="P132" s="4"/>
      <c r="Q132" s="4"/>
      <c r="R132" s="15"/>
      <c r="S132" s="15"/>
      <c r="T132" s="15"/>
      <c r="U132" s="15"/>
      <c r="V132" s="4"/>
      <c r="W132" s="4"/>
      <c r="X132" s="15"/>
      <c r="Y132" s="15"/>
      <c r="Z132" s="15"/>
      <c r="AA132" s="15"/>
      <c r="AB132" s="15"/>
      <c r="AC132" s="15"/>
      <c r="AD132" s="15"/>
    </row>
    <row r="133" spans="1:30" x14ac:dyDescent="0.4">
      <c r="A133" s="4"/>
      <c r="B133" s="4"/>
      <c r="C133" s="5"/>
      <c r="D133" s="13"/>
      <c r="E133" s="18"/>
      <c r="F133" s="15"/>
      <c r="G133" s="15"/>
      <c r="H133" s="15"/>
      <c r="I133" s="15"/>
      <c r="J133" s="4"/>
      <c r="K133" s="4"/>
      <c r="L133" s="15"/>
      <c r="M133" s="15"/>
      <c r="N133" s="15"/>
      <c r="O133" s="15"/>
      <c r="P133" s="4"/>
      <c r="Q133" s="4"/>
      <c r="R133" s="15"/>
      <c r="S133" s="15"/>
      <c r="T133" s="15"/>
      <c r="U133" s="15"/>
      <c r="V133" s="4"/>
      <c r="W133" s="4"/>
      <c r="X133" s="15"/>
      <c r="Y133" s="15"/>
      <c r="Z133" s="15"/>
      <c r="AA133" s="15"/>
      <c r="AB133" s="15"/>
      <c r="AC133" s="15"/>
      <c r="AD133" s="15"/>
    </row>
    <row r="134" spans="1:30" x14ac:dyDescent="0.4">
      <c r="A134" s="4"/>
      <c r="B134" s="4"/>
      <c r="C134" s="5"/>
      <c r="D134" s="13"/>
      <c r="E134" s="18"/>
      <c r="F134" s="15"/>
      <c r="G134" s="15"/>
      <c r="H134" s="15"/>
      <c r="I134" s="15"/>
      <c r="J134" s="4"/>
      <c r="K134" s="4"/>
      <c r="L134" s="15"/>
      <c r="M134" s="15"/>
      <c r="N134" s="15"/>
      <c r="O134" s="15"/>
      <c r="P134" s="4"/>
      <c r="Q134" s="4"/>
      <c r="R134" s="15"/>
      <c r="S134" s="15"/>
      <c r="T134" s="15"/>
      <c r="U134" s="15"/>
      <c r="V134" s="4"/>
      <c r="W134" s="4"/>
      <c r="X134" s="15"/>
      <c r="Y134" s="15"/>
      <c r="Z134" s="15"/>
      <c r="AA134" s="15"/>
      <c r="AB134" s="15"/>
      <c r="AC134" s="15"/>
      <c r="AD134" s="15"/>
    </row>
    <row r="135" spans="1:30" x14ac:dyDescent="0.4">
      <c r="A135" s="4"/>
      <c r="B135" s="4"/>
      <c r="C135" s="5"/>
      <c r="D135" s="13"/>
      <c r="E135" s="18"/>
      <c r="F135" s="15"/>
      <c r="G135" s="15"/>
      <c r="H135" s="15"/>
      <c r="I135" s="15"/>
      <c r="J135" s="4"/>
      <c r="K135" s="4"/>
      <c r="L135" s="15"/>
      <c r="M135" s="15"/>
      <c r="N135" s="15"/>
      <c r="O135" s="15"/>
      <c r="P135" s="4"/>
      <c r="Q135" s="4"/>
      <c r="R135" s="15"/>
      <c r="S135" s="15"/>
      <c r="T135" s="15"/>
      <c r="U135" s="15"/>
      <c r="V135" s="4"/>
      <c r="W135" s="4"/>
      <c r="X135" s="15"/>
      <c r="Y135" s="15"/>
      <c r="Z135" s="15"/>
      <c r="AA135" s="15"/>
      <c r="AB135" s="15"/>
      <c r="AC135" s="15"/>
      <c r="AD135" s="15"/>
    </row>
    <row r="136" spans="1:30" x14ac:dyDescent="0.4">
      <c r="A136" s="4"/>
      <c r="B136" s="4"/>
      <c r="C136" s="5"/>
      <c r="D136" s="13"/>
      <c r="E136" s="18"/>
      <c r="F136" s="15"/>
      <c r="G136" s="15"/>
      <c r="H136" s="15"/>
      <c r="I136" s="15"/>
      <c r="J136" s="4"/>
      <c r="K136" s="4"/>
      <c r="L136" s="15"/>
      <c r="M136" s="15"/>
      <c r="N136" s="15"/>
      <c r="O136" s="15"/>
      <c r="P136" s="4"/>
      <c r="Q136" s="4"/>
      <c r="R136" s="15"/>
      <c r="S136" s="15"/>
      <c r="T136" s="15"/>
      <c r="U136" s="15"/>
      <c r="V136" s="4"/>
      <c r="W136" s="4"/>
      <c r="X136" s="15"/>
      <c r="Y136" s="15"/>
      <c r="Z136" s="15"/>
      <c r="AA136" s="15"/>
      <c r="AB136" s="15"/>
      <c r="AC136" s="15"/>
      <c r="AD136" s="15"/>
    </row>
    <row r="137" spans="1:30" x14ac:dyDescent="0.4">
      <c r="A137" s="4"/>
      <c r="B137" s="4"/>
      <c r="C137" s="5"/>
      <c r="D137" s="13"/>
      <c r="E137" s="18"/>
      <c r="F137" s="15"/>
      <c r="G137" s="15"/>
      <c r="H137" s="15"/>
      <c r="I137" s="15"/>
      <c r="J137" s="4"/>
      <c r="K137" s="4"/>
      <c r="L137" s="15"/>
      <c r="M137" s="15"/>
      <c r="N137" s="15"/>
      <c r="O137" s="15"/>
      <c r="P137" s="4"/>
      <c r="Q137" s="4"/>
      <c r="R137" s="15"/>
      <c r="S137" s="15"/>
      <c r="T137" s="15"/>
      <c r="U137" s="15"/>
      <c r="V137" s="4"/>
      <c r="W137" s="4"/>
      <c r="X137" s="15"/>
      <c r="Y137" s="15"/>
      <c r="Z137" s="15"/>
      <c r="AA137" s="15"/>
      <c r="AB137" s="15"/>
      <c r="AC137" s="15"/>
      <c r="AD137" s="15"/>
    </row>
    <row r="138" spans="1:30" x14ac:dyDescent="0.4">
      <c r="A138" s="4"/>
      <c r="B138" s="4"/>
      <c r="C138" s="5"/>
      <c r="D138" s="13"/>
      <c r="E138" s="18"/>
      <c r="F138" s="15"/>
      <c r="G138" s="15"/>
      <c r="H138" s="15"/>
      <c r="I138" s="15"/>
      <c r="J138" s="4"/>
      <c r="K138" s="4"/>
      <c r="L138" s="15"/>
      <c r="M138" s="15"/>
      <c r="N138" s="15"/>
      <c r="O138" s="15"/>
      <c r="P138" s="4"/>
      <c r="Q138" s="4"/>
      <c r="R138" s="15"/>
      <c r="S138" s="15"/>
      <c r="T138" s="15"/>
      <c r="U138" s="15"/>
      <c r="V138" s="4"/>
      <c r="W138" s="4"/>
      <c r="X138" s="15"/>
      <c r="Y138" s="15"/>
      <c r="Z138" s="15"/>
      <c r="AA138" s="15"/>
      <c r="AB138" s="15"/>
      <c r="AC138" s="15"/>
      <c r="AD138" s="15"/>
    </row>
    <row r="139" spans="1:30" x14ac:dyDescent="0.4">
      <c r="A139" s="4"/>
      <c r="B139" s="4"/>
      <c r="C139" s="5"/>
      <c r="D139" s="13"/>
      <c r="E139" s="18"/>
      <c r="F139" s="15"/>
      <c r="G139" s="15"/>
      <c r="H139" s="15"/>
      <c r="I139" s="15"/>
      <c r="J139" s="4"/>
      <c r="K139" s="4"/>
      <c r="L139" s="15"/>
      <c r="M139" s="15"/>
      <c r="N139" s="15"/>
      <c r="O139" s="15"/>
      <c r="P139" s="4"/>
      <c r="Q139" s="4"/>
      <c r="R139" s="15"/>
      <c r="S139" s="15"/>
      <c r="T139" s="15"/>
      <c r="U139" s="15"/>
      <c r="V139" s="4"/>
      <c r="W139" s="4"/>
      <c r="X139" s="15"/>
      <c r="Y139" s="15"/>
      <c r="Z139" s="15"/>
      <c r="AA139" s="15"/>
      <c r="AB139" s="15"/>
      <c r="AC139" s="15"/>
      <c r="AD139" s="15"/>
    </row>
    <row r="140" spans="1:30" x14ac:dyDescent="0.4">
      <c r="A140" s="4"/>
      <c r="B140" s="4"/>
      <c r="C140" s="5"/>
      <c r="D140" s="13"/>
      <c r="E140" s="18"/>
      <c r="F140" s="15"/>
      <c r="G140" s="15"/>
      <c r="H140" s="15"/>
      <c r="I140" s="15"/>
      <c r="J140" s="4"/>
      <c r="K140" s="4"/>
      <c r="L140" s="15"/>
      <c r="M140" s="15"/>
      <c r="N140" s="15"/>
      <c r="O140" s="15"/>
      <c r="P140" s="4"/>
      <c r="Q140" s="4"/>
      <c r="R140" s="15"/>
      <c r="S140" s="15"/>
      <c r="T140" s="15"/>
      <c r="U140" s="15"/>
      <c r="V140" s="4"/>
      <c r="W140" s="4"/>
      <c r="X140" s="15"/>
      <c r="Y140" s="15"/>
      <c r="Z140" s="15"/>
      <c r="AA140" s="15"/>
      <c r="AB140" s="15"/>
      <c r="AC140" s="15"/>
      <c r="AD140" s="15"/>
    </row>
    <row r="141" spans="1:30" x14ac:dyDescent="0.4">
      <c r="A141" s="4"/>
      <c r="B141" s="4"/>
      <c r="C141" s="5"/>
      <c r="D141" s="13"/>
      <c r="E141" s="18"/>
      <c r="F141" s="15"/>
      <c r="G141" s="15"/>
      <c r="H141" s="15"/>
      <c r="I141" s="15"/>
      <c r="J141" s="4"/>
      <c r="K141" s="4"/>
      <c r="L141" s="15"/>
      <c r="M141" s="15"/>
      <c r="N141" s="15"/>
      <c r="O141" s="15"/>
      <c r="P141" s="4"/>
      <c r="Q141" s="4"/>
      <c r="R141" s="15"/>
      <c r="S141" s="15"/>
      <c r="T141" s="15"/>
      <c r="U141" s="15"/>
      <c r="V141" s="4"/>
      <c r="W141" s="4"/>
      <c r="X141" s="15"/>
      <c r="Y141" s="15"/>
      <c r="Z141" s="15"/>
      <c r="AA141" s="15"/>
      <c r="AB141" s="15"/>
      <c r="AC141" s="15"/>
      <c r="AD141" s="15"/>
    </row>
    <row r="142" spans="1:30" x14ac:dyDescent="0.4">
      <c r="A142" s="4"/>
      <c r="B142" s="4"/>
      <c r="C142" s="5"/>
      <c r="D142" s="13"/>
      <c r="E142" s="18"/>
      <c r="F142" s="15"/>
      <c r="G142" s="15"/>
      <c r="H142" s="15"/>
      <c r="I142" s="15"/>
      <c r="J142" s="4"/>
      <c r="K142" s="4"/>
      <c r="L142" s="15"/>
      <c r="M142" s="15"/>
      <c r="N142" s="15"/>
      <c r="O142" s="15"/>
      <c r="P142" s="4"/>
      <c r="Q142" s="4"/>
      <c r="R142" s="15"/>
      <c r="S142" s="15"/>
      <c r="T142" s="15"/>
      <c r="U142" s="15"/>
      <c r="V142" s="4"/>
      <c r="W142" s="4"/>
      <c r="X142" s="15"/>
      <c r="Y142" s="15"/>
      <c r="Z142" s="15"/>
      <c r="AA142" s="15"/>
      <c r="AB142" s="15"/>
      <c r="AC142" s="15"/>
      <c r="AD142" s="15"/>
    </row>
    <row r="143" spans="1:30" x14ac:dyDescent="0.4">
      <c r="A143" s="4"/>
      <c r="B143" s="4"/>
      <c r="C143" s="5"/>
      <c r="D143" s="13"/>
      <c r="E143" s="18"/>
      <c r="F143" s="15"/>
      <c r="G143" s="15"/>
      <c r="H143" s="15"/>
      <c r="I143" s="15"/>
      <c r="J143" s="4"/>
      <c r="K143" s="4"/>
      <c r="L143" s="15"/>
      <c r="M143" s="15"/>
      <c r="N143" s="15"/>
      <c r="O143" s="15"/>
      <c r="P143" s="4"/>
      <c r="Q143" s="4"/>
      <c r="R143" s="15"/>
      <c r="S143" s="15"/>
      <c r="T143" s="15"/>
      <c r="U143" s="15"/>
      <c r="V143" s="4"/>
      <c r="W143" s="4"/>
      <c r="X143" s="15"/>
      <c r="Y143" s="15"/>
      <c r="Z143" s="15"/>
      <c r="AA143" s="15"/>
      <c r="AB143" s="15"/>
      <c r="AC143" s="15"/>
      <c r="AD143" s="15"/>
    </row>
    <row r="144" spans="1:30" x14ac:dyDescent="0.4">
      <c r="A144" s="4"/>
      <c r="B144" s="4"/>
      <c r="C144" s="5"/>
      <c r="D144" s="13"/>
      <c r="E144" s="18"/>
      <c r="F144" s="15"/>
      <c r="G144" s="15"/>
      <c r="H144" s="15"/>
      <c r="I144" s="15"/>
      <c r="J144" s="4"/>
      <c r="K144" s="4"/>
      <c r="L144" s="15"/>
      <c r="M144" s="15"/>
      <c r="N144" s="15"/>
      <c r="O144" s="15"/>
      <c r="P144" s="4"/>
      <c r="Q144" s="4"/>
      <c r="R144" s="15"/>
      <c r="S144" s="15"/>
      <c r="T144" s="15"/>
      <c r="U144" s="15"/>
      <c r="V144" s="4"/>
      <c r="W144" s="4"/>
      <c r="X144" s="15"/>
      <c r="Y144" s="15"/>
      <c r="Z144" s="15"/>
      <c r="AA144" s="15"/>
      <c r="AB144" s="15"/>
      <c r="AC144" s="15"/>
      <c r="AD144" s="15"/>
    </row>
    <row r="145" spans="1:30" x14ac:dyDescent="0.4">
      <c r="A145" s="4"/>
      <c r="B145" s="4"/>
      <c r="C145" s="5"/>
      <c r="D145" s="13"/>
      <c r="E145" s="18"/>
      <c r="F145" s="15"/>
      <c r="G145" s="15"/>
      <c r="H145" s="15"/>
      <c r="I145" s="15"/>
      <c r="J145" s="4"/>
      <c r="K145" s="4"/>
      <c r="L145" s="15"/>
      <c r="M145" s="15"/>
      <c r="N145" s="15"/>
      <c r="O145" s="15"/>
      <c r="P145" s="4"/>
      <c r="Q145" s="4"/>
      <c r="R145" s="15"/>
      <c r="S145" s="15"/>
      <c r="T145" s="15"/>
      <c r="U145" s="15"/>
      <c r="V145" s="4"/>
      <c r="W145" s="4"/>
      <c r="X145" s="15"/>
      <c r="Y145" s="15"/>
      <c r="Z145" s="15"/>
      <c r="AA145" s="15"/>
      <c r="AB145" s="15"/>
      <c r="AC145" s="15"/>
      <c r="AD145" s="15"/>
    </row>
    <row r="146" spans="1:30" x14ac:dyDescent="0.4">
      <c r="A146" s="4"/>
      <c r="B146" s="4"/>
      <c r="C146" s="5"/>
      <c r="D146" s="13"/>
      <c r="E146" s="18"/>
      <c r="F146" s="15"/>
      <c r="G146" s="15"/>
      <c r="H146" s="15"/>
      <c r="I146" s="15"/>
      <c r="J146" s="4"/>
      <c r="K146" s="4"/>
      <c r="L146" s="15"/>
      <c r="M146" s="15"/>
      <c r="N146" s="15"/>
      <c r="O146" s="15"/>
      <c r="P146" s="4"/>
      <c r="Q146" s="4"/>
      <c r="R146" s="15"/>
      <c r="S146" s="15"/>
      <c r="T146" s="15"/>
      <c r="U146" s="15"/>
      <c r="V146" s="4"/>
      <c r="W146" s="4"/>
      <c r="X146" s="15"/>
      <c r="Y146" s="15"/>
      <c r="Z146" s="15"/>
      <c r="AA146" s="15"/>
      <c r="AB146" s="15"/>
      <c r="AC146" s="15"/>
      <c r="AD146" s="15"/>
    </row>
    <row r="147" spans="1:30" x14ac:dyDescent="0.4">
      <c r="A147" s="4"/>
      <c r="B147" s="4"/>
      <c r="C147" s="5"/>
      <c r="D147" s="13"/>
      <c r="E147" s="18"/>
      <c r="F147" s="15"/>
      <c r="G147" s="15"/>
      <c r="H147" s="15"/>
      <c r="I147" s="15"/>
      <c r="J147" s="4"/>
      <c r="K147" s="4"/>
      <c r="L147" s="15"/>
      <c r="M147" s="15"/>
      <c r="N147" s="15"/>
      <c r="O147" s="15"/>
      <c r="P147" s="4"/>
      <c r="Q147" s="4"/>
      <c r="R147" s="15"/>
      <c r="S147" s="15"/>
      <c r="T147" s="15"/>
      <c r="U147" s="15"/>
      <c r="V147" s="4"/>
      <c r="W147" s="4"/>
      <c r="X147" s="15"/>
      <c r="Y147" s="15"/>
      <c r="Z147" s="15"/>
      <c r="AA147" s="15"/>
      <c r="AB147" s="15"/>
      <c r="AC147" s="15"/>
      <c r="AD147" s="15"/>
    </row>
    <row r="148" spans="1:30" x14ac:dyDescent="0.4">
      <c r="A148" s="4"/>
      <c r="B148" s="4"/>
      <c r="C148" s="5"/>
      <c r="D148" s="13"/>
      <c r="E148" s="18"/>
      <c r="F148" s="15"/>
      <c r="G148" s="15"/>
      <c r="H148" s="15"/>
      <c r="I148" s="15"/>
      <c r="J148" s="4"/>
      <c r="K148" s="4"/>
      <c r="L148" s="15"/>
      <c r="M148" s="15"/>
      <c r="N148" s="15"/>
      <c r="O148" s="15"/>
      <c r="P148" s="4"/>
      <c r="Q148" s="4"/>
      <c r="R148" s="15"/>
      <c r="S148" s="15"/>
      <c r="T148" s="15"/>
      <c r="U148" s="15"/>
      <c r="V148" s="4"/>
      <c r="W148" s="4"/>
      <c r="X148" s="15"/>
      <c r="Y148" s="15"/>
      <c r="Z148" s="15"/>
      <c r="AA148" s="15"/>
      <c r="AB148" s="15"/>
      <c r="AC148" s="15"/>
      <c r="AD148" s="15"/>
    </row>
    <row r="149" spans="1:30" x14ac:dyDescent="0.4">
      <c r="A149" s="4"/>
      <c r="B149" s="4"/>
      <c r="C149" s="5"/>
      <c r="D149" s="13"/>
      <c r="E149" s="18"/>
      <c r="F149" s="15"/>
      <c r="G149" s="15"/>
      <c r="H149" s="15"/>
      <c r="I149" s="15"/>
      <c r="J149" s="4"/>
      <c r="K149" s="4"/>
      <c r="L149" s="15"/>
      <c r="M149" s="15"/>
      <c r="N149" s="15"/>
      <c r="O149" s="15"/>
      <c r="P149" s="4"/>
      <c r="Q149" s="4"/>
      <c r="R149" s="15"/>
      <c r="S149" s="15"/>
      <c r="T149" s="15"/>
      <c r="U149" s="15"/>
      <c r="V149" s="4"/>
      <c r="W149" s="4"/>
      <c r="X149" s="15"/>
      <c r="Y149" s="15"/>
      <c r="Z149" s="15"/>
      <c r="AA149" s="15"/>
      <c r="AB149" s="15"/>
      <c r="AC149" s="15"/>
      <c r="AD149" s="15"/>
    </row>
  </sheetData>
  <mergeCells count="10">
    <mergeCell ref="A1:AD1"/>
    <mergeCell ref="A2:AD2"/>
    <mergeCell ref="A4:AD4"/>
    <mergeCell ref="A3:AD3"/>
    <mergeCell ref="J6:O6"/>
    <mergeCell ref="P6:U6"/>
    <mergeCell ref="B6:I6"/>
    <mergeCell ref="AB6:AD6"/>
    <mergeCell ref="A5:AD5"/>
    <mergeCell ref="V6:AA6"/>
  </mergeCells>
  <phoneticPr fontId="2" type="noConversion"/>
  <printOptions horizontalCentered="1"/>
  <pageMargins left="1" right="1" top="1" bottom="1" header="0.5" footer="0.5"/>
  <pageSetup scale="27" fitToHeight="0" orientation="landscape" r:id="rId1"/>
  <headerFooter alignWithMargins="0">
    <oddHeader>&amp;C&amp;"Arial,Bold"&amp;12Partners of the Americas
Ñande Ko’ê</oddHeader>
    <oddFooter>&amp;R&amp;P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BD34A1-0CA4-4FDD-8A9F-9DFBA49E4754}">
  <ds:schemaRefs>
    <ds:schemaRef ds:uri="http://purl.org/dc/elements/1.1/"/>
    <ds:schemaRef ds:uri="http://www.w3.org/XML/1998/namespace"/>
    <ds:schemaRef ds:uri="http://schemas.microsoft.com/office/infopath/2007/PartnerControls"/>
    <ds:schemaRef ds:uri="1ae44f9a-9a67-4ef9-a793-7a625a6828c5"/>
    <ds:schemaRef ds:uri="ceb09a40-ef32-4a87-9fbf-fded1049908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728250C-1350-4407-A7E6-9ADB107EFB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9E6B66-0238-4BC8-A436-C50F123FB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Budget Summary</vt:lpstr>
      <vt:lpstr>Line Item Budget</vt:lpstr>
      <vt:lpstr>'Budget Summary'!Print_Area</vt:lpstr>
      <vt:lpstr>'Line Item Budget'!Print_Area</vt:lpstr>
      <vt:lpstr>'Line Item Budget'!Print_Titles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2022-10-10T19:34:51Z</dcterms:created>
  <dcterms:modified xsi:type="dcterms:W3CDTF">2023-04-17T15:06:06Z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0x0101003D879DFB4F9BF746B9AF5F261D5FC671</vt:lpwstr>
  </property>
  <property fmtid="{D5CDD505-2E9C-101B-9397-08002B2CF9AE}" pid="3" name="MediaServiceImageTags">
    <vt:lpwstr/>
  </property>
</Properties>
</file>