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30A6824F-9B13-4F09-B0F1-F594A84FDCFC}" xr6:coauthVersionLast="47" xr6:coauthVersionMax="47" xr10:uidLastSave="{00000000-0000-0000-0000-000000000000}"/>
  <bookViews>
    <workbookView xWindow="-96" yWindow="-96" windowWidth="23232" windowHeight="12552" tabRatio="792" activeTab="1" xr2:uid="{00000000-000D-0000-FFFF-FFFF00000000}"/>
  </bookViews>
  <sheets>
    <sheet name="2. Summary Budget" sheetId="3" r:id="rId1"/>
    <sheet name="3. Detailed Budget" sheetId="9" r:id="rId2"/>
  </sheets>
  <definedNames>
    <definedName name="_xlnm.Print_Area" localSheetId="0">'2. Summary Budget'!$A$1:$D$18</definedName>
    <definedName name="_xlnm.Print_Area" localSheetId="1">'3. Detailed Budget'!$A$1:$L$65</definedName>
  </definedNames>
  <calcPr calcId="191028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9" l="1"/>
  <c r="L12" i="9" s="1"/>
  <c r="H57" i="9"/>
  <c r="H56" i="9"/>
  <c r="H61" i="9"/>
  <c r="H60" i="9"/>
  <c r="H59" i="9"/>
  <c r="H54" i="9"/>
  <c r="H52" i="9"/>
  <c r="H51" i="9"/>
  <c r="H47" i="9"/>
  <c r="H48" i="9"/>
  <c r="H49" i="9"/>
  <c r="H43" i="9"/>
  <c r="H44" i="9"/>
  <c r="H38" i="9"/>
  <c r="E25" i="9"/>
  <c r="E26" i="9"/>
  <c r="H10" i="9"/>
  <c r="H11" i="9"/>
  <c r="H14" i="9"/>
  <c r="H19" i="9" s="1"/>
  <c r="H15" i="9"/>
  <c r="H9" i="9"/>
  <c r="H18" i="9" s="1"/>
  <c r="L18" i="9" l="1"/>
  <c r="H40" i="9"/>
  <c r="D13" i="3" s="1"/>
  <c r="J29" i="9"/>
  <c r="J30" i="9"/>
  <c r="J28" i="9"/>
  <c r="J27" i="9"/>
  <c r="E29" i="9"/>
  <c r="D14" i="3"/>
  <c r="D11" i="3"/>
  <c r="H53" i="9"/>
  <c r="L51" i="9"/>
  <c r="L52" i="9"/>
  <c r="L54" i="9"/>
  <c r="H45" i="9"/>
  <c r="L39" i="9"/>
  <c r="L44" i="9"/>
  <c r="J40" i="9" l="1"/>
  <c r="L11" i="9"/>
  <c r="L14" i="9"/>
  <c r="L53" i="9"/>
  <c r="L61" i="9"/>
  <c r="L60" i="9"/>
  <c r="L10" i="9"/>
  <c r="J35" i="9"/>
  <c r="H34" i="9"/>
  <c r="H29" i="9"/>
  <c r="H30" i="9"/>
  <c r="H28" i="9"/>
  <c r="H27" i="9"/>
  <c r="J26" i="9"/>
  <c r="H26" i="9"/>
  <c r="J24" i="9"/>
  <c r="H24" i="9"/>
  <c r="J25" i="9"/>
  <c r="H25" i="9"/>
  <c r="J62" i="9" l="1"/>
  <c r="L34" i="9"/>
  <c r="H35" i="9"/>
  <c r="D12" i="3" s="1"/>
  <c r="L45" i="9"/>
  <c r="L59" i="9"/>
  <c r="L38" i="9"/>
  <c r="H23" i="9"/>
  <c r="J23" i="9"/>
  <c r="J31" i="9" s="1"/>
  <c r="J16" i="9"/>
  <c r="L56" i="9"/>
  <c r="L35" i="9" l="1"/>
  <c r="H16" i="9"/>
  <c r="L16" i="9" s="1"/>
  <c r="H31" i="9"/>
  <c r="D10" i="3" s="1"/>
  <c r="L15" i="9"/>
  <c r="L31" i="9" l="1"/>
  <c r="H20" i="9"/>
  <c r="D8" i="3"/>
  <c r="E30" i="9" l="1"/>
  <c r="L30" i="9" s="1"/>
  <c r="L29" i="9"/>
  <c r="L25" i="9"/>
  <c r="L24" i="9"/>
  <c r="L49" i="9"/>
  <c r="L57" i="9"/>
  <c r="L47" i="9"/>
  <c r="L48" i="9"/>
  <c r="H46" i="9"/>
  <c r="L43" i="9"/>
  <c r="L27" i="9"/>
  <c r="L23" i="9"/>
  <c r="H62" i="9" l="1"/>
  <c r="D15" i="3" s="1"/>
  <c r="J19" i="9"/>
  <c r="J20" i="9" s="1"/>
  <c r="L46" i="9"/>
  <c r="L9" i="9"/>
  <c r="L28" i="9"/>
  <c r="L26" i="9"/>
  <c r="L62" i="9" l="1"/>
  <c r="J63" i="9" l="1"/>
  <c r="J65" i="9" s="1"/>
  <c r="L19" i="9"/>
  <c r="L20" i="9" s="1"/>
  <c r="H63" i="9"/>
  <c r="H64" i="9" s="1"/>
  <c r="D19" i="3" l="1"/>
  <c r="D9" i="3"/>
  <c r="D16" i="3" s="1"/>
  <c r="D17" i="3" l="1"/>
  <c r="D18" i="3" s="1"/>
  <c r="L63" i="9"/>
  <c r="L40" i="9"/>
  <c r="H65" i="9" l="1"/>
  <c r="L64" i="9"/>
  <c r="L65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tc={D52993AD-B13E-4173-AE48-AA0169ADAA66}</author>
  </authors>
  <commentList>
    <comment ref="C22" authorId="0" shapeId="0" xr:uid="{D52993AD-B13E-4173-AE48-AA0169AD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specify location</t>
      </text>
    </comment>
  </commentList>
</comments>
</file>

<file path=xl/sharedStrings.xml><?xml version="1.0" encoding="utf-8"?>
<sst xmlns="http://schemas.openxmlformats.org/spreadsheetml/2006/main" count="195" uniqueCount="158">
  <si>
    <t>Summary Budget</t>
  </si>
  <si>
    <t>Partners of the Americas</t>
  </si>
  <si>
    <t xml:space="preserve">        </t>
  </si>
  <si>
    <t>Requested Federal Funds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</si>
  <si>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</si>
  <si>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</si>
  <si>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</si>
  <si>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</si>
  <si>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</si>
  <si>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</si>
  <si>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</si>
  <si>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</si>
  <si>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</si>
  <si>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</si>
  <si>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</si>
  <si>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</si>
  <si>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</si>
  <si>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</si>
  <si>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</si>
  <si>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</si>
  <si>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</si>
  <si>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</si>
  <si>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</si>
  <si>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</si>
  <si>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</si>
  <si>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</si>
  <si>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L</t>
  </si>
  <si>
    <t>Cost Share (if applicable)</t>
  </si>
  <si>
    <t>* line item amounts auto-fill from "Detailed Grant Budget Template" tab</t>
  </si>
  <si>
    <t xml:space="preserve"> LINE-ITEM BUDGET</t>
  </si>
  <si>
    <t>Project Title</t>
  </si>
  <si>
    <t>Project duration</t>
  </si>
  <si>
    <t>*Key personnel</t>
  </si>
  <si>
    <t>Unit Cost</t>
  </si>
  <si>
    <t>Cost-Share by Applicant</t>
  </si>
  <si>
    <t>Program Total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</si>
  <si>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</si>
  <si>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</si>
  <si>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</si>
  <si>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</si>
  <si>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</si>
  <si>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</si>
  <si>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</t>
    </r>
    <r>
      <rPr>
        <b/>
        <sz val="8"/>
        <rFont val="Times New Roman"/>
        <family val="1"/>
      </rPr>
      <t>Personnel</t>
    </r>
    <r>
      <rPr>
        <sz val="8"/>
        <rFont val="Times New Roman"/>
        <family val="1"/>
      </rPr>
      <t xml:space="preserve"> ONLY</t>
    </r>
  </si>
  <si>
    <t>A.1</t>
  </si>
  <si>
    <t>US-Based personnel</t>
  </si>
  <si>
    <t>A.1.1</t>
  </si>
  <si>
    <t>months</t>
  </si>
  <si>
    <t>A.1.2</t>
  </si>
  <si>
    <t>Program Director*</t>
  </si>
  <si>
    <t>A.1.3</t>
  </si>
  <si>
    <t>Associate Director</t>
  </si>
  <si>
    <t>A.1.4</t>
  </si>
  <si>
    <t>Program Officer</t>
  </si>
  <si>
    <t>MEL Officer</t>
  </si>
  <si>
    <t>Subtotal Personnel</t>
  </si>
  <si>
    <t>B.1</t>
  </si>
  <si>
    <t>US-Based Personnel Fringe Benefits</t>
  </si>
  <si>
    <t>Subtotal Fringe Benefits</t>
  </si>
  <si>
    <t># people</t>
  </si>
  <si>
    <t># trips/or days</t>
  </si>
  <si>
    <t>unit Cost</t>
  </si>
  <si>
    <t>C.1</t>
  </si>
  <si>
    <t>Staff Travel</t>
  </si>
  <si>
    <t>C.1.1</t>
  </si>
  <si>
    <t>International Round Trip Airfare</t>
  </si>
  <si>
    <t>C.1.2</t>
  </si>
  <si>
    <t xml:space="preserve">International M&amp;IE </t>
  </si>
  <si>
    <t>C.1.3</t>
  </si>
  <si>
    <t>International Lodging</t>
  </si>
  <si>
    <t>C.1.4</t>
  </si>
  <si>
    <t>International Local Transportation</t>
  </si>
  <si>
    <t>C.1.5</t>
  </si>
  <si>
    <t>Domestic Round Trip Airfare</t>
  </si>
  <si>
    <t>C.1.6</t>
  </si>
  <si>
    <t>Domestic M&amp;IE</t>
  </si>
  <si>
    <t>C.1.7</t>
  </si>
  <si>
    <t>Domestic Lodging</t>
  </si>
  <si>
    <t>C.1.8</t>
  </si>
  <si>
    <t>Domestic Local Transportation</t>
  </si>
  <si>
    <t>Subtotal Travel</t>
  </si>
  <si>
    <r>
      <t xml:space="preserve">Equipment  </t>
    </r>
    <r>
      <rPr>
        <b/>
        <sz val="8"/>
        <color theme="1"/>
        <rFont val="Times New Roman"/>
        <family val="1"/>
      </rPr>
      <t>(&gt; $5,000 per unit )</t>
    </r>
  </si>
  <si>
    <t>unit</t>
  </si>
  <si>
    <t># units</t>
  </si>
  <si>
    <t>unit cost</t>
  </si>
  <si>
    <r>
      <t xml:space="preserve">Supplies </t>
    </r>
    <r>
      <rPr>
        <b/>
        <sz val="8"/>
        <color theme="1"/>
        <rFont val="Times New Roman"/>
        <family val="1"/>
      </rPr>
      <t xml:space="preserve"> (&lt; $5,000 per unit)</t>
    </r>
  </si>
  <si>
    <t>E.1</t>
  </si>
  <si>
    <t>Subtotal Supplies</t>
  </si>
  <si>
    <r>
      <t xml:space="preserve">Contractual </t>
    </r>
    <r>
      <rPr>
        <b/>
        <sz val="8"/>
        <color theme="1"/>
        <rFont val="Times New Roman"/>
        <family val="1"/>
      </rPr>
      <t>(Subrecipients, Subcontracts, and Consultant fees)</t>
    </r>
  </si>
  <si>
    <t>F.1</t>
  </si>
  <si>
    <t>F.1.1</t>
  </si>
  <si>
    <t>Consultants and Contracts</t>
  </si>
  <si>
    <t>Subtotal Contractual</t>
  </si>
  <si>
    <t>H.1</t>
  </si>
  <si>
    <t>Outreach/Branded Materials</t>
  </si>
  <si>
    <t>bulk</t>
  </si>
  <si>
    <t>H.2</t>
  </si>
  <si>
    <t>Printing &amp; Postage</t>
  </si>
  <si>
    <t>H.3</t>
  </si>
  <si>
    <t>Translation Costs</t>
  </si>
  <si>
    <t>documents</t>
  </si>
  <si>
    <t>H.4</t>
  </si>
  <si>
    <t>Grants Management System</t>
  </si>
  <si>
    <t>H.5</t>
  </si>
  <si>
    <t>Network Management System</t>
  </si>
  <si>
    <t>H.6</t>
  </si>
  <si>
    <t>Data Tracking &amp; Collection (M&amp;E)</t>
  </si>
  <si>
    <t>hours</t>
  </si>
  <si>
    <t>H.7</t>
  </si>
  <si>
    <t>Platform Subscriptions</t>
  </si>
  <si>
    <t>years</t>
  </si>
  <si>
    <t>H.8</t>
  </si>
  <si>
    <t>H.8.1</t>
  </si>
  <si>
    <t>Space Rental</t>
  </si>
  <si>
    <t>venue</t>
  </si>
  <si>
    <t>H.8.2</t>
  </si>
  <si>
    <t>Printed Materials</t>
  </si>
  <si>
    <t>events</t>
  </si>
  <si>
    <t>H.8.3</t>
  </si>
  <si>
    <t>Working Meals</t>
  </si>
  <si>
    <t>persons</t>
  </si>
  <si>
    <t>H.8.4</t>
  </si>
  <si>
    <t>Audio-Visual Equipment Rental</t>
  </si>
  <si>
    <t>H.9</t>
  </si>
  <si>
    <t>Conference Registrations</t>
  </si>
  <si>
    <t>H.9.1</t>
  </si>
  <si>
    <t>International Conference Registration Fees</t>
  </si>
  <si>
    <t>H.9.2</t>
  </si>
  <si>
    <t>U.S. Conference Registration Fees</t>
  </si>
  <si>
    <t>H.10</t>
  </si>
  <si>
    <t>Media/Digital Engagement</t>
  </si>
  <si>
    <t>H.10.1</t>
  </si>
  <si>
    <t>Digital Education Platform</t>
  </si>
  <si>
    <t>module</t>
  </si>
  <si>
    <t>H.10.2</t>
  </si>
  <si>
    <t>Virtual Orientation/Country Exploration Modules</t>
  </si>
  <si>
    <t>H.10.3</t>
  </si>
  <si>
    <t>Paid Digital Media Placement</t>
  </si>
  <si>
    <t>ads</t>
  </si>
  <si>
    <t>Subtotal Other Direct Costs</t>
  </si>
  <si>
    <t>Total Direct Costs</t>
  </si>
  <si>
    <r>
      <t>Indirect Costs</t>
    </r>
    <r>
      <rPr>
        <b/>
        <sz val="8"/>
        <color theme="1"/>
        <rFont val="Times New Roman"/>
        <family val="1"/>
      </rPr>
      <t xml:space="preserve"> </t>
    </r>
  </si>
  <si>
    <t>F.1.2</t>
  </si>
  <si>
    <t>Partners of the Americas - PROJECT NAME</t>
  </si>
  <si>
    <t>Project Duration: 12 months</t>
  </si>
  <si>
    <t>PROJECT NAME</t>
  </si>
  <si>
    <t>12 Months</t>
  </si>
  <si>
    <t>B.2</t>
  </si>
  <si>
    <t>XX-Based Personnel Fringe Benefits</t>
  </si>
  <si>
    <t>XXX</t>
  </si>
  <si>
    <t>XXX Contract</t>
  </si>
  <si>
    <t>XXXX Consultant</t>
  </si>
  <si>
    <t>A.2</t>
  </si>
  <si>
    <t>XXX-Based personnel</t>
  </si>
  <si>
    <t>A.2.1</t>
  </si>
  <si>
    <t>A.2.2</t>
  </si>
  <si>
    <t>VP of Programs</t>
  </si>
  <si>
    <t>Program Coordinator</t>
  </si>
  <si>
    <t>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</si>
</sst>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i/>
      <sz val="10"/>
      <name val="Times New Roman"/>
      <family val="1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3"/>
      <name val="Times New Roman"/>
      <family val="1"/>
    </font>
    <font>
      <sz val="10"/>
      <color theme="3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4"/>
      <name val="Calibri"/>
      <family val="2"/>
      <scheme val="minor"/>
    </font>
    <font>
      <sz val="8"/>
      <color theme="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7" borderId="0" applyNumberFormat="0" applyBorder="0" applyAlignment="0" applyProtection="0"/>
    <xf numFmtId="0" fontId="34" fillId="0" borderId="0"/>
  </cellStyleXfs>
  <cellXfs count="196">
    <xf numFmtId="0" fontId="0" fillId="0" borderId="0" xfId="0"/>
    <xf numFmtId="0" fontId="5" fillId="0" borderId="5" xfId="0" applyFont="1" applyBorder="1" applyAlignment="1">
      <alignment wrapText="1"/>
    </xf>
    <xf numFmtId="49" fontId="8" fillId="0" borderId="0" xfId="0" applyNumberFormat="1" applyFont="1"/>
    <xf numFmtId="0" fontId="6" fillId="4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3" borderId="7" xfId="0" applyFont="1" applyFill="1" applyBorder="1" applyAlignment="1">
      <alignment wrapText="1"/>
    </xf>
    <xf numFmtId="0" fontId="4" fillId="3" borderId="7" xfId="0" applyFont="1" applyFill="1" applyBorder="1" applyAlignment="1">
      <alignment horizontal="right" wrapText="1"/>
    </xf>
    <xf numFmtId="0" fontId="5" fillId="3" borderId="7" xfId="0" applyFont="1" applyFill="1" applyBorder="1" applyAlignment="1">
      <alignment wrapText="1"/>
    </xf>
    <xf numFmtId="0" fontId="5" fillId="3" borderId="7" xfId="0" applyFont="1" applyFill="1" applyBorder="1" applyAlignment="1">
      <alignment horizontal="right" wrapText="1"/>
    </xf>
    <xf numFmtId="0" fontId="9" fillId="4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1" fillId="4" borderId="2" xfId="0" applyNumberFormat="1" applyFont="1" applyFill="1" applyBorder="1" applyAlignment="1">
      <alignment vertical="center"/>
    </xf>
    <xf numFmtId="4" fontId="4" fillId="0" borderId="5" xfId="0" applyNumberFormat="1" applyFont="1" applyBorder="1" applyAlignment="1">
      <alignment wrapText="1"/>
    </xf>
    <xf numFmtId="4" fontId="5" fillId="0" borderId="1" xfId="0" applyNumberFormat="1" applyFont="1" applyBorder="1" applyAlignment="1">
      <alignment wrapText="1"/>
    </xf>
    <xf numFmtId="4" fontId="4" fillId="3" borderId="1" xfId="0" applyNumberFormat="1" applyFont="1" applyFill="1" applyBorder="1" applyAlignment="1">
      <alignment wrapText="1"/>
    </xf>
    <xf numFmtId="4" fontId="6" fillId="4" borderId="7" xfId="0" applyNumberFormat="1" applyFont="1" applyFill="1" applyBorder="1" applyAlignment="1">
      <alignment horizontal="center" vertical="center" wrapText="1"/>
    </xf>
    <xf numFmtId="4" fontId="5" fillId="3" borderId="7" xfId="0" applyNumberFormat="1" applyFont="1" applyFill="1" applyBorder="1" applyAlignment="1">
      <alignment wrapText="1"/>
    </xf>
    <xf numFmtId="4" fontId="5" fillId="0" borderId="1" xfId="0" applyNumberFormat="1" applyFont="1" applyBorder="1" applyAlignment="1">
      <alignment horizontal="right" wrapText="1"/>
    </xf>
    <xf numFmtId="4" fontId="5" fillId="0" borderId="1" xfId="0" applyNumberFormat="1" applyFont="1" applyBorder="1"/>
    <xf numFmtId="4" fontId="6" fillId="4" borderId="3" xfId="0" applyNumberFormat="1" applyFont="1" applyFill="1" applyBorder="1" applyAlignment="1">
      <alignment horizontal="center" vertical="center" wrapText="1"/>
    </xf>
    <xf numFmtId="4" fontId="5" fillId="3" borderId="9" xfId="0" applyNumberFormat="1" applyFont="1" applyFill="1" applyBorder="1" applyAlignment="1">
      <alignment wrapText="1"/>
    </xf>
    <xf numFmtId="4" fontId="5" fillId="0" borderId="5" xfId="0" applyNumberFormat="1" applyFont="1" applyBorder="1" applyAlignment="1">
      <alignment horizontal="right" wrapText="1"/>
    </xf>
    <xf numFmtId="4" fontId="5" fillId="3" borderId="1" xfId="0" applyNumberFormat="1" applyFont="1" applyFill="1" applyBorder="1" applyAlignment="1">
      <alignment horizontal="right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5" fillId="3" borderId="3" xfId="0" applyNumberFormat="1" applyFont="1" applyFill="1" applyBorder="1" applyAlignment="1">
      <alignment horizontal="right" wrapText="1"/>
    </xf>
    <xf numFmtId="49" fontId="1" fillId="4" borderId="11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vertical="center" wrapText="1"/>
    </xf>
    <xf numFmtId="4" fontId="4" fillId="3" borderId="7" xfId="0" applyNumberFormat="1" applyFont="1" applyFill="1" applyBorder="1" applyAlignment="1">
      <alignment wrapText="1"/>
    </xf>
    <xf numFmtId="4" fontId="4" fillId="3" borderId="3" xfId="0" applyNumberFormat="1" applyFont="1" applyFill="1" applyBorder="1" applyAlignment="1">
      <alignment horizontal="right" wrapText="1"/>
    </xf>
    <xf numFmtId="0" fontId="4" fillId="3" borderId="7" xfId="0" applyFont="1" applyFill="1" applyBorder="1"/>
    <xf numFmtId="4" fontId="4" fillId="3" borderId="7" xfId="0" applyNumberFormat="1" applyFont="1" applyFill="1" applyBorder="1"/>
    <xf numFmtId="4" fontId="4" fillId="3" borderId="3" xfId="0" applyNumberFormat="1" applyFont="1" applyFill="1" applyBorder="1"/>
    <xf numFmtId="0" fontId="9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4" fontId="6" fillId="4" borderId="0" xfId="0" applyNumberFormat="1" applyFont="1" applyFill="1" applyAlignment="1">
      <alignment horizontal="center" vertical="center" wrapText="1"/>
    </xf>
    <xf numFmtId="4" fontId="5" fillId="4" borderId="6" xfId="0" applyNumberFormat="1" applyFont="1" applyFill="1" applyBorder="1" applyAlignment="1">
      <alignment horizontal="right" vertical="center" wrapText="1"/>
    </xf>
    <xf numFmtId="49" fontId="1" fillId="4" borderId="13" xfId="0" applyNumberFormat="1" applyFont="1" applyFill="1" applyBorder="1" applyAlignment="1">
      <alignment vertical="center"/>
    </xf>
    <xf numFmtId="4" fontId="5" fillId="3" borderId="3" xfId="0" applyNumberFormat="1" applyFont="1" applyFill="1" applyBorder="1"/>
    <xf numFmtId="0" fontId="4" fillId="0" borderId="4" xfId="0" applyFont="1" applyBorder="1"/>
    <xf numFmtId="49" fontId="0" fillId="4" borderId="7" xfId="0" applyNumberFormat="1" applyFill="1" applyBorder="1" applyAlignment="1">
      <alignment vertical="center"/>
    </xf>
    <xf numFmtId="49" fontId="1" fillId="4" borderId="12" xfId="0" applyNumberFormat="1" applyFont="1" applyFill="1" applyBorder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4" borderId="7" xfId="0" applyNumberFormat="1" applyFont="1" applyFill="1" applyBorder="1" applyAlignment="1">
      <alignment vertical="center"/>
    </xf>
    <xf numFmtId="49" fontId="1" fillId="5" borderId="7" xfId="0" applyNumberFormat="1" applyFont="1" applyFill="1" applyBorder="1" applyAlignment="1">
      <alignment vertical="center"/>
    </xf>
    <xf numFmtId="0" fontId="6" fillId="5" borderId="7" xfId="0" applyFont="1" applyFill="1" applyBorder="1" applyAlignment="1">
      <alignment horizontal="center" vertical="center" wrapText="1"/>
    </xf>
    <xf numFmtId="4" fontId="6" fillId="5" borderId="7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wrapText="1"/>
    </xf>
    <xf numFmtId="4" fontId="4" fillId="3" borderId="1" xfId="0" applyNumberFormat="1" applyFont="1" applyFill="1" applyBorder="1" applyAlignment="1">
      <alignment horizontal="right" wrapText="1"/>
    </xf>
    <xf numFmtId="0" fontId="1" fillId="0" borderId="0" xfId="0" applyFont="1"/>
    <xf numFmtId="0" fontId="11" fillId="0" borderId="0" xfId="0" applyFont="1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49" fontId="10" fillId="5" borderId="2" xfId="0" applyNumberFormat="1" applyFont="1" applyFill="1" applyBorder="1" applyAlignment="1">
      <alignment vertical="center"/>
    </xf>
    <xf numFmtId="49" fontId="10" fillId="5" borderId="7" xfId="0" applyNumberFormat="1" applyFont="1" applyFill="1" applyBorder="1" applyAlignment="1">
      <alignment vertical="center"/>
    </xf>
    <xf numFmtId="0" fontId="14" fillId="0" borderId="0" xfId="0" applyFont="1"/>
    <xf numFmtId="0" fontId="9" fillId="4" borderId="3" xfId="0" applyFont="1" applyFill="1" applyBorder="1" applyAlignment="1">
      <alignment vertical="center" wrapText="1"/>
    </xf>
    <xf numFmtId="4" fontId="15" fillId="6" borderId="1" xfId="0" applyNumberFormat="1" applyFont="1" applyFill="1" applyBorder="1" applyAlignment="1">
      <alignment horizontal="right" vertical="center" wrapText="1"/>
    </xf>
    <xf numFmtId="0" fontId="16" fillId="0" borderId="0" xfId="0" applyFont="1"/>
    <xf numFmtId="4" fontId="4" fillId="4" borderId="3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vertical="center" wrapText="1"/>
    </xf>
    <xf numFmtId="0" fontId="5" fillId="3" borderId="4" xfId="0" applyFont="1" applyFill="1" applyBorder="1"/>
    <xf numFmtId="0" fontId="20" fillId="3" borderId="8" xfId="0" applyFont="1" applyFill="1" applyBorder="1" applyAlignment="1">
      <alignment wrapText="1"/>
    </xf>
    <xf numFmtId="49" fontId="19" fillId="6" borderId="7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7" fillId="0" borderId="0" xfId="0" applyFont="1"/>
    <xf numFmtId="0" fontId="5" fillId="6" borderId="10" xfId="0" applyFont="1" applyFill="1" applyBorder="1" applyAlignment="1">
      <alignment vertical="center" wrapText="1"/>
    </xf>
    <xf numFmtId="49" fontId="19" fillId="3" borderId="7" xfId="0" applyNumberFormat="1" applyFont="1" applyFill="1" applyBorder="1"/>
    <xf numFmtId="0" fontId="21" fillId="0" borderId="10" xfId="0" applyFont="1" applyBorder="1" applyAlignment="1">
      <alignment wrapText="1"/>
    </xf>
    <xf numFmtId="0" fontId="21" fillId="0" borderId="3" xfId="0" applyFont="1" applyBorder="1" applyAlignment="1">
      <alignment wrapText="1"/>
    </xf>
    <xf numFmtId="49" fontId="19" fillId="6" borderId="7" xfId="0" applyNumberFormat="1" applyFont="1" applyFill="1" applyBorder="1"/>
    <xf numFmtId="0" fontId="21" fillId="0" borderId="7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9" fontId="21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10" fontId="5" fillId="0" borderId="5" xfId="2" applyNumberFormat="1" applyFont="1" applyBorder="1" applyAlignment="1">
      <alignment horizontal="right" wrapText="1"/>
    </xf>
    <xf numFmtId="44" fontId="5" fillId="0" borderId="5" xfId="1" applyFont="1" applyBorder="1" applyAlignment="1">
      <alignment wrapText="1"/>
    </xf>
    <xf numFmtId="0" fontId="5" fillId="0" borderId="4" xfId="0" applyFont="1" applyBorder="1" applyAlignment="1">
      <alignment horizontal="center"/>
    </xf>
    <xf numFmtId="44" fontId="5" fillId="0" borderId="4" xfId="1" applyFont="1" applyBorder="1"/>
    <xf numFmtId="0" fontId="5" fillId="3" borderId="4" xfId="0" applyFont="1" applyFill="1" applyBorder="1" applyAlignment="1">
      <alignment horizontal="center"/>
    </xf>
    <xf numFmtId="49" fontId="24" fillId="6" borderId="7" xfId="0" applyNumberFormat="1" applyFont="1" applyFill="1" applyBorder="1"/>
    <xf numFmtId="0" fontId="19" fillId="0" borderId="0" xfId="0" applyFont="1"/>
    <xf numFmtId="44" fontId="5" fillId="3" borderId="4" xfId="1" applyFont="1" applyFill="1" applyBorder="1"/>
    <xf numFmtId="0" fontId="22" fillId="0" borderId="0" xfId="0" applyFont="1"/>
    <xf numFmtId="0" fontId="20" fillId="3" borderId="7" xfId="0" applyFont="1" applyFill="1" applyBorder="1" applyAlignment="1">
      <alignment wrapText="1"/>
    </xf>
    <xf numFmtId="4" fontId="17" fillId="0" borderId="0" xfId="0" applyNumberFormat="1" applyFont="1"/>
    <xf numFmtId="3" fontId="9" fillId="5" borderId="3" xfId="0" applyNumberFormat="1" applyFont="1" applyFill="1" applyBorder="1" applyAlignment="1">
      <alignment horizontal="right" vertical="center" wrapText="1"/>
    </xf>
    <xf numFmtId="3" fontId="2" fillId="5" borderId="3" xfId="0" applyNumberFormat="1" applyFont="1" applyFill="1" applyBorder="1" applyAlignment="1">
      <alignment horizontal="right" vertical="center" wrapText="1"/>
    </xf>
    <xf numFmtId="0" fontId="5" fillId="0" borderId="5" xfId="0" applyFont="1" applyBorder="1" applyAlignment="1">
      <alignment horizontal="center" wrapText="1"/>
    </xf>
    <xf numFmtId="44" fontId="21" fillId="0" borderId="1" xfId="1" applyFont="1" applyFill="1" applyBorder="1" applyAlignment="1">
      <alignment horizontal="center"/>
    </xf>
    <xf numFmtId="9" fontId="21" fillId="0" borderId="1" xfId="0" applyNumberFormat="1" applyFont="1" applyBorder="1" applyAlignment="1">
      <alignment horizontal="center"/>
    </xf>
    <xf numFmtId="49" fontId="19" fillId="6" borderId="12" xfId="0" applyNumberFormat="1" applyFont="1" applyFill="1" applyBorder="1" applyAlignment="1">
      <alignment vertical="center"/>
    </xf>
    <xf numFmtId="44" fontId="0" fillId="0" borderId="0" xfId="1" applyFont="1" applyBorder="1"/>
    <xf numFmtId="44" fontId="0" fillId="0" borderId="0" xfId="0" applyNumberFormat="1"/>
    <xf numFmtId="44" fontId="17" fillId="0" borderId="0" xfId="0" applyNumberFormat="1" applyFont="1"/>
    <xf numFmtId="49" fontId="9" fillId="4" borderId="2" xfId="0" applyNumberFormat="1" applyFont="1" applyFill="1" applyBorder="1" applyAlignment="1">
      <alignment vertical="center"/>
    </xf>
    <xf numFmtId="49" fontId="5" fillId="3" borderId="2" xfId="0" applyNumberFormat="1" applyFont="1" applyFill="1" applyBorder="1"/>
    <xf numFmtId="49" fontId="5" fillId="6" borderId="11" xfId="0" applyNumberFormat="1" applyFont="1" applyFill="1" applyBorder="1" applyAlignment="1">
      <alignment vertical="center"/>
    </xf>
    <xf numFmtId="49" fontId="5" fillId="6" borderId="2" xfId="0" applyNumberFormat="1" applyFont="1" applyFill="1" applyBorder="1" applyAlignment="1">
      <alignment vertical="center"/>
    </xf>
    <xf numFmtId="49" fontId="5" fillId="6" borderId="2" xfId="0" applyNumberFormat="1" applyFont="1" applyFill="1" applyBorder="1"/>
    <xf numFmtId="49" fontId="21" fillId="6" borderId="2" xfId="0" applyNumberFormat="1" applyFont="1" applyFill="1" applyBorder="1"/>
    <xf numFmtId="49" fontId="9" fillId="4" borderId="13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vertical="center"/>
    </xf>
    <xf numFmtId="49" fontId="6" fillId="0" borderId="0" xfId="0" applyNumberFormat="1" applyFont="1"/>
    <xf numFmtId="0" fontId="0" fillId="0" borderId="0" xfId="0" applyAlignment="1">
      <alignment horizontal="right"/>
    </xf>
    <xf numFmtId="44" fontId="5" fillId="0" borderId="4" xfId="1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 applyAlignment="1">
      <alignment horizontal="right" wrapText="1"/>
    </xf>
    <xf numFmtId="4" fontId="4" fillId="3" borderId="12" xfId="0" applyNumberFormat="1" applyFont="1" applyFill="1" applyBorder="1" applyAlignment="1">
      <alignment wrapText="1"/>
    </xf>
    <xf numFmtId="4" fontId="4" fillId="3" borderId="10" xfId="0" applyNumberFormat="1" applyFont="1" applyFill="1" applyBorder="1" applyAlignment="1">
      <alignment horizontal="right" wrapText="1"/>
    </xf>
    <xf numFmtId="0" fontId="29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horizontal="right" vertical="top" wrapText="1"/>
    </xf>
    <xf numFmtId="0" fontId="27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28" fillId="0" borderId="0" xfId="0" applyFont="1" applyAlignment="1">
      <alignment vertical="top" wrapText="1"/>
    </xf>
    <xf numFmtId="4" fontId="4" fillId="3" borderId="4" xfId="0" applyNumberFormat="1" applyFont="1" applyFill="1" applyBorder="1" applyAlignment="1">
      <alignment wrapText="1"/>
    </xf>
    <xf numFmtId="44" fontId="31" fillId="0" borderId="0" xfId="0" applyNumberFormat="1" applyFont="1"/>
    <xf numFmtId="0" fontId="25" fillId="0" borderId="0" xfId="0" applyFont="1"/>
    <xf numFmtId="0" fontId="26" fillId="0" borderId="0" xfId="0" applyFont="1" applyAlignment="1">
      <alignment horizontal="left" wrapText="1"/>
    </xf>
    <xf numFmtId="4" fontId="5" fillId="0" borderId="4" xfId="0" applyNumberFormat="1" applyFont="1" applyBorder="1" applyAlignment="1">
      <alignment wrapText="1"/>
    </xf>
    <xf numFmtId="44" fontId="5" fillId="0" borderId="4" xfId="1" applyFont="1" applyFill="1" applyBorder="1" applyAlignment="1">
      <alignment horizontal="center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6" fontId="0" fillId="0" borderId="0" xfId="0" applyNumberFormat="1"/>
    <xf numFmtId="0" fontId="21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 indent="1"/>
    </xf>
    <xf numFmtId="0" fontId="21" fillId="6" borderId="10" xfId="0" applyFont="1" applyFill="1" applyBorder="1" applyAlignment="1">
      <alignment vertical="center" wrapText="1"/>
    </xf>
    <xf numFmtId="0" fontId="20" fillId="3" borderId="3" xfId="0" applyFont="1" applyFill="1" applyBorder="1" applyAlignment="1">
      <alignment vertical="center" wrapText="1"/>
    </xf>
    <xf numFmtId="0" fontId="4" fillId="3" borderId="4" xfId="0" applyFont="1" applyFill="1" applyBorder="1"/>
    <xf numFmtId="4" fontId="5" fillId="3" borderId="1" xfId="0" applyNumberFormat="1" applyFont="1" applyFill="1" applyBorder="1"/>
    <xf numFmtId="49" fontId="5" fillId="3" borderId="2" xfId="0" applyNumberFormat="1" applyFont="1" applyFill="1" applyBorder="1" applyAlignment="1">
      <alignment vertical="center"/>
    </xf>
    <xf numFmtId="49" fontId="19" fillId="3" borderId="7" xfId="0" applyNumberFormat="1" applyFont="1" applyFill="1" applyBorder="1" applyAlignment="1">
      <alignment vertical="center"/>
    </xf>
    <xf numFmtId="0" fontId="23" fillId="3" borderId="10" xfId="0" applyFont="1" applyFill="1" applyBorder="1" applyAlignment="1">
      <alignment vertical="center" wrapText="1"/>
    </xf>
    <xf numFmtId="49" fontId="5" fillId="0" borderId="2" xfId="0" applyNumberFormat="1" applyFont="1" applyBorder="1" applyAlignment="1">
      <alignment vertical="center"/>
    </xf>
    <xf numFmtId="49" fontId="19" fillId="0" borderId="7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3" borderId="9" xfId="0" applyFont="1" applyFill="1" applyBorder="1"/>
    <xf numFmtId="0" fontId="21" fillId="3" borderId="2" xfId="0" applyFont="1" applyFill="1" applyBorder="1" applyAlignment="1">
      <alignment horizontal="left"/>
    </xf>
    <xf numFmtId="0" fontId="23" fillId="3" borderId="7" xfId="0" applyFont="1" applyFill="1" applyBorder="1" applyAlignment="1">
      <alignment horizontal="left"/>
    </xf>
    <xf numFmtId="0" fontId="20" fillId="3" borderId="3" xfId="0" applyFont="1" applyFill="1" applyBorder="1"/>
    <xf numFmtId="0" fontId="5" fillId="0" borderId="7" xfId="0" applyFont="1" applyBorder="1" applyAlignment="1">
      <alignment horizontal="left" vertical="center" wrapText="1"/>
    </xf>
    <xf numFmtId="44" fontId="0" fillId="0" borderId="0" xfId="1" applyFont="1"/>
    <xf numFmtId="10" fontId="0" fillId="0" borderId="0" xfId="2" applyNumberFormat="1" applyFont="1"/>
    <xf numFmtId="4" fontId="0" fillId="0" borderId="0" xfId="0" applyNumberFormat="1"/>
    <xf numFmtId="3" fontId="9" fillId="5" borderId="1" xfId="0" applyNumberFormat="1" applyFont="1" applyFill="1" applyBorder="1" applyAlignment="1">
      <alignment wrapText="1"/>
    </xf>
    <xf numFmtId="4" fontId="9" fillId="5" borderId="1" xfId="0" applyNumberFormat="1" applyFont="1" applyFill="1" applyBorder="1" applyAlignment="1">
      <alignment wrapText="1"/>
    </xf>
    <xf numFmtId="0" fontId="5" fillId="6" borderId="10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center"/>
    </xf>
    <xf numFmtId="44" fontId="5" fillId="6" borderId="4" xfId="1" applyFont="1" applyFill="1" applyBorder="1" applyAlignment="1">
      <alignment horizontal="center"/>
    </xf>
    <xf numFmtId="9" fontId="21" fillId="6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/>
    <xf numFmtId="0" fontId="27" fillId="6" borderId="0" xfId="0" applyFont="1" applyFill="1" applyAlignment="1">
      <alignment vertical="top" wrapText="1"/>
    </xf>
    <xf numFmtId="4" fontId="5" fillId="6" borderId="1" xfId="0" applyNumberFormat="1" applyFont="1" applyFill="1" applyBorder="1" applyAlignment="1">
      <alignment wrapText="1"/>
    </xf>
    <xf numFmtId="0" fontId="19" fillId="6" borderId="0" xfId="0" applyFont="1" applyFill="1"/>
    <xf numFmtId="0" fontId="5" fillId="6" borderId="3" xfId="0" applyFont="1" applyFill="1" applyBorder="1" applyAlignment="1">
      <alignment vertical="center" wrapText="1"/>
    </xf>
    <xf numFmtId="44" fontId="5" fillId="6" borderId="4" xfId="1" applyFont="1" applyFill="1" applyBorder="1"/>
    <xf numFmtId="0" fontId="4" fillId="6" borderId="4" xfId="0" applyFont="1" applyFill="1" applyBorder="1"/>
    <xf numFmtId="0" fontId="27" fillId="6" borderId="0" xfId="0" applyFont="1" applyFill="1" applyAlignment="1">
      <alignment horizontal="right" vertical="top" wrapText="1"/>
    </xf>
    <xf numFmtId="4" fontId="5" fillId="6" borderId="1" xfId="0" applyNumberFormat="1" applyFont="1" applyFill="1" applyBorder="1" applyAlignment="1">
      <alignment horizontal="right" wrapText="1"/>
    </xf>
    <xf numFmtId="0" fontId="0" fillId="6" borderId="0" xfId="0" applyFill="1"/>
    <xf numFmtId="44" fontId="21" fillId="6" borderId="1" xfId="1" applyFont="1" applyFill="1" applyBorder="1" applyAlignment="1">
      <alignment horizontal="center" vertical="center"/>
    </xf>
    <xf numFmtId="0" fontId="33" fillId="0" borderId="0" xfId="0" applyFont="1" applyAlignment="1">
      <alignment horizontal="left" wrapText="1"/>
    </xf>
    <xf numFmtId="0" fontId="26" fillId="0" borderId="13" xfId="0" applyFont="1" applyBorder="1" applyAlignment="1">
      <alignment wrapText="1"/>
    </xf>
    <xf numFmtId="0" fontId="33" fillId="0" borderId="0" xfId="0" applyFont="1"/>
    <xf numFmtId="0" fontId="21" fillId="0" borderId="10" xfId="0" applyFont="1" applyBorder="1" applyAlignment="1">
      <alignment vertical="center" wrapText="1"/>
    </xf>
    <xf numFmtId="49" fontId="10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/>
    </xf>
    <xf numFmtId="10" fontId="9" fillId="4" borderId="7" xfId="0" applyNumberFormat="1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49" fontId="21" fillId="6" borderId="11" xfId="0" applyNumberFormat="1" applyFont="1" applyFill="1" applyBorder="1" applyAlignment="1">
      <alignment vertical="center"/>
    </xf>
    <xf numFmtId="49" fontId="21" fillId="0" borderId="8" xfId="0" applyNumberFormat="1" applyFont="1" applyBorder="1" applyAlignment="1">
      <alignment horizontal="center" vertical="center"/>
    </xf>
    <xf numFmtId="0" fontId="9" fillId="4" borderId="12" xfId="0" applyFont="1" applyFill="1" applyBorder="1" applyAlignment="1">
      <alignment horizontal="left" vertical="center" wrapText="1"/>
    </xf>
    <xf numFmtId="49" fontId="21" fillId="0" borderId="2" xfId="0" applyNumberFormat="1" applyFont="1" applyBorder="1" applyAlignment="1">
      <alignment horizontal="left" vertical="center"/>
    </xf>
    <xf numFmtId="49" fontId="21" fillId="6" borderId="2" xfId="0" applyNumberFormat="1" applyFont="1" applyFill="1" applyBorder="1" applyAlignment="1">
      <alignment vertical="center"/>
    </xf>
    <xf numFmtId="49" fontId="21" fillId="6" borderId="7" xfId="0" applyNumberFormat="1" applyFont="1" applyFill="1" applyBorder="1" applyAlignment="1">
      <alignment vertical="center"/>
    </xf>
    <xf numFmtId="0" fontId="26" fillId="0" borderId="13" xfId="0" applyFont="1" applyBorder="1" applyAlignment="1">
      <alignment horizontal="left" wrapText="1"/>
    </xf>
    <xf numFmtId="49" fontId="1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49" fontId="21" fillId="3" borderId="14" xfId="0" applyNumberFormat="1" applyFont="1" applyFill="1" applyBorder="1"/>
  </cellXfs>
  <cellStyles count="5">
    <cellStyle name="60% - Accent3 2" xfId="3" xr:uid="{00000000-0005-0000-0000-000000000000}"/>
    <cellStyle name="Currency" xfId="1" builtinId="4"/>
    <cellStyle name="Normal" xfId="0" builtinId="0"/>
    <cellStyle name="Normal 2" xfId="4" xr:uid="{DE5F99E7-1BE0-4208-9E79-D3A6B30D31A9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E54EB284-ECD0-4476-88A9-6209F9CEF443}" userId="Danielle Mart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2" dT="2025-05-13T20:52:22.59" personId="{E54EB284-ECD0-4476-88A9-6209F9CEF443}" id="{D52993AD-B13E-4173-AE48-AA0169ADAA66}">
    <text>specify location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C22" sqref="C22"/>
    </sheetView>
  </sheetViews>
  <sheetFormatPr defaultColWidth="8.7890625" defaultRowHeight="14.4" x14ac:dyDescent="0.55000000000000004"/>
  <cols>
    <col min="1" max="1" width="3.1015625" style="2" customWidth="1"/>
    <col min="2" max="2" width="0.7890625" style="2" customWidth="1"/>
    <col min="3" max="3" width="26.1015625" customWidth="1"/>
    <col min="4" max="4" width="16.1015625" customWidth="1"/>
    <col min="5" max="5" width="5.1015625" customWidth="1"/>
  </cols>
  <sheetData>
    <row r="1" spans="1:4" s="58" customFormat="1" ht="15.6" x14ac:dyDescent="0.6">
      <c r="A1" s="171" t="s">
        <v>0</v>
      </c>
      <c r="B1" s="171"/>
      <c r="C1" s="171"/>
      <c r="D1" s="171"/>
    </row>
    <row r="2" spans="1:4" s="58" customFormat="1" ht="15.6" x14ac:dyDescent="0.6">
      <c r="A2" s="172" t="s">
        <v>1</v>
      </c>
      <c r="B2" s="172"/>
      <c r="C2" s="172"/>
      <c r="D2" s="172"/>
    </row>
    <row r="3" spans="1:4" s="58" customFormat="1" ht="15.6" x14ac:dyDescent="0.6">
      <c r="A3" s="173" t="s">
        <v>144</v>
      </c>
      <c r="B3" s="173"/>
      <c r="C3" s="173"/>
      <c r="D3" s="173"/>
    </row>
    <row r="4" spans="1:4" s="58" customFormat="1" ht="15.6" x14ac:dyDescent="0.6">
      <c r="A4" s="172" t="s">
        <v>145</v>
      </c>
      <c r="B4" s="172"/>
      <c r="C4" s="172"/>
      <c r="D4" s="172"/>
    </row>
    <row r="5" spans="1:4" ht="3.75" customHeight="1" x14ac:dyDescent="0.55000000000000004"/>
    <row r="6" spans="1:4" s="58" customFormat="1" ht="15" customHeight="1" x14ac:dyDescent="0.6">
      <c r="A6" s="174" t="s">
        <v>2</v>
      </c>
      <c r="B6" s="174"/>
      <c r="C6" s="174"/>
      <c r="D6" s="174" t="s">
        <v>3</v>
      </c>
    </row>
    <row r="7" spans="1:4" s="58" customFormat="1" ht="15.6" x14ac:dyDescent="0.6">
      <c r="A7" s="174"/>
      <c r="B7" s="174"/>
      <c r="C7" s="174"/>
      <c r="D7" s="175"/>
    </row>
    <row r="8" spans="1:4" s="12" customFormat="1" x14ac:dyDescent="0.55000000000000004">
      <c r="A8" s="13" t="s">
        <v>4</v>
      </c>
      <c r="B8" s="41"/>
      <c r="C8" s="11" t="s">
        <v>5</v>
      </c>
      <c r="D8" s="60">
        <f>'3. Detailed Budget'!H16</f>
        <v>0</v>
      </c>
    </row>
    <row r="9" spans="1:4" s="12" customFormat="1" x14ac:dyDescent="0.55000000000000004">
      <c r="A9" s="27" t="s">
        <v>6</v>
      </c>
      <c r="B9" s="42"/>
      <c r="C9" s="28" t="s">
        <v>7</v>
      </c>
      <c r="D9" s="60">
        <f>'3. Detailed Budget'!H20</f>
        <v>0</v>
      </c>
    </row>
    <row r="10" spans="1:4" ht="15.75" customHeight="1" x14ac:dyDescent="0.55000000000000004">
      <c r="A10" s="27" t="s">
        <v>8</v>
      </c>
      <c r="B10" s="42"/>
      <c r="C10" s="28" t="s">
        <v>9</v>
      </c>
      <c r="D10" s="60">
        <f>'3. Detailed Budget'!H31</f>
        <v>0</v>
      </c>
    </row>
    <row r="11" spans="1:4" ht="17.25" customHeight="1" x14ac:dyDescent="0.55000000000000004">
      <c r="A11" s="27" t="s">
        <v>10</v>
      </c>
      <c r="B11" s="42"/>
      <c r="C11" s="28" t="s">
        <v>11</v>
      </c>
      <c r="D11" s="60">
        <f>'3. Detailed Budget'!H32</f>
        <v>0</v>
      </c>
    </row>
    <row r="12" spans="1:4" x14ac:dyDescent="0.55000000000000004">
      <c r="A12" s="27" t="s">
        <v>12</v>
      </c>
      <c r="B12" s="42"/>
      <c r="C12" s="28" t="s">
        <v>13</v>
      </c>
      <c r="D12" s="60">
        <f>'3. Detailed Budget'!H35</f>
        <v>0</v>
      </c>
    </row>
    <row r="13" spans="1:4" x14ac:dyDescent="0.55000000000000004">
      <c r="A13" s="38" t="s">
        <v>14</v>
      </c>
      <c r="B13" s="43"/>
      <c r="C13" s="34" t="s">
        <v>15</v>
      </c>
      <c r="D13" s="60">
        <f>'3. Detailed Budget'!H40</f>
        <v>0</v>
      </c>
    </row>
    <row r="14" spans="1:4" ht="16.5" customHeight="1" x14ac:dyDescent="0.55000000000000004">
      <c r="A14" s="13" t="s">
        <v>16</v>
      </c>
      <c r="B14" s="44"/>
      <c r="C14" s="11" t="s">
        <v>17</v>
      </c>
      <c r="D14" s="60">
        <f>'3. Detailed Budget'!H41</f>
        <v>0</v>
      </c>
    </row>
    <row r="15" spans="1:4" x14ac:dyDescent="0.55000000000000004">
      <c r="A15" s="13" t="s">
        <v>18</v>
      </c>
      <c r="B15" s="44"/>
      <c r="C15" s="11" t="s">
        <v>19</v>
      </c>
      <c r="D15" s="60">
        <f>'3. Detailed Budget'!H62</f>
        <v>0</v>
      </c>
    </row>
    <row r="16" spans="1:4" x14ac:dyDescent="0.55000000000000004">
      <c r="A16" s="13" t="s">
        <v>20</v>
      </c>
      <c r="B16" s="44"/>
      <c r="C16" s="59" t="s">
        <v>21</v>
      </c>
      <c r="D16" s="60">
        <f>SUM(D8:D15)</f>
        <v>0</v>
      </c>
    </row>
    <row r="17" spans="1:4" x14ac:dyDescent="0.55000000000000004">
      <c r="A17" s="38" t="s">
        <v>22</v>
      </c>
      <c r="B17" s="43"/>
      <c r="C17" s="34" t="s">
        <v>23</v>
      </c>
      <c r="D17" s="60">
        <f>'3. Detailed Budget'!H64</f>
        <v>0</v>
      </c>
    </row>
    <row r="18" spans="1:4" s="58" customFormat="1" ht="15.6" x14ac:dyDescent="0.6">
      <c r="A18" s="56" t="s">
        <v>24</v>
      </c>
      <c r="B18" s="57"/>
      <c r="C18" s="49" t="s">
        <v>25</v>
      </c>
      <c r="D18" s="90">
        <f>SUM(D16:D17)</f>
        <v>0</v>
      </c>
    </row>
    <row r="19" spans="1:4" s="58" customFormat="1" ht="15.6" x14ac:dyDescent="0.6">
      <c r="A19" s="56" t="s">
        <v>26</v>
      </c>
      <c r="B19" s="57"/>
      <c r="C19" s="49" t="s">
        <v>27</v>
      </c>
      <c r="D19" s="90">
        <f>'3. Detailed Budget'!J65</f>
        <v>0</v>
      </c>
    </row>
    <row r="20" spans="1:4" ht="12" customHeight="1" x14ac:dyDescent="0.55000000000000004"/>
    <row r="21" spans="1:4" ht="15.6" x14ac:dyDescent="0.6">
      <c r="A21" s="61" t="s">
        <v>28</v>
      </c>
    </row>
  </sheetData>
  <mergeCells count="6">
    <mergeCell ref="A1:D1"/>
    <mergeCell ref="A2:D2"/>
    <mergeCell ref="A3:D3"/>
    <mergeCell ref="A4:D4"/>
    <mergeCell ref="A6:C7"/>
    <mergeCell ref="D6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3CC7-3860-F848-A257-B89DFF24EE2F}">
  <sheetPr>
    <pageSetUpPr fitToPage="1"/>
  </sheetPr>
  <dimension ref="A1:O77"/>
  <sheetViews>
    <sheetView tabSelected="1" zoomScaleNormal="100" workbookViewId="0">
      <selection activeCell="A62" sqref="A62:C62"/>
    </sheetView>
  </sheetViews>
  <sheetFormatPr defaultColWidth="8.7890625" defaultRowHeight="14.4" x14ac:dyDescent="0.55000000000000004"/>
  <cols>
    <col min="1" max="1" width="6.3125" style="106" customWidth="1"/>
    <col min="2" max="2" width="1.1015625" style="2" customWidth="1"/>
    <col min="3" max="3" width="39.1015625" customWidth="1"/>
    <col min="4" max="4" width="9.7890625" bestFit="1" customWidth="1"/>
    <col min="5" max="5" width="7.1015625" customWidth="1"/>
    <col min="6" max="6" width="11.1015625" bestFit="1" customWidth="1"/>
    <col min="7" max="7" width="11.9453125" bestFit="1" customWidth="1"/>
    <col min="8" max="8" width="19.7890625" customWidth="1"/>
    <col min="9" max="9" width="0.7890625" customWidth="1"/>
    <col min="10" max="10" width="14" customWidth="1"/>
    <col min="11" max="11" width="0.7890625" customWidth="1"/>
    <col min="12" max="12" width="13.1015625" customWidth="1"/>
    <col min="13" max="13" width="30.41796875" customWidth="1"/>
    <col min="14" max="14" width="31" customWidth="1"/>
  </cols>
  <sheetData>
    <row r="1" spans="1:15" x14ac:dyDescent="0.55000000000000004">
      <c r="A1" s="190" t="s">
        <v>29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spans="1:15" x14ac:dyDescent="0.55000000000000004">
      <c r="A2" s="191" t="s">
        <v>142</v>
      </c>
      <c r="B2" s="191"/>
      <c r="C2" s="191"/>
      <c r="D2" s="191"/>
      <c r="E2" s="191"/>
      <c r="F2" s="191" t="s">
        <v>30</v>
      </c>
      <c r="G2" s="191"/>
      <c r="H2" s="191"/>
      <c r="I2" s="191"/>
      <c r="J2" s="191"/>
      <c r="K2" s="191"/>
      <c r="L2" s="191"/>
    </row>
    <row r="3" spans="1:15" x14ac:dyDescent="0.55000000000000004">
      <c r="A3" s="191" t="s">
        <v>143</v>
      </c>
      <c r="B3" s="191"/>
      <c r="C3" s="191"/>
      <c r="D3" s="191"/>
      <c r="E3" s="191"/>
      <c r="F3" s="191" t="s">
        <v>31</v>
      </c>
      <c r="G3" s="191"/>
      <c r="H3" s="191"/>
      <c r="I3" s="191"/>
      <c r="J3" s="191"/>
      <c r="K3" s="191"/>
      <c r="L3" s="191"/>
    </row>
    <row r="4" spans="1:15" ht="15.6" x14ac:dyDescent="0.6">
      <c r="A4" s="106" t="s">
        <v>32</v>
      </c>
      <c r="H4" s="123"/>
      <c r="J4" s="123"/>
      <c r="K4" s="123"/>
      <c r="L4" s="123"/>
    </row>
    <row r="5" spans="1:15" ht="15" customHeight="1" x14ac:dyDescent="0.55000000000000004">
      <c r="A5" s="178" t="s">
        <v>2</v>
      </c>
      <c r="B5" s="178"/>
      <c r="C5" s="178"/>
      <c r="D5" s="192" t="s">
        <v>33</v>
      </c>
      <c r="E5" s="192"/>
      <c r="F5" s="192"/>
      <c r="G5" s="192"/>
      <c r="H5" s="193" t="s">
        <v>3</v>
      </c>
      <c r="I5" s="119"/>
      <c r="J5" s="194" t="s">
        <v>34</v>
      </c>
      <c r="K5" s="54"/>
      <c r="L5" s="194" t="s">
        <v>35</v>
      </c>
    </row>
    <row r="6" spans="1:15" x14ac:dyDescent="0.55000000000000004">
      <c r="A6" s="178"/>
      <c r="B6" s="178"/>
      <c r="C6" s="178"/>
      <c r="D6" s="55" t="s">
        <v>36</v>
      </c>
      <c r="E6" s="55" t="s">
        <v>37</v>
      </c>
      <c r="F6" s="55" t="s">
        <v>38</v>
      </c>
      <c r="G6" s="55" t="s">
        <v>39</v>
      </c>
      <c r="H6" s="193"/>
      <c r="I6" s="119"/>
      <c r="J6" s="194"/>
      <c r="K6" s="54"/>
      <c r="L6" s="194"/>
    </row>
    <row r="7" spans="1:15" s="12" customFormat="1" ht="42.75" customHeight="1" x14ac:dyDescent="0.55000000000000004">
      <c r="A7" s="98" t="s">
        <v>4</v>
      </c>
      <c r="B7" s="41"/>
      <c r="C7" s="11" t="s">
        <v>5</v>
      </c>
      <c r="D7" s="3" t="s">
        <v>40</v>
      </c>
      <c r="E7" s="3"/>
      <c r="F7" s="3" t="s">
        <v>41</v>
      </c>
      <c r="G7" s="113" t="s">
        <v>42</v>
      </c>
      <c r="H7" s="21"/>
      <c r="I7" s="114"/>
      <c r="J7" s="50"/>
      <c r="L7" s="50"/>
    </row>
    <row r="8" spans="1:15" s="84" customFormat="1" ht="12.9" x14ac:dyDescent="0.5">
      <c r="A8" s="195" t="s">
        <v>43</v>
      </c>
      <c r="B8" s="195"/>
      <c r="C8" s="65" t="s">
        <v>44</v>
      </c>
      <c r="D8" s="4"/>
      <c r="E8" s="4"/>
      <c r="F8" s="4"/>
      <c r="G8" s="4"/>
      <c r="H8" s="22"/>
      <c r="I8" s="115"/>
      <c r="J8" s="121"/>
      <c r="L8" s="16"/>
    </row>
    <row r="9" spans="1:15" s="84" customFormat="1" ht="13.05" customHeight="1" x14ac:dyDescent="0.5">
      <c r="A9" s="184" t="s">
        <v>45</v>
      </c>
      <c r="B9" s="184"/>
      <c r="C9" s="130" t="s">
        <v>155</v>
      </c>
      <c r="D9" s="67" t="s">
        <v>46</v>
      </c>
      <c r="E9" s="67">
        <v>1</v>
      </c>
      <c r="F9" s="92">
        <v>0</v>
      </c>
      <c r="G9" s="93">
        <v>1</v>
      </c>
      <c r="H9" s="19">
        <f xml:space="preserve"> ROUND((E9*F9)*G9,0)</f>
        <v>0</v>
      </c>
      <c r="I9" s="116"/>
      <c r="J9" s="19">
        <v>0</v>
      </c>
      <c r="L9" s="19">
        <f t="shared" ref="L9:L15" si="0">H9+J9</f>
        <v>0</v>
      </c>
      <c r="M9" s="189"/>
      <c r="N9" s="189"/>
      <c r="O9" s="189"/>
    </row>
    <row r="10" spans="1:15" s="84" customFormat="1" ht="12.9" customHeight="1" x14ac:dyDescent="0.5">
      <c r="A10" s="184" t="s">
        <v>47</v>
      </c>
      <c r="B10" s="184"/>
      <c r="C10" s="130" t="s">
        <v>48</v>
      </c>
      <c r="D10" s="67" t="s">
        <v>46</v>
      </c>
      <c r="E10" s="67">
        <v>1</v>
      </c>
      <c r="F10" s="92">
        <v>0</v>
      </c>
      <c r="G10" s="93">
        <v>1</v>
      </c>
      <c r="H10" s="19">
        <f t="shared" ref="H10:H15" si="1" xml:space="preserve"> ROUND((E10*F10)*G10,0)</f>
        <v>0</v>
      </c>
      <c r="I10" s="120"/>
      <c r="J10" s="19">
        <v>0</v>
      </c>
      <c r="L10" s="19">
        <f t="shared" si="0"/>
        <v>0</v>
      </c>
      <c r="M10" s="189"/>
      <c r="N10" s="189"/>
      <c r="O10" s="189"/>
    </row>
    <row r="11" spans="1:15" s="84" customFormat="1" ht="12.9" x14ac:dyDescent="0.5">
      <c r="A11" s="184" t="s">
        <v>49</v>
      </c>
      <c r="B11" s="184"/>
      <c r="C11" s="130" t="s">
        <v>50</v>
      </c>
      <c r="D11" s="67" t="s">
        <v>46</v>
      </c>
      <c r="E11" s="67">
        <v>1</v>
      </c>
      <c r="F11" s="92">
        <v>0</v>
      </c>
      <c r="G11" s="93">
        <v>1</v>
      </c>
      <c r="H11" s="19">
        <f t="shared" si="1"/>
        <v>0</v>
      </c>
      <c r="I11" s="120"/>
      <c r="J11" s="125">
        <v>0</v>
      </c>
      <c r="L11" s="19">
        <f t="shared" si="0"/>
        <v>0</v>
      </c>
      <c r="M11" s="168"/>
      <c r="N11" s="167"/>
      <c r="O11" s="168"/>
    </row>
    <row r="12" spans="1:15" s="84" customFormat="1" ht="12.9" customHeight="1" x14ac:dyDescent="0.5">
      <c r="A12" s="184" t="s">
        <v>51</v>
      </c>
      <c r="B12" s="184"/>
      <c r="C12" s="130" t="s">
        <v>52</v>
      </c>
      <c r="D12" s="67" t="s">
        <v>46</v>
      </c>
      <c r="E12" s="67">
        <v>1</v>
      </c>
      <c r="F12" s="92">
        <v>0</v>
      </c>
      <c r="G12" s="93">
        <v>1</v>
      </c>
      <c r="H12" s="19">
        <f t="shared" ref="H12" si="2" xml:space="preserve"> ROUND((E12*F12)*G12,0)</f>
        <v>0</v>
      </c>
      <c r="I12" s="120"/>
      <c r="J12" s="19">
        <v>0</v>
      </c>
      <c r="L12" s="19">
        <f>H12+J12</f>
        <v>0</v>
      </c>
      <c r="M12" s="124"/>
      <c r="N12" s="124"/>
      <c r="O12" s="124"/>
    </row>
    <row r="13" spans="1:15" s="84" customFormat="1" ht="12.9" x14ac:dyDescent="0.5">
      <c r="A13" s="195" t="s">
        <v>151</v>
      </c>
      <c r="B13" s="195"/>
      <c r="C13" s="65" t="s">
        <v>152</v>
      </c>
      <c r="D13" s="4"/>
      <c r="E13" s="4"/>
      <c r="F13" s="4"/>
      <c r="G13" s="4"/>
      <c r="H13" s="22"/>
      <c r="I13" s="115"/>
      <c r="J13" s="121"/>
      <c r="L13" s="16"/>
    </row>
    <row r="14" spans="1:15" s="84" customFormat="1" ht="12.9" customHeight="1" x14ac:dyDescent="0.5">
      <c r="A14" s="184" t="s">
        <v>153</v>
      </c>
      <c r="B14" s="184"/>
      <c r="C14" s="75" t="s">
        <v>156</v>
      </c>
      <c r="D14" s="67" t="s">
        <v>46</v>
      </c>
      <c r="E14" s="67">
        <v>1</v>
      </c>
      <c r="F14" s="92">
        <v>0</v>
      </c>
      <c r="G14" s="93">
        <v>1</v>
      </c>
      <c r="H14" s="19">
        <f t="shared" si="1"/>
        <v>0</v>
      </c>
      <c r="I14" s="120"/>
      <c r="J14" s="19">
        <v>0</v>
      </c>
      <c r="L14" s="19">
        <f>H14+J14</f>
        <v>0</v>
      </c>
      <c r="M14" s="124"/>
      <c r="N14" s="124"/>
      <c r="O14" s="124"/>
    </row>
    <row r="15" spans="1:15" s="84" customFormat="1" ht="12.9" customHeight="1" x14ac:dyDescent="0.5">
      <c r="A15" s="184" t="s">
        <v>154</v>
      </c>
      <c r="B15" s="184"/>
      <c r="C15" s="130" t="s">
        <v>53</v>
      </c>
      <c r="D15" s="67" t="s">
        <v>46</v>
      </c>
      <c r="E15" s="67">
        <v>1</v>
      </c>
      <c r="F15" s="92">
        <v>0</v>
      </c>
      <c r="G15" s="93">
        <v>1</v>
      </c>
      <c r="H15" s="19">
        <f t="shared" si="1"/>
        <v>0</v>
      </c>
      <c r="I15" s="120"/>
      <c r="J15" s="125">
        <v>0</v>
      </c>
      <c r="L15" s="19">
        <f t="shared" si="0"/>
        <v>0</v>
      </c>
      <c r="M15" s="124"/>
      <c r="N15" s="167"/>
      <c r="O15" s="124"/>
    </row>
    <row r="16" spans="1:15" s="84" customFormat="1" ht="12.9" x14ac:dyDescent="0.5">
      <c r="A16" s="179" t="s">
        <v>54</v>
      </c>
      <c r="B16" s="179"/>
      <c r="C16" s="179"/>
      <c r="D16" s="109"/>
      <c r="E16" s="110"/>
      <c r="F16" s="111"/>
      <c r="G16" s="109"/>
      <c r="H16" s="112">
        <f>SUM(H9:H15)</f>
        <v>0</v>
      </c>
      <c r="I16" s="117"/>
      <c r="J16" s="52">
        <f>SUM(J9:J15)</f>
        <v>0</v>
      </c>
      <c r="K16" s="86"/>
      <c r="L16" s="52">
        <f>H16+J16</f>
        <v>0</v>
      </c>
    </row>
    <row r="17" spans="1:14" x14ac:dyDescent="0.55000000000000004">
      <c r="A17" s="98" t="s">
        <v>6</v>
      </c>
      <c r="B17" s="44"/>
      <c r="C17" s="11" t="s">
        <v>7</v>
      </c>
      <c r="D17" s="3"/>
      <c r="E17" s="3"/>
      <c r="F17" s="17"/>
      <c r="G17" s="3"/>
      <c r="H17" s="25"/>
      <c r="I17" s="116"/>
      <c r="J17" s="51"/>
      <c r="L17" s="51"/>
    </row>
    <row r="18" spans="1:14" s="84" customFormat="1" ht="15" customHeight="1" x14ac:dyDescent="0.5">
      <c r="A18" s="186" t="s">
        <v>55</v>
      </c>
      <c r="B18" s="186"/>
      <c r="C18" s="69" t="s">
        <v>56</v>
      </c>
      <c r="D18" s="5"/>
      <c r="E18" s="6"/>
      <c r="F18" s="14"/>
      <c r="G18" s="78">
        <v>0.23469999999999999</v>
      </c>
      <c r="H18" s="23">
        <f>ROUND((SUM(H9:H12))*G18,0)</f>
        <v>0</v>
      </c>
      <c r="I18" s="116"/>
      <c r="J18" s="15">
        <v>0</v>
      </c>
      <c r="L18" s="15">
        <f t="shared" ref="L18" si="3">H18+J18</f>
        <v>0</v>
      </c>
    </row>
    <row r="19" spans="1:14" s="84" customFormat="1" ht="15" customHeight="1" x14ac:dyDescent="0.5">
      <c r="A19" s="186" t="s">
        <v>146</v>
      </c>
      <c r="B19" s="186"/>
      <c r="C19" s="69" t="s">
        <v>147</v>
      </c>
      <c r="D19" s="5"/>
      <c r="E19" s="6"/>
      <c r="F19" s="14"/>
      <c r="G19" s="78">
        <v>0</v>
      </c>
      <c r="H19" s="23">
        <f>ROUND((SUM(H14:H15))*G19,0)</f>
        <v>0</v>
      </c>
      <c r="I19" s="116"/>
      <c r="J19" s="15">
        <f>ROUND(J16*G19,0)</f>
        <v>0</v>
      </c>
      <c r="L19" s="15">
        <f t="shared" ref="L19" si="4">H19+J19</f>
        <v>0</v>
      </c>
    </row>
    <row r="20" spans="1:14" s="84" customFormat="1" ht="12.9" x14ac:dyDescent="0.5">
      <c r="A20" s="177" t="s">
        <v>57</v>
      </c>
      <c r="B20" s="177"/>
      <c r="C20" s="177"/>
      <c r="D20" s="7"/>
      <c r="E20" s="8"/>
      <c r="F20" s="29"/>
      <c r="G20" s="7"/>
      <c r="H20" s="30">
        <f>SUM(H18:H19)</f>
        <v>0</v>
      </c>
      <c r="I20" s="117"/>
      <c r="J20" s="30">
        <f>SUM(J18:J19)</f>
        <v>0</v>
      </c>
      <c r="K20" s="86"/>
      <c r="L20" s="30">
        <f>SUM(L18:L19)</f>
        <v>0</v>
      </c>
    </row>
    <row r="21" spans="1:14" ht="21" x14ac:dyDescent="0.55000000000000004">
      <c r="A21" s="98" t="s">
        <v>8</v>
      </c>
      <c r="B21" s="44"/>
      <c r="C21" s="11" t="s">
        <v>9</v>
      </c>
      <c r="D21" s="3" t="s">
        <v>58</v>
      </c>
      <c r="E21" s="3" t="s">
        <v>59</v>
      </c>
      <c r="F21" s="17" t="s">
        <v>60</v>
      </c>
      <c r="G21" s="3"/>
      <c r="H21" s="25"/>
      <c r="I21" s="116"/>
      <c r="J21" s="51"/>
      <c r="L21" s="51"/>
    </row>
    <row r="22" spans="1:14" s="84" customFormat="1" ht="12.9" x14ac:dyDescent="0.5">
      <c r="A22" s="99" t="s">
        <v>61</v>
      </c>
      <c r="B22" s="70"/>
      <c r="C22" s="87" t="s">
        <v>62</v>
      </c>
      <c r="D22" s="9"/>
      <c r="E22" s="10"/>
      <c r="F22" s="18"/>
      <c r="G22" s="9"/>
      <c r="H22" s="26"/>
      <c r="I22" s="117"/>
      <c r="J22" s="24"/>
      <c r="L22" s="24"/>
    </row>
    <row r="23" spans="1:14" s="84" customFormat="1" ht="12.9" x14ac:dyDescent="0.5">
      <c r="A23" s="100" t="s">
        <v>63</v>
      </c>
      <c r="B23" s="94"/>
      <c r="C23" s="71" t="s">
        <v>64</v>
      </c>
      <c r="D23" s="91">
        <v>1</v>
      </c>
      <c r="E23" s="91">
        <v>1</v>
      </c>
      <c r="F23" s="79">
        <v>0</v>
      </c>
      <c r="G23" s="1"/>
      <c r="H23" s="23">
        <f>D23*16*F23</f>
        <v>0</v>
      </c>
      <c r="I23" s="117"/>
      <c r="J23" s="23">
        <f>F23*17*D23</f>
        <v>0</v>
      </c>
      <c r="L23" s="15">
        <f t="shared" ref="L23:L30" si="5">H23+J23</f>
        <v>0</v>
      </c>
      <c r="N23" s="169"/>
    </row>
    <row r="24" spans="1:14" s="84" customFormat="1" ht="12.9" x14ac:dyDescent="0.5">
      <c r="A24" s="101" t="s">
        <v>65</v>
      </c>
      <c r="B24" s="66"/>
      <c r="C24" s="72" t="s">
        <v>66</v>
      </c>
      <c r="D24" s="91">
        <v>1</v>
      </c>
      <c r="E24" s="91">
        <v>2</v>
      </c>
      <c r="F24" s="79">
        <v>0</v>
      </c>
      <c r="G24" s="1"/>
      <c r="H24" s="23">
        <f>D24*67*F24</f>
        <v>0</v>
      </c>
      <c r="I24" s="117"/>
      <c r="J24" s="23">
        <f>F24*67*D24</f>
        <v>0</v>
      </c>
      <c r="L24" s="15">
        <f t="shared" si="5"/>
        <v>0</v>
      </c>
    </row>
    <row r="25" spans="1:14" s="84" customFormat="1" ht="12.9" x14ac:dyDescent="0.5">
      <c r="A25" s="102" t="s">
        <v>67</v>
      </c>
      <c r="B25" s="73"/>
      <c r="C25" s="74" t="s">
        <v>68</v>
      </c>
      <c r="D25" s="91">
        <v>1</v>
      </c>
      <c r="E25" s="91">
        <f>E24</f>
        <v>2</v>
      </c>
      <c r="F25" s="79">
        <v>0</v>
      </c>
      <c r="G25" s="1"/>
      <c r="H25" s="23">
        <f>D25*67*F25</f>
        <v>0</v>
      </c>
      <c r="I25" s="117"/>
      <c r="J25" s="23">
        <f>F25*67*D25</f>
        <v>0</v>
      </c>
      <c r="L25" s="15">
        <f>H25+J25</f>
        <v>0</v>
      </c>
    </row>
    <row r="26" spans="1:14" s="84" customFormat="1" ht="12.9" x14ac:dyDescent="0.5">
      <c r="A26" s="103" t="s">
        <v>69</v>
      </c>
      <c r="B26" s="83"/>
      <c r="C26" s="75" t="s">
        <v>70</v>
      </c>
      <c r="D26" s="91">
        <v>1</v>
      </c>
      <c r="E26" s="91">
        <f>E24</f>
        <v>2</v>
      </c>
      <c r="F26" s="79">
        <v>0</v>
      </c>
      <c r="G26" s="1"/>
      <c r="H26" s="23">
        <f>D26*67*F26</f>
        <v>0</v>
      </c>
      <c r="I26" s="117"/>
      <c r="J26" s="23">
        <f>F26*67*D26</f>
        <v>0</v>
      </c>
      <c r="L26" s="15">
        <f t="shared" si="5"/>
        <v>0</v>
      </c>
    </row>
    <row r="27" spans="1:14" s="84" customFormat="1" ht="12.9" x14ac:dyDescent="0.5">
      <c r="A27" s="103" t="s">
        <v>71</v>
      </c>
      <c r="B27" s="83"/>
      <c r="C27" s="75" t="s">
        <v>72</v>
      </c>
      <c r="D27" s="91">
        <v>1</v>
      </c>
      <c r="E27" s="91">
        <v>1</v>
      </c>
      <c r="F27" s="79">
        <v>0</v>
      </c>
      <c r="G27" s="1"/>
      <c r="H27" s="23">
        <f>D27*18*F27</f>
        <v>0</v>
      </c>
      <c r="I27" s="117"/>
      <c r="J27" s="23">
        <f>F27*14*D27</f>
        <v>0</v>
      </c>
      <c r="L27" s="15">
        <f t="shared" si="5"/>
        <v>0</v>
      </c>
    </row>
    <row r="28" spans="1:14" s="84" customFormat="1" ht="12.9" x14ac:dyDescent="0.5">
      <c r="A28" s="103" t="s">
        <v>73</v>
      </c>
      <c r="B28" s="83"/>
      <c r="C28" s="75" t="s">
        <v>74</v>
      </c>
      <c r="D28" s="91">
        <v>1</v>
      </c>
      <c r="E28" s="91">
        <v>2</v>
      </c>
      <c r="F28" s="79">
        <v>0</v>
      </c>
      <c r="G28" s="1"/>
      <c r="H28" s="23">
        <f>D28*80*F28</f>
        <v>0</v>
      </c>
      <c r="I28" s="117"/>
      <c r="J28" s="23">
        <f>F28*53*D28</f>
        <v>0</v>
      </c>
      <c r="L28" s="15">
        <f t="shared" si="5"/>
        <v>0</v>
      </c>
    </row>
    <row r="29" spans="1:14" s="84" customFormat="1" ht="12.9" x14ac:dyDescent="0.5">
      <c r="A29" s="103" t="s">
        <v>75</v>
      </c>
      <c r="B29" s="83"/>
      <c r="C29" s="75" t="s">
        <v>76</v>
      </c>
      <c r="D29" s="91">
        <v>1</v>
      </c>
      <c r="E29" s="91">
        <f>E28</f>
        <v>2</v>
      </c>
      <c r="F29" s="79">
        <v>0</v>
      </c>
      <c r="G29" s="1"/>
      <c r="H29" s="23">
        <f t="shared" ref="H29:H30" si="6">D29*80*F29</f>
        <v>0</v>
      </c>
      <c r="I29" s="117"/>
      <c r="J29" s="23">
        <f t="shared" ref="J29:J30" si="7">F29*53*D29</f>
        <v>0</v>
      </c>
      <c r="L29" s="15">
        <f t="shared" si="5"/>
        <v>0</v>
      </c>
    </row>
    <row r="30" spans="1:14" s="84" customFormat="1" ht="12.9" x14ac:dyDescent="0.5">
      <c r="A30" s="103" t="s">
        <v>77</v>
      </c>
      <c r="B30" s="83"/>
      <c r="C30" s="74" t="s">
        <v>78</v>
      </c>
      <c r="D30" s="91">
        <v>1</v>
      </c>
      <c r="E30" s="91">
        <f>E28</f>
        <v>2</v>
      </c>
      <c r="F30" s="79">
        <v>0</v>
      </c>
      <c r="G30" s="1"/>
      <c r="H30" s="23">
        <f t="shared" si="6"/>
        <v>0</v>
      </c>
      <c r="I30" s="117"/>
      <c r="J30" s="23">
        <f t="shared" si="7"/>
        <v>0</v>
      </c>
      <c r="L30" s="15">
        <f t="shared" si="5"/>
        <v>0</v>
      </c>
    </row>
    <row r="31" spans="1:14" x14ac:dyDescent="0.55000000000000004">
      <c r="A31" s="177" t="s">
        <v>79</v>
      </c>
      <c r="B31" s="177"/>
      <c r="C31" s="177"/>
      <c r="D31" s="31"/>
      <c r="E31" s="31"/>
      <c r="F31" s="32"/>
      <c r="G31" s="31"/>
      <c r="H31" s="33">
        <f>SUM(H23:H30)</f>
        <v>0</v>
      </c>
      <c r="I31" s="117"/>
      <c r="J31" s="52">
        <f>SUM(J23:J30)</f>
        <v>0</v>
      </c>
      <c r="K31" s="53"/>
      <c r="L31" s="52">
        <f>H31+J31</f>
        <v>0</v>
      </c>
    </row>
    <row r="32" spans="1:14" x14ac:dyDescent="0.55000000000000004">
      <c r="A32" s="104" t="s">
        <v>10</v>
      </c>
      <c r="B32" s="43"/>
      <c r="C32" s="34" t="s">
        <v>80</v>
      </c>
      <c r="D32" s="3" t="s">
        <v>81</v>
      </c>
      <c r="E32" s="35" t="s">
        <v>82</v>
      </c>
      <c r="F32" s="36" t="s">
        <v>83</v>
      </c>
      <c r="G32" s="35"/>
      <c r="H32" s="37"/>
      <c r="I32" s="116"/>
      <c r="J32" s="51"/>
      <c r="L32" s="51"/>
    </row>
    <row r="33" spans="1:13" x14ac:dyDescent="0.55000000000000004">
      <c r="A33" s="98" t="s">
        <v>12</v>
      </c>
      <c r="B33" s="44"/>
      <c r="C33" s="11" t="s">
        <v>84</v>
      </c>
      <c r="D33" s="3" t="s">
        <v>81</v>
      </c>
      <c r="E33" s="3" t="s">
        <v>82</v>
      </c>
      <c r="F33" s="17" t="s">
        <v>83</v>
      </c>
      <c r="G33" s="3"/>
      <c r="H33" s="25"/>
      <c r="I33" s="116"/>
      <c r="J33" s="51"/>
      <c r="L33" s="51"/>
    </row>
    <row r="34" spans="1:13" x14ac:dyDescent="0.55000000000000004">
      <c r="A34" s="101" t="s">
        <v>85</v>
      </c>
      <c r="B34" s="66"/>
      <c r="C34" s="77" t="s">
        <v>148</v>
      </c>
      <c r="D34" s="80" t="s">
        <v>81</v>
      </c>
      <c r="E34" s="80">
        <v>1</v>
      </c>
      <c r="F34" s="108">
        <v>0</v>
      </c>
      <c r="G34" s="40"/>
      <c r="H34" s="20">
        <f>E34*F34</f>
        <v>0</v>
      </c>
      <c r="I34" s="118"/>
      <c r="J34" s="19"/>
      <c r="L34" s="19">
        <f t="shared" ref="L34" si="8">H34+J34</f>
        <v>0</v>
      </c>
    </row>
    <row r="35" spans="1:13" x14ac:dyDescent="0.55000000000000004">
      <c r="A35" s="177" t="s">
        <v>86</v>
      </c>
      <c r="B35" s="177"/>
      <c r="C35" s="177"/>
      <c r="D35" s="31"/>
      <c r="E35" s="31"/>
      <c r="F35" s="32"/>
      <c r="G35" s="31"/>
      <c r="H35" s="33">
        <f>H34</f>
        <v>0</v>
      </c>
      <c r="I35" s="117"/>
      <c r="J35" s="52">
        <f>J34</f>
        <v>0</v>
      </c>
      <c r="K35" s="53"/>
      <c r="L35" s="52">
        <f>H35+J35</f>
        <v>0</v>
      </c>
    </row>
    <row r="36" spans="1:13" x14ac:dyDescent="0.55000000000000004">
      <c r="A36" s="98" t="s">
        <v>14</v>
      </c>
      <c r="B36" s="44"/>
      <c r="C36" s="185" t="s">
        <v>87</v>
      </c>
      <c r="D36" s="185"/>
      <c r="E36" s="185"/>
      <c r="F36" s="185"/>
      <c r="G36" s="35"/>
      <c r="H36" s="37"/>
      <c r="I36" s="116"/>
      <c r="J36" s="51"/>
      <c r="L36" s="51"/>
    </row>
    <row r="37" spans="1:13" s="84" customFormat="1" ht="12.9" x14ac:dyDescent="0.5">
      <c r="A37" s="143" t="s">
        <v>88</v>
      </c>
      <c r="B37" s="144"/>
      <c r="C37" s="145" t="s">
        <v>90</v>
      </c>
      <c r="D37" s="142"/>
      <c r="E37" s="82"/>
      <c r="F37" s="85"/>
      <c r="G37" s="64"/>
      <c r="H37" s="39"/>
      <c r="I37" s="116"/>
      <c r="J37" s="16"/>
      <c r="L37" s="16"/>
    </row>
    <row r="38" spans="1:13" s="159" customFormat="1" ht="12.9" x14ac:dyDescent="0.5">
      <c r="A38" s="183" t="s">
        <v>89</v>
      </c>
      <c r="B38" s="183"/>
      <c r="C38" s="152" t="s">
        <v>149</v>
      </c>
      <c r="D38" s="153" t="s">
        <v>46</v>
      </c>
      <c r="E38" s="153">
        <v>1</v>
      </c>
      <c r="F38" s="154">
        <v>0</v>
      </c>
      <c r="G38" s="155"/>
      <c r="H38" s="156">
        <f>F38*E38</f>
        <v>0</v>
      </c>
      <c r="I38" s="157"/>
      <c r="J38" s="158">
        <v>0</v>
      </c>
      <c r="L38" s="158">
        <f t="shared" ref="L38" si="9">H38+J38</f>
        <v>0</v>
      </c>
    </row>
    <row r="39" spans="1:13" s="84" customFormat="1" ht="14.4" customHeight="1" x14ac:dyDescent="0.5">
      <c r="A39" s="187" t="s">
        <v>141</v>
      </c>
      <c r="B39" s="188"/>
      <c r="C39" s="131" t="s">
        <v>150</v>
      </c>
      <c r="D39" s="80" t="s">
        <v>46</v>
      </c>
      <c r="E39" s="80">
        <v>1</v>
      </c>
      <c r="F39" s="126">
        <v>0</v>
      </c>
      <c r="G39" s="76"/>
      <c r="H39" s="20">
        <v>0</v>
      </c>
      <c r="I39" s="116"/>
      <c r="J39" s="20">
        <v>0</v>
      </c>
      <c r="L39" s="15">
        <f t="shared" ref="L39" si="10">H39+J39</f>
        <v>0</v>
      </c>
    </row>
    <row r="40" spans="1:13" s="84" customFormat="1" ht="12.9" x14ac:dyDescent="0.5">
      <c r="A40" s="180" t="s">
        <v>91</v>
      </c>
      <c r="B40" s="176"/>
      <c r="C40" s="176"/>
      <c r="D40" s="31"/>
      <c r="E40" s="31"/>
      <c r="F40" s="32"/>
      <c r="G40" s="31"/>
      <c r="H40" s="33">
        <f>SUM(H37:H39)</f>
        <v>0</v>
      </c>
      <c r="I40" s="116"/>
      <c r="J40" s="16">
        <f>SUM(J37:J39)</f>
        <v>0</v>
      </c>
      <c r="L40" s="16">
        <f>H40+J40</f>
        <v>0</v>
      </c>
    </row>
    <row r="41" spans="1:13" x14ac:dyDescent="0.55000000000000004">
      <c r="A41" s="104" t="s">
        <v>16</v>
      </c>
      <c r="B41" s="43"/>
      <c r="C41" s="34" t="s">
        <v>17</v>
      </c>
      <c r="D41" s="35"/>
      <c r="E41" s="35"/>
      <c r="F41" s="36"/>
      <c r="G41" s="35"/>
      <c r="H41" s="37"/>
      <c r="I41" s="116"/>
      <c r="J41" s="51"/>
      <c r="L41" s="51"/>
    </row>
    <row r="42" spans="1:13" x14ac:dyDescent="0.55000000000000004">
      <c r="A42" s="98" t="s">
        <v>18</v>
      </c>
      <c r="B42" s="44"/>
      <c r="C42" s="11" t="s">
        <v>19</v>
      </c>
      <c r="D42" s="3"/>
      <c r="E42" s="3"/>
      <c r="F42" s="17"/>
      <c r="G42" s="3"/>
      <c r="H42" s="25"/>
      <c r="I42" s="116"/>
      <c r="J42" s="51"/>
      <c r="L42" s="51"/>
    </row>
    <row r="43" spans="1:13" x14ac:dyDescent="0.55000000000000004">
      <c r="A43" s="101" t="s">
        <v>92</v>
      </c>
      <c r="B43" s="66"/>
      <c r="C43" s="77" t="s">
        <v>93</v>
      </c>
      <c r="D43" s="80" t="s">
        <v>94</v>
      </c>
      <c r="E43" s="80">
        <v>1</v>
      </c>
      <c r="F43" s="108">
        <v>0</v>
      </c>
      <c r="G43" s="40"/>
      <c r="H43" s="156">
        <f t="shared" ref="H43:H45" si="11">E43*F43</f>
        <v>0</v>
      </c>
      <c r="I43" s="118"/>
      <c r="J43" s="19">
        <v>0</v>
      </c>
      <c r="L43" s="19">
        <f t="shared" ref="L43:L64" si="12">H43+J43</f>
        <v>0</v>
      </c>
      <c r="M43" s="149"/>
    </row>
    <row r="44" spans="1:13" x14ac:dyDescent="0.55000000000000004">
      <c r="A44" s="101" t="s">
        <v>95</v>
      </c>
      <c r="B44" s="66"/>
      <c r="C44" s="77" t="s">
        <v>96</v>
      </c>
      <c r="D44" s="80" t="s">
        <v>94</v>
      </c>
      <c r="E44" s="80">
        <v>1</v>
      </c>
      <c r="F44" s="108">
        <v>0</v>
      </c>
      <c r="G44" s="40"/>
      <c r="H44" s="156">
        <f t="shared" si="11"/>
        <v>0</v>
      </c>
      <c r="I44" s="118"/>
      <c r="J44" s="19">
        <v>0</v>
      </c>
      <c r="L44" s="19">
        <f t="shared" ref="L44" si="13">H44+J44</f>
        <v>0</v>
      </c>
    </row>
    <row r="45" spans="1:13" x14ac:dyDescent="0.55000000000000004">
      <c r="A45" s="101" t="s">
        <v>97</v>
      </c>
      <c r="B45" s="66"/>
      <c r="C45" s="77" t="s">
        <v>98</v>
      </c>
      <c r="D45" s="80" t="s">
        <v>99</v>
      </c>
      <c r="E45" s="80">
        <v>1</v>
      </c>
      <c r="F45" s="108">
        <v>0</v>
      </c>
      <c r="G45" s="40"/>
      <c r="H45" s="156">
        <f t="shared" si="11"/>
        <v>0</v>
      </c>
      <c r="I45" s="118"/>
      <c r="J45" s="20">
        <v>0</v>
      </c>
      <c r="L45" s="19">
        <f t="shared" ref="L45" si="14">H45+J45</f>
        <v>0</v>
      </c>
    </row>
    <row r="46" spans="1:13" s="165" customFormat="1" x14ac:dyDescent="0.55000000000000004">
      <c r="A46" s="101" t="s">
        <v>100</v>
      </c>
      <c r="B46" s="66"/>
      <c r="C46" s="160" t="s">
        <v>101</v>
      </c>
      <c r="D46" s="153" t="s">
        <v>46</v>
      </c>
      <c r="E46" s="80">
        <v>1</v>
      </c>
      <c r="F46" s="161">
        <v>0</v>
      </c>
      <c r="G46" s="162"/>
      <c r="H46" s="156">
        <f t="shared" ref="H46:H54" si="15">E46*F46</f>
        <v>0</v>
      </c>
      <c r="I46" s="163"/>
      <c r="J46" s="164">
        <v>0</v>
      </c>
      <c r="L46" s="164">
        <f t="shared" si="12"/>
        <v>0</v>
      </c>
    </row>
    <row r="47" spans="1:13" x14ac:dyDescent="0.55000000000000004">
      <c r="A47" s="101" t="s">
        <v>102</v>
      </c>
      <c r="B47" s="66"/>
      <c r="C47" s="77" t="s">
        <v>103</v>
      </c>
      <c r="D47" s="80" t="s">
        <v>46</v>
      </c>
      <c r="E47" s="80">
        <v>1</v>
      </c>
      <c r="F47" s="108">
        <v>0</v>
      </c>
      <c r="G47" s="40"/>
      <c r="H47" s="156">
        <f t="shared" si="15"/>
        <v>0</v>
      </c>
      <c r="I47" s="118"/>
      <c r="J47" s="19">
        <v>0</v>
      </c>
      <c r="L47" s="19">
        <f>H47+J47</f>
        <v>0</v>
      </c>
    </row>
    <row r="48" spans="1:13" x14ac:dyDescent="0.55000000000000004">
      <c r="A48" s="101" t="s">
        <v>104</v>
      </c>
      <c r="B48" s="66"/>
      <c r="C48" s="77" t="s">
        <v>105</v>
      </c>
      <c r="D48" s="80" t="s">
        <v>106</v>
      </c>
      <c r="E48" s="80">
        <v>1</v>
      </c>
      <c r="F48" s="108">
        <v>0</v>
      </c>
      <c r="G48" s="40"/>
      <c r="H48" s="156">
        <f t="shared" si="15"/>
        <v>0</v>
      </c>
      <c r="I48" s="118"/>
      <c r="J48" s="19">
        <v>0</v>
      </c>
      <c r="L48" s="19">
        <f t="shared" si="12"/>
        <v>0</v>
      </c>
    </row>
    <row r="49" spans="1:14" x14ac:dyDescent="0.55000000000000004">
      <c r="A49" s="101" t="s">
        <v>107</v>
      </c>
      <c r="B49" s="66"/>
      <c r="C49" s="77" t="s">
        <v>108</v>
      </c>
      <c r="D49" s="80" t="s">
        <v>109</v>
      </c>
      <c r="E49" s="80">
        <v>1</v>
      </c>
      <c r="F49" s="81">
        <v>0</v>
      </c>
      <c r="G49" s="40"/>
      <c r="H49" s="156">
        <f t="shared" si="15"/>
        <v>0</v>
      </c>
      <c r="I49" s="118"/>
      <c r="J49" s="19">
        <v>0</v>
      </c>
      <c r="L49" s="19">
        <f t="shared" si="12"/>
        <v>0</v>
      </c>
    </row>
    <row r="50" spans="1:14" x14ac:dyDescent="0.55000000000000004">
      <c r="A50" s="136" t="s">
        <v>110</v>
      </c>
      <c r="B50" s="137"/>
      <c r="C50" s="133" t="s">
        <v>157</v>
      </c>
      <c r="D50" s="82"/>
      <c r="E50" s="82"/>
      <c r="F50" s="85"/>
      <c r="G50" s="134"/>
      <c r="H50" s="135"/>
      <c r="I50" s="118"/>
      <c r="J50" s="24"/>
      <c r="L50" s="24"/>
    </row>
    <row r="51" spans="1:14" x14ac:dyDescent="0.55000000000000004">
      <c r="A51" s="101" t="s">
        <v>111</v>
      </c>
      <c r="B51" s="66"/>
      <c r="C51" s="132" t="s">
        <v>112</v>
      </c>
      <c r="D51" s="80" t="s">
        <v>113</v>
      </c>
      <c r="E51" s="80">
        <v>1</v>
      </c>
      <c r="F51" s="81">
        <v>0</v>
      </c>
      <c r="G51" s="40"/>
      <c r="H51" s="156">
        <f t="shared" si="15"/>
        <v>0</v>
      </c>
      <c r="I51" s="118"/>
      <c r="J51" s="19">
        <v>0</v>
      </c>
      <c r="L51" s="19">
        <f>H51+J51</f>
        <v>0</v>
      </c>
    </row>
    <row r="52" spans="1:14" x14ac:dyDescent="0.55000000000000004">
      <c r="A52" s="101" t="s">
        <v>114</v>
      </c>
      <c r="B52" s="66"/>
      <c r="C52" s="132" t="s">
        <v>115</v>
      </c>
      <c r="D52" s="80" t="s">
        <v>116</v>
      </c>
      <c r="E52" s="80">
        <v>1</v>
      </c>
      <c r="F52" s="81">
        <v>0</v>
      </c>
      <c r="G52" s="40"/>
      <c r="H52" s="156">
        <f t="shared" si="15"/>
        <v>0</v>
      </c>
      <c r="I52" s="118"/>
      <c r="J52" s="19">
        <v>0</v>
      </c>
      <c r="L52" s="19">
        <f>H52+J52</f>
        <v>0</v>
      </c>
    </row>
    <row r="53" spans="1:14" x14ac:dyDescent="0.55000000000000004">
      <c r="A53" s="139" t="s">
        <v>117</v>
      </c>
      <c r="B53" s="140"/>
      <c r="C53" s="170" t="s">
        <v>118</v>
      </c>
      <c r="D53" s="80" t="s">
        <v>119</v>
      </c>
      <c r="E53" s="80">
        <v>1</v>
      </c>
      <c r="F53" s="108">
        <v>0</v>
      </c>
      <c r="G53" s="40"/>
      <c r="H53" s="156">
        <f t="shared" si="15"/>
        <v>0</v>
      </c>
      <c r="I53" s="118"/>
      <c r="J53" s="19">
        <v>0</v>
      </c>
      <c r="L53" s="19">
        <f>H53+J53</f>
        <v>0</v>
      </c>
      <c r="M53" s="68"/>
      <c r="N53" s="169"/>
    </row>
    <row r="54" spans="1:14" x14ac:dyDescent="0.55000000000000004">
      <c r="A54" s="101" t="s">
        <v>120</v>
      </c>
      <c r="B54" s="66"/>
      <c r="C54" s="132" t="s">
        <v>121</v>
      </c>
      <c r="D54" s="80" t="s">
        <v>94</v>
      </c>
      <c r="E54" s="80">
        <v>1</v>
      </c>
      <c r="F54" s="81">
        <v>0</v>
      </c>
      <c r="G54" s="40"/>
      <c r="H54" s="156">
        <f t="shared" si="15"/>
        <v>0</v>
      </c>
      <c r="I54" s="118"/>
      <c r="J54" s="19">
        <v>0</v>
      </c>
      <c r="L54" s="19">
        <f>H54+J54</f>
        <v>0</v>
      </c>
    </row>
    <row r="55" spans="1:14" x14ac:dyDescent="0.55000000000000004">
      <c r="A55" s="136" t="s">
        <v>122</v>
      </c>
      <c r="B55" s="137"/>
      <c r="C55" s="138" t="s">
        <v>123</v>
      </c>
      <c r="D55" s="82"/>
      <c r="E55" s="82"/>
      <c r="F55" s="85"/>
      <c r="G55" s="134"/>
      <c r="H55" s="135"/>
      <c r="I55" s="118"/>
      <c r="J55" s="24"/>
      <c r="L55" s="24"/>
    </row>
    <row r="56" spans="1:14" s="165" customFormat="1" x14ac:dyDescent="0.55000000000000004">
      <c r="A56" s="101" t="s">
        <v>124</v>
      </c>
      <c r="B56" s="66"/>
      <c r="C56" s="160" t="s">
        <v>125</v>
      </c>
      <c r="D56" s="153" t="s">
        <v>116</v>
      </c>
      <c r="E56" s="153">
        <v>1</v>
      </c>
      <c r="F56" s="166">
        <v>0</v>
      </c>
      <c r="G56" s="155"/>
      <c r="H56" s="156">
        <f t="shared" ref="H56:H57" si="16">E56*F56</f>
        <v>0</v>
      </c>
      <c r="I56" s="163"/>
      <c r="J56" s="164">
        <v>0</v>
      </c>
      <c r="L56" s="164">
        <f t="shared" ref="L56" si="17">H56+J56</f>
        <v>0</v>
      </c>
    </row>
    <row r="57" spans="1:14" s="165" customFormat="1" x14ac:dyDescent="0.55000000000000004">
      <c r="A57" s="101" t="s">
        <v>126</v>
      </c>
      <c r="B57" s="66"/>
      <c r="C57" s="160" t="s">
        <v>127</v>
      </c>
      <c r="D57" s="153" t="s">
        <v>116</v>
      </c>
      <c r="E57" s="153">
        <v>1</v>
      </c>
      <c r="F57" s="166">
        <v>0</v>
      </c>
      <c r="G57" s="155"/>
      <c r="H57" s="156">
        <f t="shared" si="16"/>
        <v>0</v>
      </c>
      <c r="I57" s="163"/>
      <c r="J57" s="164">
        <v>0</v>
      </c>
      <c r="L57" s="164">
        <f t="shared" si="12"/>
        <v>0</v>
      </c>
    </row>
    <row r="58" spans="1:14" x14ac:dyDescent="0.55000000000000004">
      <c r="A58" s="136" t="s">
        <v>128</v>
      </c>
      <c r="B58" s="137"/>
      <c r="C58" s="133" t="s">
        <v>129</v>
      </c>
      <c r="D58" s="82"/>
      <c r="E58" s="82"/>
      <c r="F58" s="85"/>
      <c r="G58" s="134"/>
      <c r="H58" s="135"/>
      <c r="I58" s="118"/>
      <c r="J58" s="24"/>
      <c r="L58" s="24"/>
    </row>
    <row r="59" spans="1:14" x14ac:dyDescent="0.55000000000000004">
      <c r="A59" s="139" t="s">
        <v>130</v>
      </c>
      <c r="B59" s="140"/>
      <c r="C59" s="141" t="s">
        <v>131</v>
      </c>
      <c r="D59" s="80" t="s">
        <v>132</v>
      </c>
      <c r="E59" s="80">
        <v>1</v>
      </c>
      <c r="F59" s="126">
        <v>0</v>
      </c>
      <c r="G59" s="76"/>
      <c r="H59" s="156">
        <f t="shared" ref="H59:H61" si="18">E59*F59</f>
        <v>0</v>
      </c>
      <c r="I59" s="116"/>
      <c r="J59" s="20">
        <v>0</v>
      </c>
      <c r="K59" s="84"/>
      <c r="L59" s="15">
        <f t="shared" ref="L59" si="19">H59+J59</f>
        <v>0</v>
      </c>
    </row>
    <row r="60" spans="1:14" x14ac:dyDescent="0.55000000000000004">
      <c r="A60" s="139" t="s">
        <v>133</v>
      </c>
      <c r="B60" s="140"/>
      <c r="C60" s="141" t="s">
        <v>134</v>
      </c>
      <c r="D60" s="80" t="s">
        <v>132</v>
      </c>
      <c r="E60" s="80">
        <v>1</v>
      </c>
      <c r="F60" s="126">
        <v>0</v>
      </c>
      <c r="G60" s="76"/>
      <c r="H60" s="156">
        <f t="shared" si="18"/>
        <v>0</v>
      </c>
      <c r="I60" s="116"/>
      <c r="J60" s="20">
        <v>0</v>
      </c>
      <c r="K60" s="84"/>
      <c r="L60" s="15">
        <f t="shared" ref="L60" si="20">H60+J60</f>
        <v>0</v>
      </c>
    </row>
    <row r="61" spans="1:14" x14ac:dyDescent="0.55000000000000004">
      <c r="A61" s="139" t="s">
        <v>135</v>
      </c>
      <c r="B61" s="66"/>
      <c r="C61" s="146" t="s">
        <v>136</v>
      </c>
      <c r="D61" s="80" t="s">
        <v>137</v>
      </c>
      <c r="E61" s="80">
        <v>1</v>
      </c>
      <c r="F61" s="126">
        <v>0</v>
      </c>
      <c r="G61" s="76"/>
      <c r="H61" s="156">
        <f t="shared" si="18"/>
        <v>0</v>
      </c>
      <c r="I61" s="116"/>
      <c r="J61" s="20">
        <v>0</v>
      </c>
      <c r="K61" s="84"/>
      <c r="L61" s="15">
        <f t="shared" ref="L61" si="21">H61+J61</f>
        <v>0</v>
      </c>
    </row>
    <row r="62" spans="1:14" x14ac:dyDescent="0.55000000000000004">
      <c r="A62" s="180" t="s">
        <v>138</v>
      </c>
      <c r="B62" s="176"/>
      <c r="C62" s="176"/>
      <c r="D62" s="31"/>
      <c r="E62" s="31"/>
      <c r="F62" s="32"/>
      <c r="G62" s="31"/>
      <c r="H62" s="33">
        <f>SUM(H43:H61)</f>
        <v>0</v>
      </c>
      <c r="I62" s="116"/>
      <c r="J62" s="16">
        <f>SUM(J43:J61)</f>
        <v>0</v>
      </c>
      <c r="L62" s="16">
        <f>H62+J62</f>
        <v>0</v>
      </c>
    </row>
    <row r="63" spans="1:14" x14ac:dyDescent="0.55000000000000004">
      <c r="A63" s="98" t="s">
        <v>20</v>
      </c>
      <c r="B63" s="44"/>
      <c r="C63" s="11" t="s">
        <v>139</v>
      </c>
      <c r="D63" s="3"/>
      <c r="E63" s="3"/>
      <c r="F63" s="17"/>
      <c r="G63" s="3"/>
      <c r="H63" s="62">
        <f>H16+H20+H31+H40+H62+H35</f>
        <v>0</v>
      </c>
      <c r="I63" s="116"/>
      <c r="J63" s="62">
        <f>J16+J20+J31+J40+J62+J35</f>
        <v>0</v>
      </c>
      <c r="L63" s="51">
        <f>H63+J63</f>
        <v>0</v>
      </c>
    </row>
    <row r="64" spans="1:14" x14ac:dyDescent="0.55000000000000004">
      <c r="A64" s="98" t="s">
        <v>22</v>
      </c>
      <c r="B64" s="44"/>
      <c r="C64" s="11" t="s">
        <v>140</v>
      </c>
      <c r="D64" s="181">
        <v>0.2828</v>
      </c>
      <c r="E64" s="182"/>
      <c r="F64" s="182"/>
      <c r="G64" s="182"/>
      <c r="H64" s="62">
        <f>ROUNDDOWN(H63*D64,0)</f>
        <v>0</v>
      </c>
      <c r="I64" s="116"/>
      <c r="J64" s="63">
        <v>0</v>
      </c>
      <c r="L64" s="63">
        <f t="shared" si="12"/>
        <v>0</v>
      </c>
    </row>
    <row r="65" spans="1:12" ht="15" x14ac:dyDescent="0.55000000000000004">
      <c r="A65" s="105" t="s">
        <v>24</v>
      </c>
      <c r="B65" s="45"/>
      <c r="C65" s="49" t="s">
        <v>25</v>
      </c>
      <c r="D65" s="48"/>
      <c r="E65" s="46"/>
      <c r="F65" s="47"/>
      <c r="G65" s="46"/>
      <c r="H65" s="89">
        <f>SUM(H63:H64)</f>
        <v>0</v>
      </c>
      <c r="I65" s="116"/>
      <c r="J65" s="151">
        <f>SUM(J63:J64)</f>
        <v>0</v>
      </c>
      <c r="L65" s="150">
        <f>H65+J65</f>
        <v>0</v>
      </c>
    </row>
    <row r="66" spans="1:12" x14ac:dyDescent="0.55000000000000004">
      <c r="H66" s="129"/>
    </row>
    <row r="67" spans="1:12" x14ac:dyDescent="0.55000000000000004">
      <c r="G67" s="107"/>
      <c r="H67" s="95"/>
      <c r="J67" s="148"/>
      <c r="L67" s="122"/>
    </row>
    <row r="68" spans="1:12" x14ac:dyDescent="0.55000000000000004">
      <c r="E68" s="96"/>
      <c r="H68" s="147"/>
      <c r="I68" s="147"/>
      <c r="J68" s="147"/>
      <c r="K68" s="147"/>
      <c r="L68" s="147"/>
    </row>
    <row r="69" spans="1:12" x14ac:dyDescent="0.55000000000000004">
      <c r="G69" s="107"/>
      <c r="H69" s="97"/>
      <c r="J69" s="97"/>
      <c r="L69" s="122"/>
    </row>
    <row r="70" spans="1:12" x14ac:dyDescent="0.55000000000000004">
      <c r="D70" s="68"/>
      <c r="F70" s="68"/>
      <c r="G70" s="68"/>
      <c r="H70" s="88"/>
    </row>
    <row r="71" spans="1:12" x14ac:dyDescent="0.55000000000000004">
      <c r="C71" s="53"/>
      <c r="F71" s="68"/>
      <c r="J71" s="147"/>
    </row>
    <row r="72" spans="1:12" x14ac:dyDescent="0.55000000000000004">
      <c r="C72" s="127"/>
      <c r="D72" s="129"/>
      <c r="F72" s="68"/>
      <c r="J72" s="96"/>
    </row>
    <row r="73" spans="1:12" x14ac:dyDescent="0.55000000000000004">
      <c r="C73" s="128"/>
      <c r="D73" s="129"/>
      <c r="F73" s="68"/>
    </row>
    <row r="74" spans="1:12" x14ac:dyDescent="0.55000000000000004">
      <c r="C74" s="128"/>
      <c r="D74" s="129"/>
      <c r="F74" s="68"/>
    </row>
    <row r="75" spans="1:12" x14ac:dyDescent="0.55000000000000004">
      <c r="C75" s="127"/>
      <c r="D75" s="129"/>
    </row>
    <row r="77" spans="1:12" x14ac:dyDescent="0.55000000000000004">
      <c r="C77" s="128"/>
      <c r="D77" s="129"/>
    </row>
  </sheetData>
  <mergeCells count="30">
    <mergeCell ref="M10:O10"/>
    <mergeCell ref="A11:B11"/>
    <mergeCell ref="A14:B14"/>
    <mergeCell ref="A15:B15"/>
    <mergeCell ref="A10:B10"/>
    <mergeCell ref="A13:B13"/>
    <mergeCell ref="A12:B12"/>
    <mergeCell ref="M9:O9"/>
    <mergeCell ref="A1:L1"/>
    <mergeCell ref="A2:L2"/>
    <mergeCell ref="A3:L3"/>
    <mergeCell ref="A5:C6"/>
    <mergeCell ref="D5:G5"/>
    <mergeCell ref="H5:H6"/>
    <mergeCell ref="L5:L6"/>
    <mergeCell ref="J5:J6"/>
    <mergeCell ref="A8:B8"/>
    <mergeCell ref="A9:B9"/>
    <mergeCell ref="A62:C62"/>
    <mergeCell ref="D64:G64"/>
    <mergeCell ref="A38:B38"/>
    <mergeCell ref="C36:F36"/>
    <mergeCell ref="A19:B19"/>
    <mergeCell ref="A20:C20"/>
    <mergeCell ref="A31:C31"/>
    <mergeCell ref="A16:C16"/>
    <mergeCell ref="A35:C35"/>
    <mergeCell ref="A40:C40"/>
    <mergeCell ref="A39:B39"/>
    <mergeCell ref="A18:B18"/>
  </mergeCells>
  <phoneticPr fontId="32" type="noConversion"/>
  <pageMargins left="0.25" right="0.25" top="0.25" bottom="0.25" header="0.05" footer="0.05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D21908-DF9B-4102-8CAC-C94BBB4CA8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2CB4A5-6471-4614-A4A9-58048118009D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dc808d36-874f-4b27-aec2-2fd649817929"/>
    <ds:schemaRef ds:uri="ca6f1b8b-2efb-4515-a316-20593799dcdd"/>
    <ds:schemaRef ds:uri="f8135ccf-0908-4d8c-8b6a-2ec449ff78ed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BA6DC1D0-E5AA-452D-9D04-476A270E6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2. Summary Budget</vt:lpstr>
      <vt:lpstr>3. Detailed Budget</vt:lpstr>
      <vt:lpstr>'2. Summary Budget'!Print_Area</vt:lpstr>
      <vt:lpstr>'3.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dcterms:created xsi:type="dcterms:W3CDTF">2011-04-25T16:36:39Z</dcterms:created>
  <dcterms:modified xsi:type="dcterms:W3CDTF">2025-05-13T20:58:13Z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4387000</vt:r8>
  </property>
  <property fmtid="{D5CDD505-2E9C-101B-9397-08002B2CF9AE}" pid="4" name="MediaServiceImageTags">
    <vt:lpwstr/>
  </property>
</Properties>
</file>