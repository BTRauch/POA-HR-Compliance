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External/EDH/FY25 FFPr Bids/FFPr Colombia/07. Budget/Subs/"/>
    </mc:Choice>
  </mc:AlternateContent>
  <xr:revisionPtr revIDLastSave="42" documentId="13_ncr:1_{C579C4E1-F344-42AB-ACC7-E63AB266E22E}" xr6:coauthVersionLast="47" xr6:coauthVersionMax="47" xr10:uidLastSave="{F1FE4ACD-D3F2-43C5-921D-A104D0F4BD5D}"/>
  <bookViews>
    <workbookView xWindow="-96" yWindow="-96" windowWidth="23232" windowHeight="12552" xr2:uid="{39EEAAA1-5053-45B5-9CC8-79A3AA52EE68}"/>
  </bookViews>
  <sheets>
    <sheet name="Activity X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>#REF!</definedName>
    <definedName name="\P">#REF!</definedName>
    <definedName name="\S">#REF!</definedName>
    <definedName name="_" hidden="1">[1]IPA!#REF!</definedName>
    <definedName name="__" hidden="1">[2]IPA!#REF!</definedName>
    <definedName name="___" hidden="1">[1]IPA!#REF!</definedName>
    <definedName name="_______sho1">'[3]Detailed Budget-SAVE'!#REF!</definedName>
    <definedName name="__1_0__123Grap" localSheetId="0" hidden="1">#REF!</definedName>
    <definedName name="__1_0__123Grap" hidden="1">#REF!</definedName>
    <definedName name="__123Graph_A" hidden="1">[2]IPA!#REF!</definedName>
    <definedName name="__123Graph_B" hidden="1">[2]IPA!#REF!</definedName>
    <definedName name="__123Graph_C" hidden="1">[2]IPA!#REF!</definedName>
    <definedName name="__2DAI_1">#N/A</definedName>
    <definedName name="__3FEE">#N/A</definedName>
    <definedName name="__AFP1">#N/A</definedName>
    <definedName name="__AFP2">#N/A</definedName>
    <definedName name="__AFP3">#N/A</definedName>
    <definedName name="__AFP4">#N/A</definedName>
    <definedName name="__AMP1">#N/A</definedName>
    <definedName name="__AMP2">#N/A</definedName>
    <definedName name="__AMP3">#N/A</definedName>
    <definedName name="__AMP4">#N/A</definedName>
    <definedName name="__B" hidden="1">[2]IPA!#REF!</definedName>
    <definedName name="__C" hidden="1">[2]IPA!#REF!</definedName>
    <definedName name="__DAI4">#N/A</definedName>
    <definedName name="__EES1">#N/A</definedName>
    <definedName name="__EES2">#N/A</definedName>
    <definedName name="__EES3">#N/A</definedName>
    <definedName name="__EES4">#N/A</definedName>
    <definedName name="__EXT1">#N/A</definedName>
    <definedName name="__EXT2">#N/A</definedName>
    <definedName name="__EXT3">#N/A</definedName>
    <definedName name="__EXT4">#N/A</definedName>
    <definedName name="__FCP1">#N/A</definedName>
    <definedName name="__FCP2">#N/A</definedName>
    <definedName name="__FCP3">#N/A</definedName>
    <definedName name="__FCP4">#N/A</definedName>
    <definedName name="__FRI1">#N/A</definedName>
    <definedName name="__FRI4">#N/A</definedName>
    <definedName name="__HRA1">#N/A</definedName>
    <definedName name="__HRA2">#N/A</definedName>
    <definedName name="__HRA3">#N/A</definedName>
    <definedName name="__HRA4">#N/A</definedName>
    <definedName name="__inf1">#REF!</definedName>
    <definedName name="__KEY2" localSheetId="0" hidden="1">#REF!</definedName>
    <definedName name="__KEY2" hidden="1">#REF!</definedName>
    <definedName name="__LT4">[4]Parameters!$B$40</definedName>
    <definedName name="__ODC1">#N/A</definedName>
    <definedName name="__ODC2">#N/A</definedName>
    <definedName name="__POL1">#N/A</definedName>
    <definedName name="__POL2">#N/A</definedName>
    <definedName name="__POL3">#N/A</definedName>
    <definedName name="__POL4">#N/A</definedName>
    <definedName name="__TOT1">#N/A</definedName>
    <definedName name="__TOT2">#N/A</definedName>
    <definedName name="__TRV1">#N/A</definedName>
    <definedName name="__TRV2">#N/A</definedName>
    <definedName name="_060">#REF!</definedName>
    <definedName name="_1_0__123Grap" localSheetId="0" hidden="1">#REF!</definedName>
    <definedName name="_1_0__123Grap" hidden="1">#REF!</definedName>
    <definedName name="_1_1">#REF!</definedName>
    <definedName name="_13th_and_14th_month">[5]Parameters!$D$62</definedName>
    <definedName name="_2__123Graph_ACHART_3" hidden="1">[6]Rates!$C$3:$P$3</definedName>
    <definedName name="_2_0__123Grap" hidden="1">#REF!</definedName>
    <definedName name="_2_1034">#REF!</definedName>
    <definedName name="_2DAI_1">#N/A</definedName>
    <definedName name="_3_0__123Grap" hidden="1">#REF!</definedName>
    <definedName name="_3_1440">#REF!</definedName>
    <definedName name="_3FEE">#N/A</definedName>
    <definedName name="_4__123Graph_BCHART_3" hidden="1">[6]Rates!$C$4:$P$4</definedName>
    <definedName name="_4_0__123Grap" hidden="1">#REF!</definedName>
    <definedName name="_4_2">#REF!</definedName>
    <definedName name="_5_3">#REF!</definedName>
    <definedName name="_6__123Graph_XCHART_3" hidden="1">[6]Rates!$C$2:$P$2</definedName>
    <definedName name="_8_0__123Grap" hidden="1">#REF!</definedName>
    <definedName name="_AFP1">#N/A</definedName>
    <definedName name="_AFP2">#N/A</definedName>
    <definedName name="_AFP3">#N/A</definedName>
    <definedName name="_AFP4">#N/A</definedName>
    <definedName name="_AMP1">#N/A</definedName>
    <definedName name="_AMP2">#N/A</definedName>
    <definedName name="_AMP3">#N/A</definedName>
    <definedName name="_AMP4">#N/A</definedName>
    <definedName name="_DAI4">#N/A</definedName>
    <definedName name="_EES1">#N/A</definedName>
    <definedName name="_EES2">#N/A</definedName>
    <definedName name="_EES3">#N/A</definedName>
    <definedName name="_EES4">#N/A</definedName>
    <definedName name="_EXT1">#N/A</definedName>
    <definedName name="_EXT2">#N/A</definedName>
    <definedName name="_EXT3">#N/A</definedName>
    <definedName name="_EXT4">#N/A</definedName>
    <definedName name="_FCP1">#N/A</definedName>
    <definedName name="_FCP2">#N/A</definedName>
    <definedName name="_FCP3">#N/A</definedName>
    <definedName name="_FCP4">#N/A</definedName>
    <definedName name="_FRI1">#N/A</definedName>
    <definedName name="_FRI4">#N/A</definedName>
    <definedName name="_hos1">[7]Parameters!$A$433</definedName>
    <definedName name="_hos10">[7]Parameters!$A$442</definedName>
    <definedName name="_hos11">[7]Parameters!$A$443</definedName>
    <definedName name="_hos12">[7]Parameters!$A$444</definedName>
    <definedName name="_hos13">[7]Parameters!$A$445</definedName>
    <definedName name="_hos14">[7]Parameters!$A$446</definedName>
    <definedName name="_hos15">[7]Parameters!$A$447</definedName>
    <definedName name="_hos16">[7]Parameters!$A$448</definedName>
    <definedName name="_hos17">[7]Parameters!$A$449</definedName>
    <definedName name="_hos18">[7]Parameters!$A$450</definedName>
    <definedName name="_hos19">[7]Parameters!$A$451</definedName>
    <definedName name="_hos2">[7]Parameters!$A$434</definedName>
    <definedName name="_hos20">[7]Parameters!$A$452</definedName>
    <definedName name="_hos21">[7]Parameters!$A$453</definedName>
    <definedName name="_hos3">[7]Parameters!$A$435</definedName>
    <definedName name="_hos4">[7]Parameters!$A$436</definedName>
    <definedName name="_hos5">[7]Parameters!$A$437</definedName>
    <definedName name="_hos6">[7]Parameters!$A$438</definedName>
    <definedName name="_hos7">[7]Parameters!$A$439</definedName>
    <definedName name="_hos8">[7]Parameters!$A$440</definedName>
    <definedName name="_hos9">[7]Parameters!$A$441</definedName>
    <definedName name="_HRA1">#N/A</definedName>
    <definedName name="_HRA2">#N/A</definedName>
    <definedName name="_HRA3">#N/A</definedName>
    <definedName name="_HRA4">#N/A</definedName>
    <definedName name="_inf1">#REF!</definedName>
    <definedName name="_Key1" localSheetId="0" hidden="1">#REF!</definedName>
    <definedName name="_Key1" hidden="1">#REF!</definedName>
    <definedName name="_key2" hidden="1">#REF!</definedName>
    <definedName name="_ldfkjañsdl" hidden="1">'[8]sample labor calc'!#REF!</definedName>
    <definedName name="_LT4">[4]Parameters!$B$40</definedName>
    <definedName name="_no1" localSheetId="0" hidden="1">{#N/A,#N/A,FALSE,"ManLoading"}</definedName>
    <definedName name="_no1" hidden="1">{#N/A,#N/A,FALSE,"ManLoading"}</definedName>
    <definedName name="_odc1" localSheetId="0" hidden="1">{#N/A,#N/A,FALSE,"ManLoading"}</definedName>
    <definedName name="_odc1" hidden="1">{#N/A,#N/A,FALSE,"ManLoading"}</definedName>
    <definedName name="_odc2" localSheetId="0" hidden="1">{#N/A,#N/A,FALSE,"ManLoading"}</definedName>
    <definedName name="_odc2" hidden="1">{#N/A,#N/A,FALSE,"ManLoading"}</definedName>
    <definedName name="_Order1" hidden="1">255</definedName>
    <definedName name="_Order2" hidden="1">255</definedName>
    <definedName name="_POL1">#N/A</definedName>
    <definedName name="_POL2">#N/A</definedName>
    <definedName name="_POL3">#N/A</definedName>
    <definedName name="_POL4">#N/A</definedName>
    <definedName name="_sho1">'[3]Detailed Budget-SAVE'!#REF!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sub10">[7]Parameters!$H$26</definedName>
    <definedName name="_tcn1">[7]Parameters!$A$117</definedName>
    <definedName name="_tcn10">[7]Parameters!$A$126</definedName>
    <definedName name="_tcn2">[7]Parameters!$A$118</definedName>
    <definedName name="_tcn3">[7]Parameters!$A$119</definedName>
    <definedName name="_tcn4">[7]Parameters!$A$120</definedName>
    <definedName name="_tcn5">[7]Parameters!$A$121</definedName>
    <definedName name="_tcn6">[7]Parameters!$A$122</definedName>
    <definedName name="_tcn7">[7]Parameters!$A$123</definedName>
    <definedName name="_tcn8">[7]Parameters!$A$124</definedName>
    <definedName name="_tcn9">[7]Parameters!$A$125</definedName>
    <definedName name="_TOT1">#N/A</definedName>
    <definedName name="_TOT2">#N/A</definedName>
    <definedName name="_TRV1">#N/A</definedName>
    <definedName name="_TRV2">#N/A</definedName>
    <definedName name="_us1">[7]Parameters!$A$39</definedName>
    <definedName name="_us10">[7]Parameters!$A$48</definedName>
    <definedName name="_us11">[7]Parameters!$A$49</definedName>
    <definedName name="_us12">[7]Parameters!$A$50</definedName>
    <definedName name="_us13">[7]Parameters!$A$51</definedName>
    <definedName name="_us14">[7]Parameters!$A$52</definedName>
    <definedName name="_us15">[7]Parameters!$A$53</definedName>
    <definedName name="_us16">[7]Parameters!$A$54</definedName>
    <definedName name="_us17">[7]Parameters!$A$55</definedName>
    <definedName name="_us18">[7]Parameters!$A$56</definedName>
    <definedName name="_us19">[7]Parameters!$A$57</definedName>
    <definedName name="_us2">[7]Parameters!$A$40</definedName>
    <definedName name="_us20">[7]Parameters!$A$58</definedName>
    <definedName name="_us21">[7]Parameters!$A$59</definedName>
    <definedName name="_us22">[7]Parameters!$A$60</definedName>
    <definedName name="_us23">[7]Parameters!$A$61</definedName>
    <definedName name="_us24">[7]Parameters!$A$62</definedName>
    <definedName name="_us25">[7]Parameters!$A$63</definedName>
    <definedName name="_us26">[7]Parameters!$A$64</definedName>
    <definedName name="_us27">[7]Parameters!$A$65</definedName>
    <definedName name="_us28">[7]Parameters!$A$66</definedName>
    <definedName name="_us29">[7]Parameters!$A$67</definedName>
    <definedName name="_us3">[7]Parameters!$A$41</definedName>
    <definedName name="_us30">[7]Parameters!$A$68</definedName>
    <definedName name="_us31">[7]Parameters!$A$69</definedName>
    <definedName name="_us32">[7]Parameters!$A$70</definedName>
    <definedName name="_us33">[7]Parameters!$A$71</definedName>
    <definedName name="_us34">[7]Parameters!$A$72</definedName>
    <definedName name="_us35">[7]Parameters!$A$73</definedName>
    <definedName name="_us36">[7]Parameters!$A$74</definedName>
    <definedName name="_us37">[7]Parameters!$A$75</definedName>
    <definedName name="_us38">[7]Parameters!$A$76</definedName>
    <definedName name="_us39">[7]Parameters!$A$77</definedName>
    <definedName name="_us4">[7]Parameters!$A$42</definedName>
    <definedName name="_us40">[7]Parameters!$A$78</definedName>
    <definedName name="_us41">[7]Parameters!$A$79</definedName>
    <definedName name="_us42">[7]Parameters!$A$80</definedName>
    <definedName name="_us43">[7]Parameters!$A$81</definedName>
    <definedName name="_us44">[7]Parameters!$A$82</definedName>
    <definedName name="_us45">[7]Parameters!$A$83</definedName>
    <definedName name="_us46">[7]Parameters!$A$84</definedName>
    <definedName name="_us47">[7]Parameters!$A$85</definedName>
    <definedName name="_us48">[7]Parameters!$A$86</definedName>
    <definedName name="_us49">[7]Parameters!$A$87</definedName>
    <definedName name="_us5">[7]Parameters!$A$43</definedName>
    <definedName name="_us50">[7]Parameters!$A$88</definedName>
    <definedName name="_us51">[7]Parameters!$A$89</definedName>
    <definedName name="_us52">[7]Parameters!$A$90</definedName>
    <definedName name="_us53">[7]Parameters!$A$91</definedName>
    <definedName name="_us54">[7]Parameters!$A$92</definedName>
    <definedName name="_us55">[7]Parameters!$A$93</definedName>
    <definedName name="_us56">[7]Parameters!$A$94</definedName>
    <definedName name="_us57">[7]Parameters!$A$95</definedName>
    <definedName name="_us58">[7]Parameters!$A$96</definedName>
    <definedName name="_us59">[7]Parameters!$A$97</definedName>
    <definedName name="_us6">[7]Parameters!$A$44</definedName>
    <definedName name="_us60">[7]Parameters!$A$98</definedName>
    <definedName name="_us61">[7]Parameters!$A$99</definedName>
    <definedName name="_us62">[7]Parameters!$A$100</definedName>
    <definedName name="_us63">[7]Parameters!$A$101</definedName>
    <definedName name="_us64">[7]Parameters!$A$102</definedName>
    <definedName name="_us65">[7]Parameters!$A$103</definedName>
    <definedName name="_us66">[7]Parameters!$A$104</definedName>
    <definedName name="_us67">[7]Parameters!$A$105</definedName>
    <definedName name="_us68">[7]Parameters!$A$106</definedName>
    <definedName name="_us69">[7]Parameters!$A$107</definedName>
    <definedName name="_us7">[7]Parameters!$A$45</definedName>
    <definedName name="_us70">[7]Parameters!$A$108</definedName>
    <definedName name="_us71">[7]Parameters!$A$109</definedName>
    <definedName name="_us72">[7]Parameters!$A$110</definedName>
    <definedName name="_us73">[7]Parameters!$A$111</definedName>
    <definedName name="_us74">[7]Parameters!$A$112</definedName>
    <definedName name="_us75">[7]Parameters!$A$113</definedName>
    <definedName name="_us8">[7]Parameters!$A$46</definedName>
    <definedName name="_us9">[7]Parameters!$A$47</definedName>
    <definedName name="a">'[9]PO 484CR'!#REF!</definedName>
    <definedName name="Abbiz51">[10]RATES!#REF!</definedName>
    <definedName name="Abbiz52">[10]RATES!#REF!</definedName>
    <definedName name="ABT">#N/A</definedName>
    <definedName name="ACC">[11]Sheet2!$B$2:$C$496</definedName>
    <definedName name="Access_Button" hidden="1">"FIGBUS_FIGBUS_List"</definedName>
    <definedName name="AccessDatabase" hidden="1">"W:\WPFILES\GB759\EXCEL\FIGBUS.mdb"</definedName>
    <definedName name="ACT">#N/A</definedName>
    <definedName name="adf" localSheetId="0" hidden="1">{"PAGE1",#N/A,FALSE,"CPFFMSTR";"PAGE2",#N/A,FALSE,"CPFFMSTR"}</definedName>
    <definedName name="adf" hidden="1">{"PAGE1",#N/A,FALSE,"CPFFMSTR";"PAGE2",#N/A,FALSE,"CPFFMSTR"}</definedName>
    <definedName name="adfsdaf" localSheetId="0" hidden="1">{"PAGE1",#N/A,FALSE,"CPFFMSTR";"PAGE2",#N/A,FALSE,"CPFFMSTR"}</definedName>
    <definedName name="adfsdaf" hidden="1">{"PAGE1",#N/A,FALSE,"CPFFMSTR";"PAGE2",#N/A,FALSE,"CPFFMSTR"}</definedName>
    <definedName name="aer" localSheetId="0" hidden="1">{"PAGE1",#N/A,FALSE,"CPFFMSTR";"PAGE2",#N/A,FALSE,"CPFFMSTR"}</definedName>
    <definedName name="aer" hidden="1">{"PAGE1",#N/A,FALSE,"CPFFMSTR";"PAGE2",#N/A,FALSE,"CPFFMSTR"}</definedName>
    <definedName name="aer3e" localSheetId="0" hidden="1">{"PAGE1",#N/A,FALSE,"CPFFMSTR";"PAGE2",#N/A,FALSE,"CPFFMSTR"}</definedName>
    <definedName name="aer3e" hidden="1">{"PAGE1",#N/A,FALSE,"CPFFMSTR";"PAGE2",#N/A,FALSE,"CPFFMSTR"}</definedName>
    <definedName name="aere" localSheetId="0" hidden="1">{"PAGE1",#N/A,FALSE,"CPFFMSTR";"PAGE2",#N/A,FALSE,"CPFFMSTR"}</definedName>
    <definedName name="aere" hidden="1">{"PAGE1",#N/A,FALSE,"CPFFMSTR";"PAGE2",#N/A,FALSE,"CPFFMSTR"}</definedName>
    <definedName name="aesre" localSheetId="0" hidden="1">{"PAGE1",#N/A,FALSE,"CPFFMSTR";"PAGE2",#N/A,FALSE,"CPFFMSTR"}</definedName>
    <definedName name="aesre" hidden="1">{"PAGE1",#N/A,FALSE,"CPFFMSTR";"PAGE2",#N/A,FALSE,"CPFFMSTR"}</definedName>
    <definedName name="Agbiz11">[10]RATES!#REF!</definedName>
    <definedName name="Agbiz12">[10]RATES!#REF!</definedName>
    <definedName name="Agbiz13">[10]RATES!#REF!</definedName>
    <definedName name="Agbiz41">[10]RATES!#REF!</definedName>
    <definedName name="Agbiz42">[10]RATES!#REF!</definedName>
    <definedName name="Agbiz43">[10]RATES!#REF!</definedName>
    <definedName name="Agbiz51">[10]RATES!#REF!</definedName>
    <definedName name="Agbiz52">[10]RATES!#REF!</definedName>
    <definedName name="Agbiz53">[10]RATES!#REF!</definedName>
    <definedName name="AGCOSTS">#REF!</definedName>
    <definedName name="aidmax">[5]Parameters!$D$9</definedName>
    <definedName name="Airfare_Consultants">#REF!</definedName>
    <definedName name="Airfare_Homeleave">#REF!</definedName>
    <definedName name="airshipment">[12]Sheet1!$C$41</definedName>
    <definedName name="ALL">#REF!</definedName>
    <definedName name="Allowances">'[13]INPUTS Year 1'!$A$96:$A$96</definedName>
    <definedName name="ANAL">#REF!</definedName>
    <definedName name="Appointments">IF(LEN([14]calcs!$C$7:$N$43),COUNTIFS([14]!tblAppointments[DATE],[14]calcs!$C$7:$N$43,[14]!tblAppointments[DATE],"&gt;0"),0)</definedName>
    <definedName name="asd" hidden="1">[2]IPA!#REF!</definedName>
    <definedName name="asdf" localSheetId="0" hidden="1">{"PAGE1",#N/A,FALSE,"CPFFMSTR";"PAGE2",#N/A,FALSE,"CPFFMSTR"}</definedName>
    <definedName name="asdf" hidden="1">{"PAGE1",#N/A,FALSE,"CPFFMSTR";"PAGE2",#N/A,FALSE,"CPFFMSTR"}</definedName>
    <definedName name="asf">#REF!</definedName>
    <definedName name="ASI_Dec_1">#REF!</definedName>
    <definedName name="ASI_Dec_2">#REF!</definedName>
    <definedName name="ASI_Dec_3">#REF!</definedName>
    <definedName name="ASI_Dec_4">#REF!</definedName>
    <definedName name="ASI_Dec_5">#REF!</definedName>
    <definedName name="ASI_May_1">#REF!</definedName>
    <definedName name="ASI_May_2">#REF!</definedName>
    <definedName name="ASI_May_3">#REF!</definedName>
    <definedName name="ASI_May_4">#REF!</definedName>
    <definedName name="ASI_May_5">#REF!</definedName>
    <definedName name="ASI_Nov_1">#REF!</definedName>
    <definedName name="ASI_Nov_2">#REF!</definedName>
    <definedName name="ASI_nov_3">#REF!</definedName>
    <definedName name="ASI_Nov_4">#REF!</definedName>
    <definedName name="ASI_Nov_5">#REF!</definedName>
    <definedName name="ASU">#N/A</definedName>
    <definedName name="awardfee">#REF!</definedName>
    <definedName name="AWI_FACTOR_OPTION_YR1">[15]INDIRECTS!#REF!</definedName>
    <definedName name="AWI_FACTOR_OPTION_YR2">[15]INDIRECTS!#REF!</definedName>
    <definedName name="AWI_FACTOR_OPTION_YR3">[15]INDIRECTS!#REF!</definedName>
    <definedName name="AWI_FACTOR_OPTION_YR4">[15]INDIRECTS!#REF!</definedName>
    <definedName name="AWI_FACTOR_TABLE">[15]INDIRECTS!#REF!</definedName>
    <definedName name="AWU_FACTOR_OPTION_YR1B">[15]INDIRECTS!#REF!</definedName>
    <definedName name="bank_transfer">#REF!</definedName>
    <definedName name="BASA">#REF!</definedName>
    <definedName name="BASA1">#REF!</definedName>
    <definedName name="basefee">#REF!</definedName>
    <definedName name="BI">[16]Assumptions!$H$12</definedName>
    <definedName name="big">#REF!</definedName>
    <definedName name="bkodc">[12]Sheet1!$C$32</definedName>
    <definedName name="BRANTRAV">#REF!</definedName>
    <definedName name="budget">#REF!</definedName>
    <definedName name="Budget_years">#REF!</definedName>
    <definedName name="bver" localSheetId="0" hidden="1">{"PAGE1",#N/A,FALSE,"CPFFMSTR";"PAGE2",#N/A,FALSE,"CPFFMSTR"}</definedName>
    <definedName name="bver" hidden="1">{"PAGE1",#N/A,FALSE,"CPFFMSTR";"PAGE2",#N/A,FALSE,"CPFFMSTR"}</definedName>
    <definedName name="capital">[17]Parameters!$B$35</definedName>
    <definedName name="Cash_Table">'[18]Cash Receipt by Project'!$A:$EA</definedName>
    <definedName name="CCN">#N/A</definedName>
    <definedName name="CCN_Disount">#REF!</definedName>
    <definedName name="CGHY" localSheetId="0" hidden="1">{"PAGE1",#N/A,FALSE,"CPFFMSTR";"PAGE2",#N/A,FALSE,"CPFFMSTR"}</definedName>
    <definedName name="CGHY" hidden="1">{"PAGE1",#N/A,FALSE,"CPFFMSTR";"PAGE2",#N/A,FALSE,"CPFFMSTR"}</definedName>
    <definedName name="Chart_of_accounts">#REF!</definedName>
    <definedName name="ci">[5]Parameters!$B$2</definedName>
    <definedName name="CII">[12]Sheet1!$C$13</definedName>
    <definedName name="CLASS">[19]Classes!$B$2:$C$29</definedName>
    <definedName name="clin1">[7]Parameters!$B$10</definedName>
    <definedName name="clin1base">#REF!</definedName>
    <definedName name="clin1factor">'[5]CLIN factor'!$E$73</definedName>
    <definedName name="clin1oy1">#REF!</definedName>
    <definedName name="clin1oy2">#REF!</definedName>
    <definedName name="clin1oy3">#REF!</definedName>
    <definedName name="clin1oy4">#REF!</definedName>
    <definedName name="clin2">[7]Parameters!$B$11</definedName>
    <definedName name="clin2base">#REF!</definedName>
    <definedName name="clin2factor">'[5]CLIN factor'!$H$73</definedName>
    <definedName name="clin2oy1">#REF!</definedName>
    <definedName name="clin2oy2">#REF!</definedName>
    <definedName name="clin2oy3">#REF!</definedName>
    <definedName name="clin2oy4">#REF!</definedName>
    <definedName name="clin3">[7]Parameters!$B$12</definedName>
    <definedName name="clin3base">#REF!</definedName>
    <definedName name="clin3factor">'[5]CLIN factor'!$K$73</definedName>
    <definedName name="clin3oy1">#REF!</definedName>
    <definedName name="clin3oy2">#REF!</definedName>
    <definedName name="clin3oy3">#REF!</definedName>
    <definedName name="clin3oy4">#REF!</definedName>
    <definedName name="clin4">[7]Parameters!$B$13</definedName>
    <definedName name="clin5">[7]Parameters!$B$14</definedName>
    <definedName name="CoLA">'[20]Payroll August '!#REF!</definedName>
    <definedName name="comm">[5]Parameters!#REF!</definedName>
    <definedName name="Composite_Indirect_Rates_Year_1">[15]INDIRECTS!$T$3:$Y$15</definedName>
    <definedName name="Composite_Indirect_Rates_Year_2">[15]INDIRECTS!#REF!</definedName>
    <definedName name="Composite_Indirect_Rates_Year_3">[15]INDIRECTS!#REF!</definedName>
    <definedName name="Composite_Indirect_Rates_Year_4">[15]INDIRECTS!#REF!</definedName>
    <definedName name="Composite_Indirect_Rates_Year_5">[15]INDIRECTS!#REF!</definedName>
    <definedName name="COMSO" localSheetId="0" hidden="1">{#N/A,#N/A,FALSE,"Proposal"}</definedName>
    <definedName name="COMSO" hidden="1">{#N/A,#N/A,FALSE,"Proposal"}</definedName>
    <definedName name="confperdiem">#REF!</definedName>
    <definedName name="Connscenario">'[21]Summary Budget'!$O$12:$V$12</definedName>
    <definedName name="Connscenariodata">'[21]Summary Budget'!$O$12:$V$13</definedName>
    <definedName name="Cons">[10]RATES!#REF!</definedName>
    <definedName name="ConsolidatedOld">#REF!</definedName>
    <definedName name="CONST">#REF!</definedName>
    <definedName name="CONSULT">#N/A</definedName>
    <definedName name="consumables">[12]Sheet1!$C$42</definedName>
    <definedName name="COOPERATIVE_LEAGUE_OF_THE_USA">#REF!</definedName>
    <definedName name="coptrip">[5]Parameters!$D$27</definedName>
    <definedName name="coptriplength">[5]Parameters!$D$28</definedName>
    <definedName name="Cost_Elements">[15]INDIRECTS!$T$2:$Y$2</definedName>
    <definedName name="COSTS">#N/A</definedName>
    <definedName name="COUNTRY">#N/A</definedName>
    <definedName name="countryinf">#REF!</definedName>
    <definedName name="cts">[5]Parameters!$D$63</definedName>
    <definedName name="currency2">#REF!</definedName>
    <definedName name="CurrencyCode">#REF!</definedName>
    <definedName name="Cut">#REF!</definedName>
    <definedName name="DAI">#N/A</definedName>
    <definedName name="daiInd">1.4*1.5*1.09</definedName>
    <definedName name="danger">[7]Parameters!$B$522</definedName>
    <definedName name="dangerpay">[5]Parameters!$D$57</definedName>
    <definedName name="Dartotalpd">[17]Parameters!$B$29</definedName>
    <definedName name="DATA">#REF!</definedName>
    <definedName name="_xlnm.Database">#REF!</definedName>
    <definedName name="dataI3R">#REF!</definedName>
    <definedName name="Date">#REF!</definedName>
    <definedName name="Days">[10]RATES!#REF!</definedName>
    <definedName name="daysinKabul">[7]Parameters!$B$512</definedName>
    <definedName name="daysinPeshawar">[7]Parameters!$B$514</definedName>
    <definedName name="daysinTravel">[7]Parameters!$B$515</definedName>
    <definedName name="daysoutKabul">[7]Parameters!$B$513</definedName>
    <definedName name="dayspertrip">#REF!</definedName>
    <definedName name="dba">[5]Parameters!$D$16</definedName>
    <definedName name="ddd">'[22]Data-in process'!$C$2:$K$60</definedName>
    <definedName name="dereje">'[3]Detailed Budget-SAVE'!#REF!</definedName>
    <definedName name="Dereje_123">#REF!</definedName>
    <definedName name="DETAIL">#REF!</definedName>
    <definedName name="DFTY" localSheetId="0" hidden="1">{"PAGE1",#N/A,FALSE,"CPFFMSTR";"PAGE2",#N/A,FALSE,"CPFFMSTR"}</definedName>
    <definedName name="DFTY" hidden="1">{"PAGE1",#N/A,FALSE,"CPFFMSTR";"PAGE2",#N/A,FALSE,"CPFFMSTR"}</definedName>
    <definedName name="differential">[23]formulas!#REF!</definedName>
    <definedName name="Dinominator">#REF!</definedName>
    <definedName name="discCCN">0.77</definedName>
    <definedName name="discCCNLT">(1-0)</definedName>
    <definedName name="discCCNst">(1-0.75)</definedName>
    <definedName name="discExpat">0.15</definedName>
    <definedName name="DON">#N/A</definedName>
    <definedName name="dpt">#REF!</definedName>
    <definedName name="dsfa" localSheetId="0" hidden="1">{"PAGE1",#N/A,FALSE,"CPFFMSTR";"PAGE2",#N/A,FALSE,"CPFFMSTR"}</definedName>
    <definedName name="dsfa" hidden="1">{"PAGE1",#N/A,FALSE,"CPFFMSTR";"PAGE2",#N/A,FALSE,"CPFFMSTR"}</definedName>
    <definedName name="dtys" localSheetId="0" hidden="1">{"PAGE1",#N/A,FALSE,"CPFFMSTR";"PAGE2",#N/A,FALSE,"CPFFMSTR"}</definedName>
    <definedName name="dtys" hidden="1">{"PAGE1",#N/A,FALSE,"CPFFMSTR";"PAGE2",#N/A,FALSE,"CPFFMSTR"}</definedName>
    <definedName name="eafo" localSheetId="0" hidden="1">{"ACC_Cars_125K_PA",#N/A,FALSE,"ACC Cars Co1 125K ";"ACC_Cars_125K_Prop",#N/A,FALSE,"ACC Cars Co1 125K "}</definedName>
    <definedName name="eafo" hidden="1">{"ACC_Cars_125K_PA",#N/A,FALSE,"ACC Cars Co1 125K ";"ACC_Cars_125K_Prop",#N/A,FALSE,"ACC Cars Co1 125K "}</definedName>
    <definedName name="eafo1" localSheetId="0" hidden="1">{"ACC_Cars_400K_PA",#N/A,FALSE,"ACC Cars Co1 400K";"ACC_Cars_400K_Prop",#N/A,FALSE,"ACC Cars Co1 400K"}</definedName>
    <definedName name="eafo1" hidden="1">{"ACC_Cars_400K_PA",#N/A,FALSE,"ACC Cars Co1 400K";"ACC_Cars_400K_Prop",#N/A,FALSE,"ACC Cars Co1 400K"}</definedName>
    <definedName name="eafo10" localSheetId="0" hidden="1">{"PearsonCo1_Prop",#N/A,FALSE,"Pearsons Task Co1";"PearsonCo1_PA",#N/A,FALSE,"Pearsons Task Co1"}</definedName>
    <definedName name="eafo10" hidden="1">{"PearsonCo1_Prop",#N/A,FALSE,"Pearsons Task Co1";"PearsonCo1_PA",#N/A,FALSE,"Pearsons Task Co1"}</definedName>
    <definedName name="eafo11" localSheetId="0" hidden="1">{"PearsonCo5_Prop",#N/A,FALSE,"Pearsons Task Co5";"PearsonCo5_PA",#N/A,FALSE,"Pearsons Task Co5"}</definedName>
    <definedName name="eafo11" hidden="1">{"PearsonCo5_Prop",#N/A,FALSE,"Pearsons Task Co5";"PearsonCo5_PA",#N/A,FALSE,"Pearsons Task Co5"}</definedName>
    <definedName name="eafo12" localSheetId="0" hidden="1">{"Seal Team J6 Sum",#N/A,FALSE,"Seal Team Summary";"Seal Team J6",#N/A,FALSE,"Seal Team ";"Seal Team ODC J6",#N/A,FALSE,"Seal Team ODCs";"Seal Team Trvl J6",#N/A,FALSE," Seal Team Trvl"}</definedName>
    <definedName name="eafo12" hidden="1">{"Seal Team J6 Sum",#N/A,FALSE,"Seal Team Summary";"Seal Team J6",#N/A,FALSE,"Seal Team ";"Seal Team ODC J6",#N/A,FALSE,"Seal Team ODCs";"Seal Team Trvl J6",#N/A,FALSE," Seal Team Trvl"}</definedName>
    <definedName name="eafo15" localSheetId="0" hidden="1">{"ACC_Cars_125K_PA",#N/A,FALSE,"ACC Cars Co1 125K ";"ACC_Cars_125K_Prop",#N/A,FALSE,"ACC Cars Co1 125K "}</definedName>
    <definedName name="eafo15" hidden="1">{"ACC_Cars_125K_PA",#N/A,FALSE,"ACC Cars Co1 125K ";"ACC_Cars_125K_Prop",#N/A,FALSE,"ACC Cars Co1 125K "}</definedName>
    <definedName name="eafo16" localSheetId="0" hidden="1">{"ACC_Cars_400K_PA",#N/A,FALSE,"ACC Cars Co1 400K";"ACC_Cars_400K_Prop",#N/A,FALSE,"ACC Cars Co1 400K"}</definedName>
    <definedName name="eafo16" hidden="1">{"ACC_Cars_400K_PA",#N/A,FALSE,"ACC Cars Co1 400K";"ACC_Cars_400K_Prop",#N/A,FALSE,"ACC Cars Co1 400K"}</definedName>
    <definedName name="eafo17" localSheetId="0" hidden="1">{"PAGE1",#N/A,FALSE,"ACC_CARS Travel 125K";"PAGE2",#N/A,FALSE,"ACC_CARS Travel 125K"}</definedName>
    <definedName name="eafo17" hidden="1">{"PAGE1",#N/A,FALSE,"ACC_CARS Travel 125K";"PAGE2",#N/A,FALSE,"ACC_CARS Travel 125K"}</definedName>
    <definedName name="eafo18" localSheetId="0" hidden="1">{"Page1",#N/A,FALSE,"ACC_CARS Travel 400K";"Page2",#N/A,FALSE,"ACC_CARS Travel 400K"}</definedName>
    <definedName name="eafo18" hidden="1">{"Page1",#N/A,FALSE,"ACC_CARS Travel 400K";"Page2",#N/A,FALSE,"ACC_CARS Travel 400K"}</definedName>
    <definedName name="eafo19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19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2" localSheetId="0" hidden="1">{"PAGE1",#N/A,FALSE,"ACC_CARS Travel 125K";"PAGE2",#N/A,FALSE,"ACC_CARS Travel 125K"}</definedName>
    <definedName name="eafo2" hidden="1">{"PAGE1",#N/A,FALSE,"ACC_CARS Travel 125K";"PAGE2",#N/A,FALSE,"ACC_CARS Travel 125K"}</definedName>
    <definedName name="eafo20" localSheetId="0" hidden="1">{"DolanCo1_PA",#N/A,FALSE,"Tina Dolan";"DolanCo1_Prop",#N/A,FALSE,"Tina Dolan"}</definedName>
    <definedName name="eafo20" hidden="1">{"DolanCo1_PA",#N/A,FALSE,"Tina Dolan";"DolanCo1_Prop",#N/A,FALSE,"Tina Dolan"}</definedName>
    <definedName name="eafo21" localSheetId="0" hidden="1">{"Prop_350K",#N/A,FALSE,"Ebron-350K";"PA_350K",#N/A,FALSE,"Ebron-350K";"Ebron350KTrvl",#N/A,FALSE,"Ebrons Travel 350k"}</definedName>
    <definedName name="eafo21" hidden="1">{"Prop_350K",#N/A,FALSE,"Ebron-350K";"PA_350K",#N/A,FALSE,"Ebron-350K";"Ebron350KTrvl",#N/A,FALSE,"Ebrons Travel 350k"}</definedName>
    <definedName name="eafo22" localSheetId="0" hidden="1">{"EbronCo1_PA",#N/A,FALSE,"Ebrons Task Co1";"EbronCo1_Prop",#N/A,FALSE,"Ebrons Task Co1";"Ebron316KTrvl",#N/A,FALSE,"Ebrons Travel 316k"}</definedName>
    <definedName name="eafo22" hidden="1">{"EbronCo1_PA",#N/A,FALSE,"Ebrons Task Co1";"EbronCo1_Prop",#N/A,FALSE,"Ebrons Task Co1";"Ebron316KTrvl",#N/A,FALSE,"Ebrons Travel 316k"}</definedName>
    <definedName name="eafo23" localSheetId="0" hidden="1">{"EbronCo5_PA",#N/A,FALSE,"Ebrons Task Co5";"EbronCo5_Prop",#N/A,FALSE,"Ebrons Task Co5"}</definedName>
    <definedName name="eafo23" hidden="1">{"EbronCo5_PA",#N/A,FALSE,"Ebrons Task Co5";"EbronCo5_Prop",#N/A,FALSE,"Ebrons Task Co5"}</definedName>
    <definedName name="eafo24" localSheetId="0" hidden="1">{"JDISS_Co1",#N/A,FALSE,"JDISS_Co1";"JDISSCo1_PA",#N/A,FALSE,"JDISS_Co1"}</definedName>
    <definedName name="eafo24" hidden="1">{"JDISS_Co1",#N/A,FALSE,"JDISS_Co1";"JDISSCo1_PA",#N/A,FALSE,"JDISS_Co1"}</definedName>
    <definedName name="eafo26" localSheetId="0" hidden="1">{"PearsonCo5_Prop",#N/A,FALSE,"Pearsons Task Co5";"PearsonCo5_PA",#N/A,FALSE,"Pearsons Task Co5"}</definedName>
    <definedName name="eafo26" hidden="1">{"PearsonCo5_Prop",#N/A,FALSE,"Pearsons Task Co5";"PearsonCo5_PA",#N/A,FALSE,"Pearsons Task Co5"}</definedName>
    <definedName name="eafo27" localSheetId="0" hidden="1">{"Seal Team J6 Sum",#N/A,FALSE,"Seal Team Summary";"Seal Team J6",#N/A,FALSE,"Seal Team ";"Seal Team ODC J6",#N/A,FALSE,"Seal Team ODCs";"Seal Team Trvl J6",#N/A,FALSE," Seal Team Trvl"}</definedName>
    <definedName name="eafo27" hidden="1">{"Seal Team J6 Sum",#N/A,FALSE,"Seal Team Summary";"Seal Team J6",#N/A,FALSE,"Seal Team ";"Seal Team ODC J6",#N/A,FALSE,"Seal Team ODCs";"Seal Team Trvl J6",#N/A,FALSE," Seal Team Trvl"}</definedName>
    <definedName name="eafo3" localSheetId="0" hidden="1">{"Page1",#N/A,FALSE,"ACC_CARS Travel 400K";"Page2",#N/A,FALSE,"ACC_CARS Travel 400K"}</definedName>
    <definedName name="eafo3" hidden="1">{"Page1",#N/A,FALSE,"ACC_CARS Travel 400K";"Page2",#N/A,FALSE,"ACC_CARS Travel 400K"}</definedName>
    <definedName name="eafo4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4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eafo5" localSheetId="0" hidden="1">{"DolanCo1_PA",#N/A,FALSE,"Tina Dolan";"DolanCo1_Prop",#N/A,FALSE,"Tina Dolan"}</definedName>
    <definedName name="eafo5" hidden="1">{"DolanCo1_PA",#N/A,FALSE,"Tina Dolan";"DolanCo1_Prop",#N/A,FALSE,"Tina Dolan"}</definedName>
    <definedName name="eafo6" localSheetId="0" hidden="1">{"Prop_350K",#N/A,FALSE,"Ebron-350K";"PA_350K",#N/A,FALSE,"Ebron-350K";"Ebron350KTrvl",#N/A,FALSE,"Ebrons Travel 350k"}</definedName>
    <definedName name="eafo6" hidden="1">{"Prop_350K",#N/A,FALSE,"Ebron-350K";"PA_350K",#N/A,FALSE,"Ebron-350K";"Ebron350KTrvl",#N/A,FALSE,"Ebrons Travel 350k"}</definedName>
    <definedName name="eafo7" localSheetId="0" hidden="1">{"EbronCo1_PA",#N/A,FALSE,"Ebrons Task Co1";"EbronCo1_Prop",#N/A,FALSE,"Ebrons Task Co1";"Ebron316KTrvl",#N/A,FALSE,"Ebrons Travel 316k"}</definedName>
    <definedName name="eafo7" hidden="1">{"EbronCo1_PA",#N/A,FALSE,"Ebrons Task Co1";"EbronCo1_Prop",#N/A,FALSE,"Ebrons Task Co1";"Ebron316KTrvl",#N/A,FALSE,"Ebrons Travel 316k"}</definedName>
    <definedName name="eafo8" localSheetId="0" hidden="1">{"EbronCo5_PA",#N/A,FALSE,"Ebrons Task Co5";"EbronCo5_Prop",#N/A,FALSE,"Ebrons Task Co5"}</definedName>
    <definedName name="eafo8" hidden="1">{"EbronCo5_PA",#N/A,FALSE,"Ebrons Task Co5";"EbronCo5_Prop",#N/A,FALSE,"Ebrons Task Co5"}</definedName>
    <definedName name="eafo9" localSheetId="0" hidden="1">{"JDISS_Co1",#N/A,FALSE,"JDISS_Co1";"JDISSCo1_PA",#N/A,FALSE,"JDISS_Co1"}</definedName>
    <definedName name="eafo9" hidden="1">{"JDISS_Co1",#N/A,FALSE,"JDISS_Co1";"JDISSCo1_PA",#N/A,FALSE,"JDISS_Co1"}</definedName>
    <definedName name="earo25" localSheetId="0" hidden="1">{"PearsonCo1_Prop",#N/A,FALSE,"Pearsons Task Co1";"PearsonCo1_PA",#N/A,FALSE,"Pearsons Task Co1"}</definedName>
    <definedName name="earo25" hidden="1">{"PearsonCo1_Prop",#N/A,FALSE,"Pearsons Task Co1";"PearsonCo1_PA",#N/A,FALSE,"Pearsons Task Co1"}</definedName>
    <definedName name="ed6_8">[7]Parameters!$B$526</definedName>
    <definedName name="ed9_12">[7]Parameters!$B$527</definedName>
    <definedName name="edk_5">[7]Parameters!$B$525</definedName>
    <definedName name="EETYPE">#REF!</definedName>
    <definedName name="EEwithAmounts">#REF!</definedName>
    <definedName name="EMPLOYEECURRENTSTATUS">#REF!</definedName>
    <definedName name="END">#N/A</definedName>
    <definedName name="eras" localSheetId="0" hidden="1">{"PAGE1",#N/A,FALSE,"CPFFMSTR";"PAGE2",#N/A,FALSE,"CPFFMSTR"}</definedName>
    <definedName name="eras" hidden="1">{"PAGE1",#N/A,FALSE,"CPFFMSTR";"PAGE2",#N/A,FALSE,"CPFFMSTR"}</definedName>
    <definedName name="erwe" localSheetId="0" hidden="1">{"PAGE1",#N/A,FALSE,"CPFFMSTR";"PAGE2",#N/A,FALSE,"CPFFMSTR"}</definedName>
    <definedName name="erwe" hidden="1">{"PAGE1",#N/A,FALSE,"CPFFMSTR";"PAGE2",#N/A,FALSE,"CPFFMSTR"}</definedName>
    <definedName name="esc">0.035</definedName>
    <definedName name="ETHNICID">#REF!</definedName>
    <definedName name="EXC">#REF!</definedName>
    <definedName name="exch">[5]Parameters!$D$19</definedName>
    <definedName name="Exchange">#REF!</definedName>
    <definedName name="ExchangeRate">#REF!</definedName>
    <definedName name="Expat_Discount">#REF!</definedName>
    <definedName name="Expat_Fringe">#REF!</definedName>
    <definedName name="expatsalinc">[12]Sheet1!$C$7</definedName>
    <definedName name="expatsttasal">[12]Sheet1!$C$29</definedName>
    <definedName name="Expense">'[24]Drp Down Menu lists '!$B$1:$B$10</definedName>
    <definedName name="fasdf" localSheetId="0" hidden="1">{"PAGE1",#N/A,FALSE,"CPFFMSTR";"PAGE2",#N/A,FALSE,"CPFFMSTR"}</definedName>
    <definedName name="fasdf" hidden="1">{"PAGE1",#N/A,FALSE,"CPFFMSTR";"PAGE2",#N/A,FALSE,"CPFFMSTR"}</definedName>
    <definedName name="fasfas" hidden="1">[2]IPA!#REF!</definedName>
    <definedName name="FB">#REF!</definedName>
    <definedName name="FB_T">#REF!</definedName>
    <definedName name="FCCM_GA">#REF!</definedName>
    <definedName name="FCCM_lab">#REF!</definedName>
    <definedName name="FCCM_MSE">#REF!</definedName>
    <definedName name="FCCM_Office">#REF!</definedName>
    <definedName name="FCCM_OfficeOther">#REF!</definedName>
    <definedName name="fdfdf" hidden="1">#REF!</definedName>
    <definedName name="fdfdfdfddfdfdfdf">#REF!</definedName>
    <definedName name="fdfdfdfdf">#REF!</definedName>
    <definedName name="fdfdfdfdfd" hidden="1">#REF!</definedName>
    <definedName name="FDRs">#REF!</definedName>
    <definedName name="FEDEX">#REF!</definedName>
    <definedName name="fee">[5]Parameters!$D$15</definedName>
    <definedName name="FGH" localSheetId="0" hidden="1">{"PAGE1",#N/A,FALSE,"CPFFMSTR";"PAGE2",#N/A,FALSE,"CPFFMSTR"}</definedName>
    <definedName name="FGH" hidden="1">{"PAGE1",#N/A,FALSE,"CPFFMSTR";"PAGE2",#N/A,FALSE,"CPFFMSTR"}</definedName>
    <definedName name="field_fringe">#REF!</definedName>
    <definedName name="fieldfringe">#REF!</definedName>
    <definedName name="Firms">#REF!</definedName>
    <definedName name="Fixed_Fee">#REF!</definedName>
    <definedName name="FMI">#N/A</definedName>
    <definedName name="fo">[25]Training!$N$3</definedName>
    <definedName name="fooh">[5]Parameters!$D$13</definedName>
    <definedName name="FORM">#REF!</definedName>
    <definedName name="FORM1">#REF!</definedName>
    <definedName name="FORM3">#REF!</definedName>
    <definedName name="FPMSA">#N/A</definedName>
    <definedName name="fr">[5]Parameters!$D$10</definedName>
    <definedName name="fringe">0.405</definedName>
    <definedName name="fringedir">[7]Parameters!$B$488</definedName>
    <definedName name="fsnmax">[5]Parameters!#REF!</definedName>
    <definedName name="FTE_All">#REF!</definedName>
    <definedName name="FTE_M">#REF!</definedName>
    <definedName name="FTE_Y">#REF!</definedName>
    <definedName name="FTE_Year1">#REF!</definedName>
    <definedName name="FTE_Year2">#REF!</definedName>
    <definedName name="FTE_Year3">#REF!</definedName>
    <definedName name="FTE_Year4">#REF!</definedName>
    <definedName name="FTE_Year5">#REF!</definedName>
    <definedName name="Full_time_Regular_Query">#REF!</definedName>
    <definedName name="FULLORPARTTIME">#REF!</definedName>
    <definedName name="g_a">#REF!</definedName>
    <definedName name="ga">[5]Parameters!$D$14</definedName>
    <definedName name="GandA_by_firm">#REF!</definedName>
    <definedName name="gandamult">[26]formulas!$B$6</definedName>
    <definedName name="GENDER">#REF!</definedName>
    <definedName name="ghghghtghg" hidden="1">#REF!</definedName>
    <definedName name="GR">'[19]Tx-Acc'!$D$2:$E$483</definedName>
    <definedName name="Grand_Total">'[27]Schedule Items-Labor'!#REF!</definedName>
    <definedName name="grantfee">0.02</definedName>
    <definedName name="GRP">#REF!</definedName>
    <definedName name="GSDFG" localSheetId="0" hidden="1">{"PAGE1",#N/A,FALSE,"CPFFMSTR";"PAGE2",#N/A,FALSE,"CPFFMSTR"}</definedName>
    <definedName name="GSDFG" hidden="1">{"PAGE1",#N/A,FALSE,"CPFFMSTR";"PAGE2",#N/A,FALSE,"CPFFMSTR"}</definedName>
    <definedName name="guard">[12]Sheet1!$C$46</definedName>
    <definedName name="guatemala">#REF!</definedName>
    <definedName name="HEAD">#REF!</definedName>
    <definedName name="heading">#N/A</definedName>
    <definedName name="health_insurance">[5]Parameters!$D$60</definedName>
    <definedName name="HGJ" localSheetId="0" hidden="1">{"PAGE1",#N/A,FALSE,"CPFFMSTR";"PAGE2",#N/A,FALSE,"CPFFMSTR"}</definedName>
    <definedName name="HGJ" hidden="1">{"PAGE1",#N/A,FALSE,"CPFFMSTR";"PAGE2",#N/A,FALSE,"CPFFMSTR"}</definedName>
    <definedName name="hhehandling">[12]Sheet1!$C$40</definedName>
    <definedName name="hheorigin">[12]Sheet1!$C$39</definedName>
    <definedName name="hheshipment">[12]Sheet1!$C$37</definedName>
    <definedName name="hhestorage">[12]Sheet1!$C$38</definedName>
    <definedName name="HIID1">#N/A</definedName>
    <definedName name="HIID4">#N/A</definedName>
    <definedName name="HISTORY">#REF!</definedName>
    <definedName name="ho">[7]Parameters!$A$431</definedName>
    <definedName name="hofa">[5]Parameters!#REF!</definedName>
    <definedName name="Hola" hidden="1">'[8]sample labor calc'!#REF!</definedName>
    <definedName name="hooh">[5]Parameters!$D$12</definedName>
    <definedName name="Horas">#REF!</definedName>
    <definedName name="hos10co">[7]Parameters!$G$442</definedName>
    <definedName name="hos10name">[7]Parameters!$C$442</definedName>
    <definedName name="hos10sal1">[7]Parameters!$E$442</definedName>
    <definedName name="hos1co">[7]Parameters!$G$433</definedName>
    <definedName name="hos1name">[7]Parameters!$C$433</definedName>
    <definedName name="hos1sal1">[7]Parameters!$E$433</definedName>
    <definedName name="hos2co">[7]Parameters!$G$434</definedName>
    <definedName name="hos2name">[7]Parameters!$C$434</definedName>
    <definedName name="hos2sal1">[7]Parameters!$E$434</definedName>
    <definedName name="hos3co">[7]Parameters!$G$435</definedName>
    <definedName name="hos3name">[7]Parameters!$C$435</definedName>
    <definedName name="hos3sal1">[7]Parameters!$E$435</definedName>
    <definedName name="hos4co">[7]Parameters!$G$436</definedName>
    <definedName name="hos4name">[7]Parameters!$C$436</definedName>
    <definedName name="hos4sal1">[7]Parameters!$E$436</definedName>
    <definedName name="hos5co">[7]Parameters!$G$437</definedName>
    <definedName name="hos5name">[7]Parameters!$C$437</definedName>
    <definedName name="hos5sal1">[7]Parameters!$E$437</definedName>
    <definedName name="hos6co">[7]Parameters!$G$438</definedName>
    <definedName name="hos6name">[7]Parameters!$C$438</definedName>
    <definedName name="hos6sal1">[7]Parameters!$E$438</definedName>
    <definedName name="hos7co">[7]Parameters!$G$439</definedName>
    <definedName name="hos7name">[7]Parameters!$C$439</definedName>
    <definedName name="hos7sal1">[7]Parameters!$E$439</definedName>
    <definedName name="hos8co">[7]Parameters!$G$440</definedName>
    <definedName name="hos8name">[7]Parameters!$C$440</definedName>
    <definedName name="hos8sal1">[7]Parameters!$E$440</definedName>
    <definedName name="hos9co">[7]Parameters!$G$441</definedName>
    <definedName name="hos9name">[7]Parameters!$C$441</definedName>
    <definedName name="hos9sal1">[7]Parameters!$E$441</definedName>
    <definedName name="hosco11">[7]Parameters!$G$443</definedName>
    <definedName name="hosco12">[7]Parameters!$G$444</definedName>
    <definedName name="hosco13">[7]Parameters!$G$445</definedName>
    <definedName name="hosco14">[7]Parameters!$G$446</definedName>
    <definedName name="hosco15">[7]Parameters!$G$447</definedName>
    <definedName name="hosco16">[7]Parameters!$G$448</definedName>
    <definedName name="hosco17">[7]Parameters!$G$449</definedName>
    <definedName name="hosco18">[7]Parameters!$G$450</definedName>
    <definedName name="hosco19">[7]Parameters!$G$451</definedName>
    <definedName name="hosco20">[7]Parameters!$G$452</definedName>
    <definedName name="hosco21">[7]Parameters!$G$453</definedName>
    <definedName name="hosjob1">[7]Parameters!$I$433</definedName>
    <definedName name="hosjob10">[7]Parameters!$I$442</definedName>
    <definedName name="hosjob2">[7]Parameters!$I$434</definedName>
    <definedName name="hosjob3">[7]Parameters!$I$435</definedName>
    <definedName name="hosjob4">[7]Parameters!$I$436</definedName>
    <definedName name="hosjob5">[7]Parameters!$I$437</definedName>
    <definedName name="hosjob6">[7]Parameters!$I$438</definedName>
    <definedName name="hosjob7">[7]Parameters!$I$439</definedName>
    <definedName name="hosjob8">[7]Parameters!$I$440</definedName>
    <definedName name="hosjob9">[7]Parameters!$I$441</definedName>
    <definedName name="hosname11">[7]Parameters!$C$443</definedName>
    <definedName name="hosname12">[7]Parameters!$C$444</definedName>
    <definedName name="hosname13">[7]Parameters!$C$445</definedName>
    <definedName name="hosname14">[7]Parameters!$C$446</definedName>
    <definedName name="hosname15">[7]Parameters!$C$447</definedName>
    <definedName name="hosname16">[7]Parameters!$C$448</definedName>
    <definedName name="hosname17">[7]Parameters!$C$449</definedName>
    <definedName name="hosname18">[7]Parameters!$C$450</definedName>
    <definedName name="hosname19">[7]Parameters!$C$451</definedName>
    <definedName name="hosname20">[7]Parameters!$C$452</definedName>
    <definedName name="hosname21">[7]Parameters!$C$453</definedName>
    <definedName name="hossal11">[7]Parameters!$E$443</definedName>
    <definedName name="hossal12">[7]Parameters!$E$444</definedName>
    <definedName name="hossal13">[7]Parameters!$E$445</definedName>
    <definedName name="hossal14">[7]Parameters!$E$446</definedName>
    <definedName name="hossal15">[7]Parameters!$E$447</definedName>
    <definedName name="hossal16">[7]Parameters!$E$448</definedName>
    <definedName name="hossal17">[7]Parameters!$E$449</definedName>
    <definedName name="hossal18">[7]Parameters!$E$450</definedName>
    <definedName name="hossal19">[7]Parameters!$E$451</definedName>
    <definedName name="hossal20">[7]Parameters!$E$452</definedName>
    <definedName name="hossal21">[7]Parameters!$E$453</definedName>
    <definedName name="hours_m">166.67</definedName>
    <definedName name="hours_y">1833</definedName>
    <definedName name="HQ_Fringe">#REF!</definedName>
    <definedName name="huehuetenango">#REF!</definedName>
    <definedName name="iff">0.0075</definedName>
    <definedName name="IIEclin1">#REF!</definedName>
    <definedName name="iieclin2">#REF!</definedName>
    <definedName name="iieclin3">#REF!</definedName>
    <definedName name="IMCC">#N/A</definedName>
    <definedName name="IN">'[25]DETAIL Burkina Faso'!$R$3</definedName>
    <definedName name="Indirect1">#REF!</definedName>
    <definedName name="inf" localSheetId="0">#REF!</definedName>
    <definedName name="inf">#REF!</definedName>
    <definedName name="infl">[5]Parameters!$D$8</definedName>
    <definedName name="INFLATE">[10]RATES!#REF!</definedName>
    <definedName name="Inflation">'[28]Detail-1'!$J$2</definedName>
    <definedName name="Inflation_factor_year_1">#REF!</definedName>
    <definedName name="Inflation_factor_year_2">#REF!</definedName>
    <definedName name="Inflation_factor_year_3">#REF!</definedName>
    <definedName name="Inflation_factor_year_4">#REF!</definedName>
    <definedName name="Inflation_factor_year_5">#REF!</definedName>
    <definedName name="INODC">'[25]DETAIL Burkina Faso'!$R$4</definedName>
    <definedName name="Insti11">[10]RATES!#REF!</definedName>
    <definedName name="Insti12">[10]RATES!#REF!</definedName>
    <definedName name="Insti13">[10]RATES!#REF!</definedName>
    <definedName name="Insti41">[10]RATES!#REF!</definedName>
    <definedName name="Insti42">[10]RATES!#REF!</definedName>
    <definedName name="Insti43">[10]RATES!#REF!</definedName>
    <definedName name="Insti51">[10]RATES!#REF!</definedName>
    <definedName name="Insti52">[10]RATES!#REF!</definedName>
    <definedName name="Insti53">[10]RATES!#REF!</definedName>
    <definedName name="INSTRUCT">#REF!</definedName>
    <definedName name="INTERMIT">#N/A</definedName>
    <definedName name="interregion">[5]Parameters!$D$42</definedName>
    <definedName name="intlrtecon">[5]Parameters!$D$26</definedName>
    <definedName name="intraregion">[5]Parameters!$D$43</definedName>
    <definedName name="ird">#REF!</definedName>
    <definedName name="ISTI1">#N/A</definedName>
    <definedName name="ISTI4">#N/A</definedName>
    <definedName name="ITE_Client">#REF!</definedName>
    <definedName name="ITE_Int">#REF!</definedName>
    <definedName name="ITE_lab">#REF!</definedName>
    <definedName name="ITE_Off">#REF!</definedName>
    <definedName name="ITE_OffOther">#REF!</definedName>
    <definedName name="ITE_on">#REF!</definedName>
    <definedName name="ITE_OnOther">#REF!</definedName>
    <definedName name="ITSH">'[24]Drp Down Menu lists '!$C$1:$C$3</definedName>
    <definedName name="JAAscenariodata">'[21]Summary Budget'!$O$6:$V$7</definedName>
    <definedName name="jea" localSheetId="0" hidden="1">{#N/A,#N/A,FALSE,"ManLoading"}</definedName>
    <definedName name="jea" hidden="1">{#N/A,#N/A,FALSE,"ManLoading"}</definedName>
    <definedName name="JH" localSheetId="0" hidden="1">{"PAGE1",#N/A,FALSE,"CPFFMSTR";"PAGE2",#N/A,FALSE,"CPFFMSTR"}</definedName>
    <definedName name="JH" hidden="1">{"PAGE1",#N/A,FALSE,"CPFFMSTR";"PAGE2",#N/A,FALSE,"CPFFMSTR"}</definedName>
    <definedName name="JKHJ" localSheetId="0" hidden="1">{"PAGE1",#N/A,FALSE,"CPFFMSTR";"PAGE2",#N/A,FALSE,"CPFFMSTR"}</definedName>
    <definedName name="JKHJ" hidden="1">{"PAGE1",#N/A,FALSE,"CPFFMSTR";"PAGE2",#N/A,FALSE,"CPFFMSTR"}</definedName>
    <definedName name="kkk">'[9]Data-in process'!$C$3:$C$67</definedName>
    <definedName name="Labor">'[29]DAI Budget '!$A$12:$Y$63</definedName>
    <definedName name="Labor_Categories">#REF!</definedName>
    <definedName name="Labor_categories_and_levels">'[30]AMAP-MF'!$K$9:$K$33</definedName>
    <definedName name="Labor_category_and_level">'[31]AMAP-MF'!#REF!</definedName>
    <definedName name="Labor_Escalation">#REF!</definedName>
    <definedName name="Labor_Escalation_DPK">[32]Assumptions!$B$9</definedName>
    <definedName name="LABOR1">#N/A</definedName>
    <definedName name="LABOR2">#N/A</definedName>
    <definedName name="LBI">[16]Assumptions!$H$13</definedName>
    <definedName name="Lease" hidden="1">#REF!</definedName>
    <definedName name="lieclin4">#REF!</definedName>
    <definedName name="limaregion">[5]Parameters!$D$41</definedName>
    <definedName name="Local_Fringe">#REF!</definedName>
    <definedName name="Localclin1">#REF!</definedName>
    <definedName name="localclin2">#REF!</definedName>
    <definedName name="localclin3">#REF!</definedName>
    <definedName name="localfr">[5]Parameters!$D$11</definedName>
    <definedName name="localperdiem">#REF!</definedName>
    <definedName name="localsalinc">[12]Sheet1!$C$9</definedName>
    <definedName name="localsalincrease">#REF!</definedName>
    <definedName name="localsstpercent">[5]Parameters!$D$32</definedName>
    <definedName name="localsttrip">[5]Parameters!$D$33</definedName>
    <definedName name="localtravel">[16]Assumptions!$G$36:$J$46</definedName>
    <definedName name="localtripfactor">[12]Sheet1!$C$20</definedName>
    <definedName name="LOE">#N/A</definedName>
    <definedName name="lqa">[5]Parameters!$D$48</definedName>
    <definedName name="LQA2wf">[17]Parameters!$B$15</definedName>
    <definedName name="LRA">#REF!</definedName>
    <definedName name="ltlp">[7]Parameters!$A$128</definedName>
    <definedName name="ltlp1">[7]Parameters!$A$130</definedName>
    <definedName name="ltlp10">[7]Parameters!$A$139</definedName>
    <definedName name="ltlp10co">[7]Parameters!$G$139</definedName>
    <definedName name="ltlp10name">[7]Parameters!$C$139</definedName>
    <definedName name="ltlp10sal1">[7]Parameters!$E$139</definedName>
    <definedName name="ltlp11">[7]Parameters!$A$140</definedName>
    <definedName name="ltlp11co">[7]Parameters!$G$140</definedName>
    <definedName name="ltlp11name">[7]Parameters!$C$140</definedName>
    <definedName name="ltlp11sal1">[7]Parameters!$E$140</definedName>
    <definedName name="ltlp12">[7]Parameters!$A$141</definedName>
    <definedName name="ltlp12co">[7]Parameters!$G$141</definedName>
    <definedName name="ltlp12name">[7]Parameters!$C$141</definedName>
    <definedName name="ltlp12sal1">[7]Parameters!$E$141</definedName>
    <definedName name="ltlp13">[7]Parameters!$A$142</definedName>
    <definedName name="ltlp13co">[7]Parameters!$G$142</definedName>
    <definedName name="ltlp13name">[7]Parameters!$C$142</definedName>
    <definedName name="ltlp13sal1">[7]Parameters!$E$142</definedName>
    <definedName name="ltlp14">[7]Parameters!$A$143</definedName>
    <definedName name="ltlp14co">[7]Parameters!$G$143</definedName>
    <definedName name="ltlp14name">[7]Parameters!$C$143</definedName>
    <definedName name="ltlp14sal1">[7]Parameters!$E$143</definedName>
    <definedName name="ltlp15">[7]Parameters!$A$144</definedName>
    <definedName name="ltlp15co">[7]Parameters!$G$144</definedName>
    <definedName name="ltlp15name">[7]Parameters!$C$144</definedName>
    <definedName name="ltlp15sal1">[7]Parameters!$E$144</definedName>
    <definedName name="ltlp16">[7]Parameters!$A$145</definedName>
    <definedName name="ltlp16co">[7]Parameters!$G$145</definedName>
    <definedName name="ltlp16name">[7]Parameters!$C$145</definedName>
    <definedName name="ltlp16sal1">[7]Parameters!$E$145</definedName>
    <definedName name="ltlp17">[7]Parameters!$A$146</definedName>
    <definedName name="ltlp17co">[7]Parameters!$G$146</definedName>
    <definedName name="ltlp17name">[7]Parameters!$C$146</definedName>
    <definedName name="ltlp17sal1">[7]Parameters!$E$146</definedName>
    <definedName name="ltlp18">[7]Parameters!$A$147</definedName>
    <definedName name="ltlp18co">[7]Parameters!$G$147</definedName>
    <definedName name="ltlp18name">[7]Parameters!$C$147</definedName>
    <definedName name="ltlp18sal1">[7]Parameters!$E$147</definedName>
    <definedName name="ltlp19">[7]Parameters!$A$148</definedName>
    <definedName name="ltlp19co">[7]Parameters!$G$148</definedName>
    <definedName name="ltlp19name">[7]Parameters!$C$148</definedName>
    <definedName name="ltlp19sal1">[7]Parameters!$E$148</definedName>
    <definedName name="ltlp1co">[7]Parameters!$G$130</definedName>
    <definedName name="ltlp1name">[7]Parameters!$C$130</definedName>
    <definedName name="ltlp1sal1">[7]Parameters!$E$130</definedName>
    <definedName name="ltlp2">[7]Parameters!$A$131</definedName>
    <definedName name="ltlp20">[7]Parameters!$A$149</definedName>
    <definedName name="ltlp20co">[7]Parameters!$G$149</definedName>
    <definedName name="ltlp20name">[7]Parameters!$C$149</definedName>
    <definedName name="ltlp20sal1">[7]Parameters!$E$149</definedName>
    <definedName name="ltlp21">[7]Parameters!$A$150</definedName>
    <definedName name="ltlp21co">[7]Parameters!$G$150</definedName>
    <definedName name="ltlp21name">[7]Parameters!$C$150</definedName>
    <definedName name="ltlp21sal1">[7]Parameters!$E$150</definedName>
    <definedName name="ltlp22">[7]Parameters!$A$151</definedName>
    <definedName name="ltlp22co">[7]Parameters!$G$151</definedName>
    <definedName name="ltlp22name">[7]Parameters!$C$151</definedName>
    <definedName name="ltlp22sal1">[7]Parameters!$E$151</definedName>
    <definedName name="ltlp23">[7]Parameters!$A$152</definedName>
    <definedName name="ltlp23co">[7]Parameters!$G$152</definedName>
    <definedName name="ltlp23name">[7]Parameters!$C$152</definedName>
    <definedName name="ltlp23sal1">[7]Parameters!$E$152</definedName>
    <definedName name="ltlp24">[7]Parameters!$A$153</definedName>
    <definedName name="ltlp24co">[7]Parameters!$G$153</definedName>
    <definedName name="ltlp24name">[7]Parameters!$C$153</definedName>
    <definedName name="ltlp24sal1">[7]Parameters!$E$153</definedName>
    <definedName name="ltlp25">[7]Parameters!$A$154</definedName>
    <definedName name="ltlp26">[7]Parameters!$A$155</definedName>
    <definedName name="ltlp27">[7]Parameters!$A$156</definedName>
    <definedName name="ltlp28">[7]Parameters!$A$157</definedName>
    <definedName name="ltlp29">[7]Parameters!$A$158</definedName>
    <definedName name="ltlp2co">[7]Parameters!$G$131</definedName>
    <definedName name="ltlp2name">[7]Parameters!$C$131</definedName>
    <definedName name="ltlp2sal1">[7]Parameters!$E$131</definedName>
    <definedName name="ltlp3">[7]Parameters!$A$132</definedName>
    <definedName name="ltlp30">[7]Parameters!$A$159</definedName>
    <definedName name="ltlp31">[7]Parameters!$A$160</definedName>
    <definedName name="ltlp32">[7]Parameters!$A$161</definedName>
    <definedName name="ltlp33">[7]Parameters!$A$162</definedName>
    <definedName name="ltlp34">[7]Parameters!$A$163</definedName>
    <definedName name="ltlp35">[7]Parameters!$A$164</definedName>
    <definedName name="ltlp36">[7]Parameters!$A$165</definedName>
    <definedName name="ltlp37">[7]Parameters!$A$166</definedName>
    <definedName name="ltlp38">[7]Parameters!$A$167</definedName>
    <definedName name="ltlp39">[7]Parameters!$A$168</definedName>
    <definedName name="ltlp3co">[7]Parameters!$G$132</definedName>
    <definedName name="ltlp3name">[7]Parameters!$C$132</definedName>
    <definedName name="ltlp3sal1">[7]Parameters!$E$132</definedName>
    <definedName name="ltlp4">[7]Parameters!$A$133</definedName>
    <definedName name="ltlp40">[7]Parameters!$A$169</definedName>
    <definedName name="ltlp41">[7]Parameters!$A$170</definedName>
    <definedName name="ltlp42">[7]Parameters!$A$171</definedName>
    <definedName name="ltlp43">[7]Parameters!$A$172</definedName>
    <definedName name="ltlp44">[7]Parameters!$A$173</definedName>
    <definedName name="ltlp45">[7]Parameters!$A$174</definedName>
    <definedName name="ltlp46">[7]Parameters!$A$175</definedName>
    <definedName name="ltlp47">[7]Parameters!$A$176</definedName>
    <definedName name="ltlp48">[7]Parameters!$A$177</definedName>
    <definedName name="ltlp49">[7]Parameters!$A$178</definedName>
    <definedName name="ltlp4co">[7]Parameters!$G$133</definedName>
    <definedName name="ltlp4name">[7]Parameters!$C$133</definedName>
    <definedName name="ltlp4sal1">[7]Parameters!$E$133</definedName>
    <definedName name="ltlp5">[7]Parameters!$A$134</definedName>
    <definedName name="ltlp50">[7]Parameters!$A$179</definedName>
    <definedName name="ltlp51">[7]Parameters!$A$180</definedName>
    <definedName name="ltlp52">[7]Parameters!$A$181</definedName>
    <definedName name="ltlp53">[7]Parameters!$A$182</definedName>
    <definedName name="ltlp54">[7]Parameters!$A$183</definedName>
    <definedName name="ltlp55">[7]Parameters!$A$184</definedName>
    <definedName name="ltlp56">[7]Parameters!$A$185</definedName>
    <definedName name="ltlp57">[7]Parameters!$A$186</definedName>
    <definedName name="ltlp58">[7]Parameters!$A$187</definedName>
    <definedName name="ltlp59">[7]Parameters!$A$188</definedName>
    <definedName name="ltlp5co">[7]Parameters!$G$134</definedName>
    <definedName name="ltlp5name">[7]Parameters!$C$134</definedName>
    <definedName name="ltlp5sal1">[7]Parameters!$E$134</definedName>
    <definedName name="ltlp6">[7]Parameters!$A$135</definedName>
    <definedName name="ltlp60">[7]Parameters!$A$189</definedName>
    <definedName name="ltlp61">[7]Parameters!$A$190</definedName>
    <definedName name="ltlp62">[7]Parameters!$A$191</definedName>
    <definedName name="ltlp63">[7]Parameters!$A$192</definedName>
    <definedName name="ltlp64">[7]Parameters!$A$193</definedName>
    <definedName name="ltlp65">[7]Parameters!$A$194</definedName>
    <definedName name="ltlp66">[7]Parameters!$A$195</definedName>
    <definedName name="ltlp67">[7]Parameters!$A$196</definedName>
    <definedName name="ltlp68">[7]Parameters!$A$197</definedName>
    <definedName name="ltlp69">[7]Parameters!$A$198</definedName>
    <definedName name="ltlp6co">[7]Parameters!$G$135</definedName>
    <definedName name="ltlp6name">[7]Parameters!$C$135</definedName>
    <definedName name="ltlp6sal1">[7]Parameters!$E$135</definedName>
    <definedName name="ltlp7">[7]Parameters!$A$136</definedName>
    <definedName name="ltlp70">[7]Parameters!$A$199</definedName>
    <definedName name="ltlp71">[7]Parameters!$A$200</definedName>
    <definedName name="ltlp72">[7]Parameters!$A$201</definedName>
    <definedName name="ltlp73">[7]Parameters!$A$202</definedName>
    <definedName name="ltlp74">[7]Parameters!$A$203</definedName>
    <definedName name="ltlp75">[7]Parameters!$A$204</definedName>
    <definedName name="ltlp76">[7]Parameters!$A$205</definedName>
    <definedName name="ltlp7co">[7]Parameters!$G$136</definedName>
    <definedName name="ltlp7name">[7]Parameters!$C$136</definedName>
    <definedName name="ltlp7sal1">[7]Parameters!$E$136</definedName>
    <definedName name="ltlp8">[7]Parameters!$A$137</definedName>
    <definedName name="ltlp8co">[7]Parameters!$G$137</definedName>
    <definedName name="ltlp8name">[7]Parameters!$C$137</definedName>
    <definedName name="ltlp8sal1">[7]Parameters!$E$137</definedName>
    <definedName name="ltlp9">[7]Parameters!$A$138</definedName>
    <definedName name="ltlp9co">[7]Parameters!$G$138</definedName>
    <definedName name="ltlp9name">[7]Parameters!$C$138</definedName>
    <definedName name="ltlp9sal1">[7]Parameters!$E$138</definedName>
    <definedName name="ltlpco25">[7]Parameters!$G$154</definedName>
    <definedName name="ltlpco26">[7]Parameters!$G$155</definedName>
    <definedName name="ltlpco27">[7]Parameters!$G$156</definedName>
    <definedName name="ltlpco28">[7]Parameters!$G$157</definedName>
    <definedName name="ltlpco29">[7]Parameters!$G$158</definedName>
    <definedName name="ltlpco30">[7]Parameters!$G$159</definedName>
    <definedName name="ltlpco31">[7]Parameters!$G$160</definedName>
    <definedName name="ltlpco32">[7]Parameters!$G$161</definedName>
    <definedName name="ltlpco33">[7]Parameters!$G$162</definedName>
    <definedName name="ltlpco34">[7]Parameters!$G$163</definedName>
    <definedName name="ltlpco35">[7]Parameters!$G$164</definedName>
    <definedName name="ltlpco36">[7]Parameters!$G$165</definedName>
    <definedName name="ltlpco37">[7]Parameters!$G$166</definedName>
    <definedName name="ltlpco38">[7]Parameters!$G$167</definedName>
    <definedName name="ltlpco39">[7]Parameters!$G$168</definedName>
    <definedName name="ltlpco40">[7]Parameters!$G$169</definedName>
    <definedName name="ltlpco41">[7]Parameters!$G$170</definedName>
    <definedName name="ltlpco42">[7]Parameters!$G$171</definedName>
    <definedName name="ltlpco43">[7]Parameters!$G$172</definedName>
    <definedName name="ltlpco44">[7]Parameters!$G$173</definedName>
    <definedName name="ltlpco45">[7]Parameters!$G$174</definedName>
    <definedName name="ltlpco46">[7]Parameters!$G$175</definedName>
    <definedName name="ltlpco47">[7]Parameters!$G$176</definedName>
    <definedName name="ltlpco48">[7]Parameters!$G$177</definedName>
    <definedName name="ltlpco49">[7]Parameters!$G$178</definedName>
    <definedName name="ltlpco50">[7]Parameters!$G$179</definedName>
    <definedName name="ltlpco51">[7]Parameters!$G$180</definedName>
    <definedName name="ltlpco52">[7]Parameters!$G$181</definedName>
    <definedName name="ltlpco53">[7]Parameters!$G$182</definedName>
    <definedName name="ltlpco54">[7]Parameters!$G$183</definedName>
    <definedName name="ltlpco55">[7]Parameters!$G$184</definedName>
    <definedName name="ltlpco56">[7]Parameters!$G$185</definedName>
    <definedName name="ltlpco57">[7]Parameters!$G$186</definedName>
    <definedName name="ltlpco58">[7]Parameters!$G$187</definedName>
    <definedName name="ltlpco59">[7]Parameters!$G$188</definedName>
    <definedName name="ltlpco60">[7]Parameters!$G$189</definedName>
    <definedName name="ltlpco61">[7]Parameters!$G$190</definedName>
    <definedName name="ltlpco62">[7]Parameters!$G$191</definedName>
    <definedName name="ltlpco63">[7]Parameters!$G$192</definedName>
    <definedName name="ltlpco64">[7]Parameters!$G$193</definedName>
    <definedName name="ltlpco65">[7]Parameters!$G$194</definedName>
    <definedName name="ltlpco66">[7]Parameters!$G$195</definedName>
    <definedName name="ltlpco67">[7]Parameters!$G$196</definedName>
    <definedName name="ltlpco68">[7]Parameters!$G$197</definedName>
    <definedName name="ltlpco69">[7]Parameters!$G$198</definedName>
    <definedName name="ltlpco70">[7]Parameters!$G$199</definedName>
    <definedName name="ltlpco71">[7]Parameters!$G$200</definedName>
    <definedName name="ltlpco72">[7]Parameters!$G$201</definedName>
    <definedName name="ltlpco73">[7]Parameters!$G$202</definedName>
    <definedName name="ltlpco74">[7]Parameters!$G$203</definedName>
    <definedName name="ltlpco75">[7]Parameters!$G$204</definedName>
    <definedName name="ltlpjob1">[7]Parameters!$I$130</definedName>
    <definedName name="ltlpjob10">[7]Parameters!$I$139</definedName>
    <definedName name="ltlpjob11">[7]Parameters!$I$140</definedName>
    <definedName name="ltlpjob12">[7]Parameters!$I$141</definedName>
    <definedName name="ltlpjob13">[7]Parameters!$I$142</definedName>
    <definedName name="ltlpjob14">[7]Parameters!$I$143</definedName>
    <definedName name="ltlpjob15">[7]Parameters!$I$144</definedName>
    <definedName name="ltlpjob16">[7]Parameters!$I$145</definedName>
    <definedName name="ltlpjob17">[7]Parameters!$I$146</definedName>
    <definedName name="ltlpjob18">[7]Parameters!$I$147</definedName>
    <definedName name="ltlpjob19">[7]Parameters!$I$148</definedName>
    <definedName name="ltlpjob2">[7]Parameters!$I$131</definedName>
    <definedName name="ltlpjob20">[7]Parameters!$I$149</definedName>
    <definedName name="ltlpjob21">[7]Parameters!$I$150</definedName>
    <definedName name="ltlpjob22">[7]Parameters!$I$151</definedName>
    <definedName name="ltlpjob23">[7]Parameters!$I$152</definedName>
    <definedName name="ltlpjob24">[7]Parameters!$I$153</definedName>
    <definedName name="ltlpjob25">[7]Parameters!$I$154</definedName>
    <definedName name="ltlpjob26">[7]Parameters!$I$155</definedName>
    <definedName name="ltlpjob27">[7]Parameters!$I$156</definedName>
    <definedName name="ltlpjob28">[7]Parameters!$I$157</definedName>
    <definedName name="ltlpjob29">[7]Parameters!$I$158</definedName>
    <definedName name="ltlpjob3">[7]Parameters!$I$132</definedName>
    <definedName name="ltlpjob30">[7]Parameters!$I$159</definedName>
    <definedName name="ltlpjob31">[7]Parameters!$I$160</definedName>
    <definedName name="ltlpjob32">[7]Parameters!$I$161</definedName>
    <definedName name="ltlpjob33">[7]Parameters!$I$162</definedName>
    <definedName name="ltlpjob34">[7]Parameters!$I$163</definedName>
    <definedName name="ltlpjob35">[7]Parameters!$I$164</definedName>
    <definedName name="ltlpjob36">[7]Parameters!$I$165</definedName>
    <definedName name="ltlpjob37">[7]Parameters!$I$166</definedName>
    <definedName name="ltlpjob38">[7]Parameters!$I$167</definedName>
    <definedName name="ltlpjob39">[7]Parameters!$I$168</definedName>
    <definedName name="ltlpjob4">[7]Parameters!$I$133</definedName>
    <definedName name="ltlpjob40">[7]Parameters!$I$169</definedName>
    <definedName name="ltlpjob41">[7]Parameters!$I$170</definedName>
    <definedName name="ltlpjob42">[7]Parameters!$I$171</definedName>
    <definedName name="ltlpjob43">[7]Parameters!$I$172</definedName>
    <definedName name="ltlpjob44">[7]Parameters!$I$173</definedName>
    <definedName name="ltlpjob45">[7]Parameters!$I$174</definedName>
    <definedName name="ltlpjob46">[7]Parameters!$I$175</definedName>
    <definedName name="ltlpjob47">[7]Parameters!$I$176</definedName>
    <definedName name="ltlpjob48">[7]Parameters!$I$177</definedName>
    <definedName name="ltlpjob49">[7]Parameters!$I$178</definedName>
    <definedName name="ltlpjob5">[7]Parameters!$I$134</definedName>
    <definedName name="ltlpjob50">[7]Parameters!$I$179</definedName>
    <definedName name="ltlpjob51">[7]Parameters!$I$180</definedName>
    <definedName name="ltlpjob52">[7]Parameters!$I$181</definedName>
    <definedName name="ltlpjob53">[7]Parameters!$I$182</definedName>
    <definedName name="ltlpjob54">[7]Parameters!$I$183</definedName>
    <definedName name="ltlpjob55">[7]Parameters!$I$184</definedName>
    <definedName name="ltlpjob56">[7]Parameters!$I$185</definedName>
    <definedName name="ltlpjob57">[7]Parameters!$I$186</definedName>
    <definedName name="ltlpjob58">[7]Parameters!$I$187</definedName>
    <definedName name="ltlpjob59">[7]Parameters!$I$188</definedName>
    <definedName name="ltlpjob6">[7]Parameters!$I$135</definedName>
    <definedName name="ltlpjob60">[7]Parameters!$I$189</definedName>
    <definedName name="ltlpjob61">[7]Parameters!$I$190</definedName>
    <definedName name="ltlpjob62">[7]Parameters!$I$191</definedName>
    <definedName name="ltlpjob63">[7]Parameters!$I$192</definedName>
    <definedName name="ltlpjob64">[7]Parameters!$I$193</definedName>
    <definedName name="ltlpjob65">[7]Parameters!$I$194</definedName>
    <definedName name="ltlpjob66">[7]Parameters!$I$195</definedName>
    <definedName name="ltlpjob67">[7]Parameters!$I$196</definedName>
    <definedName name="ltlpjob68">[7]Parameters!$I$197</definedName>
    <definedName name="ltlpjob69">[7]Parameters!$I$198</definedName>
    <definedName name="ltlpjob7">[7]Parameters!$I$136</definedName>
    <definedName name="ltlpjob70">[7]Parameters!$I$199</definedName>
    <definedName name="ltlpjob71">[7]Parameters!$I$200</definedName>
    <definedName name="ltlpjob72">[7]Parameters!$I$201</definedName>
    <definedName name="ltlpjob73">[7]Parameters!$I$202</definedName>
    <definedName name="ltlpjob74">[7]Parameters!$I$203</definedName>
    <definedName name="ltlpjob75">[7]Parameters!$I$204</definedName>
    <definedName name="ltlpjob8">[7]Parameters!$I$137</definedName>
    <definedName name="ltlpjob9">[7]Parameters!$I$138</definedName>
    <definedName name="ltlpname25">[7]Parameters!$C$154</definedName>
    <definedName name="ltlpname26">[7]Parameters!$C$155</definedName>
    <definedName name="ltlpname27">[7]Parameters!$C$156</definedName>
    <definedName name="ltlpname28">[7]Parameters!$C$157</definedName>
    <definedName name="ltlpname29">[7]Parameters!$C$158</definedName>
    <definedName name="ltlpname30">[7]Parameters!$C$159</definedName>
    <definedName name="ltlpname31">[7]Parameters!$C$160</definedName>
    <definedName name="ltlpname32">[7]Parameters!$C$161</definedName>
    <definedName name="ltlpname33">[7]Parameters!$C$162</definedName>
    <definedName name="ltlpname34">[7]Parameters!$C$163</definedName>
    <definedName name="ltlpname35">[7]Parameters!$C$164</definedName>
    <definedName name="ltlpname36">[7]Parameters!$C$165</definedName>
    <definedName name="ltlpname37">[7]Parameters!$C$166</definedName>
    <definedName name="ltlpname38">[7]Parameters!$C$167</definedName>
    <definedName name="ltlpname39">[7]Parameters!$C$168</definedName>
    <definedName name="ltlpname40">[7]Parameters!$C$169</definedName>
    <definedName name="ltlpname41">[7]Parameters!$C$170</definedName>
    <definedName name="ltlpname42">[7]Parameters!$C$171</definedName>
    <definedName name="ltlpname43">[7]Parameters!$C$172</definedName>
    <definedName name="ltlpname44">[7]Parameters!$C$173</definedName>
    <definedName name="ltlpname45">[7]Parameters!$C$174</definedName>
    <definedName name="ltlpname46">[7]Parameters!$C$175</definedName>
    <definedName name="ltlpname47">[7]Parameters!$C$176</definedName>
    <definedName name="ltlpname48">[7]Parameters!$C$177</definedName>
    <definedName name="ltlpname49">[7]Parameters!$C$178</definedName>
    <definedName name="ltlpname50">[7]Parameters!$C$179</definedName>
    <definedName name="ltlpname51">[7]Parameters!$C$180</definedName>
    <definedName name="ltlpname52">[7]Parameters!$C$181</definedName>
    <definedName name="ltlpname53">[7]Parameters!$C$182</definedName>
    <definedName name="ltlpname54">[7]Parameters!$C$183</definedName>
    <definedName name="ltlpname55">[7]Parameters!$C$184</definedName>
    <definedName name="ltlpname56">[7]Parameters!$C$185</definedName>
    <definedName name="ltlpname57">[7]Parameters!$C$186</definedName>
    <definedName name="ltlpname58">[7]Parameters!$C$187</definedName>
    <definedName name="ltlpname59">[7]Parameters!$C$188</definedName>
    <definedName name="ltlpname60">[7]Parameters!$C$189</definedName>
    <definedName name="ltlpname61">[7]Parameters!$C$190</definedName>
    <definedName name="ltlpname62">[7]Parameters!$C$191</definedName>
    <definedName name="ltlpname63">[7]Parameters!$C$192</definedName>
    <definedName name="ltlpname64">[7]Parameters!$C$193</definedName>
    <definedName name="ltlpname65">[7]Parameters!$C$194</definedName>
    <definedName name="ltlpname66">[7]Parameters!$C$195</definedName>
    <definedName name="ltlpname67">[7]Parameters!$C$196</definedName>
    <definedName name="ltlpname68">[7]Parameters!$C$197</definedName>
    <definedName name="ltlpname69">[7]Parameters!$C$198</definedName>
    <definedName name="ltlpname70">[7]Parameters!$C$199</definedName>
    <definedName name="ltlpname71">[7]Parameters!$C$200</definedName>
    <definedName name="ltlpname72">[7]Parameters!$C$201</definedName>
    <definedName name="ltlpname73">[7]Parameters!$C$202</definedName>
    <definedName name="ltlpname74">[7]Parameters!$C$203</definedName>
    <definedName name="ltlpname75">[7]Parameters!$C$204</definedName>
    <definedName name="ltlpsal25">[7]Parameters!$E$154</definedName>
    <definedName name="ltlpsal26">[7]Parameters!$E$155</definedName>
    <definedName name="ltlpsal27">[7]Parameters!$E$156</definedName>
    <definedName name="ltlpsal28">[7]Parameters!$E$157</definedName>
    <definedName name="ltlpsal29">[7]Parameters!$E$158</definedName>
    <definedName name="ltlpsal30">[7]Parameters!$E$159</definedName>
    <definedName name="ltlpsal31">[7]Parameters!$E$160</definedName>
    <definedName name="ltlpsal32">[7]Parameters!$E$161</definedName>
    <definedName name="ltlpsal33">[7]Parameters!$E$162</definedName>
    <definedName name="ltlpsal34">[7]Parameters!$E$163</definedName>
    <definedName name="ltlpsal35">[7]Parameters!$E$164</definedName>
    <definedName name="ltlpsal36">[7]Parameters!$E$165</definedName>
    <definedName name="ltlpsal37">[7]Parameters!$E$166</definedName>
    <definedName name="ltlpsal38">[7]Parameters!$E$167</definedName>
    <definedName name="ltlpsal39">[7]Parameters!$E$168</definedName>
    <definedName name="ltlpsal40">[7]Parameters!$E$169</definedName>
    <definedName name="ltlpsal41">[7]Parameters!$E$170</definedName>
    <definedName name="ltlpsal42">[7]Parameters!$E$171</definedName>
    <definedName name="ltlpsal43">[7]Parameters!$E$172</definedName>
    <definedName name="ltlpsal44">[7]Parameters!$E$173</definedName>
    <definedName name="ltlpsal45">[7]Parameters!$E$174</definedName>
    <definedName name="ltlpsal46">[7]Parameters!$E$175</definedName>
    <definedName name="ltlpsal47">[7]Parameters!$E$176</definedName>
    <definedName name="ltlpsal48">[7]Parameters!$E$177</definedName>
    <definedName name="ltlpsal49">[7]Parameters!$E$178</definedName>
    <definedName name="ltlpsal50">[7]Parameters!$E$179</definedName>
    <definedName name="ltlpsal51">[7]Parameters!$E$180</definedName>
    <definedName name="ltlpsal52">[7]Parameters!$E$181</definedName>
    <definedName name="ltlpsal53">[7]Parameters!$E$182</definedName>
    <definedName name="ltlpsal54">[7]Parameters!$E$183</definedName>
    <definedName name="ltlpsal55">[7]Parameters!$E$184</definedName>
    <definedName name="ltlpsal56">[7]Parameters!$E$185</definedName>
    <definedName name="ltlpsal57">[7]Parameters!$E$186</definedName>
    <definedName name="ltlpsal58">[7]Parameters!$E$187</definedName>
    <definedName name="ltlpsal59">[7]Parameters!$E$188</definedName>
    <definedName name="ltlpsal60">[7]Parameters!$E$189</definedName>
    <definedName name="ltlpsal61">[7]Parameters!$E$190</definedName>
    <definedName name="ltlpsal62">[7]Parameters!$E$191</definedName>
    <definedName name="ltlpsal63">[7]Parameters!$E$192</definedName>
    <definedName name="ltlpsal64">[7]Parameters!$E$193</definedName>
    <definedName name="ltlpsal65">[7]Parameters!$E$194</definedName>
    <definedName name="ltlpsal66">[7]Parameters!$E$195</definedName>
    <definedName name="ltlpsal67">[7]Parameters!$E$196</definedName>
    <definedName name="ltlpsal68">[7]Parameters!$E$197</definedName>
    <definedName name="ltlpsal69">[7]Parameters!$E$198</definedName>
    <definedName name="ltlpsal70">[7]Parameters!$E$199</definedName>
    <definedName name="ltlpsal71">[7]Parameters!$E$200</definedName>
    <definedName name="ltlpsal72">[7]Parameters!$E$201</definedName>
    <definedName name="ltlpsal73">[7]Parameters!$E$202</definedName>
    <definedName name="ltlpsal74">[7]Parameters!$E$203</definedName>
    <definedName name="ltlpsal75">[7]Parameters!$E$204</definedName>
    <definedName name="ltls">[7]Parameters!$A$376</definedName>
    <definedName name="ltls1">[7]Parameters!$A$378</definedName>
    <definedName name="ltls10">[7]Parameters!$A$387</definedName>
    <definedName name="ltls10co">[7]Parameters!$G$387</definedName>
    <definedName name="ltls10name">[7]Parameters!$C$387</definedName>
    <definedName name="ltls10sal1">[7]Parameters!$E$387</definedName>
    <definedName name="ltls11">[7]Parameters!$A$388</definedName>
    <definedName name="ltls11co">[7]Parameters!$G$388</definedName>
    <definedName name="ltls11name">[7]Parameters!$C$388</definedName>
    <definedName name="ltls11sal1">[7]Parameters!$E$388</definedName>
    <definedName name="ltls12">[7]Parameters!$A$389</definedName>
    <definedName name="ltls12co">[7]Parameters!$G$389</definedName>
    <definedName name="ltls12name">[7]Parameters!$C$389</definedName>
    <definedName name="ltls12sal1">[7]Parameters!$E$389</definedName>
    <definedName name="ltls13">[7]Parameters!$A$390</definedName>
    <definedName name="ltls13co">[7]Parameters!$G$390</definedName>
    <definedName name="ltls13name">[7]Parameters!$C$390</definedName>
    <definedName name="ltls13sal1">[7]Parameters!$E$390</definedName>
    <definedName name="ltls14">[7]Parameters!$A$391</definedName>
    <definedName name="ltls14co">[7]Parameters!$G$391</definedName>
    <definedName name="ltls14name">[7]Parameters!$C$391</definedName>
    <definedName name="ltls14sal1">[7]Parameters!$E$391</definedName>
    <definedName name="ltls15">[7]Parameters!$A$392</definedName>
    <definedName name="ltls16">[7]Parameters!$A$393</definedName>
    <definedName name="ltls17">[7]Parameters!$A$394</definedName>
    <definedName name="ltls18">[7]Parameters!$A$395</definedName>
    <definedName name="ltls19">[7]Parameters!$A$396</definedName>
    <definedName name="ltls1co">[7]Parameters!$G$378</definedName>
    <definedName name="ltls1name">[7]Parameters!$C$378</definedName>
    <definedName name="ltls1sal1">[7]Parameters!$E$378</definedName>
    <definedName name="ltls2">[7]Parameters!$A$379</definedName>
    <definedName name="ltls20">[7]Parameters!$A$397</definedName>
    <definedName name="ltls21">[7]Parameters!$A$398</definedName>
    <definedName name="ltls22">[7]Parameters!$A$399</definedName>
    <definedName name="ltls23">[7]Parameters!$A$400</definedName>
    <definedName name="ltls24">[7]Parameters!$A$401</definedName>
    <definedName name="ltls25">[7]Parameters!$A$402</definedName>
    <definedName name="ltls26">[7]Parameters!$A$403</definedName>
    <definedName name="ltls27">[7]Parameters!$A$404</definedName>
    <definedName name="ltls28">[7]Parameters!$A$405</definedName>
    <definedName name="ltls29">[7]Parameters!$A$406</definedName>
    <definedName name="ltls2co">[7]Parameters!$G$379</definedName>
    <definedName name="ltls2name">[7]Parameters!$C$379</definedName>
    <definedName name="ltls2sal1">[7]Parameters!$E$379</definedName>
    <definedName name="ltls3">[7]Parameters!$A$380</definedName>
    <definedName name="ltls30">[7]Parameters!$A$407</definedName>
    <definedName name="ltls31">[7]Parameters!$A$408</definedName>
    <definedName name="ltls32">[7]Parameters!$A$409</definedName>
    <definedName name="ltls33">[7]Parameters!$A$410</definedName>
    <definedName name="ltls34">[7]Parameters!$A$411</definedName>
    <definedName name="ltls35">[7]Parameters!$A$412</definedName>
    <definedName name="ltls36">[7]Parameters!$A$413</definedName>
    <definedName name="ltls37">[7]Parameters!$A$414</definedName>
    <definedName name="ltls38">[7]Parameters!$A$415</definedName>
    <definedName name="ltls39">[7]Parameters!$A$416</definedName>
    <definedName name="ltls3co">[7]Parameters!$G$380</definedName>
    <definedName name="ltls3name">[7]Parameters!$C$380</definedName>
    <definedName name="ltls3sal1">[7]Parameters!$E$380</definedName>
    <definedName name="ltls4">[7]Parameters!$A$381</definedName>
    <definedName name="ltls40">[7]Parameters!$A$417</definedName>
    <definedName name="ltls41">[7]Parameters!$A$418</definedName>
    <definedName name="ltls42">[7]Parameters!$A$419</definedName>
    <definedName name="ltls43">[7]Parameters!$A$420</definedName>
    <definedName name="ltls44">[7]Parameters!$A$421</definedName>
    <definedName name="ltls45">[7]Parameters!$A$422</definedName>
    <definedName name="ltls46">[7]Parameters!$A$423</definedName>
    <definedName name="ltls47">[7]Parameters!$A$424</definedName>
    <definedName name="ltls48">[7]Parameters!$A$425</definedName>
    <definedName name="ltls49">[7]Parameters!$A$426</definedName>
    <definedName name="ltls4co">[7]Parameters!$G$381</definedName>
    <definedName name="ltls4name">[7]Parameters!$C$381</definedName>
    <definedName name="ltls4sal1">[7]Parameters!$E$381</definedName>
    <definedName name="ltls5">[7]Parameters!$A$382</definedName>
    <definedName name="ltls50">[7]Parameters!$A$427</definedName>
    <definedName name="ltls51">[7]Parameters!$A$428</definedName>
    <definedName name="ltls52">[7]Parameters!$A$429</definedName>
    <definedName name="ltls5co">[7]Parameters!$G$382</definedName>
    <definedName name="ltls5name">[7]Parameters!$C$382</definedName>
    <definedName name="ltls5sal1">[7]Parameters!$E$382</definedName>
    <definedName name="ltls6">[7]Parameters!$A$383</definedName>
    <definedName name="ltls6co">[7]Parameters!$G$383</definedName>
    <definedName name="ltls6name">[7]Parameters!$C$383</definedName>
    <definedName name="ltls6sal1">[7]Parameters!$E$383</definedName>
    <definedName name="ltls7">[7]Parameters!$A$384</definedName>
    <definedName name="ltls7co">[7]Parameters!$G$384</definedName>
    <definedName name="ltls7name">[7]Parameters!$C$384</definedName>
    <definedName name="ltls7sal1">[7]Parameters!$E$384</definedName>
    <definedName name="ltls8">[7]Parameters!$A$385</definedName>
    <definedName name="ltls8co">[7]Parameters!$G$385</definedName>
    <definedName name="ltls8name">[7]Parameters!$C$385</definedName>
    <definedName name="ltls8sal1">[7]Parameters!$E$385</definedName>
    <definedName name="ltls9">[7]Parameters!$A$386</definedName>
    <definedName name="ltls9co">[7]Parameters!$G$386</definedName>
    <definedName name="ltls9name">[7]Parameters!$C$386</definedName>
    <definedName name="ltls9sal1">[7]Parameters!$E$386</definedName>
    <definedName name="ltlsco15">[7]Parameters!$G$392</definedName>
    <definedName name="ltlsco16">[7]Parameters!$G$393</definedName>
    <definedName name="ltlsco17">[7]Parameters!$G$394</definedName>
    <definedName name="ltlsco18">[7]Parameters!$G$395</definedName>
    <definedName name="ltlsco19">[7]Parameters!$G$396</definedName>
    <definedName name="ltlsco20">[7]Parameters!$G$397</definedName>
    <definedName name="ltlsco21">[7]Parameters!$G$398</definedName>
    <definedName name="ltlsco22">[7]Parameters!$G$399</definedName>
    <definedName name="ltlsco23">[7]Parameters!$G$400</definedName>
    <definedName name="ltlsco24">[7]Parameters!$G$401</definedName>
    <definedName name="ltlsco25">[7]Parameters!$G$402</definedName>
    <definedName name="ltlsco26">[7]Parameters!$G$403</definedName>
    <definedName name="ltlsco27">[7]Parameters!$G$404</definedName>
    <definedName name="ltlsco28">[7]Parameters!$G$405</definedName>
    <definedName name="ltlsco29">[7]Parameters!$G$406</definedName>
    <definedName name="ltlsco30">[7]Parameters!$G$407</definedName>
    <definedName name="ltlsco31">[7]Parameters!$G$408</definedName>
    <definedName name="ltlsco32">[7]Parameters!$G$409</definedName>
    <definedName name="ltlsco33">[7]Parameters!$G$410</definedName>
    <definedName name="ltlsco34">[7]Parameters!$G$411</definedName>
    <definedName name="ltlsco35">[7]Parameters!$G$412</definedName>
    <definedName name="ltlsco36">[7]Parameters!$G$413</definedName>
    <definedName name="ltlsco37">[7]Parameters!$G$414</definedName>
    <definedName name="ltlsco38">[7]Parameters!$G$415</definedName>
    <definedName name="ltlsco39">[7]Parameters!$G$416</definedName>
    <definedName name="ltlsco40">[7]Parameters!$G$417</definedName>
    <definedName name="ltlsco41">[7]Parameters!$G$418</definedName>
    <definedName name="ltlsco42">[7]Parameters!$G$419</definedName>
    <definedName name="ltlsco43">[7]Parameters!$G$420</definedName>
    <definedName name="ltlsco44">[7]Parameters!$G$421</definedName>
    <definedName name="ltlsco45">[7]Parameters!$G$422</definedName>
    <definedName name="ltlsco46">[7]Parameters!$G$423</definedName>
    <definedName name="ltlsco47">[7]Parameters!$G$424</definedName>
    <definedName name="ltlsco48">[7]Parameters!$G$425</definedName>
    <definedName name="ltlsco49">[7]Parameters!$G$426</definedName>
    <definedName name="ltlsco50">[7]Parameters!$G$427</definedName>
    <definedName name="ltlsco51">[7]Parameters!$G$428</definedName>
    <definedName name="ltlsjob1">[7]Parameters!$I$378</definedName>
    <definedName name="ltlsjob10">[7]Parameters!$I$387</definedName>
    <definedName name="ltlsjob11">[7]Parameters!$I$388</definedName>
    <definedName name="ltlsjob12">[7]Parameters!$I$389</definedName>
    <definedName name="ltlsjob13">[7]Parameters!$I$390</definedName>
    <definedName name="ltlsjob14">[7]Parameters!$I$391</definedName>
    <definedName name="ltlsjob15">[7]Parameters!$I$392</definedName>
    <definedName name="ltlsjob16">[7]Parameters!$I$393</definedName>
    <definedName name="ltlsjob17">[7]Parameters!$I$394</definedName>
    <definedName name="ltlsjob18">[7]Parameters!$I$395</definedName>
    <definedName name="ltlsjob19">[7]Parameters!$I$396</definedName>
    <definedName name="ltlsjob2">[7]Parameters!$I$379</definedName>
    <definedName name="ltlsjob20">[7]Parameters!$I$397</definedName>
    <definedName name="ltlsjob21">[7]Parameters!$I$398</definedName>
    <definedName name="ltlsjob22">[7]Parameters!$I$399</definedName>
    <definedName name="ltlsjob23">[7]Parameters!$I$400</definedName>
    <definedName name="ltlsjob24">[7]Parameters!$I$401</definedName>
    <definedName name="ltlsjob25">[7]Parameters!$I$402</definedName>
    <definedName name="ltlsjob26">[7]Parameters!$I$403</definedName>
    <definedName name="ltlsjob27">[7]Parameters!$I$404</definedName>
    <definedName name="ltlsjob28">[7]Parameters!$I$405</definedName>
    <definedName name="ltlsjob29">[7]Parameters!$I$406</definedName>
    <definedName name="ltlsjob3">[7]Parameters!$I$380</definedName>
    <definedName name="ltlsjob30">[7]Parameters!$I$407</definedName>
    <definedName name="ltlsjob31">[7]Parameters!$I$408</definedName>
    <definedName name="ltlsjob32">[7]Parameters!$I$409</definedName>
    <definedName name="ltlsjob33">[7]Parameters!$I$410</definedName>
    <definedName name="ltlsjob34">[7]Parameters!$I$411</definedName>
    <definedName name="ltlsjob35">[7]Parameters!$I$412</definedName>
    <definedName name="ltlsjob36">[7]Parameters!$I$413</definedName>
    <definedName name="ltlsjob37">[7]Parameters!$I$414</definedName>
    <definedName name="ltlsjob38">[7]Parameters!$I$415</definedName>
    <definedName name="ltlsjob39">[7]Parameters!$I$416</definedName>
    <definedName name="ltlsjob4">[7]Parameters!$I$381</definedName>
    <definedName name="ltlsjob40">[7]Parameters!$I$417</definedName>
    <definedName name="ltlsjob41">[7]Parameters!$I$418</definedName>
    <definedName name="ltlsjob42">[7]Parameters!$I$419</definedName>
    <definedName name="ltlsjob43">[7]Parameters!$I$420</definedName>
    <definedName name="ltlsjob44">[7]Parameters!$I$421</definedName>
    <definedName name="ltlsjob45">[7]Parameters!$I$422</definedName>
    <definedName name="ltlsjob46">[7]Parameters!$I$423</definedName>
    <definedName name="ltlsjob47">[7]Parameters!$I$424</definedName>
    <definedName name="ltlsjob48">[7]Parameters!$I$425</definedName>
    <definedName name="ltlsjob49">[7]Parameters!$I$426</definedName>
    <definedName name="ltlsjob5">[7]Parameters!$I$382</definedName>
    <definedName name="ltlsjob50">[7]Parameters!$I$427</definedName>
    <definedName name="ltlsjob51">[7]Parameters!$I$428</definedName>
    <definedName name="ltlsjob6">[7]Parameters!$I$383</definedName>
    <definedName name="ltlsjob7">[7]Parameters!$I$384</definedName>
    <definedName name="ltlsjob8">[7]Parameters!$I$385</definedName>
    <definedName name="ltlsjob9">[7]Parameters!$I$386</definedName>
    <definedName name="ltlsname15">[7]Parameters!$C$392</definedName>
    <definedName name="ltlsname16">[7]Parameters!$C$393</definedName>
    <definedName name="ltlsname17">[7]Parameters!$C$394</definedName>
    <definedName name="ltlsname18">[7]Parameters!$C$395</definedName>
    <definedName name="ltlsname19">[7]Parameters!$C$396</definedName>
    <definedName name="ltlsname20">[7]Parameters!$C$397</definedName>
    <definedName name="ltlsname21">[7]Parameters!$C$398</definedName>
    <definedName name="ltlsname22">[7]Parameters!$C$399</definedName>
    <definedName name="ltlsname23">[7]Parameters!$C$400</definedName>
    <definedName name="ltlsname24">[7]Parameters!$C$401</definedName>
    <definedName name="ltlsname25">[7]Parameters!$C$402</definedName>
    <definedName name="ltlsname26">[7]Parameters!$C$403</definedName>
    <definedName name="ltlsname27">[7]Parameters!$C$404</definedName>
    <definedName name="ltlsname28">[7]Parameters!$C$405</definedName>
    <definedName name="ltlsname29">[7]Parameters!$C$406</definedName>
    <definedName name="ltlsname30">[7]Parameters!$C$407</definedName>
    <definedName name="ltlsname31">[7]Parameters!$C$408</definedName>
    <definedName name="ltlsname32">[7]Parameters!$C$409</definedName>
    <definedName name="ltlsname33">[7]Parameters!$C$410</definedName>
    <definedName name="ltlsname34">[7]Parameters!$C$411</definedName>
    <definedName name="ltlsname35">[7]Parameters!$C$412</definedName>
    <definedName name="ltlsname36">[7]Parameters!$C$413</definedName>
    <definedName name="ltlsname37">[7]Parameters!$C$414</definedName>
    <definedName name="ltlsname38">[7]Parameters!$C$415</definedName>
    <definedName name="ltlsname39">[7]Parameters!$C$416</definedName>
    <definedName name="ltlsname40">[7]Parameters!$C$417</definedName>
    <definedName name="ltlsname41">[7]Parameters!$C$418</definedName>
    <definedName name="ltlsname42">[7]Parameters!$C$419</definedName>
    <definedName name="ltlsname43">[7]Parameters!$C$420</definedName>
    <definedName name="ltlsname44">[7]Parameters!$C$421</definedName>
    <definedName name="ltlsname45">[7]Parameters!$C$422</definedName>
    <definedName name="ltlsname46">[7]Parameters!$C$423</definedName>
    <definedName name="ltlsname47">[7]Parameters!$C$424</definedName>
    <definedName name="ltlsname48">[7]Parameters!$C$425</definedName>
    <definedName name="ltlsname49">[7]Parameters!$C$426</definedName>
    <definedName name="ltlsname50">[7]Parameters!$C$427</definedName>
    <definedName name="ltlsname51">[7]Parameters!$C$428</definedName>
    <definedName name="ltlssal15">[7]Parameters!$E$392</definedName>
    <definedName name="ltlssal16">[7]Parameters!$E$393</definedName>
    <definedName name="ltlssal17">[7]Parameters!$E$394</definedName>
    <definedName name="ltlssal18">[7]Parameters!$E$395</definedName>
    <definedName name="ltlssal19">[7]Parameters!$E$396</definedName>
    <definedName name="ltlssal20">[7]Parameters!$E$397</definedName>
    <definedName name="ltlssal21">[7]Parameters!$E$398</definedName>
    <definedName name="ltlssal22">[7]Parameters!$E$399</definedName>
    <definedName name="ltlssal23">[7]Parameters!$E$400</definedName>
    <definedName name="ltlssal24">[7]Parameters!$E$401</definedName>
    <definedName name="ltlssal25">[7]Parameters!$E$402</definedName>
    <definedName name="ltlssal26">[7]Parameters!$E$403</definedName>
    <definedName name="ltlssal27">[7]Parameters!$E$404</definedName>
    <definedName name="ltlssal28">[7]Parameters!$E$405</definedName>
    <definedName name="ltlssal29">[7]Parameters!$E$406</definedName>
    <definedName name="ltlssal30">[7]Parameters!$E$407</definedName>
    <definedName name="ltlssal31">[7]Parameters!$E$408</definedName>
    <definedName name="ltlssal32">[7]Parameters!$E$409</definedName>
    <definedName name="ltlssal33">[7]Parameters!$E$410</definedName>
    <definedName name="ltlssal34">[7]Parameters!$E$411</definedName>
    <definedName name="ltlssal35">[7]Parameters!$E$412</definedName>
    <definedName name="ltlssal36">[7]Parameters!$E$413</definedName>
    <definedName name="ltlssal37">[7]Parameters!$E$414</definedName>
    <definedName name="ltlssal38">[7]Parameters!$E$415</definedName>
    <definedName name="ltlssal39">[7]Parameters!$E$416</definedName>
    <definedName name="ltlssal40">[7]Parameters!$E$417</definedName>
    <definedName name="ltlssal41">[7]Parameters!$E$418</definedName>
    <definedName name="ltlssal42">[7]Parameters!$E$419</definedName>
    <definedName name="ltlssal43">[7]Parameters!$E$420</definedName>
    <definedName name="ltlssal44">[7]Parameters!$E$421</definedName>
    <definedName name="ltlssal45">[7]Parameters!$E$422</definedName>
    <definedName name="ltlssal46">[7]Parameters!$E$423</definedName>
    <definedName name="ltlssal47">[7]Parameters!$E$424</definedName>
    <definedName name="ltlssal48">[7]Parameters!$E$425</definedName>
    <definedName name="ltlssal49">[7]Parameters!$E$426</definedName>
    <definedName name="ltlssal50">[7]Parameters!$E$427</definedName>
    <definedName name="ltlssal51">[7]Parameters!$E$428</definedName>
    <definedName name="ltstravel">[33]Parameters!$C$53</definedName>
    <definedName name="LTTA">#REF!</definedName>
    <definedName name="lttravel">[33]Parameters!$C$52</definedName>
    <definedName name="Lttripfactor">[12]Sheet1!$C$17</definedName>
    <definedName name="mac_lg_UI_List">#REF!</definedName>
    <definedName name="MACROS">#REF!</definedName>
    <definedName name="MADAC">[23]formulas!#REF!</definedName>
    <definedName name="makeready">[12]Sheet1!$C$47</definedName>
    <definedName name="maliinflation">#REF!</definedName>
    <definedName name="malitravel">[12]Sheet1!$C$34</definedName>
    <definedName name="mapping">[34]mapping!$A$8:$I$532</definedName>
    <definedName name="MaritalStatus">#REF!</definedName>
    <definedName name="match">'[3]Detailed Budget-SAVE'!#REF!</definedName>
    <definedName name="maybe" localSheetId="0" hidden="1">{#N/A,#N/A,FALSE,"ManLoading"}</definedName>
    <definedName name="maybe" hidden="1">{#N/A,#N/A,FALSE,"ManLoading"}</definedName>
    <definedName name="ME">[5]Parameters!#REF!</definedName>
    <definedName name="med">#REF!</definedName>
    <definedName name="medevac">[5]Parameters!$D$17</definedName>
    <definedName name="medex">232</definedName>
    <definedName name="Merit">'[28]Detail-1'!$J$1</definedName>
    <definedName name="mh">#REF!</definedName>
    <definedName name="Mid_Level_CCNRate">[32]Assumptions!$B$15</definedName>
    <definedName name="Mid_Level_TCNRate">[32]Assumptions!$B$13</definedName>
    <definedName name="mie">#REF!</definedName>
    <definedName name="mielima">[5]Parameters!#REF!</definedName>
    <definedName name="mieother">[5]Parameters!#REF!</definedName>
    <definedName name="MOBIS_Schedule">#REF!</definedName>
    <definedName name="Moldova">#REF!</definedName>
    <definedName name="Moldova_F2F">#REF!</definedName>
    <definedName name="MonthHeader_Values" localSheetId="0">EOMONTH(DATE('[14]Yearly Planner'!StartYear,8,1),{0,1,2,3,4,5,6,7,8,9,10,11})+1</definedName>
    <definedName name="MonthHeader_Values">EOMONTH(DATE('[14]Yearly Planner'!StartYear,8,1),{0,1,2,3,4,5,6,7,8,9,10,11})+1</definedName>
    <definedName name="MSE">#REF!</definedName>
    <definedName name="msicoreclin1">#REF!</definedName>
    <definedName name="msicoreclin2">#REF!</definedName>
    <definedName name="msicoreclin3">#REF!</definedName>
    <definedName name="msitaclin1">#REF!</definedName>
    <definedName name="msitaclin2">#REF!</definedName>
    <definedName name="msitaclin3">#REF!</definedName>
    <definedName name="Mult_Yr1to3">#REF!</definedName>
    <definedName name="Mult_Yr4">#REF!</definedName>
    <definedName name="Mult_Yr5">#REF!</definedName>
    <definedName name="Multipliers_by_AMAP_year">#REF!</definedName>
    <definedName name="Multiply4">[10]RATES!#REF!</definedName>
    <definedName name="Multiply5">[10]RATES!#REF!</definedName>
    <definedName name="name" localSheetId="0" hidden="1">{#N/A,#N/A,FALSE,"ManLoading"}</definedName>
    <definedName name="name" hidden="1">{#N/A,#N/A,FALSE,"ManLoading"}</definedName>
    <definedName name="NAMEA">#REF!</definedName>
    <definedName name="napsa">#REF!</definedName>
    <definedName name="National_factor_year1">#REF!</definedName>
    <definedName name="National_factor_year2">#REF!</definedName>
    <definedName name="National_factor_year3">#REF!</definedName>
    <definedName name="National_factor_year4">#REF!</definedName>
    <definedName name="National_factor_year5">#REF!</definedName>
    <definedName name="NativeTimeline_Date">#N/A</definedName>
    <definedName name="NativeTimeline_Date1">#N/A</definedName>
    <definedName name="NatRes11">[10]RATES!#REF!</definedName>
    <definedName name="NAWGA">#N/A</definedName>
    <definedName name="New">[35]Sheet1!$M$3:$M$8</definedName>
    <definedName name="NFPA">#N/A</definedName>
    <definedName name="NICRA_GA">#REF!</definedName>
    <definedName name="NICRA_Overhead">#REF!</definedName>
    <definedName name="no" localSheetId="0" hidden="1">{#N/A,#N/A,FALSE,"ManLoading"}</definedName>
    <definedName name="no" hidden="1">{#N/A,#N/A,FALSE,"ManLoading"}</definedName>
    <definedName name="none" localSheetId="0" hidden="1">{#N/A,#N/A,FALSE,"ManLoading"}</definedName>
    <definedName name="none" hidden="1">{#N/A,#N/A,FALSE,"ManLoading"}</definedName>
    <definedName name="none1" localSheetId="0" hidden="1">{#N/A,#N/A,FALSE,"ManLoading"}</definedName>
    <definedName name="none1" hidden="1">{#N/A,#N/A,FALSE,"ManLoading"}</definedName>
    <definedName name="ODC">[10]RATES!#REF!</definedName>
    <definedName name="ODC_Escalation">#REF!</definedName>
    <definedName name="ODC_Escalation_DPK">[32]Assumptions!$B$10</definedName>
    <definedName name="ODCesc">[16]Assumptions!$H$14</definedName>
    <definedName name="OH">#REF!</definedName>
    <definedName name="OnCNFA">#REF!</definedName>
    <definedName name="Other_Direct_Costs">'[13]INPUTS Year 1'!#REF!</definedName>
    <definedName name="Other11">[10]RATES!#REF!</definedName>
    <definedName name="Other13">[10]RATES!#REF!</definedName>
    <definedName name="Othertotalpd">[17]Parameters!$B$32</definedName>
    <definedName name="overhead">#REF!</definedName>
    <definedName name="PAGE4" localSheetId="0" hidden="1">{"actuals_1",#N/A,FALSE,"CO 1 YRS";"burden_1",#N/A,FALSE,"CO 1 YRS";"input",#N/A,FALSE,"INPUT"}</definedName>
    <definedName name="PAGE4" hidden="1">{"actuals_1",#N/A,FALSE,"CO 1 YRS";"burden_1",#N/A,FALSE,"CO 1 YRS";"input",#N/A,FALSE,"INPUT"}</definedName>
    <definedName name="PATTA">#REF!</definedName>
    <definedName name="paye">#REF!</definedName>
    <definedName name="payroll">#REF!</definedName>
    <definedName name="payslips">#REF!</definedName>
    <definedName name="pd">[5]Parameters!$D$49</definedName>
    <definedName name="PDDAYS">#N/A</definedName>
    <definedName name="pdintl">[7]Parameters!$B$534</definedName>
    <definedName name="pdloc">[7]Parameters!$B$535</definedName>
    <definedName name="pdother">[5]Parameters!$D$50</definedName>
    <definedName name="pdotherdos">[5]Parameters!$D$54</definedName>
    <definedName name="pdpesh">[7]Parameters!$B$537</definedName>
    <definedName name="Per_Diem1">#REF!</definedName>
    <definedName name="Per_Diem2">#REF!</definedName>
    <definedName name="Per_Diem3">#REF!</definedName>
    <definedName name="Perdiem">[16]Assumptions!$B$23:$F$25</definedName>
    <definedName name="perdiembko">[12]Sheet1!$C$22</definedName>
    <definedName name="perdiemdays">[36]Info!$C$14</definedName>
    <definedName name="perdieme">[33]Parameters!$C$33</definedName>
    <definedName name="perdiemfactor">[12]Sheet1!$C$26</definedName>
    <definedName name="perdiemintl">[12]Sheet1!$C$24</definedName>
    <definedName name="perdiemoth">[12]Sheet1!$C$25</definedName>
    <definedName name="Person_Days">#REF!</definedName>
    <definedName name="Person_Year">#REF!</definedName>
    <definedName name="PIP">#N/A</definedName>
    <definedName name="PM">[10]RATES!#REF!</definedName>
    <definedName name="pmperdiem">#REF!</definedName>
    <definedName name="Policy11">[10]RATES!#REF!</definedName>
    <definedName name="Policy12">[10]RATES!#REF!</definedName>
    <definedName name="Policy13">[10]RATES!#REF!</definedName>
    <definedName name="Post_Differential">#REF!</definedName>
    <definedName name="postdiff">[5]Parameters!$D$55</definedName>
    <definedName name="_xlnm.Print_Area" localSheetId="0">'Activity XX'!$A$10:$W$86</definedName>
    <definedName name="_xlnm.Print_Area">#REF!</definedName>
    <definedName name="Print_Area_MI" localSheetId="0">#REF!</definedName>
    <definedName name="Print_Area_MI">#REF!</definedName>
    <definedName name="Print_Area2">#REF!</definedName>
    <definedName name="_xlnm.Print_Titles" localSheetId="0">'Activity XX'!$10:$11</definedName>
    <definedName name="_xlnm.Print_Titles">#N/A</definedName>
    <definedName name="Print_Titles_MI" localSheetId="0">#REF!</definedName>
    <definedName name="Print_Titles_MI">#REF!</definedName>
    <definedName name="Profit">#REF!</definedName>
    <definedName name="project">[7]Parameters!$B$5</definedName>
    <definedName name="Project_support_costs">#REF!</definedName>
    <definedName name="proposed" localSheetId="0" hidden="1">{#N/A,#N/A,FALSE,"ManLoading"}</definedName>
    <definedName name="proposed" hidden="1">{#N/A,#N/A,FALSE,"ManLoading"}</definedName>
    <definedName name="PURD">#N/A</definedName>
    <definedName name="PURD1">#N/A</definedName>
    <definedName name="PURD4">#N/A</definedName>
    <definedName name="q">#REF!</definedName>
    <definedName name="quetzaltenango">#REF!</definedName>
    <definedName name="quiche">#REF!</definedName>
    <definedName name="Raises_Expat">#REF!</definedName>
    <definedName name="Raises_HCN">#REF!</definedName>
    <definedName name="Raises_TCN">#REF!</definedName>
    <definedName name="Rate1">#REF!</definedName>
    <definedName name="Rate2">#REF!</definedName>
    <definedName name="rate3">#REF!</definedName>
    <definedName name="Rate4">#REF!</definedName>
    <definedName name="Rate5">#REF!</definedName>
    <definedName name="Rate6">#REF!</definedName>
    <definedName name="Rate7">#REF!</definedName>
    <definedName name="Rate8">#REF!</definedName>
    <definedName name="Rate9">#REF!</definedName>
    <definedName name="ratecos">#REF!</definedName>
    <definedName name="regina" hidden="1">[2]IPA!#REF!</definedName>
    <definedName name="Regional_Offices">'[37] Program Support Costs'!#REF!</definedName>
    <definedName name="remit_zra">#REF!</definedName>
    <definedName name="RETdirectdeposit">#REF!</definedName>
    <definedName name="rfp">[5]Parameters!$B$4</definedName>
    <definedName name="RFPNo">[4]Parameters!$B$2</definedName>
    <definedName name="room">#REF!</definedName>
    <definedName name="rovercost">[5]Parameters!$H$30</definedName>
    <definedName name="rr">[5]Parameters!$D$25</definedName>
    <definedName name="rrair">[17]Parameters!$B$40</definedName>
    <definedName name="rrrrr">'[38]05TRANS'!$B$7:$L$34</definedName>
    <definedName name="rsa_inflation">#REF!</definedName>
    <definedName name="rtecon">[5]Parameters!$D$24</definedName>
    <definedName name="RYUK" localSheetId="0" hidden="1">{"PAGE1",#N/A,FALSE,"CPFFMSTR";"PAGE2",#N/A,FALSE,"CPFFMSTR"}</definedName>
    <definedName name="RYUK" hidden="1">{"PAGE1",#N/A,FALSE,"CPFFMSTR";"PAGE2",#N/A,FALSE,"CPFFMSTR"}</definedName>
    <definedName name="sa">#REF!</definedName>
    <definedName name="SAL">#REF!</definedName>
    <definedName name="salary_inflation">'[39]Formula Values'!$B$4</definedName>
    <definedName name="SALARYORHOURLY">#REF!</definedName>
    <definedName name="salesc">0.05</definedName>
    <definedName name="salinc">#REF!</definedName>
    <definedName name="salincr">[5]Parameters!$D$7</definedName>
    <definedName name="salincrease">[36]Info!$C$5</definedName>
    <definedName name="salincrloc">[7]Parameters!$B$503</definedName>
    <definedName name="salmaxes6">[7]Parameters!$B$559</definedName>
    <definedName name="salmaxfsn">[7]Parameters!$B$560</definedName>
    <definedName name="sanmarcos">#REF!</definedName>
    <definedName name="sc">[40]Sheet1!$M$3:$M$8</definedName>
    <definedName name="sda" localSheetId="0" hidden="1">{#N/A,#N/A,FALSE,"ManLoading"}</definedName>
    <definedName name="sda" hidden="1">{#N/A,#N/A,FALSE,"ManLoading"}</definedName>
    <definedName name="sdfg" localSheetId="0" hidden="1">{"PAGE1",#N/A,FALSE,"CPFFMSTR";"PAGE2",#N/A,FALSE,"CPFFMSTR"}</definedName>
    <definedName name="sdfg" hidden="1">{"PAGE1",#N/A,FALSE,"CPFFMSTR";"PAGE2",#N/A,FALSE,"CPFFMSTR"}</definedName>
    <definedName name="Senior_CCNRate">[32]Assumptions!$B$14</definedName>
    <definedName name="Senior_TCNRate">[32]Assumptions!$B$12</definedName>
    <definedName name="SEV">#REF!</definedName>
    <definedName name="severance">[5]Parameters!$D$64</definedName>
    <definedName name="severancedata">'[21]Summary Budget'!$O$34:$R$35</definedName>
    <definedName name="SEVPA">#REF!</definedName>
    <definedName name="SFG" localSheetId="0" hidden="1">{"PAGE1",#N/A,FALSE,"CPFFMSTR";"PAGE2",#N/A,FALSE,"CPFFMSTR"}</definedName>
    <definedName name="SFG" hidden="1">{"PAGE1",#N/A,FALSE,"CPFFMSTR";"PAGE2",#N/A,FALSE,"CPFFMSTR"}</definedName>
    <definedName name="sho">'[3]Detailed Budget-SAVE'!#REF!</definedName>
    <definedName name="Site">[10]RATES!#REF!</definedName>
    <definedName name="small">#REF!</definedName>
    <definedName name="staff">[41]Sheet1!$M$3:$M$8</definedName>
    <definedName name="staff_fringe">#REF!</definedName>
    <definedName name="stafffringe">#REF!</definedName>
    <definedName name="staffperdiem">#REF!</definedName>
    <definedName name="START">#N/A</definedName>
    <definedName name="startdate">#REF!</definedName>
    <definedName name="stexpercent">[5]Parameters!$D$30</definedName>
    <definedName name="stlp">[7]Parameters!$A$298</definedName>
    <definedName name="stlp1">[7]Parameters!$A$300</definedName>
    <definedName name="stlp10">[7]Parameters!$A$309</definedName>
    <definedName name="stlp10co">[7]Parameters!$G$309</definedName>
    <definedName name="stlp10name">[7]Parameters!$C$309</definedName>
    <definedName name="stlp10sal1">[7]Parameters!$E$309</definedName>
    <definedName name="stlp11">[7]Parameters!$A$310</definedName>
    <definedName name="stlp12">[7]Parameters!$A$311</definedName>
    <definedName name="stlp13">[7]Parameters!$A$312</definedName>
    <definedName name="stlp14">[7]Parameters!$A$313</definedName>
    <definedName name="stlp15">[7]Parameters!$A$314</definedName>
    <definedName name="stlp16">[7]Parameters!$A$315</definedName>
    <definedName name="stlp17">[7]Parameters!$A$316</definedName>
    <definedName name="stlp18">[7]Parameters!$A$317</definedName>
    <definedName name="stlp19">[7]Parameters!$A$318</definedName>
    <definedName name="stlp1co">[7]Parameters!$G$300</definedName>
    <definedName name="stlp1name">[7]Parameters!$C$300</definedName>
    <definedName name="stlp1sal1">[7]Parameters!$E$300</definedName>
    <definedName name="stlp2">[7]Parameters!$A$301</definedName>
    <definedName name="stlp20">[7]Parameters!$A$319</definedName>
    <definedName name="stlp21">[7]Parameters!$A$320</definedName>
    <definedName name="stlp22">[7]Parameters!$A$321</definedName>
    <definedName name="stlp23">[7]Parameters!$A$322</definedName>
    <definedName name="stlp24">[7]Parameters!$A$323</definedName>
    <definedName name="stlp25">[7]Parameters!$A$324</definedName>
    <definedName name="stlp26">[7]Parameters!$A$325</definedName>
    <definedName name="stlp27">[7]Parameters!$A$326</definedName>
    <definedName name="stlp28">[7]Parameters!$A$327</definedName>
    <definedName name="stlp29">[7]Parameters!$A$328</definedName>
    <definedName name="stlp2co">[7]Parameters!$G$301</definedName>
    <definedName name="stlp2name">[7]Parameters!$C$301</definedName>
    <definedName name="stlp2sal1">[7]Parameters!$E$301</definedName>
    <definedName name="stlp3">[7]Parameters!$A$302</definedName>
    <definedName name="stlp30">[7]Parameters!$A$329</definedName>
    <definedName name="stlp31">[7]Parameters!$A$330</definedName>
    <definedName name="stlp32">[7]Parameters!$A$331</definedName>
    <definedName name="stlp33">[7]Parameters!$A$332</definedName>
    <definedName name="stlp34">[7]Parameters!$A$333</definedName>
    <definedName name="stlp35">[7]Parameters!$A$334</definedName>
    <definedName name="stlp36">[7]Parameters!$A$335</definedName>
    <definedName name="stlp37">[7]Parameters!$A$336</definedName>
    <definedName name="stlp38">[7]Parameters!$A$337</definedName>
    <definedName name="stlp39">[7]Parameters!$A$338</definedName>
    <definedName name="stlp3co">[7]Parameters!$G$302</definedName>
    <definedName name="stlp3name">[7]Parameters!$C$302</definedName>
    <definedName name="stlp3sal1">[7]Parameters!$E$302</definedName>
    <definedName name="stlp4">[7]Parameters!$A$303</definedName>
    <definedName name="stlp40">[7]Parameters!$A$339</definedName>
    <definedName name="stlp41">[7]Parameters!$A$340</definedName>
    <definedName name="stlp42">[7]Parameters!$A$341</definedName>
    <definedName name="stlp43">[7]Parameters!$A$342</definedName>
    <definedName name="stlp44">[7]Parameters!$A$343</definedName>
    <definedName name="stlp45">[7]Parameters!$A$344</definedName>
    <definedName name="stlp46">[7]Parameters!$A$345</definedName>
    <definedName name="stlp47">[7]Parameters!$A$346</definedName>
    <definedName name="stlp48">[7]Parameters!$A$347</definedName>
    <definedName name="stlp49">[7]Parameters!$A$348</definedName>
    <definedName name="stlp4co">[7]Parameters!$G$303</definedName>
    <definedName name="stlp4name">[7]Parameters!$C$303</definedName>
    <definedName name="stlp4sal1">[7]Parameters!$E$303</definedName>
    <definedName name="stlp5">[7]Parameters!$A$304</definedName>
    <definedName name="stlp50">[7]Parameters!$A$349</definedName>
    <definedName name="stlp51">[7]Parameters!$A$350</definedName>
    <definedName name="stlp52">[7]Parameters!$A$351</definedName>
    <definedName name="stlp53">[7]Parameters!$A$352</definedName>
    <definedName name="stlp54">[7]Parameters!$A$353</definedName>
    <definedName name="stlp55">[7]Parameters!$A$354</definedName>
    <definedName name="stlp56">[7]Parameters!$A$355</definedName>
    <definedName name="stlp57">[7]Parameters!$A$356</definedName>
    <definedName name="stlp58">[7]Parameters!$A$357</definedName>
    <definedName name="stlp59">[7]Parameters!$A$358</definedName>
    <definedName name="stlp5co">[7]Parameters!$G$304</definedName>
    <definedName name="stlp5name">[7]Parameters!$C$304</definedName>
    <definedName name="stlp5sal1">[7]Parameters!$E$304</definedName>
    <definedName name="stlp6">[7]Parameters!$A$305</definedName>
    <definedName name="stlp60">[7]Parameters!$A$359</definedName>
    <definedName name="stlp61">[7]Parameters!$A$360</definedName>
    <definedName name="stlp62">[7]Parameters!$A$361</definedName>
    <definedName name="stlp63">[7]Parameters!$A$362</definedName>
    <definedName name="stlp64">[7]Parameters!$A$363</definedName>
    <definedName name="stlp65">[7]Parameters!$A$364</definedName>
    <definedName name="stlp66">[7]Parameters!$A$365</definedName>
    <definedName name="stlp67">[7]Parameters!$A$366</definedName>
    <definedName name="stlp68">[7]Parameters!$A$367</definedName>
    <definedName name="stlp69">[7]Parameters!$A$368</definedName>
    <definedName name="stlp6co">[7]Parameters!$G$305</definedName>
    <definedName name="stlp6name">[7]Parameters!$C$305</definedName>
    <definedName name="stlp6sal1">[7]Parameters!$E$305</definedName>
    <definedName name="stlp7">[7]Parameters!$A$306</definedName>
    <definedName name="stlp70">[7]Parameters!$A$369</definedName>
    <definedName name="stlp71">[7]Parameters!$A$370</definedName>
    <definedName name="stlp72">[7]Parameters!$A$371</definedName>
    <definedName name="stlp73">[7]Parameters!$A$372</definedName>
    <definedName name="stlp74">[7]Parameters!$A$373</definedName>
    <definedName name="stlp75">[7]Parameters!$A$374</definedName>
    <definedName name="stlp7co">[7]Parameters!$G$306</definedName>
    <definedName name="stlp7name">[7]Parameters!$C$306</definedName>
    <definedName name="stlp7sal1">[7]Parameters!$E$306</definedName>
    <definedName name="stlp8">[7]Parameters!$A$307</definedName>
    <definedName name="stlp8co">[7]Parameters!$G$307</definedName>
    <definedName name="stlp8name">[7]Parameters!$C$307</definedName>
    <definedName name="stlp8sal1">[7]Parameters!$E$307</definedName>
    <definedName name="stlp9">[7]Parameters!$A$308</definedName>
    <definedName name="stlp9co">[7]Parameters!$G$308</definedName>
    <definedName name="stlp9name">[7]Parameters!$C$308</definedName>
    <definedName name="stlp9sal1">[7]Parameters!$E$308</definedName>
    <definedName name="stlpco11">[7]Parameters!$G$310</definedName>
    <definedName name="stlpco12">[7]Parameters!$G$311</definedName>
    <definedName name="stlpco13">[7]Parameters!$G$312</definedName>
    <definedName name="stlpco14">[7]Parameters!$G$313</definedName>
    <definedName name="stlpco15">[7]Parameters!$G$314</definedName>
    <definedName name="stlpco16">[7]Parameters!$G$315</definedName>
    <definedName name="stlpco17">[7]Parameters!$G$316</definedName>
    <definedName name="stlpco18">[7]Parameters!$G$317</definedName>
    <definedName name="stlpco19">[7]Parameters!$G$318</definedName>
    <definedName name="stlpco20">[7]Parameters!$G$319</definedName>
    <definedName name="stlpco21">[7]Parameters!$G$320</definedName>
    <definedName name="stlpco22">[7]Parameters!$G$321</definedName>
    <definedName name="stlpco23">[7]Parameters!$G$322</definedName>
    <definedName name="stlpco24">[7]Parameters!$G$323</definedName>
    <definedName name="stlpco25">[7]Parameters!$G$324</definedName>
    <definedName name="stlpco26">[7]Parameters!$G$325</definedName>
    <definedName name="stlpco27">[7]Parameters!$G$326</definedName>
    <definedName name="stlpco28">[7]Parameters!$G$327</definedName>
    <definedName name="stlpco29">[7]Parameters!$G$328</definedName>
    <definedName name="stlpco30">[7]Parameters!$G$329</definedName>
    <definedName name="stlpco31">[7]Parameters!$G$330</definedName>
    <definedName name="stlpco32">[7]Parameters!$G$331</definedName>
    <definedName name="stlpco33">[7]Parameters!$G$332</definedName>
    <definedName name="stlpco34">[7]Parameters!$G$333</definedName>
    <definedName name="stlpco35">[7]Parameters!$G$334</definedName>
    <definedName name="stlpco36">[7]Parameters!$G$335</definedName>
    <definedName name="stlpco37">[7]Parameters!$G$336</definedName>
    <definedName name="stlpco38">[7]Parameters!$G$337</definedName>
    <definedName name="stlpco39">[7]Parameters!$G$338</definedName>
    <definedName name="stlpco40">[7]Parameters!$G$339</definedName>
    <definedName name="stlpco41">[7]Parameters!$G$340</definedName>
    <definedName name="stlpco42">[7]Parameters!$G$341</definedName>
    <definedName name="stlpco43">[7]Parameters!$G$342</definedName>
    <definedName name="stlpco44">[7]Parameters!$G$343</definedName>
    <definedName name="stlpco45">[7]Parameters!$G$344</definedName>
    <definedName name="stlpco46">[7]Parameters!$G$345</definedName>
    <definedName name="stlpco47">[7]Parameters!$G$346</definedName>
    <definedName name="stlpco48">[7]Parameters!$G$347</definedName>
    <definedName name="stlpco49">[7]Parameters!$G$348</definedName>
    <definedName name="stlpco50">[7]Parameters!$G$349</definedName>
    <definedName name="stlpco51">[7]Parameters!$G$350</definedName>
    <definedName name="stlpco52">[7]Parameters!$G$351</definedName>
    <definedName name="stlpco53">[7]Parameters!$G$352</definedName>
    <definedName name="stlpco54">[7]Parameters!$G$353</definedName>
    <definedName name="stlpco55">[7]Parameters!$G$354</definedName>
    <definedName name="stlpco56">[7]Parameters!$G$355</definedName>
    <definedName name="stlpco57">[7]Parameters!$G$356</definedName>
    <definedName name="stlpco58">[7]Parameters!$G$357</definedName>
    <definedName name="stlpco59">[7]Parameters!$G$358</definedName>
    <definedName name="stlpco60">[7]Parameters!$G$359</definedName>
    <definedName name="stlpco61">[7]Parameters!$G$360</definedName>
    <definedName name="stlpco62">[7]Parameters!$G$361</definedName>
    <definedName name="stlpco63">[7]Parameters!$G$362</definedName>
    <definedName name="stlpco64">[7]Parameters!$G$363</definedName>
    <definedName name="stlpco65">[7]Parameters!$G$364</definedName>
    <definedName name="stlpco66">[7]Parameters!$G$365</definedName>
    <definedName name="stlpco67">[7]Parameters!$G$366</definedName>
    <definedName name="stlpco68">[7]Parameters!$G$367</definedName>
    <definedName name="stlpco69">[7]Parameters!$G$368</definedName>
    <definedName name="stlpco70">[7]Parameters!$G$369</definedName>
    <definedName name="stlpco71">[7]Parameters!$G$370</definedName>
    <definedName name="stlpco72">[7]Parameters!$G$371</definedName>
    <definedName name="stlpco73">[7]Parameters!$G$372</definedName>
    <definedName name="stlpco74">[7]Parameters!$G$373</definedName>
    <definedName name="stlpco75">[7]Parameters!$G$374</definedName>
    <definedName name="stlpjob1">[7]Parameters!$I$300</definedName>
    <definedName name="stlpjob10">[7]Parameters!$I$309</definedName>
    <definedName name="stlpjob11">[7]Parameters!$I$310</definedName>
    <definedName name="stlpjob12">[7]Parameters!$I$311</definedName>
    <definedName name="stlpjob13">[7]Parameters!$I$312</definedName>
    <definedName name="stlpjob14">[7]Parameters!$I$313</definedName>
    <definedName name="stlpjob15">[7]Parameters!$I$314</definedName>
    <definedName name="stlpjob16">[7]Parameters!$I$315</definedName>
    <definedName name="stlpjob17">[7]Parameters!$I$316</definedName>
    <definedName name="stlpjob18">[7]Parameters!$I$317</definedName>
    <definedName name="stlpjob19">[7]Parameters!$I$318</definedName>
    <definedName name="stlpjob2">[7]Parameters!$I$301</definedName>
    <definedName name="stlpjob20">[7]Parameters!$I$319</definedName>
    <definedName name="stlpjob21">[7]Parameters!$I$320</definedName>
    <definedName name="stlpjob22">[7]Parameters!$I$321</definedName>
    <definedName name="stlpjob23">[7]Parameters!$I$322</definedName>
    <definedName name="stlpjob24">[7]Parameters!$I$323</definedName>
    <definedName name="stlpjob25">[7]Parameters!$I$324</definedName>
    <definedName name="stlpjob26">[7]Parameters!$I$325</definedName>
    <definedName name="stlpjob27">[7]Parameters!$I$326</definedName>
    <definedName name="stlpjob28">[7]Parameters!$I$327</definedName>
    <definedName name="stlpjob29">[7]Parameters!$I$328</definedName>
    <definedName name="stlpjob3">[7]Parameters!$I$302</definedName>
    <definedName name="stlpjob30">[7]Parameters!$I$329</definedName>
    <definedName name="stlpjob31">[7]Parameters!$I$330</definedName>
    <definedName name="stlpjob32">[7]Parameters!$I$331</definedName>
    <definedName name="stlpjob33">[7]Parameters!$I$332</definedName>
    <definedName name="stlpjob34">[7]Parameters!$I$333</definedName>
    <definedName name="stlpjob35">[7]Parameters!$I$334</definedName>
    <definedName name="stlpjob36">[7]Parameters!$I$335</definedName>
    <definedName name="stlpjob37">[7]Parameters!$I$336</definedName>
    <definedName name="stlpjob38">[7]Parameters!$I$337</definedName>
    <definedName name="stlpjob39">[7]Parameters!$I$338</definedName>
    <definedName name="stlpjob4">[7]Parameters!$I$303</definedName>
    <definedName name="stlpjob40">[7]Parameters!$I$339</definedName>
    <definedName name="stlpjob41">[7]Parameters!$I$340</definedName>
    <definedName name="stlpjob42">[7]Parameters!$I$341</definedName>
    <definedName name="stlpjob43">[7]Parameters!$I$342</definedName>
    <definedName name="stlpjob44">[7]Parameters!$I$343</definedName>
    <definedName name="stlpjob45">[7]Parameters!$I$344</definedName>
    <definedName name="stlpjob46">[7]Parameters!$I$345</definedName>
    <definedName name="stlpjob47">[7]Parameters!$I$346</definedName>
    <definedName name="stlpjob48">[7]Parameters!$I$347</definedName>
    <definedName name="stlpjob49">[7]Parameters!$I$348</definedName>
    <definedName name="stlpjob5">[7]Parameters!$I$304</definedName>
    <definedName name="stlpjob50">[7]Parameters!$I$349</definedName>
    <definedName name="stlpjob51">[7]Parameters!$I$350</definedName>
    <definedName name="stlpjob52">[7]Parameters!$I$351</definedName>
    <definedName name="stlpjob53">[7]Parameters!$I$352</definedName>
    <definedName name="stlpjob54">[7]Parameters!$I$353</definedName>
    <definedName name="stlpjob55">[7]Parameters!$I$354</definedName>
    <definedName name="stlpjob56">[7]Parameters!$I$355</definedName>
    <definedName name="stlpjob57">[7]Parameters!$I$356</definedName>
    <definedName name="stlpjob58">[7]Parameters!$I$357</definedName>
    <definedName name="stlpjob59">[7]Parameters!$I$358</definedName>
    <definedName name="stlpjob6">[7]Parameters!$I$305</definedName>
    <definedName name="stlpjob60">[7]Parameters!$I$359</definedName>
    <definedName name="stlpjob61">[7]Parameters!$I$360</definedName>
    <definedName name="stlpjob62">[7]Parameters!$I$361</definedName>
    <definedName name="stlpjob63">[7]Parameters!$I$362</definedName>
    <definedName name="stlpjob64">[7]Parameters!$I$363</definedName>
    <definedName name="stlpjob65">[7]Parameters!$I$364</definedName>
    <definedName name="stlpjob66">[7]Parameters!$I$365</definedName>
    <definedName name="stlpjob67">[7]Parameters!$I$366</definedName>
    <definedName name="stlpjob68">[7]Parameters!$I$367</definedName>
    <definedName name="stlpjob69">[7]Parameters!$I$368</definedName>
    <definedName name="stlpjob7">[7]Parameters!$I$306</definedName>
    <definedName name="stlpjob70">[7]Parameters!$I$369</definedName>
    <definedName name="stlpjob71">[7]Parameters!$I$370</definedName>
    <definedName name="stlpjob72">[7]Parameters!$I$371</definedName>
    <definedName name="stlpjob73">[7]Parameters!$I$372</definedName>
    <definedName name="stlpjob74">[7]Parameters!$I$373</definedName>
    <definedName name="stlpjob75">[7]Parameters!$I$374</definedName>
    <definedName name="stlpjob8">[7]Parameters!$I$307</definedName>
    <definedName name="stlpjob9">[7]Parameters!$I$308</definedName>
    <definedName name="stlpname11">[7]Parameters!$C$310</definedName>
    <definedName name="stlpname12">[7]Parameters!$C$311</definedName>
    <definedName name="stlpname13">[7]Parameters!$C$312</definedName>
    <definedName name="stlpname14">[7]Parameters!$C$313</definedName>
    <definedName name="stlpname15">[7]Parameters!$C$314</definedName>
    <definedName name="stlpname16">[7]Parameters!$C$315</definedName>
    <definedName name="stlpname17">[7]Parameters!$C$316</definedName>
    <definedName name="stlpname18">[7]Parameters!$C$317</definedName>
    <definedName name="stlpname19">[7]Parameters!$C$318</definedName>
    <definedName name="stlpname20">[7]Parameters!$C$319</definedName>
    <definedName name="stlpname21">[7]Parameters!$C$320</definedName>
    <definedName name="stlpname22">[7]Parameters!$C$321</definedName>
    <definedName name="stlpname23">[7]Parameters!$C$322</definedName>
    <definedName name="stlpname24">[7]Parameters!$C$323</definedName>
    <definedName name="stlpname25">[7]Parameters!$C$324</definedName>
    <definedName name="stlpname26">[7]Parameters!$C$325</definedName>
    <definedName name="stlpname27">[7]Parameters!$C$326</definedName>
    <definedName name="stlpname28">[7]Parameters!$C$327</definedName>
    <definedName name="stlpname29">[7]Parameters!$C$328</definedName>
    <definedName name="stlpname30">[7]Parameters!$C$329</definedName>
    <definedName name="stlpname31">[7]Parameters!$C$330</definedName>
    <definedName name="stlpname32">[7]Parameters!$C$331</definedName>
    <definedName name="stlpname33">[7]Parameters!$C$332</definedName>
    <definedName name="stlpname34">[7]Parameters!$C$333</definedName>
    <definedName name="stlpname35">[7]Parameters!$C$334</definedName>
    <definedName name="stlpname36">[7]Parameters!$C$335</definedName>
    <definedName name="stlpname37">[7]Parameters!$C$336</definedName>
    <definedName name="stlpname38">[7]Parameters!$C$337</definedName>
    <definedName name="stlpname39">[7]Parameters!$C$338</definedName>
    <definedName name="stlpname40">[7]Parameters!$C$339</definedName>
    <definedName name="stlpname41">[7]Parameters!$C$340</definedName>
    <definedName name="stlpname42">[7]Parameters!$C$341</definedName>
    <definedName name="stlpname43">[7]Parameters!$C$342</definedName>
    <definedName name="stlpname44">[7]Parameters!$C$343</definedName>
    <definedName name="stlpname45">[7]Parameters!$C$344</definedName>
    <definedName name="stlpname46">[7]Parameters!$C$345</definedName>
    <definedName name="stlpname47">[7]Parameters!$C$346</definedName>
    <definedName name="stlpname48">[7]Parameters!$C$347</definedName>
    <definedName name="stlpname49">[7]Parameters!$C$348</definedName>
    <definedName name="stlpname50">[7]Parameters!$C$349</definedName>
    <definedName name="stlpname51">[7]Parameters!$C$350</definedName>
    <definedName name="stlpname52">[7]Parameters!$C$351</definedName>
    <definedName name="stlpname53">[7]Parameters!$C$352</definedName>
    <definedName name="stlpname54">[7]Parameters!$C$353</definedName>
    <definedName name="stlpname55">[7]Parameters!$C$354</definedName>
    <definedName name="stlpname56">[7]Parameters!$C$355</definedName>
    <definedName name="stlpname57">[7]Parameters!$C$356</definedName>
    <definedName name="stlpname58">[7]Parameters!$C$357</definedName>
    <definedName name="stlpname59">[7]Parameters!$C$358</definedName>
    <definedName name="stlpname60">[7]Parameters!$C$359</definedName>
    <definedName name="stlpname61">[7]Parameters!$C$360</definedName>
    <definedName name="stlpname62">[7]Parameters!$C$361</definedName>
    <definedName name="stlpname63">[7]Parameters!$C$362</definedName>
    <definedName name="stlpname64">[7]Parameters!$C$363</definedName>
    <definedName name="stlpname65">[7]Parameters!$C$364</definedName>
    <definedName name="stlpname66">[7]Parameters!$C$365</definedName>
    <definedName name="stlpname67">[7]Parameters!$C$366</definedName>
    <definedName name="stlpname68">[7]Parameters!$C$367</definedName>
    <definedName name="stlpname69">[7]Parameters!$C$368</definedName>
    <definedName name="stlpname70">[7]Parameters!$C$369</definedName>
    <definedName name="stlpname71">[7]Parameters!$C$370</definedName>
    <definedName name="stlpname72">[7]Parameters!$C$371</definedName>
    <definedName name="stlpname73">[7]Parameters!$C$372</definedName>
    <definedName name="stlpname74">[7]Parameters!$C$373</definedName>
    <definedName name="stlpname75">[7]Parameters!$C$374</definedName>
    <definedName name="stlpsal11">[7]Parameters!$E$310</definedName>
    <definedName name="stlpsal12">[7]Parameters!$E$311</definedName>
    <definedName name="stlpsal13">[7]Parameters!$E$312</definedName>
    <definedName name="stlpsal14">[7]Parameters!$E$313</definedName>
    <definedName name="stlpsal15">[7]Parameters!$E$314</definedName>
    <definedName name="stlpsal16">[7]Parameters!$E$315</definedName>
    <definedName name="stlpsal17">[7]Parameters!$E$316</definedName>
    <definedName name="stlpsal18">[7]Parameters!$E$317</definedName>
    <definedName name="stlpsal19">[7]Parameters!$E$318</definedName>
    <definedName name="stlpsal20">[7]Parameters!$E$319</definedName>
    <definedName name="stlpsal21">[7]Parameters!$E$320</definedName>
    <definedName name="stlpsal22">[7]Parameters!$E$321</definedName>
    <definedName name="stlpsal23">[7]Parameters!$E$322</definedName>
    <definedName name="stlpsal24">[7]Parameters!$E$323</definedName>
    <definedName name="stlpsal25">[7]Parameters!$E$324</definedName>
    <definedName name="stlpsal26">[7]Parameters!$E$325</definedName>
    <definedName name="stlpsal27">[7]Parameters!$E$326</definedName>
    <definedName name="stlpsal28">[7]Parameters!$E$327</definedName>
    <definedName name="stlpsal29">[7]Parameters!$E$328</definedName>
    <definedName name="stlpsal30">[7]Parameters!$E$329</definedName>
    <definedName name="stlpsal31">[7]Parameters!$E$330</definedName>
    <definedName name="stlpsal32">[7]Parameters!$E$331</definedName>
    <definedName name="stlpsal33">[7]Parameters!$E$332</definedName>
    <definedName name="stlpsal34">[7]Parameters!$E$333</definedName>
    <definedName name="stlpsal35">[7]Parameters!$E$334</definedName>
    <definedName name="stlpsal36">[7]Parameters!$E$335</definedName>
    <definedName name="stlpsal37">[7]Parameters!$E$336</definedName>
    <definedName name="stlpsal38">[7]Parameters!$E$337</definedName>
    <definedName name="stlpsal39">[7]Parameters!$E$338</definedName>
    <definedName name="stlpsal40">[7]Parameters!$E$339</definedName>
    <definedName name="stlpsal41">[7]Parameters!$E$340</definedName>
    <definedName name="stlpsal42">[7]Parameters!$E$341</definedName>
    <definedName name="stlpsal43">[7]Parameters!$E$342</definedName>
    <definedName name="stlpsal44">[7]Parameters!$E$343</definedName>
    <definedName name="stlpsal45">[7]Parameters!$E$344</definedName>
    <definedName name="stlpsal46">[7]Parameters!$E$345</definedName>
    <definedName name="stlpsal47">[7]Parameters!$E$346</definedName>
    <definedName name="stlpsal48">[7]Parameters!$E$347</definedName>
    <definedName name="stlpsal49">[7]Parameters!$E$348</definedName>
    <definedName name="stlpsal50">[7]Parameters!$E$349</definedName>
    <definedName name="stlpsal51">[7]Parameters!$E$350</definedName>
    <definedName name="stlpsal52">[7]Parameters!$E$351</definedName>
    <definedName name="stlpsal53">[7]Parameters!$E$352</definedName>
    <definedName name="stlpsal54">[7]Parameters!$E$353</definedName>
    <definedName name="stlpsal55">[7]Parameters!$E$354</definedName>
    <definedName name="stlpsal56">[7]Parameters!$E$355</definedName>
    <definedName name="stlpsal57">[7]Parameters!$E$356</definedName>
    <definedName name="stlpsal58">[7]Parameters!$E$357</definedName>
    <definedName name="stlpsal59">[7]Parameters!$E$358</definedName>
    <definedName name="stlpsal60">[7]Parameters!$E$359</definedName>
    <definedName name="stlpsal61">[7]Parameters!$E$360</definedName>
    <definedName name="stlpsal62">[7]Parameters!$E$361</definedName>
    <definedName name="stlpsal63">[7]Parameters!$E$362</definedName>
    <definedName name="stlpsal64">[7]Parameters!$E$363</definedName>
    <definedName name="stlpsal65">[7]Parameters!$E$364</definedName>
    <definedName name="stlpsal66">[7]Parameters!$E$365</definedName>
    <definedName name="stlpsal67">[7]Parameters!$E$366</definedName>
    <definedName name="stlpsal68">[7]Parameters!$E$367</definedName>
    <definedName name="stlpsal69">[7]Parameters!$E$368</definedName>
    <definedName name="stlpsal70">[7]Parameters!$E$369</definedName>
    <definedName name="stlpsal71">[7]Parameters!$E$370</definedName>
    <definedName name="stlpsal72">[7]Parameters!$E$371</definedName>
    <definedName name="stlpsal73">[7]Parameters!$E$372</definedName>
    <definedName name="stlpsal74">[7]Parameters!$E$373</definedName>
    <definedName name="stlpsal75">[7]Parameters!$E$374</definedName>
    <definedName name="stmedevac">[5]Parameters!$D$18</definedName>
    <definedName name="STTA_Accra">[42]Assumptions!#REF!</definedName>
    <definedName name="STTA_Dayspertrip">[32]Assumptions!$B$25</definedName>
    <definedName name="STTA_Field">[42]Assumptions!#REF!</definedName>
    <definedName name="sttaperdiembam">#REF!</definedName>
    <definedName name="sttaperdiemother">#REF!</definedName>
    <definedName name="sttcn">[7]Parameters!$A$285</definedName>
    <definedName name="sttcn1">[7]Parameters!$A$287</definedName>
    <definedName name="sttcn10">[7]Parameters!$A$296</definedName>
    <definedName name="sttcn10co">[7]Parameters!$G$296</definedName>
    <definedName name="sttcn10name">[7]Parameters!$C$296</definedName>
    <definedName name="sttcn10sal1">[7]Parameters!$E$296</definedName>
    <definedName name="sttcn1co">[7]Parameters!$G$287</definedName>
    <definedName name="sttcn1name">[7]Parameters!$C$287</definedName>
    <definedName name="sttcn1sal1">[7]Parameters!$E$287</definedName>
    <definedName name="sttcn2">[7]Parameters!$A$288</definedName>
    <definedName name="sttcn2co">[7]Parameters!$G$288</definedName>
    <definedName name="sttcn2name">[7]Parameters!$C$288</definedName>
    <definedName name="sttcn2sal1">[7]Parameters!$E$288</definedName>
    <definedName name="sttcn3">[7]Parameters!$A$289</definedName>
    <definedName name="sttcn3co">[7]Parameters!$G$289</definedName>
    <definedName name="sttcn3name">[7]Parameters!$C$289</definedName>
    <definedName name="sttcn3sal1">[7]Parameters!$E$289</definedName>
    <definedName name="sttcn4">[7]Parameters!$A$290</definedName>
    <definedName name="sttcn4co">[7]Parameters!$G$290</definedName>
    <definedName name="sttcn4name">[7]Parameters!$C$290</definedName>
    <definedName name="sttcn4sal1">[7]Parameters!$E$290</definedName>
    <definedName name="sttcn5">[7]Parameters!$A$291</definedName>
    <definedName name="sttcn5co">[7]Parameters!$G$291</definedName>
    <definedName name="sttcn5name">[7]Parameters!$C$291</definedName>
    <definedName name="sttcn5sal1">[7]Parameters!$E$291</definedName>
    <definedName name="sttcn6">[7]Parameters!$A$292</definedName>
    <definedName name="sttcn6co">[7]Parameters!$G$292</definedName>
    <definedName name="sttcn6name">[7]Parameters!$C$292</definedName>
    <definedName name="sttcn6sal1">[7]Parameters!$E$292</definedName>
    <definedName name="sttcn7">[7]Parameters!$A$293</definedName>
    <definedName name="sttcn7co">[7]Parameters!$G$293</definedName>
    <definedName name="sttcn7name">[7]Parameters!$C$293</definedName>
    <definedName name="sttcn7sal1">[7]Parameters!$E$293</definedName>
    <definedName name="sttcn8">[7]Parameters!$A$294</definedName>
    <definedName name="sttcn8co">[7]Parameters!$G$294</definedName>
    <definedName name="sttcn8name">[7]Parameters!$C$294</definedName>
    <definedName name="sttcn8sal1">[7]Parameters!$E$294</definedName>
    <definedName name="sttcn9">[7]Parameters!$A$295</definedName>
    <definedName name="sttcn9co">[7]Parameters!$G$295</definedName>
    <definedName name="sttcn9name">[7]Parameters!$C$295</definedName>
    <definedName name="sttcn9sal1">[7]Parameters!$E$295</definedName>
    <definedName name="sttcnjob1">[7]Parameters!$I$287</definedName>
    <definedName name="sttcnjob10">[7]Parameters!$I$296</definedName>
    <definedName name="sttcnjob2">[7]Parameters!$I$288</definedName>
    <definedName name="sttcnjob3">[7]Parameters!$I$289</definedName>
    <definedName name="sttcnjob4">[7]Parameters!$I$290</definedName>
    <definedName name="sttcnjob5">[7]Parameters!$I$291</definedName>
    <definedName name="sttcnjob6">[7]Parameters!$I$292</definedName>
    <definedName name="sttcnjob7">[7]Parameters!$I$293</definedName>
    <definedName name="sttcnjob8">[7]Parameters!$I$294</definedName>
    <definedName name="sttcnjob9">[7]Parameters!$I$295</definedName>
    <definedName name="sttrip">[5]Parameters!$D$29</definedName>
    <definedName name="Sttripfactor">[12]Sheet1!$C$18</definedName>
    <definedName name="stus">[7]Parameters!$A$207</definedName>
    <definedName name="stus1">[7]Parameters!$A$209</definedName>
    <definedName name="stus10">[7]Parameters!$A$218</definedName>
    <definedName name="stus10co">[7]Parameters!$G$218</definedName>
    <definedName name="stus10name">[7]Parameters!$C$218</definedName>
    <definedName name="stus10sal1">[7]Parameters!$E$218</definedName>
    <definedName name="stus11">[7]Parameters!$A$219</definedName>
    <definedName name="stus12">[7]Parameters!$A$220</definedName>
    <definedName name="stus13">[7]Parameters!$A$221</definedName>
    <definedName name="stus14">[7]Parameters!$A$222</definedName>
    <definedName name="stus15">[7]Parameters!$A$223</definedName>
    <definedName name="stus16">[7]Parameters!$A$224</definedName>
    <definedName name="stus17">[7]Parameters!$A$225</definedName>
    <definedName name="stus18">[7]Parameters!$A$226</definedName>
    <definedName name="stus19">[7]Parameters!$A$227</definedName>
    <definedName name="stus1co">[7]Parameters!$G$209</definedName>
    <definedName name="stus1name">[7]Parameters!$C$209</definedName>
    <definedName name="stus1sal1">[7]Parameters!$E$209</definedName>
    <definedName name="stus2">[7]Parameters!$A$210</definedName>
    <definedName name="stus20">[7]Parameters!$A$228</definedName>
    <definedName name="stus21">[7]Parameters!$A$229</definedName>
    <definedName name="stus22">[7]Parameters!$A$230</definedName>
    <definedName name="stus23">[7]Parameters!$A$231</definedName>
    <definedName name="stus24">[7]Parameters!$A$232</definedName>
    <definedName name="stus25">[7]Parameters!$A$233</definedName>
    <definedName name="stus26">[7]Parameters!$A$234</definedName>
    <definedName name="stus27">[7]Parameters!$A$235</definedName>
    <definedName name="stus28">[7]Parameters!$A$236</definedName>
    <definedName name="stus29">[7]Parameters!$A$237</definedName>
    <definedName name="stus2co">[7]Parameters!$G$210</definedName>
    <definedName name="stus2name">[7]Parameters!$C$210</definedName>
    <definedName name="stus2sal1">[7]Parameters!$E$210</definedName>
    <definedName name="stus3">[7]Parameters!$A$211</definedName>
    <definedName name="stus30">[7]Parameters!$A$238</definedName>
    <definedName name="stus31">[7]Parameters!$A$239</definedName>
    <definedName name="stus32">[7]Parameters!$A$240</definedName>
    <definedName name="stus33">[7]Parameters!$A$241</definedName>
    <definedName name="stus34">[7]Parameters!$A$242</definedName>
    <definedName name="stus35">[7]Parameters!$A$243</definedName>
    <definedName name="stus36">[7]Parameters!$A$244</definedName>
    <definedName name="stus37">[7]Parameters!$A$245</definedName>
    <definedName name="stus38">[7]Parameters!$A$246</definedName>
    <definedName name="stus39">[7]Parameters!$A$247</definedName>
    <definedName name="stus3co">[7]Parameters!$G$211</definedName>
    <definedName name="stus3name">[7]Parameters!$C$211</definedName>
    <definedName name="stus3sal1">[7]Parameters!$E$211</definedName>
    <definedName name="stus4">[7]Parameters!$A$212</definedName>
    <definedName name="stus40">[7]Parameters!$A$248</definedName>
    <definedName name="stus41">[7]Parameters!$A$249</definedName>
    <definedName name="stus42">[7]Parameters!$A$250</definedName>
    <definedName name="stus43">[7]Parameters!$A$251</definedName>
    <definedName name="stus44">[7]Parameters!$A$252</definedName>
    <definedName name="stus45">[7]Parameters!$A$253</definedName>
    <definedName name="stus46">[7]Parameters!$A$254</definedName>
    <definedName name="stus47">[7]Parameters!$A$255</definedName>
    <definedName name="stus48">[7]Parameters!$A$256</definedName>
    <definedName name="stus49">[7]Parameters!$A$257</definedName>
    <definedName name="stus4co">[7]Parameters!$G$212</definedName>
    <definedName name="stus4name">[7]Parameters!$C$212</definedName>
    <definedName name="stus4sal1">[7]Parameters!$E$212</definedName>
    <definedName name="stus5">[7]Parameters!$A$213</definedName>
    <definedName name="stus50">[7]Parameters!$A$258</definedName>
    <definedName name="stus51">[7]Parameters!$A$259</definedName>
    <definedName name="stus52">[7]Parameters!$A$260</definedName>
    <definedName name="stus53">[7]Parameters!$A$261</definedName>
    <definedName name="stus54">[7]Parameters!$A$262</definedName>
    <definedName name="stus55">[7]Parameters!$A$263</definedName>
    <definedName name="stus56">[7]Parameters!$A$264</definedName>
    <definedName name="stus57">[7]Parameters!$A$265</definedName>
    <definedName name="stus58">[7]Parameters!$A$266</definedName>
    <definedName name="stus59">[7]Parameters!$A$267</definedName>
    <definedName name="stus5co">[7]Parameters!$G$213</definedName>
    <definedName name="stus5name">[7]Parameters!$C$213</definedName>
    <definedName name="stus5sal1">[7]Parameters!$E$213</definedName>
    <definedName name="stus6">[7]Parameters!$A$214</definedName>
    <definedName name="stus60">[7]Parameters!$A$268</definedName>
    <definedName name="stus61">[7]Parameters!$A$269</definedName>
    <definedName name="stus62">[7]Parameters!$A$270</definedName>
    <definedName name="stus63">[7]Parameters!$A$271</definedName>
    <definedName name="stus64">[7]Parameters!$A$272</definedName>
    <definedName name="stus65">[7]Parameters!$A$273</definedName>
    <definedName name="stus66">[7]Parameters!$A$274</definedName>
    <definedName name="stus67">[7]Parameters!$A$275</definedName>
    <definedName name="stus68">[7]Parameters!$A$276</definedName>
    <definedName name="stus69">[7]Parameters!$A$277</definedName>
    <definedName name="stus6co">[7]Parameters!$G$214</definedName>
    <definedName name="stus6name">[7]Parameters!$C$214</definedName>
    <definedName name="stus6sal1">[7]Parameters!$E$214</definedName>
    <definedName name="stus7">[7]Parameters!$A$215</definedName>
    <definedName name="stus70">[7]Parameters!$A$278</definedName>
    <definedName name="stus71">[7]Parameters!$A$279</definedName>
    <definedName name="stus72">[7]Parameters!$A$280</definedName>
    <definedName name="stus73">[7]Parameters!$A$281</definedName>
    <definedName name="stus74">[7]Parameters!$A$282</definedName>
    <definedName name="stus75">[7]Parameters!$A$283</definedName>
    <definedName name="stus7co">[7]Parameters!$G$215</definedName>
    <definedName name="stus7name">[7]Parameters!$C$215</definedName>
    <definedName name="stus7sal1">[7]Parameters!$E$215</definedName>
    <definedName name="stus8">[7]Parameters!$A$216</definedName>
    <definedName name="stus8co">[7]Parameters!$G$216</definedName>
    <definedName name="stus8name">[7]Parameters!$C$216</definedName>
    <definedName name="stus8sal1">[7]Parameters!$E$216</definedName>
    <definedName name="stus9">[7]Parameters!$A$217</definedName>
    <definedName name="stus9co">[7]Parameters!$G$217</definedName>
    <definedName name="stus9name">[7]Parameters!$C$217</definedName>
    <definedName name="stus9sal1">[7]Parameters!$E$217</definedName>
    <definedName name="stusco11">[7]Parameters!$G$219</definedName>
    <definedName name="stusco12">[7]Parameters!$G$220</definedName>
    <definedName name="stusco13">[7]Parameters!$G$221</definedName>
    <definedName name="stusco14">[7]Parameters!$G$222</definedName>
    <definedName name="stusco15">[7]Parameters!$G$223</definedName>
    <definedName name="stusco16">[7]Parameters!$G$224</definedName>
    <definedName name="stusco17">[7]Parameters!$G$225</definedName>
    <definedName name="stusco18">[7]Parameters!$G$226</definedName>
    <definedName name="stusco19">[7]Parameters!$G$227</definedName>
    <definedName name="stusco20">[7]Parameters!$G$228</definedName>
    <definedName name="stusco21">[7]Parameters!$G$229</definedName>
    <definedName name="stusco22">[7]Parameters!$G$230</definedName>
    <definedName name="stusco23">[7]Parameters!$G$231</definedName>
    <definedName name="stusco24">[7]Parameters!$G$232</definedName>
    <definedName name="stusco25">[7]Parameters!$G$233</definedName>
    <definedName name="stusco26">[7]Parameters!$G$234</definedName>
    <definedName name="stusco27">[7]Parameters!$G$235</definedName>
    <definedName name="stusco28">[7]Parameters!$G$236</definedName>
    <definedName name="stusco29">[7]Parameters!$G$237</definedName>
    <definedName name="stusco30">[7]Parameters!$G$238</definedName>
    <definedName name="stusco31">[7]Parameters!$G$239</definedName>
    <definedName name="stusco32">[7]Parameters!$G$240</definedName>
    <definedName name="stusco33">[7]Parameters!$G$241</definedName>
    <definedName name="stusco34">[7]Parameters!$G$242</definedName>
    <definedName name="stusco35">[7]Parameters!$G$243</definedName>
    <definedName name="stusco36">[7]Parameters!$G$244</definedName>
    <definedName name="stusco37">[7]Parameters!$G$245</definedName>
    <definedName name="stusco38">[7]Parameters!$G$246</definedName>
    <definedName name="stusco39">[7]Parameters!$G$247</definedName>
    <definedName name="stusco40">[7]Parameters!$G$248</definedName>
    <definedName name="stusco41">[7]Parameters!$G$249</definedName>
    <definedName name="stusco42">[7]Parameters!$G$250</definedName>
    <definedName name="stusco43">[7]Parameters!$G$251</definedName>
    <definedName name="stusco44">[7]Parameters!$G$252</definedName>
    <definedName name="stusco45">[7]Parameters!$G$253</definedName>
    <definedName name="stusco46">[7]Parameters!$G$254</definedName>
    <definedName name="stusco47">[7]Parameters!$G$255</definedName>
    <definedName name="stusco48">[7]Parameters!$G$256</definedName>
    <definedName name="stusco49">[7]Parameters!$G$257</definedName>
    <definedName name="stusco50">[7]Parameters!$G$258</definedName>
    <definedName name="stusco51">[7]Parameters!$G$259</definedName>
    <definedName name="stusco52">[7]Parameters!$G$260</definedName>
    <definedName name="stusco53">[7]Parameters!$G$261</definedName>
    <definedName name="stusco54">[7]Parameters!$G$262</definedName>
    <definedName name="stusco55">[7]Parameters!$G$263</definedName>
    <definedName name="stusco56">[7]Parameters!$G$264</definedName>
    <definedName name="stusco57">[7]Parameters!$G$265</definedName>
    <definedName name="stusco58">[7]Parameters!$G$266</definedName>
    <definedName name="stusco59">[7]Parameters!$G$267</definedName>
    <definedName name="stusco60">[7]Parameters!$G$268</definedName>
    <definedName name="stusco61">[7]Parameters!$G$269</definedName>
    <definedName name="stusco62">[7]Parameters!$G$270</definedName>
    <definedName name="stusco63">[7]Parameters!$G$271</definedName>
    <definedName name="stusco64">[7]Parameters!$G$272</definedName>
    <definedName name="stusco65">[7]Parameters!$G$273</definedName>
    <definedName name="stusco66">[7]Parameters!$G$274</definedName>
    <definedName name="stusco67">[7]Parameters!$G$275</definedName>
    <definedName name="stusco68">[7]Parameters!$G$276</definedName>
    <definedName name="stusco69">[7]Parameters!$G$277</definedName>
    <definedName name="stusco70">[7]Parameters!$G$278</definedName>
    <definedName name="stusco71">[7]Parameters!$G$279</definedName>
    <definedName name="stusco72">[7]Parameters!$G$280</definedName>
    <definedName name="stusco73">[7]Parameters!$G$281</definedName>
    <definedName name="stusco74">[7]Parameters!$G$282</definedName>
    <definedName name="stusco75">[7]Parameters!$G$283</definedName>
    <definedName name="stusjob1">[7]Parameters!$I$209</definedName>
    <definedName name="stusjob10">[7]Parameters!$I$218</definedName>
    <definedName name="stusjob11">[7]Parameters!$I$219</definedName>
    <definedName name="stusjob12">[7]Parameters!$I$220</definedName>
    <definedName name="stusjob13">[7]Parameters!$I$221</definedName>
    <definedName name="stusjob14">[7]Parameters!$I$222</definedName>
    <definedName name="stusjob15">[7]Parameters!$I$223</definedName>
    <definedName name="stusjob16">[7]Parameters!$I$224</definedName>
    <definedName name="stusjob17">[7]Parameters!$I$225</definedName>
    <definedName name="stusjob18">[7]Parameters!$I$226</definedName>
    <definedName name="stusjob19">[7]Parameters!$I$227</definedName>
    <definedName name="stusjob2">[7]Parameters!$I$210</definedName>
    <definedName name="stusjob20">[7]Parameters!$I$228</definedName>
    <definedName name="stusjob21">[7]Parameters!$I$229</definedName>
    <definedName name="stusjob22">[7]Parameters!$I$230</definedName>
    <definedName name="stusjob23">[7]Parameters!$I$231</definedName>
    <definedName name="stusjob24">[7]Parameters!$I$232</definedName>
    <definedName name="stusjob25">[7]Parameters!$I$233</definedName>
    <definedName name="stusjob26">[7]Parameters!$I$234</definedName>
    <definedName name="stusjob27">[7]Parameters!$I$235</definedName>
    <definedName name="stusjob28">[7]Parameters!$I$236</definedName>
    <definedName name="stusjob29">[7]Parameters!$I$237</definedName>
    <definedName name="stusjob3">[7]Parameters!$I$211</definedName>
    <definedName name="stusjob30">[7]Parameters!$I$238</definedName>
    <definedName name="stusjob31">[7]Parameters!$I$239</definedName>
    <definedName name="stusjob32">[7]Parameters!$I$240</definedName>
    <definedName name="stusjob33">[7]Parameters!$I$241</definedName>
    <definedName name="stusjob34">[7]Parameters!$I$242</definedName>
    <definedName name="stusjob35">[7]Parameters!$I$243</definedName>
    <definedName name="stusjob36">[7]Parameters!$I$244</definedName>
    <definedName name="stusjob37">[7]Parameters!$I$245</definedName>
    <definedName name="stusjob38">[7]Parameters!$I$246</definedName>
    <definedName name="stusjob39">[7]Parameters!$I$247</definedName>
    <definedName name="stusjob4">[7]Parameters!$I$212</definedName>
    <definedName name="stusjob40">[7]Parameters!$I$248</definedName>
    <definedName name="stusjob41">[7]Parameters!$I$249</definedName>
    <definedName name="stusjob42">[7]Parameters!$I$250</definedName>
    <definedName name="stusjob43">[7]Parameters!$I$251</definedName>
    <definedName name="stusjob44">[7]Parameters!$I$252</definedName>
    <definedName name="stusjob45">[7]Parameters!$I$253</definedName>
    <definedName name="stusjob46">[7]Parameters!$I$254</definedName>
    <definedName name="stusjob47">[7]Parameters!$I$255</definedName>
    <definedName name="stusjob48">[7]Parameters!$I$256</definedName>
    <definedName name="stusjob49">[7]Parameters!$I$257</definedName>
    <definedName name="stusjob5">[7]Parameters!$I$213</definedName>
    <definedName name="stusjob51">[7]Parameters!$I$259</definedName>
    <definedName name="stusjob52">[7]Parameters!$I$260</definedName>
    <definedName name="stusjob53">[7]Parameters!$I$261</definedName>
    <definedName name="stusjob54">[7]Parameters!$I$262</definedName>
    <definedName name="stusjob55">[7]Parameters!$I$263</definedName>
    <definedName name="stusjob56">[7]Parameters!$I$264</definedName>
    <definedName name="stusjob57">[7]Parameters!$I$265</definedName>
    <definedName name="stusjob58">[7]Parameters!$I$266</definedName>
    <definedName name="stusjob59">[7]Parameters!$I$267</definedName>
    <definedName name="stusjob6">[7]Parameters!$I$214</definedName>
    <definedName name="stusjob60">[7]Parameters!$I$268</definedName>
    <definedName name="stusjob61">[7]Parameters!$I$269</definedName>
    <definedName name="stusjob62">[7]Parameters!$I$270</definedName>
    <definedName name="stusjob63">[7]Parameters!$I$271</definedName>
    <definedName name="stusjob64">[7]Parameters!$I$272</definedName>
    <definedName name="stusjob65">[7]Parameters!$I$273</definedName>
    <definedName name="stusjob66">[7]Parameters!$I$274</definedName>
    <definedName name="stusjob67">[7]Parameters!$I$275</definedName>
    <definedName name="stusjob68">[7]Parameters!$I$276</definedName>
    <definedName name="stusjob69">[7]Parameters!$I$277</definedName>
    <definedName name="stusjob7">[7]Parameters!$I$215</definedName>
    <definedName name="stusjob70">[7]Parameters!$I$278</definedName>
    <definedName name="stusjob71">[7]Parameters!$I$279</definedName>
    <definedName name="stusjob72">[7]Parameters!$I$280</definedName>
    <definedName name="stusjob73">[7]Parameters!$I$281</definedName>
    <definedName name="stusjob74">[7]Parameters!$I$282</definedName>
    <definedName name="stusjob75">[7]Parameters!$I$283</definedName>
    <definedName name="stusjob8">[7]Parameters!$I$216</definedName>
    <definedName name="stusjob9">[7]Parameters!$I$217</definedName>
    <definedName name="stusname11">[7]Parameters!$C$219</definedName>
    <definedName name="stusname12">[7]Parameters!$C$220</definedName>
    <definedName name="stusname13">[7]Parameters!$C$221</definedName>
    <definedName name="stusname14">[7]Parameters!$C$222</definedName>
    <definedName name="stusname15">[7]Parameters!$C$223</definedName>
    <definedName name="stusname16">[7]Parameters!$C$224</definedName>
    <definedName name="stusname17">[7]Parameters!$C$225</definedName>
    <definedName name="stusname18">[7]Parameters!$C$226</definedName>
    <definedName name="stusname19">[7]Parameters!$C$227</definedName>
    <definedName name="stusname20">[7]Parameters!$C$228</definedName>
    <definedName name="stusname21">[7]Parameters!$C$229</definedName>
    <definedName name="stusname22">[7]Parameters!$C$230</definedName>
    <definedName name="stusname23">[7]Parameters!$C$231</definedName>
    <definedName name="stusname24">[7]Parameters!$C$232</definedName>
    <definedName name="stusname25">[7]Parameters!$C$233</definedName>
    <definedName name="stusname26">[7]Parameters!$C$234</definedName>
    <definedName name="stusname27">[7]Parameters!$C$235</definedName>
    <definedName name="stusname28">[7]Parameters!$C$236</definedName>
    <definedName name="stusname29">[7]Parameters!$C$237</definedName>
    <definedName name="stusname30">[7]Parameters!$C$238</definedName>
    <definedName name="stusname31">[7]Parameters!$C$239</definedName>
    <definedName name="stusname32">[7]Parameters!$C$240</definedName>
    <definedName name="stusname33">[7]Parameters!$C$241</definedName>
    <definedName name="stusname34">[7]Parameters!$C$242</definedName>
    <definedName name="stusname35">[7]Parameters!$C$243</definedName>
    <definedName name="stusname36">[7]Parameters!$C$244</definedName>
    <definedName name="stusname37">[7]Parameters!$C$245</definedName>
    <definedName name="stusname38">[7]Parameters!$C$246</definedName>
    <definedName name="stusname39">[7]Parameters!$C$247</definedName>
    <definedName name="stusname40">[7]Parameters!$C$248</definedName>
    <definedName name="stusname41">[7]Parameters!$C$249</definedName>
    <definedName name="stusname42">[7]Parameters!$C$250</definedName>
    <definedName name="stusname43">[7]Parameters!$C$251</definedName>
    <definedName name="stusname44">[7]Parameters!$C$252</definedName>
    <definedName name="stusname45">[7]Parameters!$C$253</definedName>
    <definedName name="stusname46">[7]Parameters!$C$254</definedName>
    <definedName name="stusname47">[7]Parameters!$C$255</definedName>
    <definedName name="stusname48">[7]Parameters!$C$256</definedName>
    <definedName name="stusname49">[7]Parameters!$C$257</definedName>
    <definedName name="stusname50">[7]Parameters!$C$258</definedName>
    <definedName name="stusname51">[7]Parameters!$C$259</definedName>
    <definedName name="stusname52">[7]Parameters!$C$260</definedName>
    <definedName name="stusname53">[7]Parameters!$C$261</definedName>
    <definedName name="stusname54">[7]Parameters!$C$262</definedName>
    <definedName name="stusname55">[7]Parameters!$C$263</definedName>
    <definedName name="stusname56">[7]Parameters!$C$264</definedName>
    <definedName name="stusname57">[7]Parameters!$C$265</definedName>
    <definedName name="stusname58">[7]Parameters!$C$266</definedName>
    <definedName name="stusname59">[7]Parameters!$C$267</definedName>
    <definedName name="stusname60">[7]Parameters!$C$268</definedName>
    <definedName name="stusname61">[7]Parameters!$C$269</definedName>
    <definedName name="stusname62">[7]Parameters!$C$270</definedName>
    <definedName name="stusname63">[7]Parameters!$C$271</definedName>
    <definedName name="stusname64">[7]Parameters!$C$272</definedName>
    <definedName name="stusname65">[7]Parameters!$C$273</definedName>
    <definedName name="stusname66">[7]Parameters!$C$274</definedName>
    <definedName name="stusname67">[7]Parameters!$C$275</definedName>
    <definedName name="stusname68">[7]Parameters!$C$276</definedName>
    <definedName name="stusname69">[7]Parameters!$C$277</definedName>
    <definedName name="stusname70">[7]Parameters!$C$278</definedName>
    <definedName name="stusname71">[7]Parameters!$C$279</definedName>
    <definedName name="stusname72">[7]Parameters!$C$280</definedName>
    <definedName name="stusname73">[7]Parameters!$C$281</definedName>
    <definedName name="stusname74">[7]Parameters!$C$282</definedName>
    <definedName name="stusname75">[7]Parameters!$C$283</definedName>
    <definedName name="stussal11">[7]Parameters!$E$219</definedName>
    <definedName name="stussal12">[7]Parameters!$E$220</definedName>
    <definedName name="stussal13">[7]Parameters!$E$221</definedName>
    <definedName name="stussal14">[7]Parameters!$E$222</definedName>
    <definedName name="stussal15">[7]Parameters!$E$223</definedName>
    <definedName name="stussal16">[7]Parameters!$E$224</definedName>
    <definedName name="stussal17">[7]Parameters!$E$225</definedName>
    <definedName name="stussal18">[7]Parameters!$E$226</definedName>
    <definedName name="stussal19">[7]Parameters!$E$227</definedName>
    <definedName name="stussal20">[7]Parameters!$E$228</definedName>
    <definedName name="stussal21">[7]Parameters!$E$229</definedName>
    <definedName name="stussal22">[7]Parameters!$E$230</definedName>
    <definedName name="stussal23">[7]Parameters!$E$231</definedName>
    <definedName name="stussal24">[7]Parameters!$E$232</definedName>
    <definedName name="stussal25">[7]Parameters!$E$233</definedName>
    <definedName name="stussal26">[7]Parameters!$E$234</definedName>
    <definedName name="stussal27">[7]Parameters!$E$235</definedName>
    <definedName name="stussal28">[7]Parameters!$E$236</definedName>
    <definedName name="stussal29">[7]Parameters!$E$237</definedName>
    <definedName name="stussal30">[7]Parameters!$E$238</definedName>
    <definedName name="stussal31">[7]Parameters!$E$239</definedName>
    <definedName name="stussal32">[7]Parameters!$E$240</definedName>
    <definedName name="stussal33">[7]Parameters!$E$241</definedName>
    <definedName name="stussal34">[7]Parameters!$E$242</definedName>
    <definedName name="stussal35">[7]Parameters!$E$243</definedName>
    <definedName name="stussal36">[7]Parameters!$E$244</definedName>
    <definedName name="stussal37">[7]Parameters!$E$245</definedName>
    <definedName name="stussal38">[7]Parameters!$E$246</definedName>
    <definedName name="stussal39">[7]Parameters!$E$247</definedName>
    <definedName name="stussal40">[7]Parameters!$E$248</definedName>
    <definedName name="stussal41">[7]Parameters!$E$249</definedName>
    <definedName name="stussal42">[7]Parameters!$E$250</definedName>
    <definedName name="stussal43">[7]Parameters!$E$251</definedName>
    <definedName name="stussal44">[7]Parameters!$E$252</definedName>
    <definedName name="stussal45">[7]Parameters!$E$253</definedName>
    <definedName name="stussal46">[7]Parameters!$E$254</definedName>
    <definedName name="stussal47">[7]Parameters!$E$255</definedName>
    <definedName name="stussal48">[7]Parameters!$E$256</definedName>
    <definedName name="stussal49">[7]Parameters!$E$257</definedName>
    <definedName name="stussal50">[7]Parameters!$E$258</definedName>
    <definedName name="stussal51">[7]Parameters!$E$259</definedName>
    <definedName name="stussal52">[7]Parameters!$E$260</definedName>
    <definedName name="stussal53">[7]Parameters!$E$261</definedName>
    <definedName name="stussal54">[7]Parameters!$E$262</definedName>
    <definedName name="stussal55">[7]Parameters!$E$263</definedName>
    <definedName name="stussal56">[7]Parameters!$E$264</definedName>
    <definedName name="stussal57">[7]Parameters!$E$265</definedName>
    <definedName name="stussal58">[7]Parameters!$E$266</definedName>
    <definedName name="stussal59">[7]Parameters!$E$267</definedName>
    <definedName name="stussal60">[7]Parameters!$E$268</definedName>
    <definedName name="stussal61">[7]Parameters!$E$269</definedName>
    <definedName name="stussal62">[7]Parameters!$E$270</definedName>
    <definedName name="stussal63">[7]Parameters!$E$271</definedName>
    <definedName name="stussal64">[7]Parameters!$E$272</definedName>
    <definedName name="stussal65">[7]Parameters!$E$273</definedName>
    <definedName name="stussal66">[7]Parameters!$E$274</definedName>
    <definedName name="stussal67">[7]Parameters!$E$275</definedName>
    <definedName name="stussal68">[7]Parameters!$E$276</definedName>
    <definedName name="stussal69">[7]Parameters!$E$277</definedName>
    <definedName name="stussal70">[7]Parameters!$E$278</definedName>
    <definedName name="stussal71">[7]Parameters!$E$279</definedName>
    <definedName name="stussal72">[7]Parameters!$E$280</definedName>
    <definedName name="stussal73">[7]Parameters!$E$281</definedName>
    <definedName name="stussal74">[7]Parameters!$E$282</definedName>
    <definedName name="stussal75">[7]Parameters!$E$283</definedName>
    <definedName name="Sub">[10]RATES!#REF!</definedName>
    <definedName name="sub10fee">[7]Parameters!$V$497</definedName>
    <definedName name="sub10fringeexp">[7]Parameters!$V$486</definedName>
    <definedName name="sub10fringeloc">[7]Parameters!$V$487</definedName>
    <definedName name="sub10ga">[7]Parameters!$V$494</definedName>
    <definedName name="sub10ohfo">[7]Parameters!$V$491</definedName>
    <definedName name="sub1name">[7]Parameters!$B$17</definedName>
    <definedName name="sub2name">[7]Parameters!$B$18</definedName>
    <definedName name="sub3name">[7]Parameters!$B$19</definedName>
    <definedName name="sub4name">[7]Parameters!$B$20</definedName>
    <definedName name="sub5name">[7]Parameters!$B$21</definedName>
    <definedName name="SUBCONTRACOR_IDs">#REF!</definedName>
    <definedName name="subcontractor">#REF!</definedName>
    <definedName name="subfee">#REF!</definedName>
    <definedName name="subho">[7]Parameters!$A$455</definedName>
    <definedName name="subho1">[7]Parameters!$A$457</definedName>
    <definedName name="subho10">[7]Parameters!$A$466</definedName>
    <definedName name="subho10co">[7]Parameters!$G$466</definedName>
    <definedName name="subho10name">[7]Parameters!$C$466</definedName>
    <definedName name="subho10sal1">[7]Parameters!$E$466</definedName>
    <definedName name="subho1co">[7]Parameters!$G$457</definedName>
    <definedName name="subho1name">[7]Parameters!$C$457</definedName>
    <definedName name="subho1sal1">[7]Parameters!$E$457</definedName>
    <definedName name="subho2">[7]Parameters!$A$458</definedName>
    <definedName name="subho2co">[7]Parameters!$G$458</definedName>
    <definedName name="subho2name">[7]Parameters!$C$458</definedName>
    <definedName name="subho2sal1">[7]Parameters!$E$458</definedName>
    <definedName name="subho3">[7]Parameters!$A$459</definedName>
    <definedName name="subho3co">[7]Parameters!$G$459</definedName>
    <definedName name="subho3name">[7]Parameters!$C$459</definedName>
    <definedName name="subho3sal1">[7]Parameters!$E$459</definedName>
    <definedName name="subho4">[7]Parameters!$A$460</definedName>
    <definedName name="subho4co">[7]Parameters!$G$460</definedName>
    <definedName name="subho4name">[7]Parameters!$C$460</definedName>
    <definedName name="subho4sal1">[7]Parameters!$E$460</definedName>
    <definedName name="subho5">[7]Parameters!$A$461</definedName>
    <definedName name="subho5co">[7]Parameters!$G$461</definedName>
    <definedName name="subho5name">[7]Parameters!$C$461</definedName>
    <definedName name="subho5sal1">[7]Parameters!$E$461</definedName>
    <definedName name="subho6">[7]Parameters!$A$462</definedName>
    <definedName name="subho6co">[7]Parameters!$G$462</definedName>
    <definedName name="subho6name">[7]Parameters!$C$462</definedName>
    <definedName name="subho6sal1">[7]Parameters!$E$462</definedName>
    <definedName name="subho7">[7]Parameters!$A$463</definedName>
    <definedName name="subho7co">[7]Parameters!$G$463</definedName>
    <definedName name="subho7name">[7]Parameters!$C$463</definedName>
    <definedName name="subho7sal1">[7]Parameters!$E$463</definedName>
    <definedName name="subho8">[7]Parameters!$A$464</definedName>
    <definedName name="subho8co">[7]Parameters!$G$464</definedName>
    <definedName name="subho8name">[7]Parameters!$C$464</definedName>
    <definedName name="subho8sal1">[7]Parameters!$E$464</definedName>
    <definedName name="subho9">[7]Parameters!$A$465</definedName>
    <definedName name="subho9co">[7]Parameters!$G$465</definedName>
    <definedName name="subho9name">[7]Parameters!$C$465</definedName>
    <definedName name="subho9sal1">[7]Parameters!$E$465</definedName>
    <definedName name="subhojob1">[7]Parameters!$I$457</definedName>
    <definedName name="subhojob10">[7]Parameters!$I$466</definedName>
    <definedName name="subhojob2">[7]Parameters!$I$458</definedName>
    <definedName name="subhojob3">[7]Parameters!$I$459</definedName>
    <definedName name="subhojob4">[7]Parameters!$I$460</definedName>
    <definedName name="subhojob5">[7]Parameters!$I$461</definedName>
    <definedName name="subhojob6">[7]Parameters!$I$462</definedName>
    <definedName name="subhojob7">[7]Parameters!$I$463</definedName>
    <definedName name="subhojob8">[7]Parameters!$I$464</definedName>
    <definedName name="subhojob9">[7]Parameters!$I$465</definedName>
    <definedName name="submulti">1.09*1.12</definedName>
    <definedName name="subname10">[7]Parameters!$B$26</definedName>
    <definedName name="subname11">[7]Parameters!$B$27</definedName>
    <definedName name="subname12">[7]Parameters!$B$28</definedName>
    <definedName name="subname13">[7]Parameters!$B$29</definedName>
    <definedName name="subname14">[7]Parameters!$B$30</definedName>
    <definedName name="subname15">[7]Parameters!$B$31</definedName>
    <definedName name="subname6">[7]Parameters!$B$22</definedName>
    <definedName name="subname7">[7]Parameters!$B$23</definedName>
    <definedName name="subname8">[7]Parameters!$B$24</definedName>
    <definedName name="subname9">[7]Parameters!$B$25</definedName>
    <definedName name="SUMMARY">#REF!</definedName>
    <definedName name="SUMSHELL">#REF!</definedName>
    <definedName name="SV">[43]Sheet1!$M$3:$M$8</definedName>
    <definedName name="tcn">[7]Parameters!$A$115</definedName>
    <definedName name="TCN_CCN">#REF!</definedName>
    <definedName name="TCN_Fringe">#REF!</definedName>
    <definedName name="tcn10co">[7]Parameters!$G$126</definedName>
    <definedName name="tcn10name">[7]Parameters!$C$126</definedName>
    <definedName name="tcn10sal1">[7]Parameters!$E$126</definedName>
    <definedName name="tcn1co">[7]Parameters!$G$117</definedName>
    <definedName name="tcn1name">[7]Parameters!$C$117</definedName>
    <definedName name="tcn1sal1">[7]Parameters!$E$117</definedName>
    <definedName name="tcn2co">[7]Parameters!$G$118</definedName>
    <definedName name="tcn2name">[7]Parameters!$C$118</definedName>
    <definedName name="tcn2sal1">[7]Parameters!$E$118</definedName>
    <definedName name="tcn3co">[7]Parameters!$G$119</definedName>
    <definedName name="tcn3name">[7]Parameters!$C$119</definedName>
    <definedName name="tcn3sal1">[7]Parameters!$E$119</definedName>
    <definedName name="tcn4co">[7]Parameters!$G$120</definedName>
    <definedName name="tcn4name">[7]Parameters!$C$120</definedName>
    <definedName name="tcn4sal1">[7]Parameters!$E$120</definedName>
    <definedName name="tcn5co">[7]Parameters!$G$121</definedName>
    <definedName name="tcn5name">[7]Parameters!$C$121</definedName>
    <definedName name="tcn5sal1">[7]Parameters!$E$121</definedName>
    <definedName name="tcn6co">[7]Parameters!$G$122</definedName>
    <definedName name="tcn6name">[7]Parameters!$C$122</definedName>
    <definedName name="tcn6sal1">[7]Parameters!$E$122</definedName>
    <definedName name="tcn7co">[7]Parameters!$G$123</definedName>
    <definedName name="tcn7name">[7]Parameters!$C$123</definedName>
    <definedName name="tcn7sal1">[7]Parameters!$E$123</definedName>
    <definedName name="tcn8co">[7]Parameters!$G$124</definedName>
    <definedName name="tcn8name">[7]Parameters!$C$124</definedName>
    <definedName name="tcn8sal1">[7]Parameters!$E$124</definedName>
    <definedName name="tcn9co">[7]Parameters!$G$125</definedName>
    <definedName name="tcn9name">[7]Parameters!$C$125</definedName>
    <definedName name="tcn9sal1">[7]Parameters!$E$125</definedName>
    <definedName name="TCNCCNSTTA_DaysYr1">'[44]B. Local Hire and TCNs'!$I$20</definedName>
    <definedName name="TCNCCNSTTA_DaysYr2">'[44]B. Local Hire and TCNs'!$K$20</definedName>
    <definedName name="TCNCCNSTTA_DaysYr3">'[44]B. Local Hire and TCNs'!$M$20</definedName>
    <definedName name="TCNCCNSTTA_DaysYr4">'[44]B. Local Hire and TCNs'!$O$20</definedName>
    <definedName name="TCNCCNSTTA_DaysYr5">'[44]B. Local Hire and TCNs'!$Q$20</definedName>
    <definedName name="tcnjob1">[7]Parameters!$I$117</definedName>
    <definedName name="tcnjob10">[7]Parameters!$I$126</definedName>
    <definedName name="tcnjob2">[7]Parameters!$I$118</definedName>
    <definedName name="tcnjob3">[7]Parameters!$I$119</definedName>
    <definedName name="tcnjob4">[7]Parameters!$I$120</definedName>
    <definedName name="tcnjob5">[7]Parameters!$I$121</definedName>
    <definedName name="tcnjob6">[7]Parameters!$I$122</definedName>
    <definedName name="tcnjob7">[7]Parameters!$I$123</definedName>
    <definedName name="tcnjob8">[7]Parameters!$I$124</definedName>
    <definedName name="tcnjob9">[7]Parameters!$I$125</definedName>
    <definedName name="Telephone">#REF!</definedName>
    <definedName name="Temp" localSheetId="0" hidden="1">{#N/A,#N/A,FALSE,"ManLoading"}</definedName>
    <definedName name="Temp" hidden="1">{#N/A,#N/A,FALSE,"ManLoading"}</definedName>
    <definedName name="Test">#REF!</definedName>
    <definedName name="Title">[12]Sheet1!$C$15</definedName>
    <definedName name="TOPA">'[45]SF 1411'!#REF!</definedName>
    <definedName name="topost">[5]Parameters!$D$23</definedName>
    <definedName name="totonicapan">#REF!</definedName>
    <definedName name="Trade11">[10]RATES!#REF!</definedName>
    <definedName name="Trade12">[10]RATES!#REF!</definedName>
    <definedName name="Trade13">[10]RATES!#REF!</definedName>
    <definedName name="Trade41">[10]RATES!#REF!</definedName>
    <definedName name="Trade42">[10]RATES!#REF!</definedName>
    <definedName name="Trade43">[10]RATES!#REF!</definedName>
    <definedName name="Trade51">[10]RATES!#REF!</definedName>
    <definedName name="Trade52">[10]RATES!#REF!</definedName>
    <definedName name="Trade53">[10]RATES!#REF!</definedName>
    <definedName name="Transit">#REF!</definedName>
    <definedName name="TRAVEL">#REF!</definedName>
    <definedName name="traveldays">[16]Assumptions!$D$28</definedName>
    <definedName name="TRG">#N/A</definedName>
    <definedName name="TRIPS">#N/A</definedName>
    <definedName name="TRM">#REF!</definedName>
    <definedName name="trsty" localSheetId="0" hidden="1">{"PAGE1",#N/A,FALSE,"CPFFMSTR";"PAGE2",#N/A,FALSE,"CPFFMSTR"}</definedName>
    <definedName name="trsty" hidden="1">{"PAGE1",#N/A,FALSE,"CPFFMSTR";"PAGE2",#N/A,FALSE,"CPFFMSTR"}</definedName>
    <definedName name="Tulaneclin1">#REF!</definedName>
    <definedName name="tulaneclin2">#REF!</definedName>
    <definedName name="tulaneclin3">#REF!</definedName>
    <definedName name="UFFVA">#N/A</definedName>
    <definedName name="ULAB">#N/A</definedName>
    <definedName name="UNITS">#REF!</definedName>
    <definedName name="Unsure" localSheetId="0" hidden="1">{#N/A,#N/A,FALSE,"ManLoading"}</definedName>
    <definedName name="Unsure" hidden="1">{#N/A,#N/A,FALSE,"ManLoading"}</definedName>
    <definedName name="UODC">#N/A</definedName>
    <definedName name="us">[7]Parameters!$A$37</definedName>
    <definedName name="us10co">[7]Parameters!$G$48</definedName>
    <definedName name="us10name">[7]Parameters!$C$48</definedName>
    <definedName name="us10sal1">[7]Parameters!$E$48</definedName>
    <definedName name="us1co">[7]Parameters!$G$39</definedName>
    <definedName name="us1name">[7]Parameters!$C$39</definedName>
    <definedName name="us1sal1">[7]Parameters!$E$39</definedName>
    <definedName name="us2co">[7]Parameters!$G$40</definedName>
    <definedName name="us2name">[7]Parameters!$C$40</definedName>
    <definedName name="us2sal1">[7]Parameters!$E$40</definedName>
    <definedName name="us3co">[7]Parameters!$G$41</definedName>
    <definedName name="us3name">[7]Parameters!$C$41</definedName>
    <definedName name="us3sal1">[7]Parameters!$E$41</definedName>
    <definedName name="us4co">[7]Parameters!$G$42</definedName>
    <definedName name="us4name">[7]Parameters!$C$42</definedName>
    <definedName name="us4sal1">[7]Parameters!$E$42</definedName>
    <definedName name="us5co">[7]Parameters!$G$43</definedName>
    <definedName name="us5name">[7]Parameters!$C$43</definedName>
    <definedName name="us5sal1">[7]Parameters!$E$43</definedName>
    <definedName name="us6co">[7]Parameters!$G$44</definedName>
    <definedName name="us6name">[7]Parameters!$C$44</definedName>
    <definedName name="us6sal1">[7]Parameters!$E$44</definedName>
    <definedName name="us7co">[7]Parameters!$G$45</definedName>
    <definedName name="us7name">[7]Parameters!$C$45</definedName>
    <definedName name="us7sal1">[7]Parameters!$E$45</definedName>
    <definedName name="us8co">[7]Parameters!$G$46</definedName>
    <definedName name="us8name">[7]Parameters!$C$46</definedName>
    <definedName name="us8sal1">[7]Parameters!$E$46</definedName>
    <definedName name="us9co">[7]Parameters!$G$47</definedName>
    <definedName name="us9name">[7]Parameters!$C$47</definedName>
    <definedName name="us9sal1">[7]Parameters!$E$47</definedName>
    <definedName name="usco11">[7]Parameters!$G$49</definedName>
    <definedName name="usco12">[7]Parameters!$G$50</definedName>
    <definedName name="usco13">[7]Parameters!$G$51</definedName>
    <definedName name="usco14">[7]Parameters!$G$52</definedName>
    <definedName name="usco15">[7]Parameters!$G$53</definedName>
    <definedName name="usco16">[7]Parameters!$G$54</definedName>
    <definedName name="usco17">[7]Parameters!$G$55</definedName>
    <definedName name="usco18">[7]Parameters!$G$56</definedName>
    <definedName name="usco19">[7]Parameters!$G$57</definedName>
    <definedName name="usco20">[7]Parameters!$G$58</definedName>
    <definedName name="usco21">[7]Parameters!$G$59</definedName>
    <definedName name="usco22">[7]Parameters!$G$60</definedName>
    <definedName name="usco23">[7]Parameters!$G$61</definedName>
    <definedName name="usco24">[7]Parameters!$G$62</definedName>
    <definedName name="usco25">[7]Parameters!$G$63</definedName>
    <definedName name="usco26">[7]Parameters!$G$64</definedName>
    <definedName name="usco27">[7]Parameters!$G$65</definedName>
    <definedName name="usco28">[7]Parameters!$G$66</definedName>
    <definedName name="usco29">[7]Parameters!$G$67</definedName>
    <definedName name="usco30">[7]Parameters!$G$68</definedName>
    <definedName name="usco31">[7]Parameters!$G$69</definedName>
    <definedName name="usco32">[7]Parameters!$G$70</definedName>
    <definedName name="usco33">[7]Parameters!$G$71</definedName>
    <definedName name="usco34">[7]Parameters!$G$72</definedName>
    <definedName name="usco35">[7]Parameters!$G$73</definedName>
    <definedName name="usco36">[7]Parameters!$G$74</definedName>
    <definedName name="usco37">[7]Parameters!$G$75</definedName>
    <definedName name="usco38">[7]Parameters!$G$76</definedName>
    <definedName name="usco39">[7]Parameters!$G$77</definedName>
    <definedName name="usco40">[7]Parameters!$G$78</definedName>
    <definedName name="usco41">[7]Parameters!$G$79</definedName>
    <definedName name="usco42">[7]Parameters!$G$80</definedName>
    <definedName name="usco43">[7]Parameters!$G$81</definedName>
    <definedName name="usco44">[7]Parameters!$G$82</definedName>
    <definedName name="usco45">[7]Parameters!$G$83</definedName>
    <definedName name="usco46">[7]Parameters!$G$84</definedName>
    <definedName name="usco47">[7]Parameters!$G$85</definedName>
    <definedName name="usco48">[7]Parameters!$G$86</definedName>
    <definedName name="usco49">[7]Parameters!$G$87</definedName>
    <definedName name="usco50">[7]Parameters!$G$88</definedName>
    <definedName name="usco51">[7]Parameters!$G$89</definedName>
    <definedName name="usco52">[7]Parameters!$G$90</definedName>
    <definedName name="usco53">[7]Parameters!$G$91</definedName>
    <definedName name="usco54">[7]Parameters!$G$92</definedName>
    <definedName name="usco55">[7]Parameters!$G$93</definedName>
    <definedName name="usco56">[7]Parameters!$G$94</definedName>
    <definedName name="usco57">[7]Parameters!$G$95</definedName>
    <definedName name="usco58">[7]Parameters!$G$96</definedName>
    <definedName name="usco59">[7]Parameters!$G$97</definedName>
    <definedName name="usco60">[7]Parameters!$G$98</definedName>
    <definedName name="usco61">[7]Parameters!$G$99</definedName>
    <definedName name="usco62">[7]Parameters!$G$100</definedName>
    <definedName name="usco63">[7]Parameters!$G$101</definedName>
    <definedName name="usco64">[7]Parameters!$G$102</definedName>
    <definedName name="usco65">[7]Parameters!$G$103</definedName>
    <definedName name="usco66">[7]Parameters!$G$104</definedName>
    <definedName name="usco67">[7]Parameters!$G$105</definedName>
    <definedName name="usco68">[7]Parameters!$G$106</definedName>
    <definedName name="usco69">[7]Parameters!$G$107</definedName>
    <definedName name="usco70">[7]Parameters!$G$108</definedName>
    <definedName name="usco71">[7]Parameters!$G$109</definedName>
    <definedName name="usco72">[7]Parameters!$G$110</definedName>
    <definedName name="usco73">[7]Parameters!$G$111</definedName>
    <definedName name="usco74">[7]Parameters!$G$112</definedName>
    <definedName name="usco75">[7]Parameters!$G$113</definedName>
    <definedName name="usd">#REF!</definedName>
    <definedName name="usinf">0.035</definedName>
    <definedName name="usjob1">[7]Parameters!$I$39</definedName>
    <definedName name="usjob10">[7]Parameters!$I$48</definedName>
    <definedName name="usjob11">[7]Parameters!$I$49</definedName>
    <definedName name="usjob12">[7]Parameters!$I$50</definedName>
    <definedName name="usjob13">[7]Parameters!$I$51</definedName>
    <definedName name="usjob14">[7]Parameters!$I$52</definedName>
    <definedName name="usjob15">[7]Parameters!$I$53</definedName>
    <definedName name="usjob16">[7]Parameters!$I$54</definedName>
    <definedName name="usjob17">[7]Parameters!$I$55</definedName>
    <definedName name="usjob18">[7]Parameters!$I$56</definedName>
    <definedName name="usjob19">[7]Parameters!$I$57</definedName>
    <definedName name="usjob2">[7]Parameters!$I$40</definedName>
    <definedName name="usjob20">[7]Parameters!$I$58</definedName>
    <definedName name="usjob21">[7]Parameters!$I$59</definedName>
    <definedName name="usjob22">[7]Parameters!$I$60</definedName>
    <definedName name="usjob23">[7]Parameters!$I$61</definedName>
    <definedName name="usjob24">[7]Parameters!$I$62</definedName>
    <definedName name="usjob25">[7]Parameters!$I$63</definedName>
    <definedName name="usjob26">[7]Parameters!$I$64</definedName>
    <definedName name="usjob27">[7]Parameters!$I$65</definedName>
    <definedName name="usjob28">[7]Parameters!$I$66</definedName>
    <definedName name="usjob29">[7]Parameters!$I$67</definedName>
    <definedName name="usjob3">[7]Parameters!$I$41</definedName>
    <definedName name="usjob30">[7]Parameters!$I$68</definedName>
    <definedName name="usjob31">[7]Parameters!$I$69</definedName>
    <definedName name="usjob32">[7]Parameters!$I$70</definedName>
    <definedName name="usjob33">[7]Parameters!$I$71</definedName>
    <definedName name="usjob34">[7]Parameters!$I$72</definedName>
    <definedName name="usjob35">[7]Parameters!$I$73</definedName>
    <definedName name="usjob36">[7]Parameters!$I$74</definedName>
    <definedName name="usjob37">[7]Parameters!$I$75</definedName>
    <definedName name="usjob38">[7]Parameters!$I$76</definedName>
    <definedName name="usjob39">[7]Parameters!$I$77</definedName>
    <definedName name="usjob4">[7]Parameters!$I$42</definedName>
    <definedName name="usjob40">[7]Parameters!$I$78</definedName>
    <definedName name="usjob41">[7]Parameters!$I$79</definedName>
    <definedName name="usjob42">[7]Parameters!$I$80</definedName>
    <definedName name="usjob43">[7]Parameters!$I$81</definedName>
    <definedName name="usjob44">[7]Parameters!$I$82</definedName>
    <definedName name="usjob45">[7]Parameters!$I$83</definedName>
    <definedName name="usjob46">[7]Parameters!$I$84</definedName>
    <definedName name="usjob47">[7]Parameters!$I$85</definedName>
    <definedName name="usjob48">[7]Parameters!$I$86</definedName>
    <definedName name="usjob49">[7]Parameters!$I$87</definedName>
    <definedName name="usjob5">[7]Parameters!$I$43</definedName>
    <definedName name="usjob50">[7]Parameters!$I$88</definedName>
    <definedName name="usjob51">[7]Parameters!$I$89</definedName>
    <definedName name="usjob52">[7]Parameters!$I$90</definedName>
    <definedName name="usjob53">[7]Parameters!$I$91</definedName>
    <definedName name="usjob54">[7]Parameters!$I$92</definedName>
    <definedName name="usjob55">[7]Parameters!$I$93</definedName>
    <definedName name="usjob56">[7]Parameters!$I$94</definedName>
    <definedName name="usjob57">[7]Parameters!$I$95</definedName>
    <definedName name="usjob58">[7]Parameters!$I$96</definedName>
    <definedName name="usjob59">[7]Parameters!$I$97</definedName>
    <definedName name="usjob6">[7]Parameters!$I$44</definedName>
    <definedName name="usjob60">[7]Parameters!$I$98</definedName>
    <definedName name="usjob61">[7]Parameters!$I$99</definedName>
    <definedName name="usjob62">[7]Parameters!$I$100</definedName>
    <definedName name="usjob63">[7]Parameters!$I$101</definedName>
    <definedName name="usjob64">[7]Parameters!$I$102</definedName>
    <definedName name="usjob65">[7]Parameters!$I$103</definedName>
    <definedName name="usjob66">[7]Parameters!$I$104</definedName>
    <definedName name="usjob67">[7]Parameters!$I$105</definedName>
    <definedName name="usjob68">[7]Parameters!$I$106</definedName>
    <definedName name="usjob69">[7]Parameters!$I$107</definedName>
    <definedName name="usjob7">[7]Parameters!$I$45</definedName>
    <definedName name="usjob70">[7]Parameters!$I$108</definedName>
    <definedName name="usjob71">[7]Parameters!$I$109</definedName>
    <definedName name="usjob72">[7]Parameters!$I$110</definedName>
    <definedName name="usjob73">[7]Parameters!$I$111</definedName>
    <definedName name="usjob74">[7]Parameters!$I$112</definedName>
    <definedName name="usjob75">[7]Parameters!$I$113</definedName>
    <definedName name="usjob8">[7]Parameters!$I$46</definedName>
    <definedName name="usjob9">[7]Parameters!$I$47</definedName>
    <definedName name="usname11">[7]Parameters!$C$49</definedName>
    <definedName name="usname12">[7]Parameters!$C$50</definedName>
    <definedName name="usname13">[7]Parameters!$C$51</definedName>
    <definedName name="usname14">[7]Parameters!$C$52</definedName>
    <definedName name="usname15">[7]Parameters!$C$53</definedName>
    <definedName name="usname16">[7]Parameters!$C$54</definedName>
    <definedName name="usname17">[7]Parameters!$C$55</definedName>
    <definedName name="usname18">[7]Parameters!$C$56</definedName>
    <definedName name="usname19">[7]Parameters!$C$57</definedName>
    <definedName name="usname20">[7]Parameters!$C$58</definedName>
    <definedName name="usname21">[7]Parameters!$C$59</definedName>
    <definedName name="usname22">[7]Parameters!$C$60</definedName>
    <definedName name="usname23">[7]Parameters!$C$61</definedName>
    <definedName name="usname24">[7]Parameters!$C$62</definedName>
    <definedName name="usname25">[7]Parameters!$C$63</definedName>
    <definedName name="usname26">[7]Parameters!$C$64</definedName>
    <definedName name="usname27">[7]Parameters!$C$65</definedName>
    <definedName name="usname28">[7]Parameters!$C$66</definedName>
    <definedName name="usname29">[7]Parameters!$C$67</definedName>
    <definedName name="usname30">[7]Parameters!$C$68</definedName>
    <definedName name="usname31">[7]Parameters!$C$69</definedName>
    <definedName name="usname32">[7]Parameters!$C$70</definedName>
    <definedName name="usname33">[7]Parameters!$C$71</definedName>
    <definedName name="usname34">[7]Parameters!$C$72</definedName>
    <definedName name="usname35">[7]Parameters!$C$73</definedName>
    <definedName name="usname36">[7]Parameters!$C$74</definedName>
    <definedName name="usname37">[7]Parameters!$C$75</definedName>
    <definedName name="usname38">[7]Parameters!$C$76</definedName>
    <definedName name="usname39">[7]Parameters!$C$77</definedName>
    <definedName name="usname40">[7]Parameters!$C$78</definedName>
    <definedName name="usname41">[7]Parameters!$C$79</definedName>
    <definedName name="usname42">[7]Parameters!$C$80</definedName>
    <definedName name="usname43">[7]Parameters!$C$81</definedName>
    <definedName name="usname44">[7]Parameters!$C$82</definedName>
    <definedName name="usname45">[7]Parameters!$C$83</definedName>
    <definedName name="usname46">[7]Parameters!$C$84</definedName>
    <definedName name="usname47">[7]Parameters!$C$85</definedName>
    <definedName name="usname48">[7]Parameters!$C$86</definedName>
    <definedName name="usname49">[7]Parameters!$C$87</definedName>
    <definedName name="usname50">[7]Parameters!$C$88</definedName>
    <definedName name="usname51">[7]Parameters!$C$89</definedName>
    <definedName name="usname52">[7]Parameters!$C$90</definedName>
    <definedName name="usname53">[7]Parameters!$C$91</definedName>
    <definedName name="usname54">[7]Parameters!$C$92</definedName>
    <definedName name="usname55">[7]Parameters!$C$93</definedName>
    <definedName name="usname56">[7]Parameters!$C$94</definedName>
    <definedName name="usname57">[7]Parameters!$C$95</definedName>
    <definedName name="usname58">[7]Parameters!$C$96</definedName>
    <definedName name="usname59">[7]Parameters!$C$97</definedName>
    <definedName name="usname60">[7]Parameters!$C$98</definedName>
    <definedName name="usname61">[7]Parameters!$C$99</definedName>
    <definedName name="usname62">[7]Parameters!$C$100</definedName>
    <definedName name="usname63">[7]Parameters!$C$101</definedName>
    <definedName name="usname64">[7]Parameters!$C$102</definedName>
    <definedName name="usname65">[7]Parameters!$C$103</definedName>
    <definedName name="usname66">[7]Parameters!$C$104</definedName>
    <definedName name="usname67">[7]Parameters!$C$105</definedName>
    <definedName name="usname68">[7]Parameters!$C$106</definedName>
    <definedName name="usname69">[7]Parameters!$C$107</definedName>
    <definedName name="usname70">[7]Parameters!$C$108</definedName>
    <definedName name="usname71">[7]Parameters!$C$109</definedName>
    <definedName name="usname72">[7]Parameters!$C$110</definedName>
    <definedName name="usname73">[7]Parameters!$C$111</definedName>
    <definedName name="usname74">[7]Parameters!$C$112</definedName>
    <definedName name="usname75">[7]Parameters!$C$113</definedName>
    <definedName name="USperdiem">[16]Assumptions!$D$29</definedName>
    <definedName name="ussal11">[7]Parameters!$E$49</definedName>
    <definedName name="ussal12">[7]Parameters!$E$50</definedName>
    <definedName name="ussal13">[7]Parameters!$E$51</definedName>
    <definedName name="ussal14">[7]Parameters!$E$52</definedName>
    <definedName name="ussal15">[7]Parameters!$E$53</definedName>
    <definedName name="ussal16">[7]Parameters!$E$54</definedName>
    <definedName name="ussal17">[7]Parameters!$E$55</definedName>
    <definedName name="ussal18">[7]Parameters!$E$56</definedName>
    <definedName name="ussal19">[7]Parameters!$E$57</definedName>
    <definedName name="ussal20">[7]Parameters!$E$58</definedName>
    <definedName name="ussal21">[7]Parameters!$E$59</definedName>
    <definedName name="ussal22">[7]Parameters!$E$60</definedName>
    <definedName name="ussal23">[7]Parameters!$E$61</definedName>
    <definedName name="ussal24">[7]Parameters!$E$62</definedName>
    <definedName name="ussal25">[7]Parameters!$E$63</definedName>
    <definedName name="ussal26">[7]Parameters!$E$64</definedName>
    <definedName name="ussal27">[7]Parameters!$E$65</definedName>
    <definedName name="ussal28">[7]Parameters!$E$66</definedName>
    <definedName name="ussal29">[7]Parameters!$E$67</definedName>
    <definedName name="ussal30">[7]Parameters!$E$68</definedName>
    <definedName name="ussal31">[7]Parameters!$E$69</definedName>
    <definedName name="ussal32">[7]Parameters!$E$70</definedName>
    <definedName name="ussal33">[7]Parameters!$E$71</definedName>
    <definedName name="ussal34">[7]Parameters!$E$72</definedName>
    <definedName name="ussal35">[7]Parameters!$E$73</definedName>
    <definedName name="ussal36">[7]Parameters!$E$74</definedName>
    <definedName name="ussal37">[7]Parameters!$E$75</definedName>
    <definedName name="ussal38">[7]Parameters!$E$76</definedName>
    <definedName name="ussal39">[7]Parameters!$E$77</definedName>
    <definedName name="ussal40">[7]Parameters!$E$78</definedName>
    <definedName name="ussal41">[7]Parameters!$E$79</definedName>
    <definedName name="ussal42">[7]Parameters!$E$80</definedName>
    <definedName name="ussal43">[7]Parameters!$E$81</definedName>
    <definedName name="ussal44">[7]Parameters!$E$82</definedName>
    <definedName name="ussal45">[7]Parameters!$E$83</definedName>
    <definedName name="ussal46">[7]Parameters!$E$84</definedName>
    <definedName name="ussal47">[7]Parameters!$E$85</definedName>
    <definedName name="ussal48">[7]Parameters!$E$86</definedName>
    <definedName name="ussal49">[7]Parameters!$E$87</definedName>
    <definedName name="ussal50">[7]Parameters!$E$88</definedName>
    <definedName name="ussal51">[7]Parameters!$E$89</definedName>
    <definedName name="ussal52">[7]Parameters!$E$90</definedName>
    <definedName name="ussal53">[7]Parameters!$E$91</definedName>
    <definedName name="ussal54">[7]Parameters!$E$92</definedName>
    <definedName name="ussal55">[7]Parameters!$E$93</definedName>
    <definedName name="ussal56">[7]Parameters!$E$94</definedName>
    <definedName name="ussal57">[7]Parameters!$E$95</definedName>
    <definedName name="ussal58">[7]Parameters!$E$96</definedName>
    <definedName name="ussal59">[7]Parameters!$E$97</definedName>
    <definedName name="ussal60">[7]Parameters!$E$98</definedName>
    <definedName name="ussal61">[7]Parameters!$E$99</definedName>
    <definedName name="ussal62">[7]Parameters!$E$100</definedName>
    <definedName name="ussal63">[7]Parameters!$E$101</definedName>
    <definedName name="ussal64">[7]Parameters!$E$102</definedName>
    <definedName name="ussal65">[7]Parameters!$E$103</definedName>
    <definedName name="ussal66">[7]Parameters!$E$104</definedName>
    <definedName name="ussal67">[7]Parameters!$E$105</definedName>
    <definedName name="ussal68">[7]Parameters!$E$106</definedName>
    <definedName name="ussal69">[7]Parameters!$E$107</definedName>
    <definedName name="ussal70">[7]Parameters!$E$108</definedName>
    <definedName name="ussal71">[7]Parameters!$E$109</definedName>
    <definedName name="ussal72">[7]Parameters!$E$110</definedName>
    <definedName name="ussal73">[7]Parameters!$E$111</definedName>
    <definedName name="ussal74">[7]Parameters!$E$112</definedName>
    <definedName name="ussal75">[7]Parameters!$E$113</definedName>
    <definedName name="ustaxi">[12]Sheet1!$C$35</definedName>
    <definedName name="UTOT">#N/A</definedName>
    <definedName name="Vc_Days">#REF!</definedName>
    <definedName name="WD">#REF!</definedName>
    <definedName name="WDA">#N/A</definedName>
    <definedName name="WERT" localSheetId="0" hidden="1">{"PAGE1",#N/A,FALSE,"CPFFMSTR";"PAGE2",#N/A,FALSE,"CPFFMSTR"}</definedName>
    <definedName name="WERT" hidden="1">{"PAGE1",#N/A,FALSE,"CPFFMSTR";"PAGE2",#N/A,FALSE,"CPFFMSTR"}</definedName>
    <definedName name="Wk_Days">#REF!</definedName>
    <definedName name="workdaysLT">[7]Parameters!$B$509</definedName>
    <definedName name="workdaysST">[7]Parameters!$B$510</definedName>
    <definedName name="Works">#REF!</definedName>
    <definedName name="WORKSHEET">#REF!</definedName>
    <definedName name="WORTH">#N/A</definedName>
    <definedName name="wrn.ACC_Cars_125K_Co1." localSheetId="0" hidden="1">{"ACC_Cars_125K_PA",#N/A,FALSE,"ACC Cars Co1 125K ";"ACC_Cars_125K_Prop",#N/A,FALSE,"ACC Cars Co1 125K "}</definedName>
    <definedName name="wrn.ACC_Cars_125K_Co1." hidden="1">{"ACC_Cars_125K_PA",#N/A,FALSE,"ACC Cars Co1 125K ";"ACC_Cars_125K_Prop",#N/A,FALSE,"ACC Cars Co1 125K "}</definedName>
    <definedName name="wrn.ACC_Cars_400K_Co1." localSheetId="0" hidden="1">{"ACC_Cars_400K_PA",#N/A,FALSE,"ACC Cars Co1 400K";"ACC_Cars_400K_Prop",#N/A,FALSE,"ACC Cars Co1 400K"}</definedName>
    <definedName name="wrn.ACC_Cars_400K_Co1." hidden="1">{"ACC_Cars_400K_PA",#N/A,FALSE,"ACC Cars Co1 400K";"ACC_Cars_400K_Prop",#N/A,FALSE,"ACC Cars Co1 400K"}</definedName>
    <definedName name="wrn.ACC_Cars_Travel_125K." localSheetId="0" hidden="1">{"PAGE1",#N/A,FALSE,"ACC_CARS Travel 125K";"PAGE2",#N/A,FALSE,"ACC_CARS Travel 125K"}</definedName>
    <definedName name="wrn.ACC_Cars_Travel_125K." hidden="1">{"PAGE1",#N/A,FALSE,"ACC_CARS Travel 125K";"PAGE2",#N/A,FALSE,"ACC_CARS Travel 125K"}</definedName>
    <definedName name="wrn.ACC_CARS_Travel_400K." localSheetId="0" hidden="1">{"Page1",#N/A,FALSE,"ACC_CARS Travel 400K";"Page2",#N/A,FALSE,"ACC_CARS Travel 400K"}</definedName>
    <definedName name="wrn.ACC_CARS_Travel_400K." hidden="1">{"Page1",#N/A,FALSE,"ACC_CARS Travel 400K";"Page2",#N/A,FALSE,"ACC_CARS Travel 400K"}</definedName>
    <definedName name="wrn.All._.Grant._.Forms." localSheetId="0" hidden="1">{"Form DD",#N/A,FALSE,"DD";"EE",#N/A,FALSE,"EE";"Indirects",#N/A,FALSE,"DD"}</definedName>
    <definedName name="wrn.All._.Grant._.Forms." hidden="1">{"Form DD",#N/A,FALSE,"DD";"EE",#N/A,FALSE,"EE";"Indirects",#N/A,FALSE,"DD"}</definedName>
    <definedName name="wrn.BACKUP." localSheetId="0" hidden="1">{"actuals_1",#N/A,FALSE,"CO 1 YRS";"burden_1",#N/A,FALSE,"CO 1 YRS";"input",#N/A,FALSE,"INPUT"}</definedName>
    <definedName name="wrn.BACKUP." hidden="1">{"actuals_1",#N/A,FALSE,"CO 1 YRS";"burden_1",#N/A,FALSE,"CO 1 YRS";"input",#N/A,FALSE,"INPUT"}</definedName>
    <definedName name="wrn.BTables." localSheetId="0" hidden="1">{#N/A,#N/A,FALSE,"Proposal"}</definedName>
    <definedName name="wrn.BTables." hidden="1">{#N/A,#N/A,FALSE,"Proposal"}</definedName>
    <definedName name="wrn.CCB_JDISS." localSheetId="0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CCB_JDISS." hidden="1">{"Pre_CCB",#N/A,FALSE,"Pre CCB Pkg ";"CCB_Memb_Notbk",#N/A,FALSE,"CCB_Memb_Notebk";"CCB_Handouts",#N/A,FALSE,"Handouts";"JDISS_Brochure",#N/A,FALSE,"JDISS_Brochure";"JDISS_Minutes",#N/A,FALSE,"JDISS_Minutes";"Total_JDISS",#N/A,FALSE,"Total JDISS"}</definedName>
    <definedName name="wrn.Dolan_Co1." localSheetId="0" hidden="1">{"DolanCo1_PA",#N/A,FALSE,"Tina Dolan";"DolanCo1_Prop",#N/A,FALSE,"Tina Dolan"}</definedName>
    <definedName name="wrn.Dolan_Co1." hidden="1">{"DolanCo1_PA",#N/A,FALSE,"Tina Dolan";"DolanCo1_Prop",#N/A,FALSE,"Tina Dolan"}</definedName>
    <definedName name="wrn.Ebron_350K." localSheetId="0" hidden="1">{"Prop_350K",#N/A,FALSE,"Ebron-350K";"PA_350K",#N/A,FALSE,"Ebron-350K";"Ebron350KTrvl",#N/A,FALSE,"Ebrons Travel 350k"}</definedName>
    <definedName name="wrn.Ebron_350K." hidden="1">{"Prop_350K",#N/A,FALSE,"Ebron-350K";"PA_350K",#N/A,FALSE,"Ebron-350K";"Ebron350KTrvl",#N/A,FALSE,"Ebrons Travel 350k"}</definedName>
    <definedName name="wrn.Ebron_Co1." localSheetId="0" hidden="1">{"EbronCo1_PA",#N/A,FALSE,"Ebrons Task Co1";"EbronCo1_Prop",#N/A,FALSE,"Ebrons Task Co1";"Ebron316KTrvl",#N/A,FALSE,"Ebrons Travel 316k"}</definedName>
    <definedName name="wrn.Ebron_Co1." hidden="1">{"EbronCo1_PA",#N/A,FALSE,"Ebrons Task Co1";"EbronCo1_Prop",#N/A,FALSE,"Ebrons Task Co1";"Ebron316KTrvl",#N/A,FALSE,"Ebrons Travel 316k"}</definedName>
    <definedName name="wrn.Ebron_Co5." localSheetId="0" hidden="1">{"EbronCo5_PA",#N/A,FALSE,"Ebrons Task Co5";"EbronCo5_Prop",#N/A,FALSE,"Ebrons Task Co5"}</definedName>
    <definedName name="wrn.Ebron_Co5." hidden="1">{"EbronCo5_PA",#N/A,FALSE,"Ebrons Task Co5";"EbronCo5_Prop",#N/A,FALSE,"Ebrons Task Co5"}</definedName>
    <definedName name="wrn.INVOICE." localSheetId="0" hidden="1">{"SF1034",#N/A,FALSE,"SF1034";"PAGE1",#N/A,FALSE,"SF1035-CO1-PG1";"PAGE2",#N/A,FALSE,"SF1035-CO1-PG2"}</definedName>
    <definedName name="wrn.INVOICE." hidden="1">{"SF1034",#N/A,FALSE,"SF1034";"PAGE1",#N/A,FALSE,"SF1035-CO1-PG1";"PAGE2",#N/A,FALSE,"SF1035-CO1-PG2"}</definedName>
    <definedName name="wrn.JDISS_Co1." localSheetId="0" hidden="1">{"JDISS_Co1",#N/A,FALSE,"JDISS_Co1";"JDISSCo1_PA",#N/A,FALSE,"JDISS_Co1"}</definedName>
    <definedName name="wrn.JDISS_Co1." hidden="1">{"JDISS_Co1",#N/A,FALSE,"JDISS_Co1";"JDISSCo1_PA",#N/A,FALSE,"JDISS_Co1"}</definedName>
    <definedName name="wrn.Man._.Loading._.Sheet." localSheetId="0" hidden="1">{#N/A,#N/A,FALSE,"ManLoading"}</definedName>
    <definedName name="wrn.Man._.Loading._.Sheet." hidden="1">{#N/A,#N/A,FALSE,"ManLoading"}</definedName>
    <definedName name="wrn.Pearson_Co1." localSheetId="0" hidden="1">{"PearsonCo1_Prop",#N/A,FALSE,"Pearsons Task Co1";"PearsonCo1_PA",#N/A,FALSE,"Pearsons Task Co1"}</definedName>
    <definedName name="wrn.Pearson_Co1." hidden="1">{"PearsonCo1_Prop",#N/A,FALSE,"Pearsons Task Co1";"PearsonCo1_PA",#N/A,FALSE,"Pearsons Task Co1"}</definedName>
    <definedName name="wrn.Pearson_Co5." localSheetId="0" hidden="1">{"PearsonCo5_Prop",#N/A,FALSE,"Pearsons Task Co5";"PearsonCo5_PA",#N/A,FALSE,"Pearsons Task Co5"}</definedName>
    <definedName name="wrn.Pearson_Co5." hidden="1">{"PearsonCo5_Prop",#N/A,FALSE,"Pearsons Task Co5";"PearsonCo5_PA",#N/A,FALSE,"Pearsons Task Co5"}</definedName>
    <definedName name="wrn.price." localSheetId="0" hidden="1">{"PAGE1",#N/A,FALSE,"CPFFMSTR";"PAGE2",#N/A,FALSE,"CPFFMSTR"}</definedName>
    <definedName name="wrn.price." hidden="1">{"PAGE1",#N/A,FALSE,"CPFFMSTR";"PAGE2",#N/A,FALSE,"CPFFMSTR"}</definedName>
    <definedName name="wrn.PRINT._.ALL." localSheetId="0" hidden="1">{"ORIG",#N/A,FALSE,"Sheet1";"GOVT LABOR",#N/A,FALSE,"Sheet1";"INT LABOR",#N/A,FALSE,"Sheet1"}</definedName>
    <definedName name="wrn.PRINT._.ALL." hidden="1">{"ORIG",#N/A,FALSE,"Sheet1";"GOVT LABOR",#N/A,FALSE,"Sheet1";"INT LABOR",#N/A,FALSE,"Sheet1"}</definedName>
    <definedName name="wrn.Print_Detail_And_Summary." localSheetId="0" hidden="1">{"ViewPreCalc",#N/A,TRUE,"PreCalc";"ViewSummary",#N/A,TRUE,"Summary "}</definedName>
    <definedName name="wrn.Print_Detail_And_Summary." hidden="1">{"ViewPreCalc",#N/A,TRUE,"PreCalc";"ViewSummary",#N/A,TRUE,"Summary "}</definedName>
    <definedName name="wrn.Seal._.Team._.J6." localSheetId="0" hidden="1">{"Seal Team J6 Sum",#N/A,FALSE,"Seal Team Summary";"Seal Team J6",#N/A,FALSE,"Seal Team ";"Seal Team ODC J6",#N/A,FALSE,"Seal Team ODCs";"Seal Team Trvl J6",#N/A,FALSE," Seal Team Trvl"}</definedName>
    <definedName name="wrn.Seal._.Team._.J6." hidden="1">{"Seal Team J6 Sum",#N/A,FALSE,"Seal Team Summary";"Seal Team J6",#N/A,FALSE,"Seal Team ";"Seal Team ODC J6",#N/A,FALSE,"Seal Team ODCs";"Seal Team Trvl J6",#N/A,FALSE," Seal Team Trvl"}</definedName>
    <definedName name="wrn.Summary._.1._.Year." localSheetId="0" hidden="1">{"One Year",#N/A,FALSE,"Summary"}</definedName>
    <definedName name="wrn.Summary._.1._.Year." hidden="1">{"One Year",#N/A,FALSE,"Summary"}</definedName>
    <definedName name="wrn.workpapers." localSheetId="0" hidden="1">{"dl",#N/A,FALSE,"Core";"indirects",#N/A,FALSE,"Core";"profit",#N/A,FALSE,"Core"}</definedName>
    <definedName name="wrn.workpapers." hidden="1">{"dl",#N/A,FALSE,"Core";"indirects",#N/A,FALSE,"Core";"profit",#N/A,FALSE,"Core"}</definedName>
    <definedName name="wrn1.price." localSheetId="0" hidden="1">{"PAGE1",#N/A,FALSE,"CPFFMSTR";"PAGE2",#N/A,FALSE,"CPFFMSTR"}</definedName>
    <definedName name="wrn1.price." hidden="1">{"PAGE1",#N/A,FALSE,"CPFFMSTR";"PAGE2",#N/A,FALSE,"CPFFMSTR"}</definedName>
    <definedName name="www">#REF!</definedName>
    <definedName name="x">#REF!</definedName>
    <definedName name="XC">[46]DETAIL!$R$2</definedName>
    <definedName name="XFDTGH" localSheetId="0" hidden="1">{"PAGE1",#N/A,FALSE,"CPFFMSTR";"PAGE2",#N/A,FALSE,"CPFFMSTR"}</definedName>
    <definedName name="XFDTGH" hidden="1">{"PAGE1",#N/A,FALSE,"CPFFMSTR";"PAGE2",#N/A,FALSE,"CPFFMSTR"}</definedName>
    <definedName name="XGH" localSheetId="0" hidden="1">{"PAGE1",#N/A,FALSE,"CPFFMSTR";"PAGE2",#N/A,FALSE,"CPFFMSTR"}</definedName>
    <definedName name="XGH" hidden="1">{"PAGE1",#N/A,FALSE,"CPFFMSTR";"PAGE2",#N/A,FALSE,"CPFFMSTR"}</definedName>
    <definedName name="XGHXF" localSheetId="0" hidden="1">{"PAGE1",#N/A,FALSE,"CPFFMSTR";"PAGE2",#N/A,FALSE,"CPFFMSTR"}</definedName>
    <definedName name="XGHXF" hidden="1">{"PAGE1",#N/A,FALSE,"CPFFMSTR";"PAGE2",#N/A,FALSE,"CPFFMSTR"}</definedName>
    <definedName name="xvcb" localSheetId="0" hidden="1">{"PAGE1",#N/A,FALSE,"CPFFMSTR";"PAGE2",#N/A,FALSE,"CPFFMSTR"}</definedName>
    <definedName name="xvcb" hidden="1">{"PAGE1",#N/A,FALSE,"CPFFMSTR";"PAGE2",#N/A,FALSE,"CPFFMSTR"}</definedName>
    <definedName name="xxx" localSheetId="0" hidden="1">{"ACC_Cars_125K_PA",#N/A,FALSE,"ACC Cars Co1 125K ";"ACC_Cars_125K_Prop",#N/A,FALSE,"ACC Cars Co1 125K "}</definedName>
    <definedName name="xxx" hidden="1">{"ACC_Cars_125K_PA",#N/A,FALSE,"ACC Cars Co1 125K ";"ACC_Cars_125K_Prop",#N/A,FALSE,"ACC Cars Co1 125K "}</definedName>
    <definedName name="xxx1" localSheetId="0" hidden="1">{"ACC_Cars_400K_PA",#N/A,FALSE,"ACC Cars Co1 400K";"ACC_Cars_400K_Prop",#N/A,FALSE,"ACC Cars Co1 400K"}</definedName>
    <definedName name="xxx1" hidden="1">{"ACC_Cars_400K_PA",#N/A,FALSE,"ACC Cars Co1 400K";"ACC_Cars_400K_Prop",#N/A,FALSE,"ACC Cars Co1 400K"}</definedName>
    <definedName name="Year_1_Cost_Centers">[15]INDIRECTS!$S$3:$S$15</definedName>
    <definedName name="Year_2_BAH_Fee">[15]INDIRECTS!#REF!</definedName>
    <definedName name="Year_2_Cost_Centers">[15]INDIRECTS!#REF!</definedName>
    <definedName name="Year_2_Subcontractor_Fee">[15]INDIRECTS!#REF!</definedName>
    <definedName name="Year_3_BAH_Fee">[15]INDIRECTS!#REF!</definedName>
    <definedName name="Year_3_Cost_Centers">[15]INDIRECTS!#REF!</definedName>
    <definedName name="Year_3_Subcontractor_Fee">[15]INDIRECTS!#REF!</definedName>
    <definedName name="Year_4_BAH_Fee">[15]INDIRECTS!#REF!</definedName>
    <definedName name="Year_4_Cost_Centers">[15]INDIRECTS!#REF!</definedName>
    <definedName name="Year_4_Subcontractor_Fee">[15]INDIRECTS!#REF!</definedName>
    <definedName name="Year_5_BAH_Fee">[15]INDIRECTS!#REF!</definedName>
    <definedName name="Year_5_Cost_Centers">[15]INDIRECTS!#REF!</definedName>
    <definedName name="Year_5_Subcontractor_Fee">[15]INDIRECTS!#REF!</definedName>
    <definedName name="YEARS">#REF!</definedName>
    <definedName name="yes" localSheetId="0" hidden="1">{#N/A,#N/A,FALSE,"ManLoading"}</definedName>
    <definedName name="yes" hidden="1">{#N/A,#N/A,FALSE,"ManLoading"}</definedName>
    <definedName name="yes1" localSheetId="0" hidden="1">{#N/A,#N/A,FALSE,"ManLoading"}</definedName>
    <definedName name="yes1" hidden="1">{#N/A,#N/A,FALSE,"ManLoading"}</definedName>
    <definedName name="YORN">#REF!</definedName>
    <definedName name="Yr1Consult">[47]DETAIL!$G$4</definedName>
    <definedName name="Yr1FI">[47]DETAIL!$G$8</definedName>
    <definedName name="Yr1ODC">[47]DETAIL!$G$7</definedName>
    <definedName name="Yr1Sal">[47]DETAIL!$G$3</definedName>
    <definedName name="Yr1Travel">[47]DETAIL!$G$6</definedName>
    <definedName name="Yr1Travel_Air">[47]DETAIL!$G$5</definedName>
    <definedName name="Yr2Consult">[47]DETAIL!$H$4</definedName>
    <definedName name="Yr2FI">[47]DETAIL!$H$8</definedName>
    <definedName name="Yr2FIfk">'[48]AED DETAILED BUDGET'!$H$7</definedName>
    <definedName name="Yr2ODC">[47]DETAIL!$H$7</definedName>
    <definedName name="Yr2ODCfk">'[48]AED DETAILED BUDGET'!$H$6</definedName>
    <definedName name="Yr2Sal">[47]DETAIL!$H$3</definedName>
    <definedName name="Yr2Travel">[47]DETAIL!$H$6</definedName>
    <definedName name="Yr2Travel_Air">[47]DETAIL!$H$5</definedName>
    <definedName name="Yr2travelfk">'[48]AED DETAILED BUDGET'!$H$5</definedName>
    <definedName name="Yr3Consult">[47]DETAIL!$J$4</definedName>
    <definedName name="Yr3FI">[47]DETAIL!$J$8</definedName>
    <definedName name="Yr3FIfk">'[48]AED DETAILED BUDGET'!$J$7</definedName>
    <definedName name="Yr3ODC">[47]DETAIL!$J$7</definedName>
    <definedName name="Yr3ODCfk">'[48]AED DETAILED BUDGET'!$J$6</definedName>
    <definedName name="Yr3Sal">[47]DETAIL!$J$3</definedName>
    <definedName name="Yr3Travel">[47]DETAIL!$J$6</definedName>
    <definedName name="Yr3Travel_Air">[47]DETAIL!$J$5</definedName>
    <definedName name="Yr4Consult">[47]DETAIL!$L$4</definedName>
    <definedName name="Yr4FI">[47]DETAIL!$L$8</definedName>
    <definedName name="Yr4FIfk">'[48]AED DETAILED BUDGET'!$L$7</definedName>
    <definedName name="Yr4ODC">[47]DETAIL!$L$7</definedName>
    <definedName name="Yr4ODCfk">'[48]AED DETAILED BUDGET'!$L$6</definedName>
    <definedName name="Yr4Sal">[47]DETAIL!$L$3</definedName>
    <definedName name="Yr4Salfk">'[48]AED DETAILED BUDGET'!$L$3</definedName>
    <definedName name="Yr4Travel">[47]DETAIL!$L$6</definedName>
    <definedName name="Yr4Travel_Air">[47]DETAIL!$L$5</definedName>
    <definedName name="Yr5Consult">[47]DETAIL!$N$4</definedName>
    <definedName name="Yr5FI">[47]DETAIL!$N$8</definedName>
    <definedName name="Yr5FIfk">'[48]AED DETAILED BUDGET'!$N$7</definedName>
    <definedName name="Yr5ODC">[47]DETAIL!$N$7</definedName>
    <definedName name="Yr5ODCfk">'[48]AED DETAILED BUDGET'!$N$6</definedName>
    <definedName name="Yr5Sal">[47]DETAIL!$N$3</definedName>
    <definedName name="Yr5Salfk">'[48]AED DETAILED BUDGET'!$N$3</definedName>
    <definedName name="Yr5Travel">[47]DETAIL!$N$6</definedName>
    <definedName name="Yr5Travel_Air">[47]DETAIL!$N$5</definedName>
    <definedName name="z">#REF!</definedName>
    <definedName name="ZDFR" localSheetId="0" hidden="1">{"PAGE1",#N/A,FALSE,"CPFFMSTR";"PAGE2",#N/A,FALSE,"CPFFMSTR"}</definedName>
    <definedName name="ZDFR" hidden="1">{"PAGE1",#N/A,FALSE,"CPFFMSTR";"PAGE2",#N/A,FALSE,"CPFFMSTR"}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46" i="1" l="1"/>
  <c r="W79" i="1" s="1"/>
  <c r="V46" i="1"/>
  <c r="W77" i="1"/>
  <c r="V77" i="1"/>
  <c r="R77" i="1"/>
  <c r="N77" i="1"/>
  <c r="J77" i="1"/>
  <c r="F77" i="1"/>
  <c r="W87" i="1"/>
  <c r="W73" i="1"/>
  <c r="W74" i="1"/>
  <c r="W75" i="1"/>
  <c r="W72" i="1"/>
  <c r="W66" i="1"/>
  <c r="W67" i="1"/>
  <c r="W61" i="1"/>
  <c r="W62" i="1"/>
  <c r="W63" i="1"/>
  <c r="W60" i="1"/>
  <c r="W57" i="1"/>
  <c r="W49" i="1"/>
  <c r="W50" i="1"/>
  <c r="W51" i="1"/>
  <c r="W52" i="1"/>
  <c r="W53" i="1"/>
  <c r="W48" i="1"/>
  <c r="W43" i="1"/>
  <c r="W44" i="1"/>
  <c r="W42" i="1"/>
  <c r="W39" i="1"/>
  <c r="W40" i="1"/>
  <c r="W3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15" i="1"/>
  <c r="U82" i="1"/>
  <c r="Q82" i="1"/>
  <c r="M82" i="1"/>
  <c r="I82" i="1"/>
  <c r="K72" i="1"/>
  <c r="O72" i="1"/>
  <c r="S72" i="1" s="1"/>
  <c r="K73" i="1"/>
  <c r="O73" i="1" s="1"/>
  <c r="S73" i="1" s="1"/>
  <c r="G75" i="1"/>
  <c r="K75" i="1" s="1"/>
  <c r="O75" i="1" s="1"/>
  <c r="S75" i="1" s="1"/>
  <c r="G74" i="1"/>
  <c r="K74" i="1" s="1"/>
  <c r="O74" i="1" s="1"/>
  <c r="S74" i="1" s="1"/>
  <c r="G73" i="1"/>
  <c r="G72" i="1"/>
  <c r="G67" i="1"/>
  <c r="K67" i="1" s="1"/>
  <c r="O67" i="1" s="1"/>
  <c r="S67" i="1" s="1"/>
  <c r="G66" i="1"/>
  <c r="K66" i="1" s="1"/>
  <c r="O66" i="1" s="1"/>
  <c r="S66" i="1" s="1"/>
  <c r="G61" i="1"/>
  <c r="K61" i="1" s="1"/>
  <c r="O61" i="1" s="1"/>
  <c r="S61" i="1" s="1"/>
  <c r="G62" i="1"/>
  <c r="K62" i="1" s="1"/>
  <c r="O62" i="1" s="1"/>
  <c r="S62" i="1" s="1"/>
  <c r="G63" i="1"/>
  <c r="K63" i="1" s="1"/>
  <c r="O63" i="1" s="1"/>
  <c r="S63" i="1" s="1"/>
  <c r="G60" i="1"/>
  <c r="K60" i="1" s="1"/>
  <c r="O60" i="1" s="1"/>
  <c r="S60" i="1" s="1"/>
  <c r="F57" i="1"/>
  <c r="J57" i="1"/>
  <c r="N57" i="1"/>
  <c r="R57" i="1"/>
  <c r="V57" i="1"/>
  <c r="K40" i="1"/>
  <c r="O40" i="1" s="1"/>
  <c r="S40" i="1" s="1"/>
  <c r="K42" i="1"/>
  <c r="O42" i="1" s="1"/>
  <c r="S42" i="1" s="1"/>
  <c r="G44" i="1"/>
  <c r="K44" i="1" s="1"/>
  <c r="O44" i="1" s="1"/>
  <c r="S44" i="1" s="1"/>
  <c r="G42" i="1"/>
  <c r="G40" i="1"/>
  <c r="G39" i="1"/>
  <c r="K39" i="1" s="1"/>
  <c r="O39" i="1" s="1"/>
  <c r="S39" i="1" s="1"/>
  <c r="K30" i="1"/>
  <c r="O30" i="1" s="1"/>
  <c r="S30" i="1" s="1"/>
  <c r="G16" i="1"/>
  <c r="K16" i="1" s="1"/>
  <c r="O16" i="1" s="1"/>
  <c r="S16" i="1" s="1"/>
  <c r="G17" i="1"/>
  <c r="K17" i="1" s="1"/>
  <c r="O17" i="1" s="1"/>
  <c r="S17" i="1" s="1"/>
  <c r="G18" i="1"/>
  <c r="K18" i="1" s="1"/>
  <c r="O18" i="1" s="1"/>
  <c r="S18" i="1" s="1"/>
  <c r="G19" i="1"/>
  <c r="K19" i="1" s="1"/>
  <c r="O19" i="1" s="1"/>
  <c r="S19" i="1" s="1"/>
  <c r="G20" i="1"/>
  <c r="K20" i="1" s="1"/>
  <c r="O20" i="1" s="1"/>
  <c r="S20" i="1" s="1"/>
  <c r="G21" i="1"/>
  <c r="K21" i="1" s="1"/>
  <c r="O21" i="1" s="1"/>
  <c r="S21" i="1" s="1"/>
  <c r="G22" i="1"/>
  <c r="K22" i="1" s="1"/>
  <c r="O22" i="1" s="1"/>
  <c r="S22" i="1" s="1"/>
  <c r="G23" i="1"/>
  <c r="K23" i="1" s="1"/>
  <c r="O23" i="1" s="1"/>
  <c r="S23" i="1" s="1"/>
  <c r="G24" i="1"/>
  <c r="K24" i="1" s="1"/>
  <c r="O24" i="1" s="1"/>
  <c r="S24" i="1" s="1"/>
  <c r="G25" i="1"/>
  <c r="K25" i="1" s="1"/>
  <c r="O25" i="1" s="1"/>
  <c r="S25" i="1" s="1"/>
  <c r="G26" i="1"/>
  <c r="K26" i="1" s="1"/>
  <c r="O26" i="1" s="1"/>
  <c r="S26" i="1" s="1"/>
  <c r="G27" i="1"/>
  <c r="K27" i="1" s="1"/>
  <c r="O27" i="1" s="1"/>
  <c r="S27" i="1" s="1"/>
  <c r="G28" i="1"/>
  <c r="K28" i="1" s="1"/>
  <c r="O28" i="1" s="1"/>
  <c r="S28" i="1" s="1"/>
  <c r="G29" i="1"/>
  <c r="K29" i="1" s="1"/>
  <c r="O29" i="1" s="1"/>
  <c r="S29" i="1" s="1"/>
  <c r="G30" i="1"/>
  <c r="G31" i="1"/>
  <c r="K31" i="1" s="1"/>
  <c r="O31" i="1" s="1"/>
  <c r="S31" i="1" s="1"/>
  <c r="G15" i="1"/>
  <c r="K15" i="1" s="1"/>
  <c r="O15" i="1" s="1"/>
  <c r="S15" i="1" s="1"/>
  <c r="R87" i="1" l="1"/>
  <c r="R58" i="1"/>
  <c r="R43" i="1"/>
  <c r="R15" i="1"/>
  <c r="F75" i="1"/>
  <c r="R75" i="1"/>
  <c r="J74" i="1"/>
  <c r="F74" i="1"/>
  <c r="F73" i="1"/>
  <c r="R73" i="1"/>
  <c r="F62" i="1"/>
  <c r="F61" i="1"/>
  <c r="F60" i="1"/>
  <c r="V87" i="1"/>
  <c r="N87" i="1"/>
  <c r="J87" i="1"/>
  <c r="F87" i="1"/>
  <c r="R66" i="1"/>
  <c r="J58" i="1"/>
  <c r="F58" i="1"/>
  <c r="G53" i="1"/>
  <c r="O53" i="1" s="1"/>
  <c r="R53" i="1" s="1"/>
  <c r="G50" i="1"/>
  <c r="O50" i="1" s="1"/>
  <c r="R50" i="1" s="1"/>
  <c r="G49" i="1"/>
  <c r="O49" i="1" s="1"/>
  <c r="R49" i="1" s="1"/>
  <c r="V43" i="1"/>
  <c r="N43" i="1"/>
  <c r="J43" i="1"/>
  <c r="F43" i="1"/>
  <c r="R39" i="1"/>
  <c r="I35" i="1"/>
  <c r="M35" i="1" s="1"/>
  <c r="U35" i="1" s="1"/>
  <c r="V35" i="1" s="1"/>
  <c r="V37" i="1" s="1"/>
  <c r="R31" i="1"/>
  <c r="R30" i="1"/>
  <c r="R29" i="1"/>
  <c r="F28" i="1"/>
  <c r="R23" i="1"/>
  <c r="R22" i="1"/>
  <c r="R21" i="1"/>
  <c r="F20" i="1"/>
  <c r="Q35" i="1" l="1"/>
  <c r="R35" i="1" s="1"/>
  <c r="R37" i="1" s="1"/>
  <c r="R63" i="1"/>
  <c r="R74" i="1"/>
  <c r="V74" i="1"/>
  <c r="J73" i="1"/>
  <c r="J75" i="1"/>
  <c r="R62" i="1"/>
  <c r="F63" i="1"/>
  <c r="V63" i="1"/>
  <c r="N63" i="1"/>
  <c r="J63" i="1"/>
  <c r="F23" i="1"/>
  <c r="F31" i="1"/>
  <c r="F15" i="1"/>
  <c r="J23" i="1"/>
  <c r="J66" i="1"/>
  <c r="R18" i="1"/>
  <c r="F18" i="1"/>
  <c r="J31" i="1"/>
  <c r="R67" i="1"/>
  <c r="R69" i="1" s="1"/>
  <c r="F67" i="1"/>
  <c r="R72" i="1"/>
  <c r="F72" i="1"/>
  <c r="J30" i="1"/>
  <c r="R40" i="1"/>
  <c r="F40" i="1"/>
  <c r="J15" i="1"/>
  <c r="R17" i="1"/>
  <c r="F17" i="1"/>
  <c r="J22" i="1"/>
  <c r="R27" i="1"/>
  <c r="F27" i="1"/>
  <c r="J29" i="1"/>
  <c r="J39" i="1"/>
  <c r="J49" i="1"/>
  <c r="K49" i="1"/>
  <c r="S49" i="1" s="1"/>
  <c r="R25" i="1"/>
  <c r="F25" i="1"/>
  <c r="G51" i="1"/>
  <c r="O51" i="1" s="1"/>
  <c r="R51" i="1" s="1"/>
  <c r="F51" i="1"/>
  <c r="R19" i="1"/>
  <c r="F19" i="1"/>
  <c r="J21" i="1"/>
  <c r="K50" i="1"/>
  <c r="J50" i="1"/>
  <c r="R26" i="1"/>
  <c r="F26" i="1"/>
  <c r="J53" i="1"/>
  <c r="K53" i="1"/>
  <c r="R20" i="1"/>
  <c r="R28" i="1"/>
  <c r="N58" i="1"/>
  <c r="V58" i="1"/>
  <c r="F49" i="1"/>
  <c r="F53" i="1"/>
  <c r="F22" i="1"/>
  <c r="F30" i="1"/>
  <c r="F21" i="1"/>
  <c r="F29" i="1"/>
  <c r="F39" i="1"/>
  <c r="F50" i="1"/>
  <c r="F66" i="1"/>
  <c r="V61" i="1" l="1"/>
  <c r="R61" i="1"/>
  <c r="F64" i="1"/>
  <c r="N60" i="1"/>
  <c r="R60" i="1"/>
  <c r="N74" i="1"/>
  <c r="J61" i="1"/>
  <c r="N61" i="1"/>
  <c r="V75" i="1"/>
  <c r="N75" i="1"/>
  <c r="V73" i="1"/>
  <c r="N73" i="1"/>
  <c r="J60" i="1"/>
  <c r="J62" i="1"/>
  <c r="F69" i="1"/>
  <c r="W58" i="1"/>
  <c r="R44" i="1"/>
  <c r="F44" i="1"/>
  <c r="V21" i="1"/>
  <c r="N21" i="1"/>
  <c r="J17" i="1"/>
  <c r="R42" i="1"/>
  <c r="F42" i="1"/>
  <c r="S53" i="1"/>
  <c r="V53" i="1" s="1"/>
  <c r="N53" i="1"/>
  <c r="K51" i="1"/>
  <c r="J51" i="1"/>
  <c r="V29" i="1"/>
  <c r="N29" i="1"/>
  <c r="J18" i="1"/>
  <c r="V15" i="1"/>
  <c r="N15" i="1"/>
  <c r="V30" i="1"/>
  <c r="N30" i="1"/>
  <c r="J28" i="1"/>
  <c r="J19" i="1"/>
  <c r="J25" i="1"/>
  <c r="R24" i="1"/>
  <c r="F24" i="1"/>
  <c r="V49" i="1"/>
  <c r="N49" i="1"/>
  <c r="J27" i="1"/>
  <c r="J20" i="1"/>
  <c r="S50" i="1"/>
  <c r="V50" i="1" s="1"/>
  <c r="N50" i="1"/>
  <c r="J72" i="1"/>
  <c r="V66" i="1"/>
  <c r="N66" i="1"/>
  <c r="G52" i="1"/>
  <c r="O52" i="1" s="1"/>
  <c r="R52" i="1" s="1"/>
  <c r="F52" i="1"/>
  <c r="R16" i="1"/>
  <c r="F16" i="1"/>
  <c r="J26" i="1"/>
  <c r="V22" i="1"/>
  <c r="N22" i="1"/>
  <c r="V31" i="1"/>
  <c r="N31" i="1"/>
  <c r="G48" i="1"/>
  <c r="O48" i="1" s="1"/>
  <c r="R48" i="1" s="1"/>
  <c r="F48" i="1"/>
  <c r="V39" i="1"/>
  <c r="N39" i="1"/>
  <c r="J40" i="1"/>
  <c r="J67" i="1"/>
  <c r="J69" i="1" s="1"/>
  <c r="V23" i="1"/>
  <c r="N23" i="1"/>
  <c r="R55" i="1" l="1"/>
  <c r="R64" i="1"/>
  <c r="R46" i="1"/>
  <c r="F33" i="1"/>
  <c r="V60" i="1"/>
  <c r="R33" i="1"/>
  <c r="J64" i="1"/>
  <c r="V62" i="1"/>
  <c r="N62" i="1"/>
  <c r="V40" i="1"/>
  <c r="N40" i="1"/>
  <c r="N20" i="1"/>
  <c r="V20" i="1"/>
  <c r="V18" i="1"/>
  <c r="N18" i="1"/>
  <c r="V17" i="1"/>
  <c r="N17" i="1"/>
  <c r="V26" i="1"/>
  <c r="N26" i="1"/>
  <c r="J24" i="1"/>
  <c r="J16" i="1"/>
  <c r="V72" i="1"/>
  <c r="N72" i="1"/>
  <c r="N28" i="1"/>
  <c r="V28" i="1"/>
  <c r="J42" i="1"/>
  <c r="V19" i="1"/>
  <c r="N19" i="1"/>
  <c r="V27" i="1"/>
  <c r="N27" i="1"/>
  <c r="J44" i="1"/>
  <c r="S51" i="1"/>
  <c r="V51" i="1" s="1"/>
  <c r="N51" i="1"/>
  <c r="F55" i="1"/>
  <c r="K52" i="1"/>
  <c r="J52" i="1"/>
  <c r="V25" i="1"/>
  <c r="N25" i="1"/>
  <c r="V67" i="1"/>
  <c r="V69" i="1" s="1"/>
  <c r="N67" i="1"/>
  <c r="N69" i="1" s="1"/>
  <c r="K48" i="1"/>
  <c r="J48" i="1"/>
  <c r="F46" i="1"/>
  <c r="V64" i="1" l="1"/>
  <c r="W69" i="1"/>
  <c r="R79" i="1"/>
  <c r="O82" i="1" s="1"/>
  <c r="R82" i="1" s="1"/>
  <c r="R84" i="1" s="1"/>
  <c r="R86" i="1" s="1"/>
  <c r="R88" i="1" s="1"/>
  <c r="J33" i="1"/>
  <c r="W64" i="1"/>
  <c r="N64" i="1"/>
  <c r="J46" i="1"/>
  <c r="J55" i="1"/>
  <c r="V16" i="1"/>
  <c r="N16" i="1"/>
  <c r="V42" i="1"/>
  <c r="N42" i="1"/>
  <c r="F35" i="1"/>
  <c r="V44" i="1"/>
  <c r="N44" i="1"/>
  <c r="S48" i="1"/>
  <c r="V48" i="1" s="1"/>
  <c r="N48" i="1"/>
  <c r="S52" i="1"/>
  <c r="V52" i="1" s="1"/>
  <c r="N52" i="1"/>
  <c r="V24" i="1"/>
  <c r="N24" i="1"/>
  <c r="W33" i="1" l="1"/>
  <c r="F37" i="1"/>
  <c r="F79" i="1" s="1"/>
  <c r="N33" i="1"/>
  <c r="V33" i="1"/>
  <c r="N46" i="1"/>
  <c r="N55" i="1"/>
  <c r="J35" i="1"/>
  <c r="J37" i="1" s="1"/>
  <c r="J79" i="1" s="1"/>
  <c r="G82" i="1" s="1"/>
  <c r="V55" i="1"/>
  <c r="W55" i="1" l="1"/>
  <c r="N35" i="1"/>
  <c r="N37" i="1" s="1"/>
  <c r="V79" i="1" l="1"/>
  <c r="S82" i="1" s="1"/>
  <c r="V82" i="1" s="1"/>
  <c r="V84" i="1" s="1"/>
  <c r="V86" i="1" s="1"/>
  <c r="V88" i="1" s="1"/>
  <c r="J82" i="1"/>
  <c r="W37" i="1"/>
  <c r="J84" i="1" l="1"/>
  <c r="J86" i="1" s="1"/>
  <c r="J88" i="1" s="1"/>
  <c r="F82" i="1"/>
  <c r="N79" i="1" l="1"/>
  <c r="K82" i="1" s="1"/>
  <c r="N82" i="1" s="1"/>
  <c r="F84" i="1"/>
  <c r="F86" i="1" s="1"/>
  <c r="N84" i="1" l="1"/>
  <c r="N86" i="1" s="1"/>
  <c r="N88" i="1" s="1"/>
  <c r="W82" i="1"/>
  <c r="W84" i="1" s="1"/>
  <c r="F88" i="1"/>
  <c r="W88" i="1" l="1"/>
  <c r="W86" i="1"/>
</calcChain>
</file>

<file path=xl/sharedStrings.xml><?xml version="1.0" encoding="utf-8"?>
<sst xmlns="http://schemas.openxmlformats.org/spreadsheetml/2006/main" count="199" uniqueCount="84">
  <si>
    <t>Item</t>
  </si>
  <si>
    <t>Type of Unit</t>
  </si>
  <si>
    <t>Total</t>
  </si>
  <si>
    <t>Cost</t>
  </si>
  <si>
    <t>Quantity</t>
  </si>
  <si>
    <t>Percent Allocated</t>
  </si>
  <si>
    <t>Chart of Accounts</t>
  </si>
  <si>
    <t xml:space="preserve">Direct Costs </t>
  </si>
  <si>
    <t>Line#</t>
  </si>
  <si>
    <t>Account</t>
  </si>
  <si>
    <t>Account Name</t>
  </si>
  <si>
    <t>Salaries</t>
  </si>
  <si>
    <t>CCN Staff</t>
  </si>
  <si>
    <t/>
  </si>
  <si>
    <t>XXX</t>
  </si>
  <si>
    <t>Month</t>
  </si>
  <si>
    <t>50-01-2-020</t>
  </si>
  <si>
    <t>DIR-USN (Expat) Labor</t>
  </si>
  <si>
    <t>Subtotal: Salaries &amp; Wages</t>
  </si>
  <si>
    <t xml:space="preserve"> Fringe</t>
  </si>
  <si>
    <t>%</t>
  </si>
  <si>
    <t>50-03-0-050</t>
  </si>
  <si>
    <t>DIR-CCN Fringe</t>
  </si>
  <si>
    <t>Subtotal: Benefits</t>
  </si>
  <si>
    <t>51-04-2-050</t>
  </si>
  <si>
    <t>DIR-Int Travel Other</t>
  </si>
  <si>
    <t>Local Travel</t>
  </si>
  <si>
    <t>Local Transportation for Trainings</t>
  </si>
  <si>
    <t>Trip</t>
  </si>
  <si>
    <t>Transport Stipends for XXX</t>
  </si>
  <si>
    <t>Participant</t>
  </si>
  <si>
    <t>Vehicle Fuel</t>
  </si>
  <si>
    <t>Motorcycle and Vehicle Fuel Expense</t>
  </si>
  <si>
    <t>Per Diem</t>
  </si>
  <si>
    <t>Lodging and M&amp;IE for Trainings</t>
  </si>
  <si>
    <t>Day</t>
  </si>
  <si>
    <t>Subtotal: Travel</t>
  </si>
  <si>
    <t>Professional Services</t>
  </si>
  <si>
    <t>XXXX</t>
  </si>
  <si>
    <t>Unit</t>
  </si>
  <si>
    <t>Year</t>
  </si>
  <si>
    <t>Contract</t>
  </si>
  <si>
    <t>Subtotal: Professional Services/Contractual</t>
  </si>
  <si>
    <t>Equipment (&gt;$5000/unit)</t>
  </si>
  <si>
    <t>None</t>
  </si>
  <si>
    <t>51-05-1-003</t>
  </si>
  <si>
    <t>DIR-Furniture</t>
  </si>
  <si>
    <t>Subtotal: Equipment</t>
  </si>
  <si>
    <t>Office</t>
  </si>
  <si>
    <t>Subtotal: Office</t>
  </si>
  <si>
    <t>51-02-1-001</t>
  </si>
  <si>
    <t>DIR-Prof. Serv Labor</t>
  </si>
  <si>
    <t>Supplies</t>
  </si>
  <si>
    <t>Office Supplies</t>
  </si>
  <si>
    <t>Subtotal: Supplies</t>
  </si>
  <si>
    <t>Other Direct Cost</t>
  </si>
  <si>
    <t>Training</t>
  </si>
  <si>
    <t>Subtotal: Other Direct Cost</t>
  </si>
  <si>
    <t>51-02-2-008</t>
  </si>
  <si>
    <t>DIR-Security</t>
  </si>
  <si>
    <t>51-08-1-002</t>
  </si>
  <si>
    <t>DIR-Office Make Ready</t>
  </si>
  <si>
    <t>Total Direct Cost</t>
  </si>
  <si>
    <t>51-08-1-003</t>
  </si>
  <si>
    <t>DIR-Office Maintenance</t>
  </si>
  <si>
    <t>Indirect Costs</t>
  </si>
  <si>
    <t>ICR on Activities</t>
  </si>
  <si>
    <t>Subtotal Indirect Cost</t>
  </si>
  <si>
    <t>Total Estimated Cost (Direct Cost + Indirect Cost)</t>
  </si>
  <si>
    <t>Total Cost Share (for reference)</t>
  </si>
  <si>
    <t>Total Estimated Cost (Direct Cost + Indirect Cost+ Cost Share)</t>
  </si>
  <si>
    <t>Anticipated Program Income (baked in costs and this is for reference)</t>
  </si>
  <si>
    <t>Year 1</t>
  </si>
  <si>
    <t>Year 2</t>
  </si>
  <si>
    <t>Year 3</t>
  </si>
  <si>
    <t>Year 4</t>
  </si>
  <si>
    <t>Year 5</t>
  </si>
  <si>
    <t>Country of Operation: XX</t>
  </si>
  <si>
    <t>Implementing Organization: XXX</t>
  </si>
  <si>
    <t>Budget Assumptions</t>
  </si>
  <si>
    <t>Inflation - Locally Purchased Goods/Services - XXXX%</t>
  </si>
  <si>
    <t>Merit Based Increases for Staff - 5%</t>
  </si>
  <si>
    <t xml:space="preserve"> Budget FFPr</t>
  </si>
  <si>
    <t xml:space="preserve"> Project Dates: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</si>
</sst>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  <numFmt numFmtId="166" formatCode="#,##0.0"/>
    <numFmt numFmtId="167" formatCode="&quot;$&quot;#,##0.00"/>
    <numFmt numFmtId="168" formatCode="\$#,##0.00;\$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6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2"/>
      <color theme="4"/>
      <name val="Calibri"/>
      <family val="2"/>
      <scheme val="minor"/>
    </font>
    <font>
      <i/>
      <sz val="11"/>
      <color rgb="FF000000"/>
      <name val="Times New Roman"/>
      <family val="1"/>
    </font>
    <font>
      <b/>
      <sz val="11"/>
      <color theme="9" tint="-0.499984740745262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indexed="8"/>
      <name val="Times New Roman"/>
      <family val="1"/>
    </font>
    <font>
      <sz val="14"/>
      <name val="Calibri"/>
      <family val="2"/>
      <scheme val="minor"/>
    </font>
    <font>
      <sz val="10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Times New Roman"/>
      <family val="1"/>
    </font>
    <font>
      <sz val="16"/>
      <name val="Calibri"/>
      <family val="2"/>
      <scheme val="minor"/>
    </font>
    <font>
      <b/>
      <i/>
      <sz val="1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424242"/>
      </left>
      <right style="thin">
        <color rgb="FF424242"/>
      </right>
      <top/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AFAFAF"/>
      </bottom>
      <diagonal/>
    </border>
  </borders>
  <cellStyleXfs count="8">
    <xf numFmtId="0" fontId="0" fillId="0" borderId="0"/>
    <xf numFmtId="0" fontId="2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Border="0"/>
    <xf numFmtId="4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178">
    <xf numFmtId="0" fontId="0" fillId="0" borderId="0" xfId="0"/>
    <xf numFmtId="164" fontId="3" fillId="0" borderId="0" xfId="1" applyNumberFormat="1" applyFont="1"/>
    <xf numFmtId="44" fontId="3" fillId="0" borderId="0" xfId="2" applyFont="1"/>
    <xf numFmtId="2" fontId="3" fillId="0" borderId="0" xfId="1" applyNumberFormat="1" applyFont="1"/>
    <xf numFmtId="10" fontId="3" fillId="0" borderId="0" xfId="1" applyNumberFormat="1" applyFont="1"/>
    <xf numFmtId="9" fontId="3" fillId="0" borderId="0" xfId="3" applyFont="1"/>
    <xf numFmtId="37" fontId="3" fillId="0" borderId="0" xfId="2" applyNumberFormat="1" applyFont="1" applyAlignment="1">
      <alignment horizontal="center"/>
    </xf>
    <xf numFmtId="37" fontId="7" fillId="0" borderId="0" xfId="2" applyNumberFormat="1" applyFont="1" applyAlignment="1">
      <alignment horizontal="center"/>
    </xf>
    <xf numFmtId="44" fontId="5" fillId="3" borderId="8" xfId="2" applyFont="1" applyFill="1" applyBorder="1" applyAlignment="1">
      <alignment horizontal="center" vertical="center" wrapText="1"/>
    </xf>
    <xf numFmtId="2" fontId="5" fillId="3" borderId="8" xfId="4" applyNumberFormat="1" applyFont="1" applyFill="1" applyBorder="1" applyAlignment="1">
      <alignment horizontal="center" vertical="center" wrapText="1"/>
    </xf>
    <xf numFmtId="10" fontId="5" fillId="3" borderId="8" xfId="4" applyNumberFormat="1" applyFont="1" applyFill="1" applyBorder="1" applyAlignment="1">
      <alignment horizontal="center" vertical="center" wrapText="1"/>
    </xf>
    <xf numFmtId="9" fontId="5" fillId="3" borderId="8" xfId="3" applyFont="1" applyFill="1" applyBorder="1" applyAlignment="1">
      <alignment horizontal="center" vertical="center" wrapText="1"/>
    </xf>
    <xf numFmtId="44" fontId="5" fillId="3" borderId="9" xfId="2" applyFont="1" applyFill="1" applyBorder="1" applyAlignment="1">
      <alignment horizontal="center" vertical="center" wrapText="1"/>
    </xf>
    <xf numFmtId="164" fontId="6" fillId="4" borderId="10" xfId="4" applyNumberFormat="1" applyFont="1" applyFill="1" applyBorder="1" applyAlignment="1">
      <alignment horizontal="center"/>
    </xf>
    <xf numFmtId="164" fontId="8" fillId="4" borderId="11" xfId="4" applyNumberFormat="1" applyFont="1" applyFill="1" applyBorder="1"/>
    <xf numFmtId="44" fontId="8" fillId="4" borderId="12" xfId="2" applyFont="1" applyFill="1" applyBorder="1"/>
    <xf numFmtId="2" fontId="8" fillId="4" borderId="8" xfId="4" applyNumberFormat="1" applyFont="1" applyFill="1" applyBorder="1"/>
    <xf numFmtId="10" fontId="8" fillId="4" borderId="8" xfId="4" applyNumberFormat="1" applyFont="1" applyFill="1" applyBorder="1"/>
    <xf numFmtId="9" fontId="8" fillId="4" borderId="8" xfId="3" applyFont="1" applyFill="1" applyBorder="1"/>
    <xf numFmtId="44" fontId="8" fillId="4" borderId="9" xfId="2" applyFont="1" applyFill="1" applyBorder="1"/>
    <xf numFmtId="44" fontId="8" fillId="4" borderId="8" xfId="2" applyFont="1" applyFill="1" applyBorder="1"/>
    <xf numFmtId="44" fontId="8" fillId="4" borderId="13" xfId="2" applyFont="1" applyFill="1" applyBorder="1"/>
    <xf numFmtId="164" fontId="8" fillId="5" borderId="9" xfId="4" applyNumberFormat="1" applyFont="1" applyFill="1" applyBorder="1" applyAlignment="1">
      <alignment horizontal="center"/>
    </xf>
    <xf numFmtId="164" fontId="9" fillId="0" borderId="14" xfId="1" applyNumberFormat="1" applyFont="1" applyBorder="1"/>
    <xf numFmtId="164" fontId="8" fillId="0" borderId="15" xfId="1" applyNumberFormat="1" applyFont="1" applyBorder="1"/>
    <xf numFmtId="44" fontId="8" fillId="0" borderId="0" xfId="2" applyFont="1" applyAlignment="1">
      <alignment horizontal="right"/>
    </xf>
    <xf numFmtId="2" fontId="8" fillId="0" borderId="0" xfId="1" applyNumberFormat="1" applyFont="1" applyAlignment="1">
      <alignment horizontal="right"/>
    </xf>
    <xf numFmtId="10" fontId="8" fillId="0" borderId="0" xfId="1" applyNumberFormat="1" applyFont="1" applyAlignment="1">
      <alignment horizontal="right"/>
    </xf>
    <xf numFmtId="9" fontId="8" fillId="0" borderId="0" xfId="3" applyFont="1" applyAlignment="1">
      <alignment horizontal="right"/>
    </xf>
    <xf numFmtId="44" fontId="8" fillId="0" borderId="16" xfId="2" applyFont="1" applyBorder="1" applyAlignment="1">
      <alignment horizontal="right"/>
    </xf>
    <xf numFmtId="44" fontId="8" fillId="0" borderId="16" xfId="2" quotePrefix="1" applyFont="1" applyBorder="1" applyAlignment="1">
      <alignment horizontal="right"/>
    </xf>
    <xf numFmtId="164" fontId="10" fillId="0" borderId="0" xfId="1" applyNumberFormat="1" applyFont="1"/>
    <xf numFmtId="164" fontId="8" fillId="0" borderId="0" xfId="1" applyNumberFormat="1" applyFont="1"/>
    <xf numFmtId="164" fontId="11" fillId="0" borderId="14" xfId="1" applyNumberFormat="1" applyFont="1" applyBorder="1"/>
    <xf numFmtId="164" fontId="8" fillId="0" borderId="17" xfId="1" applyNumberFormat="1" applyFont="1" applyBorder="1"/>
    <xf numFmtId="166" fontId="10" fillId="0" borderId="0" xfId="1" applyNumberFormat="1" applyFont="1" applyAlignment="1">
      <alignment horizontal="left"/>
    </xf>
    <xf numFmtId="0" fontId="12" fillId="0" borderId="16" xfId="6" applyFont="1" applyBorder="1" applyAlignment="1">
      <alignment horizontal="left" vertical="top" wrapText="1"/>
    </xf>
    <xf numFmtId="164" fontId="3" fillId="0" borderId="16" xfId="1" applyNumberFormat="1" applyFont="1" applyBorder="1"/>
    <xf numFmtId="44" fontId="3" fillId="0" borderId="0" xfId="2" applyFont="1" applyAlignment="1">
      <alignment horizontal="right"/>
    </xf>
    <xf numFmtId="2" fontId="3" fillId="0" borderId="0" xfId="3" applyNumberFormat="1" applyFont="1" applyAlignment="1">
      <alignment horizontal="right"/>
    </xf>
    <xf numFmtId="10" fontId="3" fillId="0" borderId="0" xfId="1" applyNumberFormat="1" applyFont="1" applyAlignment="1">
      <alignment horizontal="right"/>
    </xf>
    <xf numFmtId="164" fontId="3" fillId="0" borderId="16" xfId="5" applyNumberFormat="1" applyFont="1" applyBorder="1"/>
    <xf numFmtId="9" fontId="3" fillId="0" borderId="0" xfId="3" applyFont="1" applyAlignment="1">
      <alignment horizontal="right"/>
    </xf>
    <xf numFmtId="3" fontId="10" fillId="0" borderId="0" xfId="1" applyNumberFormat="1" applyFont="1" applyAlignment="1">
      <alignment horizontal="left"/>
    </xf>
    <xf numFmtId="164" fontId="13" fillId="0" borderId="0" xfId="1" applyNumberFormat="1" applyFont="1"/>
    <xf numFmtId="164" fontId="3" fillId="6" borderId="16" xfId="4" quotePrefix="1" applyNumberFormat="1" applyFont="1" applyFill="1" applyBorder="1" applyAlignment="1">
      <alignment horizontal="center"/>
    </xf>
    <xf numFmtId="167" fontId="3" fillId="0" borderId="0" xfId="1" applyNumberFormat="1" applyFont="1"/>
    <xf numFmtId="49" fontId="3" fillId="0" borderId="0" xfId="1" applyNumberFormat="1" applyFont="1"/>
    <xf numFmtId="164" fontId="9" fillId="0" borderId="10" xfId="1" applyNumberFormat="1" applyFont="1" applyBorder="1" applyAlignment="1">
      <alignment horizontal="left"/>
    </xf>
    <xf numFmtId="164" fontId="3" fillId="0" borderId="18" xfId="4" quotePrefix="1" applyNumberFormat="1" applyFont="1" applyFill="1" applyBorder="1" applyAlignment="1">
      <alignment horizontal="center"/>
    </xf>
    <xf numFmtId="44" fontId="3" fillId="7" borderId="19" xfId="2" applyFont="1" applyFill="1" applyBorder="1"/>
    <xf numFmtId="2" fontId="3" fillId="7" borderId="19" xfId="5" applyNumberFormat="1" applyFont="1" applyFill="1" applyBorder="1"/>
    <xf numFmtId="10" fontId="3" fillId="0" borderId="19" xfId="1" applyNumberFormat="1" applyFont="1" applyBorder="1"/>
    <xf numFmtId="164" fontId="8" fillId="0" borderId="13" xfId="5" applyNumberFormat="1" applyFont="1" applyBorder="1"/>
    <xf numFmtId="9" fontId="3" fillId="0" borderId="19" xfId="3" applyFont="1" applyBorder="1"/>
    <xf numFmtId="165" fontId="8" fillId="7" borderId="9" xfId="2" applyNumberFormat="1" applyFont="1" applyFill="1" applyBorder="1"/>
    <xf numFmtId="164" fontId="3" fillId="0" borderId="17" xfId="4" quotePrefix="1" applyNumberFormat="1" applyFont="1" applyFill="1" applyBorder="1" applyAlignment="1">
      <alignment horizontal="center"/>
    </xf>
    <xf numFmtId="44" fontId="3" fillId="0" borderId="0" xfId="2" applyFont="1" applyBorder="1"/>
    <xf numFmtId="2" fontId="3" fillId="0" borderId="0" xfId="5" applyNumberFormat="1" applyFont="1" applyBorder="1"/>
    <xf numFmtId="10" fontId="14" fillId="0" borderId="0" xfId="1" applyNumberFormat="1" applyFont="1"/>
    <xf numFmtId="9" fontId="14" fillId="0" borderId="0" xfId="3" applyFont="1"/>
    <xf numFmtId="44" fontId="3" fillId="0" borderId="16" xfId="2" applyFont="1" applyBorder="1"/>
    <xf numFmtId="165" fontId="3" fillId="0" borderId="16" xfId="2" applyNumberFormat="1" applyFont="1" applyFill="1" applyBorder="1"/>
    <xf numFmtId="165" fontId="3" fillId="0" borderId="16" xfId="2" applyNumberFormat="1" applyFont="1" applyBorder="1"/>
    <xf numFmtId="164" fontId="3" fillId="0" borderId="14" xfId="4" applyNumberFormat="1" applyFont="1" applyFill="1" applyBorder="1" applyAlignment="1">
      <alignment horizontal="left" indent="1"/>
    </xf>
    <xf numFmtId="0" fontId="1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164" fontId="9" fillId="8" borderId="10" xfId="4" applyNumberFormat="1" applyFont="1" applyFill="1" applyBorder="1"/>
    <xf numFmtId="164" fontId="8" fillId="8" borderId="18" xfId="4" applyNumberFormat="1" applyFont="1" applyFill="1" applyBorder="1"/>
    <xf numFmtId="44" fontId="8" fillId="8" borderId="19" xfId="2" applyFont="1" applyFill="1" applyBorder="1"/>
    <xf numFmtId="2" fontId="8" fillId="8" borderId="19" xfId="5" applyNumberFormat="1" applyFont="1" applyFill="1" applyBorder="1"/>
    <xf numFmtId="10" fontId="8" fillId="8" borderId="19" xfId="5" applyNumberFormat="1" applyFont="1" applyFill="1" applyBorder="1"/>
    <xf numFmtId="164" fontId="8" fillId="8" borderId="13" xfId="5" applyNumberFormat="1" applyFont="1" applyFill="1" applyBorder="1"/>
    <xf numFmtId="9" fontId="8" fillId="8" borderId="19" xfId="3" applyFont="1" applyFill="1" applyBorder="1"/>
    <xf numFmtId="164" fontId="8" fillId="8" borderId="13" xfId="2" applyNumberFormat="1" applyFont="1" applyFill="1" applyBorder="1"/>
    <xf numFmtId="37" fontId="7" fillId="0" borderId="8" xfId="2" applyNumberFormat="1" applyFont="1" applyBorder="1" applyAlignment="1">
      <alignment horizontal="center"/>
    </xf>
    <xf numFmtId="164" fontId="3" fillId="0" borderId="8" xfId="1" applyNumberFormat="1" applyFont="1" applyBorder="1"/>
    <xf numFmtId="164" fontId="8" fillId="0" borderId="8" xfId="1" applyNumberFormat="1" applyFont="1" applyBorder="1"/>
    <xf numFmtId="164" fontId="17" fillId="0" borderId="14" xfId="4" applyNumberFormat="1" applyFont="1" applyFill="1" applyBorder="1" applyAlignment="1">
      <alignment horizontal="left" indent="1"/>
    </xf>
    <xf numFmtId="164" fontId="3" fillId="0" borderId="0" xfId="2" applyNumberFormat="1" applyFont="1" applyBorder="1"/>
    <xf numFmtId="37" fontId="7" fillId="0" borderId="0" xfId="2" applyNumberFormat="1" applyFont="1" applyFill="1" applyAlignment="1">
      <alignment horizontal="center"/>
    </xf>
    <xf numFmtId="164" fontId="3" fillId="0" borderId="16" xfId="4" quotePrefix="1" applyNumberFormat="1" applyFont="1" applyFill="1" applyBorder="1" applyAlignment="1">
      <alignment horizontal="center"/>
    </xf>
    <xf numFmtId="44" fontId="3" fillId="0" borderId="16" xfId="2" applyFont="1" applyFill="1" applyBorder="1"/>
    <xf numFmtId="164" fontId="9" fillId="8" borderId="6" xfId="4" applyNumberFormat="1" applyFont="1" applyFill="1" applyBorder="1"/>
    <xf numFmtId="164" fontId="8" fillId="8" borderId="7" xfId="4" applyNumberFormat="1" applyFont="1" applyFill="1" applyBorder="1"/>
    <xf numFmtId="44" fontId="8" fillId="8" borderId="8" xfId="2" applyFont="1" applyFill="1" applyBorder="1"/>
    <xf numFmtId="2" fontId="8" fillId="8" borderId="8" xfId="5" applyNumberFormat="1" applyFont="1" applyFill="1" applyBorder="1"/>
    <xf numFmtId="10" fontId="8" fillId="8" borderId="8" xfId="5" applyNumberFormat="1" applyFont="1" applyFill="1" applyBorder="1"/>
    <xf numFmtId="164" fontId="8" fillId="8" borderId="9" xfId="5" applyNumberFormat="1" applyFont="1" applyFill="1" applyBorder="1"/>
    <xf numFmtId="9" fontId="8" fillId="8" borderId="8" xfId="3" applyFont="1" applyFill="1" applyBorder="1"/>
    <xf numFmtId="164" fontId="3" fillId="6" borderId="9" xfId="4" quotePrefix="1" applyNumberFormat="1" applyFont="1" applyFill="1" applyBorder="1" applyAlignment="1">
      <alignment horizontal="center"/>
    </xf>
    <xf numFmtId="37" fontId="15" fillId="0" borderId="8" xfId="2" applyNumberFormat="1" applyFont="1" applyBorder="1" applyAlignment="1">
      <alignment horizontal="center"/>
    </xf>
    <xf numFmtId="164" fontId="18" fillId="0" borderId="8" xfId="1" applyNumberFormat="1" applyFont="1" applyBorder="1"/>
    <xf numFmtId="37" fontId="15" fillId="0" borderId="0" xfId="2" applyNumberFormat="1" applyFont="1" applyAlignment="1">
      <alignment horizontal="center"/>
    </xf>
    <xf numFmtId="164" fontId="18" fillId="0" borderId="0" xfId="1" applyNumberFormat="1" applyFont="1"/>
    <xf numFmtId="164" fontId="3" fillId="0" borderId="17" xfId="1" applyNumberFormat="1" applyFont="1" applyBorder="1" applyAlignment="1">
      <alignment horizontal="left" indent="1"/>
    </xf>
    <xf numFmtId="164" fontId="9" fillId="8" borderId="18" xfId="4" applyNumberFormat="1" applyFont="1" applyFill="1" applyBorder="1"/>
    <xf numFmtId="2" fontId="8" fillId="8" borderId="19" xfId="4" applyNumberFormat="1" applyFont="1" applyFill="1" applyBorder="1"/>
    <xf numFmtId="10" fontId="8" fillId="8" borderId="19" xfId="4" applyNumberFormat="1" applyFont="1" applyFill="1" applyBorder="1"/>
    <xf numFmtId="164" fontId="3" fillId="0" borderId="17" xfId="4" applyNumberFormat="1" applyFont="1" applyFill="1" applyBorder="1"/>
    <xf numFmtId="2" fontId="3" fillId="0" borderId="0" xfId="5" applyNumberFormat="1" applyFont="1"/>
    <xf numFmtId="10" fontId="3" fillId="0" borderId="0" xfId="4" applyNumberFormat="1" applyFont="1" applyFill="1"/>
    <xf numFmtId="9" fontId="3" fillId="0" borderId="0" xfId="3" applyFont="1" applyFill="1"/>
    <xf numFmtId="164" fontId="3" fillId="6" borderId="17" xfId="4" quotePrefix="1" applyNumberFormat="1" applyFont="1" applyFill="1" applyBorder="1" applyAlignment="1">
      <alignment horizontal="center"/>
    </xf>
    <xf numFmtId="164" fontId="17" fillId="0" borderId="17" xfId="4" applyNumberFormat="1" applyFont="1" applyFill="1" applyBorder="1" applyAlignment="1">
      <alignment horizontal="left" indent="1"/>
    </xf>
    <xf numFmtId="164" fontId="3" fillId="0" borderId="15" xfId="4" quotePrefix="1" applyNumberFormat="1" applyFont="1" applyFill="1" applyBorder="1" applyAlignment="1">
      <alignment horizontal="center"/>
    </xf>
    <xf numFmtId="2" fontId="3" fillId="0" borderId="0" xfId="3" applyNumberFormat="1" applyFont="1"/>
    <xf numFmtId="164" fontId="19" fillId="0" borderId="16" xfId="1" applyNumberFormat="1" applyFont="1" applyBorder="1"/>
    <xf numFmtId="44" fontId="3" fillId="0" borderId="0" xfId="2" applyFont="1" applyFill="1" applyBorder="1"/>
    <xf numFmtId="2" fontId="3" fillId="0" borderId="0" xfId="5" applyNumberFormat="1" applyFont="1" applyFill="1" applyBorder="1"/>
    <xf numFmtId="164" fontId="17" fillId="0" borderId="9" xfId="4" applyNumberFormat="1" applyFont="1" applyFill="1" applyBorder="1" applyAlignment="1">
      <alignment horizontal="left" indent="1"/>
    </xf>
    <xf numFmtId="164" fontId="3" fillId="0" borderId="7" xfId="4" quotePrefix="1" applyNumberFormat="1" applyFont="1" applyFill="1" applyBorder="1" applyAlignment="1">
      <alignment horizontal="center"/>
    </xf>
    <xf numFmtId="44" fontId="3" fillId="0" borderId="8" xfId="2" applyFont="1" applyFill="1" applyBorder="1"/>
    <xf numFmtId="2" fontId="3" fillId="0" borderId="8" xfId="5" applyNumberFormat="1" applyFont="1" applyFill="1" applyBorder="1"/>
    <xf numFmtId="10" fontId="3" fillId="0" borderId="8" xfId="1" applyNumberFormat="1" applyFont="1" applyBorder="1"/>
    <xf numFmtId="164" fontId="3" fillId="0" borderId="9" xfId="5" applyNumberFormat="1" applyFont="1" applyBorder="1"/>
    <xf numFmtId="164" fontId="9" fillId="8" borderId="7" xfId="4" applyNumberFormat="1" applyFont="1" applyFill="1" applyBorder="1"/>
    <xf numFmtId="10" fontId="8" fillId="8" borderId="8" xfId="4" applyNumberFormat="1" applyFont="1" applyFill="1" applyBorder="1"/>
    <xf numFmtId="164" fontId="17" fillId="0" borderId="20" xfId="4" applyNumberFormat="1" applyFont="1" applyFill="1" applyBorder="1" applyAlignment="1">
      <alignment horizontal="left" indent="1"/>
    </xf>
    <xf numFmtId="164" fontId="9" fillId="9" borderId="18" xfId="5" applyNumberFormat="1" applyFont="1" applyFill="1" applyBorder="1"/>
    <xf numFmtId="164" fontId="8" fillId="9" borderId="13" xfId="4" applyNumberFormat="1" applyFont="1" applyFill="1" applyBorder="1" applyAlignment="1">
      <alignment horizontal="center"/>
    </xf>
    <xf numFmtId="44" fontId="8" fillId="9" borderId="19" xfId="2" applyFont="1" applyFill="1" applyBorder="1"/>
    <xf numFmtId="2" fontId="8" fillId="9" borderId="19" xfId="4" applyNumberFormat="1" applyFont="1" applyFill="1" applyBorder="1"/>
    <xf numFmtId="10" fontId="8" fillId="9" borderId="19" xfId="4" applyNumberFormat="1" applyFont="1" applyFill="1" applyBorder="1"/>
    <xf numFmtId="164" fontId="8" fillId="9" borderId="13" xfId="5" applyNumberFormat="1" applyFont="1" applyFill="1" applyBorder="1"/>
    <xf numFmtId="9" fontId="8" fillId="9" borderId="19" xfId="3" applyFont="1" applyFill="1" applyBorder="1"/>
    <xf numFmtId="164" fontId="3" fillId="0" borderId="16" xfId="4" applyNumberFormat="1" applyFont="1" applyFill="1" applyBorder="1" applyAlignment="1">
      <alignment horizontal="left" indent="1"/>
    </xf>
    <xf numFmtId="164" fontId="6" fillId="10" borderId="18" xfId="4" applyNumberFormat="1" applyFont="1" applyFill="1" applyBorder="1"/>
    <xf numFmtId="164" fontId="9" fillId="10" borderId="13" xfId="4" applyNumberFormat="1" applyFont="1" applyFill="1" applyBorder="1"/>
    <xf numFmtId="164" fontId="9" fillId="10" borderId="19" xfId="4" applyNumberFormat="1" applyFont="1" applyFill="1" applyBorder="1"/>
    <xf numFmtId="0" fontId="20" fillId="0" borderId="21" xfId="6" applyFont="1" applyBorder="1" applyAlignment="1">
      <alignment horizontal="left" vertical="top" wrapText="1"/>
    </xf>
    <xf numFmtId="164" fontId="21" fillId="0" borderId="16" xfId="4" applyNumberFormat="1" applyFont="1" applyFill="1" applyBorder="1" applyAlignment="1">
      <alignment horizontal="left"/>
    </xf>
    <xf numFmtId="0" fontId="22" fillId="0" borderId="22" xfId="6" applyFont="1" applyBorder="1" applyAlignment="1">
      <alignment horizontal="left" vertical="top" wrapText="1"/>
    </xf>
    <xf numFmtId="44" fontId="3" fillId="0" borderId="0" xfId="2" applyFont="1" applyFill="1"/>
    <xf numFmtId="2" fontId="3" fillId="0" borderId="0" xfId="3" applyNumberFormat="1" applyFont="1" applyFill="1"/>
    <xf numFmtId="10" fontId="3" fillId="0" borderId="0" xfId="7" applyNumberFormat="1" applyFont="1" applyAlignment="1">
      <alignment horizontal="right"/>
    </xf>
    <xf numFmtId="164" fontId="9" fillId="3" borderId="7" xfId="5" applyNumberFormat="1" applyFont="1" applyFill="1" applyBorder="1"/>
    <xf numFmtId="164" fontId="8" fillId="3" borderId="9" xfId="5" applyNumberFormat="1" applyFont="1" applyFill="1" applyBorder="1" applyAlignment="1">
      <alignment horizontal="center"/>
    </xf>
    <xf numFmtId="44" fontId="8" fillId="3" borderId="8" xfId="2" applyFont="1" applyFill="1" applyBorder="1"/>
    <xf numFmtId="2" fontId="8" fillId="3" borderId="8" xfId="5" applyNumberFormat="1" applyFont="1" applyFill="1" applyBorder="1"/>
    <xf numFmtId="10" fontId="8" fillId="3" borderId="8" xfId="5" applyNumberFormat="1" applyFont="1" applyFill="1" applyBorder="1"/>
    <xf numFmtId="164" fontId="8" fillId="3" borderId="9" xfId="5" applyNumberFormat="1" applyFont="1" applyFill="1" applyBorder="1"/>
    <xf numFmtId="9" fontId="8" fillId="3" borderId="8" xfId="3" applyFont="1" applyFill="1" applyBorder="1"/>
    <xf numFmtId="164" fontId="8" fillId="3" borderId="7" xfId="2" applyNumberFormat="1" applyFont="1" applyFill="1" applyBorder="1"/>
    <xf numFmtId="164" fontId="17" fillId="0" borderId="9" xfId="1" applyNumberFormat="1" applyFont="1" applyBorder="1"/>
    <xf numFmtId="164" fontId="3" fillId="0" borderId="9" xfId="1" applyNumberFormat="1" applyFont="1" applyBorder="1"/>
    <xf numFmtId="44" fontId="3" fillId="0" borderId="8" xfId="2" applyFont="1" applyBorder="1"/>
    <xf numFmtId="2" fontId="3" fillId="0" borderId="8" xfId="1" applyNumberFormat="1" applyFont="1" applyBorder="1"/>
    <xf numFmtId="9" fontId="3" fillId="0" borderId="8" xfId="3" applyFont="1" applyBorder="1"/>
    <xf numFmtId="164" fontId="19" fillId="11" borderId="18" xfId="4" applyNumberFormat="1" applyFont="1" applyFill="1" applyBorder="1" applyAlignment="1">
      <alignment horizontal="left" wrapText="1"/>
    </xf>
    <xf numFmtId="164" fontId="3" fillId="11" borderId="13" xfId="1" applyNumberFormat="1" applyFont="1" applyFill="1" applyBorder="1" applyAlignment="1">
      <alignment horizontal="center"/>
    </xf>
    <xf numFmtId="44" fontId="3" fillId="11" borderId="19" xfId="2" applyFont="1" applyFill="1" applyBorder="1"/>
    <xf numFmtId="2" fontId="3" fillId="11" borderId="19" xfId="1" applyNumberFormat="1" applyFont="1" applyFill="1" applyBorder="1"/>
    <xf numFmtId="10" fontId="3" fillId="11" borderId="19" xfId="1" applyNumberFormat="1" applyFont="1" applyFill="1" applyBorder="1"/>
    <xf numFmtId="9" fontId="3" fillId="11" borderId="19" xfId="3" applyFont="1" applyFill="1" applyBorder="1"/>
    <xf numFmtId="44" fontId="3" fillId="11" borderId="13" xfId="2" applyFont="1" applyFill="1" applyBorder="1"/>
    <xf numFmtId="0" fontId="23" fillId="0" borderId="0" xfId="0" applyFont="1" applyAlignment="1">
      <alignment horizontal="right"/>
    </xf>
    <xf numFmtId="168" fontId="24" fillId="0" borderId="0" xfId="0" applyNumberFormat="1" applyFont="1" applyAlignment="1">
      <alignment horizontal="left"/>
    </xf>
    <xf numFmtId="0" fontId="25" fillId="0" borderId="0" xfId="0" applyFont="1"/>
    <xf numFmtId="44" fontId="27" fillId="0" borderId="0" xfId="2" applyFont="1"/>
    <xf numFmtId="2" fontId="27" fillId="0" borderId="0" xfId="1" applyNumberFormat="1" applyFont="1"/>
    <xf numFmtId="9" fontId="27" fillId="0" borderId="0" xfId="3" applyFont="1"/>
    <xf numFmtId="10" fontId="27" fillId="0" borderId="0" xfId="1" applyNumberFormat="1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center" vertical="center" wrapText="1"/>
    </xf>
    <xf numFmtId="0" fontId="25" fillId="0" borderId="18" xfId="0" applyFont="1" applyBorder="1" applyAlignment="1">
      <alignment wrapText="1"/>
    </xf>
    <xf numFmtId="9" fontId="25" fillId="12" borderId="18" xfId="7" applyFont="1" applyFill="1" applyBorder="1" applyAlignment="1">
      <alignment horizontal="center" wrapText="1"/>
    </xf>
    <xf numFmtId="164" fontId="5" fillId="3" borderId="1" xfId="4" applyNumberFormat="1" applyFont="1" applyFill="1" applyBorder="1" applyAlignment="1">
      <alignment horizontal="left"/>
    </xf>
    <xf numFmtId="164" fontId="5" fillId="3" borderId="6" xfId="4" applyNumberFormat="1" applyFont="1" applyFill="1" applyBorder="1" applyAlignment="1">
      <alignment horizontal="left"/>
    </xf>
    <xf numFmtId="164" fontId="5" fillId="3" borderId="2" xfId="4" applyNumberFormat="1" applyFont="1" applyFill="1" applyBorder="1" applyAlignment="1">
      <alignment horizontal="center" wrapText="1"/>
    </xf>
    <xf numFmtId="164" fontId="5" fillId="3" borderId="7" xfId="4" applyNumberFormat="1" applyFont="1" applyFill="1" applyBorder="1" applyAlignment="1">
      <alignment horizontal="center" wrapText="1"/>
    </xf>
    <xf numFmtId="164" fontId="5" fillId="3" borderId="3" xfId="4" applyNumberFormat="1" applyFont="1" applyFill="1" applyBorder="1" applyAlignment="1">
      <alignment horizontal="center" vertical="center" wrapText="1"/>
    </xf>
    <xf numFmtId="164" fontId="5" fillId="3" borderId="4" xfId="4" applyNumberFormat="1" applyFont="1" applyFill="1" applyBorder="1" applyAlignment="1">
      <alignment horizontal="center" vertical="center" wrapText="1"/>
    </xf>
    <xf numFmtId="164" fontId="5" fillId="3" borderId="5" xfId="4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44" fontId="6" fillId="3" borderId="2" xfId="2" applyFont="1" applyFill="1" applyBorder="1" applyAlignment="1">
      <alignment horizontal="center" vertical="center" wrapText="1"/>
    </xf>
    <xf numFmtId="44" fontId="6" fillId="3" borderId="7" xfId="2" applyFont="1" applyFill="1" applyBorder="1" applyAlignment="1">
      <alignment horizontal="center" vertical="center" wrapText="1"/>
    </xf>
    <xf numFmtId="164" fontId="3" fillId="0" borderId="0" xfId="2" applyNumberFormat="1" applyFont="1" applyAlignment="1">
      <alignment horizontal="right"/>
    </xf>
  </cellXfs>
  <cellStyles count="8">
    <cellStyle name="Currency 11" xfId="2" xr:uid="{9B0BEA5B-8415-4384-828A-B4E36CC2E1C7}"/>
    <cellStyle name="Currency 2 4" xfId="5" xr:uid="{8B5F802F-CCB1-4C91-9100-B68F1AB21597}"/>
    <cellStyle name="Normal" xfId="0" builtinId="0"/>
    <cellStyle name="Normal 2 23" xfId="1" xr:uid="{259035EA-6B95-4A2A-8593-14A2AE6B4950}"/>
    <cellStyle name="Normal 41" xfId="6" xr:uid="{C676D68A-6FE3-4BE2-A16A-2889D5BBE5F8}"/>
    <cellStyle name="Normal_UKRAINE SME BUDGET" xfId="4" xr:uid="{5FA181F0-808D-4D10-A884-FE446669811E}"/>
    <cellStyle name="Percent 10" xfId="3" xr:uid="{DD5734C4-1C65-4426-97D8-32ECF3C84308}"/>
    <cellStyle name="Percent 2 4" xfId="7" xr:uid="{00844E2B-BAD1-4DEA-A1BC-1E8BF4E79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microsoft.com/office/2017/10/relationships/person" Target="persons/person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customXml" Target="../customXml/item2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op3.ncsc.dni.us/My%20Documents/NCSC/Macedonia/Business%20Proposal/NCSC%20Macedonia%20Budget--internal%20final%203-21-02%207%20p.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My%20Documents/NCSC/Macedonia/Business%20Proposal/NCSC%20Macedonia%20Budget--internal%20final%203-21-02%207%20p.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sprotacio/My%20Documents/SMTs/Copy%20of%20SC_Budget_ARMM_HEALTH_Jun19%20with%20Community%20Matc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%20v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Katya/AppData/Local/Microsoft/Windows/Temporary%20Internet%20Files/Content.Outlook/3MW8ZO8X/Peru_Decentralization_Cost_5_9_CM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BUSOPS/CEP/Ra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st,%20RAMP,%20consistent%20with%20contract,%20with%20subs%20chang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Documents%20and%20Settings/Dewey%20Thomas/Local%20Settings/Temporary%20Internet%20Files/OLK2/SubK%20TM%20budget%20template%20(2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C%20disk\vahan.CP\Desktop\Acc%20CPI\300_Salary\Salary%20Calculatin\Salary%20FY%20201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ISE%20Ethiopia%20MLVP%20to%20DAI%20Budget%2011-1-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GL%20!!!/Voucher%20form-fina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_Cost_Spreadsheets.Mali_TRADE_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SAR%20Timor%20Leste%20Budget%20and%20Track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S1028023222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ENI%20COST%20MOD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%20Budget%20-%20Overall%20v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%20Costv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Jazami/OneDrive%20-%20Counterpart%20International/Desktop/PSR%20review%20summary%20-%20FY19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C%20disk/vahan.CP/Desktop/Acc%20CPI/777_Vouchers/2009/11/Voucher/CPI-GL-201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harepoint.cnfa.org\DavWWWRoot\Project%20Accounting\Archives\Archive%20Files_Vinod%20Goyal\Documents\AGP-LMD%202015-16\INVOICE%20TO%20USAID\Invoice%202017\LMD%20August%202017%20Voucher%2062\(08b)%20August%2031%202017_ETH%20Payroll%20and%20Reconciliation%20Revised%20AG.xlsx?5421C9AF" TargetMode="External"/><Relationship Id="rId1" Type="http://schemas.openxmlformats.org/officeDocument/2006/relationships/externalLinkPath" Target="file:///\\5421C9AF\(08b)%20August%2031%202017_ETH%20Payroll%20and%20Reconciliation%20Revised%20AG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ersonal/carlodaniel_abuyuan_usda_gov/Documents/Budget%20templates/Nofo/Revised%20Agribusiness%20Investment%20Budget_8.1.2022%20CA%20(2)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Karen\Desktop\Salary%20Calculation%20for%20April%202012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program%20files/eudora/attach/BUDGET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s\imadanat\Documents\Programs\Cameron%20FFP%202012\REV6254%20of%20Cameroon%20FFE%202012Budget%20-%20Sep%2030%20-%20Entered%20in%20FAIS%20syste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ogram%20Development%20Unit\2.%20Proposals\REGIONAL%20-%20Africa\2013%20REGIS-AG\5.%20Cost%20Application\Counterpart%20REGIS-AG%20Draft%20Version%20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USER\MDREXLER\RFP\BUD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_MOBIS%20Peru%20ADP%20Budget%20Comp%20Range%20DLB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unterpart1org-my.sharepoint.com/Budgets%20--%20Funded/Belarus/PACT/Proposed%20Revisions/08%2008%2012%20%20Pact%20Proposal%20Budget-%20ICN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MACRO%20II%20-%20El%20Salvador%20Profitability%20Analysis%20Fina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Template--AMAP-MF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GIR%20WestBankGaz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xico%20AMAP%20Budget%20final.da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.chemonics.net\regions\eaf\Proposals\Ethiopia_SIPED_II\Cost\CPFF%20Spreadsheet%20Shell_SIPED%20II%20v9%20to%20edito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4\Q1\I3R\JE%20I3R%20Mar2004%202004004%20mappi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backup3\lgasparian\Desktop\Training\Trackers%20and%20templates\Project%20Equipment%20Inventory%20Tracker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Romania%20Civil%20Society%20Strenghtening/Cost%20Application/Budget%20&amp;%20Notes/MSI/MSI%20Budge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9_DAI%20Peru%20AD%20Cost%20Proposal%20-%20Comp%20Range24nov03.lh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S\International\Indonesia\2003\Q4_2003\I3RH\I3RH-12120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FILES/RFP/MALIRC/MAL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Users/lgasparian/Desktop/Training/Trackers%20and%20templates/Project%20Equipment%20Inventory%20Tracker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ilesrv3\project\Users\lgasparian\Desktop\Training\Trackers%20and%20templates\Project%20Equipment%20Inventory%20Tracker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NADA%20Budget%20BAFO%20II_final%20(unprotected)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sdagcc.sharepoint.com/lgasparian/Desktop/Training/Trackers%20and%20templates/Project%20Equipment%20Inventory%20Tracker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rt%2002_Mexico%20AMAP%20Budget%20Fina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G%20PhP_ECA%20Budget_FINA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09\Africa\Morocco%20-%20Youth%20Education%20Program%20RFA\Submission\Morocco%20Youth%20Budget%20FINA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ROUPS\BP\U%20S%20A%20I%20D\U%20S%20A%20I%20D\USAID10\Africa\Mozambique%20-%20Integrated%20Health%20Social%20Marketing\Budget\Mozambique%20Draft%20Budget%20Dec%201%20201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karim\LOCALS~1\Temp\XPgrpwise\Kosovo%20KASS%20Budget%206.16-ep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  <sheetName val="."/>
      <sheetName val="Sheet2"/>
      <sheetName val="Drop downs"/>
      <sheetName val="IRC SUMMARY"/>
      <sheetName val="Dropdown Menus"/>
      <sheetName val="ABR"/>
      <sheetName val="Key"/>
      <sheetName val="Details GG266"/>
      <sheetName val="IVAP Budget (IRC)"/>
      <sheetName val="Formula Sheet"/>
      <sheetName val="NCSC_SUMMARY"/>
      <sheetName val="NCSC_DETAIL"/>
      <sheetName val="Schedule_A"/>
      <sheetName val="Schedule_B"/>
      <sheetName val="SB_ESTIMATE"/>
      <sheetName val="IRC_SUMMARY"/>
      <sheetName val="_"/>
      <sheetName val="Dropdown_Menus"/>
      <sheetName val="Drop_downs"/>
      <sheetName val="Details_GG266"/>
      <sheetName val="Summary"/>
      <sheetName val="Range_Page6"/>
      <sheetName val="AdminNames"/>
      <sheetName val="Range_Page1"/>
      <sheetName val="Signature_sheet"/>
      <sheetName val="Pricing"/>
      <sheetName val="CODES"/>
      <sheetName val="Baseline_Calc1"/>
      <sheetName val="DropDown"/>
      <sheetName val="Config"/>
      <sheetName val="Summary_Pact"/>
      <sheetName val="Account_code_lookups-_internal"/>
      <sheetName val="Rates"/>
      <sheetName val="Option-Year2"/>
      <sheetName val="CIOSP"/>
      <sheetName val="COST___CASE1"/>
      <sheetName val="Definitions"/>
      <sheetName val="Backend_serv"/>
      <sheetName val="List"/>
      <sheetName val="Budget"/>
      <sheetName val="1411"/>
      <sheetName val="Data,Jan-Mar"/>
      <sheetName val="Data,Apr-Jun"/>
      <sheetName val="Data,Jul-Sept"/>
      <sheetName val="IRC_Format1"/>
      <sheetName val="template"/>
      <sheetName val="Detail_Pact"/>
      <sheetName val="PARAMETER"/>
      <sheetName val="Backend_drugs"/>
      <sheetName val="PARAMETRES"/>
      <sheetName val="#Lookup"/>
      <sheetName val="Budget__by_Objective2"/>
      <sheetName val="Original_Budget1"/>
      <sheetName val="Refs"/>
      <sheetName val="Lists"/>
      <sheetName val="IRC_Format-Detailed_Budget"/>
      <sheetName val="COMMITMENT_TO_BVA2"/>
      <sheetName val="TablesCodes"/>
      <sheetName val="COMMITMENT_TO_BVA1"/>
      <sheetName val="ALL_ACTUALS1"/>
      <sheetName val="Budget__by_Objective4"/>
      <sheetName val="Do_Not_Touch1"/>
      <sheetName val="1_Parameters"/>
      <sheetName val="Budget_Line_Item"/>
      <sheetName val="renvoi"/>
      <sheetName val="Summary_KE_&amp;_SO"/>
      <sheetName val="Grants_in_Pipeline"/>
      <sheetName val="Budget_Line_Item1"/>
      <sheetName val="Country_Budget_x_66"/>
      <sheetName val="Personnel_Costs"/>
      <sheetName val="Facilities"/>
      <sheetName val="insurance_current-SEPT-work"/>
      <sheetName val="Budget__by_Objective1"/>
      <sheetName val="ref1"/>
      <sheetName val="quarters"/>
      <sheetName val="Share_cost_allocation_sheet1"/>
      <sheetName val="Shared_costs_table1"/>
      <sheetName val="SDAs_impact_datasources"/>
      <sheetName val="Sdc's"/>
      <sheetName val="ALL_ACTUALS3"/>
      <sheetName val="Parameters"/>
      <sheetName val="Worksheet_1_Project_budget1"/>
      <sheetName val="Actuals"/>
      <sheetName val="Currencies"/>
      <sheetName val="paramètres"/>
      <sheetName val="CONSOLIDATED SHEET"/>
      <sheetName val="Categories"/>
      <sheetName val="2NER_SF Financial overview - Y2"/>
      <sheetName val="2NER_SF Financial overview - Y3"/>
      <sheetName val="Account"/>
      <sheetName val="Sammary"/>
      <sheetName val="Scenario 1"/>
      <sheetName val="01. Summary Comb"/>
      <sheetName val="CN28302Entry"/>
      <sheetName val="CN28302"/>
      <sheetName val="Cost Notes &amp; Analysis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SC SUMMARY"/>
      <sheetName val="NCSC DETAIL"/>
      <sheetName val="Schedule A"/>
      <sheetName val="Schedule B"/>
      <sheetName val="IPA"/>
      <sheetName val="SB ESTIMATE"/>
    </sheetNames>
    <sheetDataSet>
      <sheetData sheetId="0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Notes1"/>
      <sheetName val="Budget Notes2"/>
      <sheetName val="Budget Summary-SAVE"/>
      <sheetName val="Detailed Budget-SAVE"/>
      <sheetName val="Fringes-SAVE"/>
      <sheetName val="Equipment, Materials &amp; Suppls"/>
      <sheetName val="Component 1- COMMUNITY"/>
      <sheetName val="Component 2- HEALTH SYSTEM"/>
      <sheetName val="Component 3- LG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ed"/>
      <sheetName val="JHPIEGO"/>
      <sheetName val="HKI"/>
      <sheetName val="TRG"/>
      <sheetName val="Georgetown"/>
      <sheetName val="The Mitchell Group"/>
      <sheetName val="Pop Council"/>
      <sheetName val="Prospect International"/>
      <sheetName val="EVF"/>
      <sheetName val="Training"/>
      <sheetName val="LOE"/>
      <sheetName val="Parameters"/>
      <sheetName val="Chart of Accounts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1a. USAID Summary Budget"/>
      <sheetName val="1b. USAID Detail Budget"/>
      <sheetName val="1c. Summary"/>
      <sheetName val="1d. Summary by CLIN"/>
      <sheetName val="2a. LOE"/>
      <sheetName val="CLIN factor"/>
      <sheetName val="2b. LOE by CLIN"/>
      <sheetName val="3a. Main Detailed"/>
      <sheetName val="3b. CLIN 1 Detailed"/>
      <sheetName val="3c. CLIN 2 Detailed"/>
      <sheetName val="3d. CLIN 3 Detailed"/>
      <sheetName val="4. Travel"/>
      <sheetName val="5. Allowances"/>
      <sheetName val="6. EVF"/>
      <sheetName val="7. Training"/>
      <sheetName val="Annex A. Quals for LT Positions"/>
      <sheetName val="Annex B. STTA Scale"/>
      <sheetName val="Annex C. Fee Percent Breakdown"/>
      <sheetName val="Annex D. Fee Breakdown"/>
      <sheetName val="1a__USAID_Summary_Budget"/>
      <sheetName val="1b__USAID_Detail_Budget"/>
      <sheetName val="1c__Summary"/>
      <sheetName val="1d__Summary_by_CLIN"/>
      <sheetName val="2a__LOE"/>
      <sheetName val="CLIN_factor"/>
      <sheetName val="2b__LOE_by_CLIN"/>
      <sheetName val="3a__Main_Detailed"/>
      <sheetName val="3b__CLIN_1_Detailed"/>
      <sheetName val="3c__CLIN_2_Detailed"/>
      <sheetName val="3d__CLIN_3_Detailed"/>
      <sheetName val="4__Travel"/>
      <sheetName val="5__Allowances"/>
      <sheetName val="6__EVF"/>
      <sheetName val="7__Training"/>
      <sheetName val="Annex_A__Quals_for_LT_Positions"/>
      <sheetName val="Annex_B__STTA_Scale"/>
      <sheetName val="Annex_C__Fee_Percent_Breakdown"/>
      <sheetName val="Annex_D__Fee_Breakdown"/>
      <sheetName val="1a__USAID_Summary_Budget1"/>
      <sheetName val="1b__USAID_Detail_Budget1"/>
      <sheetName val="1c__Summary1"/>
      <sheetName val="1d__Summary_by_CLIN1"/>
      <sheetName val="2a__LOE1"/>
      <sheetName val="CLIN_factor1"/>
      <sheetName val="2b__LOE_by_CLIN1"/>
      <sheetName val="3a__Main_Detailed1"/>
      <sheetName val="3b__CLIN_1_Detailed1"/>
      <sheetName val="3c__CLIN_2_Detailed1"/>
      <sheetName val="3d__CLIN_3_Detailed1"/>
      <sheetName val="4__Travel1"/>
      <sheetName val="5__Allowances1"/>
      <sheetName val="6__EVF1"/>
      <sheetName val="7__Training1"/>
      <sheetName val="Annex_A__Quals_for_LT_Position1"/>
      <sheetName val="Annex_B__STTA_Scale1"/>
      <sheetName val="Annex_C__Fee_Percent_Breakdown1"/>
      <sheetName val="Annex_D__Fee_Breakdow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Chart2"/>
      <sheetName val="Bill Rates"/>
      <sheetName val="#REF"/>
      <sheetName val="Actuals"/>
      <sheetName val="Profit"/>
      <sheetName val="Task 000"/>
      <sheetName val="Forecast"/>
      <sheetName val="001"/>
      <sheetName val="1618000 Roll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ummary"/>
      <sheetName val="Summary by CLIN"/>
      <sheetName val="LOE CLIN 1"/>
      <sheetName val="LOE Total"/>
      <sheetName val="Chemonics"/>
      <sheetName val="CLIN 1"/>
      <sheetName val="CLIN 2"/>
      <sheetName val="CLIN 3"/>
      <sheetName val="CLIN 4"/>
      <sheetName val="Shorebank CLIN 1"/>
      <sheetName val="IFDC CLIN 1"/>
      <sheetName val="Profitability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-Wide Fringe Benefit Calc"/>
      <sheetName val="Fringe Benefit Calc"/>
      <sheetName val="OH calc"/>
      <sheetName val="Labor Calc"/>
      <sheetName val="Notes"/>
      <sheetName val="sample fringe calc"/>
      <sheetName val="sample OH calc"/>
      <sheetName val="sample labor cal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11NH 1"/>
      <sheetName val="1111KT"/>
      <sheetName val="1111NH 2"/>
      <sheetName val="November-11"/>
      <sheetName val="December-11"/>
      <sheetName val="1211LG"/>
      <sheetName val="1211AS"/>
      <sheetName val="Increase &amp; Bonus 2011"/>
      <sheetName val="January-12"/>
      <sheetName val="0112RM"/>
      <sheetName val="February-12"/>
      <sheetName val="March-12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0512TM"/>
      <sheetName val="June-12"/>
      <sheetName val="0612MT"/>
      <sheetName val="0612VD"/>
      <sheetName val="0612AA"/>
      <sheetName val="0612MS"/>
      <sheetName val="July-12"/>
      <sheetName val="0712NH"/>
      <sheetName val="0712SS"/>
      <sheetName val="0712TM"/>
      <sheetName val="0712GM"/>
      <sheetName val="0712VA"/>
      <sheetName val="0712PY"/>
      <sheetName val="0712AM"/>
      <sheetName val="0712AP"/>
      <sheetName val="0712KH"/>
      <sheetName val="0712AA"/>
      <sheetName val="0712AD"/>
      <sheetName val="0712VD"/>
      <sheetName val="0712AS"/>
      <sheetName val="Aug-12"/>
      <sheetName val="Guards recalculation Aug-12"/>
      <sheetName val="Armen A. recalculation Aug-12"/>
      <sheetName val="0812AD"/>
      <sheetName val="0812AS"/>
      <sheetName val="0812AM"/>
      <sheetName val="0812MH"/>
      <sheetName val="0812LH"/>
      <sheetName val="0812MS"/>
      <sheetName val="0812LA"/>
      <sheetName val="0812TD"/>
      <sheetName val="0812GV"/>
      <sheetName val="0812AK"/>
      <sheetName val="0812KT"/>
      <sheetName val="0812MT"/>
      <sheetName val="Sep-12"/>
      <sheetName val="0912MH"/>
      <sheetName val="0912KH"/>
      <sheetName val="0912KH (2)"/>
      <sheetName val="0912TM"/>
      <sheetName val="Ani Melikyan 1003 Project"/>
      <sheetName val="0912GP"/>
      <sheetName val="0912VD"/>
      <sheetName val="0912SS"/>
      <sheetName val="Oct-12"/>
      <sheetName val="1012AM"/>
      <sheetName val="Nov-12"/>
      <sheetName val="Salary recalculation for KH"/>
      <sheetName val="1112LA"/>
      <sheetName val="1112NH"/>
      <sheetName val="1112RH"/>
      <sheetName val="Dec-12"/>
      <sheetName val="13-th salary for 2012"/>
      <sheetName val="Jan-13"/>
      <sheetName val="Salary recalculation for KH &amp;AA"/>
      <sheetName val="0113LG"/>
      <sheetName val="0113MT"/>
      <sheetName val="0113AM"/>
      <sheetName val="Feb-13"/>
      <sheetName val="March-13"/>
      <sheetName val="0313AM"/>
      <sheetName val="Sheet2"/>
      <sheetName val="484CR"/>
      <sheetName val="1033Cr"/>
      <sheetName val="PO 484CR"/>
      <sheetName val="PO 1033CR"/>
      <sheetName val="Sheet1"/>
      <sheetName val="Sheet1 (2)"/>
      <sheetName val="Sheet1 (3)"/>
      <sheetName val="Rounding"/>
      <sheetName val="Data-in process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Year1"/>
      <sheetName val="Year2"/>
      <sheetName val="RATES"/>
      <sheetName val="Parameter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Voucher"/>
      <sheetName val="Sheet3"/>
      <sheetName val="Sheet2"/>
      <sheetName val="Sheet1"/>
      <sheetName val="Sheet5"/>
      <sheetName val="Nomenclatura Contabl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3. LOE"/>
      <sheetName val="Links"/>
      <sheetName val="1. CLIN"/>
      <sheetName val="2. Sum-Yr"/>
      <sheetName val="4. Main"/>
      <sheetName val="5. Travel"/>
      <sheetName val="6. Allow"/>
      <sheetName val="7. EVF"/>
      <sheetName val="8. AIRD"/>
      <sheetName val="9. CARE"/>
      <sheetName val="10. IBI"/>
      <sheetName val="RATES"/>
      <sheetName val="Parameters"/>
      <sheetName val="Travel Voucher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  <sheetName val="LOE Tracker"/>
      <sheetName val="Burn Chart"/>
      <sheetName val="INPUTS - Totals by Units"/>
      <sheetName val="INPUTS Year 1"/>
      <sheetName val="INPUTS Year 2"/>
      <sheetName val="INPUTS Year 3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arly Planner"/>
      <sheetName val="Appointments"/>
      <sheetName val="calcs"/>
      <sheetName val="TS1028023222"/>
      <sheetName val="Legend"/>
    </sheetNames>
    <definedNames>
      <definedName name="StartYear" sheetId="0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"/>
      <sheetName val="BAHODC"/>
      <sheetName val="SUB1"/>
      <sheetName val="SUB2"/>
      <sheetName val="SUB3"/>
      <sheetName val="SUB4"/>
      <sheetName val="SUB5"/>
      <sheetName val="SUB6"/>
      <sheetName val="SUB7"/>
      <sheetName val="SUB8"/>
      <sheetName val="SUB9"/>
      <sheetName val="INDIRECTS"/>
      <sheetName val="RATES"/>
      <sheetName val="read me first"/>
      <sheetName val="DCAA APPROVED INDIRECT RATES"/>
      <sheetName val="Parameter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Assumptions"/>
      <sheetName val="Summary"/>
      <sheetName val="Loaded"/>
      <sheetName val="Overall"/>
      <sheetName val="CORE"/>
      <sheetName val="Liberia"/>
      <sheetName val="Nigeria"/>
      <sheetName val="Jordan"/>
      <sheetName val="Pakistan"/>
      <sheetName val="ENE"/>
      <sheetName val="LAC"/>
      <sheetName val="ANE"/>
      <sheetName val="AFR"/>
      <sheetName val="ENE(b)"/>
      <sheetName val="LAC1"/>
      <sheetName val="LAC2"/>
      <sheetName val="ANE1"/>
      <sheetName val="ANE2"/>
      <sheetName val="ARF1"/>
      <sheetName val="ARF2"/>
      <sheetName val="ENE1"/>
      <sheetName val="ENE2"/>
      <sheetName val="Budget Notes"/>
      <sheetName val="Cost Shar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byYear"/>
      <sheetName val="Detailed"/>
      <sheetName val="LOE"/>
      <sheetName val="EVF"/>
      <sheetName val="EVF-OVC"/>
      <sheetName val="TRG"/>
      <sheetName val="Dev Assoc"/>
      <sheetName val="IGH CEIHD"/>
      <sheetName val="Porter Novelli"/>
      <sheetName val="Citizens"/>
      <sheetName val="HealthScope"/>
      <sheetName val="Parameters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CRA"/>
      <sheetName val="Active Project"/>
      <sheetName val="Summary"/>
      <sheetName val="Cash Receipt by Project"/>
      <sheetName val="Cost Share"/>
      <sheetName val="Cash Adjustment"/>
      <sheetName val="Cash Receipt-Master"/>
      <sheetName val="FY19"/>
      <sheetName val="FY18"/>
      <sheetName val="FY17"/>
      <sheetName val="FY16"/>
      <sheetName val="FY15"/>
      <sheetName val="FY14"/>
      <sheetName val="FY13"/>
      <sheetName val="FY12"/>
      <sheetName val="FY11"/>
      <sheetName val="FY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GL-Bank"/>
      <sheetName val="PT"/>
      <sheetName val="PT (2)"/>
      <sheetName val="Chart of Acc"/>
      <sheetName val="Tx-Acc"/>
      <sheetName val="Classes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"/>
      <sheetName val="Payroll August "/>
      <sheetName val="Bank Transfer CBE"/>
      <sheetName val="Income tax"/>
      <sheetName val="Tax rec."/>
      <sheetName val="Inc. tax Rec."/>
      <sheetName val="Pension"/>
      <sheetName val="Pen. rec"/>
      <sheetName val="Pension Rec."/>
      <sheetName val="Abebe Tafa "/>
      <sheetName val="Zenah Aug"/>
      <sheetName val="Severance"/>
      <sheetName val="Rec. work out"/>
      <sheetName val="July back pay"/>
      <sheetName val="Payroll July"/>
      <sheetName val="Backup Formul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Revised Budget - CNFA"/>
      <sheetName val="Sheet1"/>
      <sheetName val="Year 4  Projected Budget"/>
      <sheetName val="Consultancies"/>
      <sheetName val="To do"/>
      <sheetName val="100120-Nigeria-Pipeline"/>
      <sheetName val="Y4 2022 Budget Tracker"/>
      <sheetName val="Y5 2022 Budget Tracker"/>
      <sheetName val="Subs"/>
      <sheetName val="rev summary 5-31 (2)"/>
      <sheetName val="Payroll Jan22"/>
      <sheetName val="Allowances"/>
      <sheetName val="JE Austin"/>
      <sheetName val="rev summary 5-31"/>
      <sheetName val="JAA Projections Y4"/>
      <sheetName val="JAA Projections Y5"/>
      <sheetName val="Connexus"/>
      <sheetName val="FY22 Connexus Budget"/>
      <sheetName val="FY23 Connexus Budget"/>
      <sheetName val="LOE"/>
      <sheetName val="Chart of 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0-HA"/>
      <sheetName val="1110-HA"/>
      <sheetName val="Oct10"/>
      <sheetName val="Nov10"/>
      <sheetName val="12-10SH"/>
      <sheetName val="Ani"/>
      <sheetName val="Dec10"/>
      <sheetName val="01-11AKh"/>
      <sheetName val="01-11HM"/>
      <sheetName val="Jan11"/>
      <sheetName val="02-11HM"/>
      <sheetName val="02-11AKh"/>
      <sheetName val="02-11SH"/>
      <sheetName val="Feb11"/>
      <sheetName val="March11"/>
      <sheetName val="0411AA"/>
      <sheetName val="0411NH"/>
      <sheetName val="0411AD"/>
      <sheetName val="Apr11"/>
      <sheetName val="May-11"/>
      <sheetName val="0611VM"/>
      <sheetName val="0611NA"/>
      <sheetName val="June-11"/>
      <sheetName val="0711PY"/>
      <sheetName val="0711AM"/>
      <sheetName val="0711AD"/>
      <sheetName val="0711MS"/>
      <sheetName val="0711AsM"/>
      <sheetName val="0711MB"/>
      <sheetName val="0711GV"/>
      <sheetName val="0711HS"/>
      <sheetName val="0711AV"/>
      <sheetName val="0711AKh"/>
      <sheetName val="0711LA"/>
      <sheetName val="July-11"/>
      <sheetName val="0811AV"/>
      <sheetName val="0811AKh"/>
      <sheetName val="0811LA"/>
      <sheetName val="0811MB"/>
      <sheetName val="0811AA"/>
      <sheetName val="0811KnH"/>
      <sheetName val="0811NH"/>
      <sheetName val="0811PY"/>
      <sheetName val="0811KH"/>
      <sheetName val="0811AS"/>
      <sheetName val="0811MS"/>
      <sheetName val="0811RH"/>
      <sheetName val="0811AD"/>
      <sheetName val="0811TD"/>
      <sheetName val="0811SA"/>
      <sheetName val="August-11"/>
      <sheetName val="0911AA"/>
      <sheetName val="0911SA"/>
      <sheetName val="0911GP"/>
      <sheetName val="0911HS"/>
      <sheetName val="0911HM"/>
      <sheetName val="September-11"/>
      <sheetName val="1011AsM"/>
      <sheetName val="1011SH"/>
      <sheetName val="1011TD"/>
      <sheetName val="1011MB"/>
      <sheetName val="October-11"/>
      <sheetName val="1111NH 1"/>
      <sheetName val="1111KT"/>
      <sheetName val="1111NH 2"/>
      <sheetName val="November-11"/>
      <sheetName val="December-11"/>
      <sheetName val="1211LG"/>
      <sheetName val="1211AS"/>
      <sheetName val="January-12"/>
      <sheetName val="0112RM"/>
      <sheetName val="February-12"/>
      <sheetName val="March-12"/>
      <sheetName val="Increase &amp; Bonus 2011"/>
      <sheetName val="HSBC Salary PO instraction"/>
      <sheetName val="0312VA"/>
      <sheetName val="April-12"/>
      <sheetName val="0412AD"/>
      <sheetName val="0412KH"/>
      <sheetName val="0412AV"/>
      <sheetName val="0412AM"/>
      <sheetName val="0412TD"/>
      <sheetName val="May-12"/>
      <sheetName val="0512HS"/>
      <sheetName val="0512PY"/>
      <sheetName val="484CR"/>
      <sheetName val="816Cr"/>
      <sheetName val="1000Cr"/>
      <sheetName val="PO 484CR"/>
      <sheetName val="PO 816CR"/>
      <sheetName val="PO 1000CR"/>
      <sheetName val="Data-in process"/>
      <sheetName val="Sheet1"/>
      <sheetName val="Sheet1 (2)"/>
      <sheetName val="Sheet1 (3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E"/>
      <sheetName val="Budget"/>
      <sheetName val="formulas"/>
    </sheetNames>
    <sheetDataSet>
      <sheetData sheetId="0"/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New Format Budget Y1-3"/>
      <sheetName val="Budget Summary  "/>
      <sheetName val=" Budget Y1  "/>
      <sheetName val="Budget Y2"/>
      <sheetName val="Budget Y3"/>
      <sheetName val="Drp Down Menu lists "/>
      <sheetName val="HK Budget"/>
      <sheetName val="Pricing Table"/>
      <sheetName val="LOE"/>
      <sheetName val="Activity - Detailed Budget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 Burkina Faso"/>
      <sheetName val="DETAIL Niger"/>
      <sheetName val="Travel Table"/>
      <sheetName val="Training"/>
      <sheetName val="NXP"/>
      <sheetName val="DETAIL_Burkina_Fas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ong-term project staff"/>
      <sheetName val="Short Term Technical Assistance"/>
      <sheetName val="Travel"/>
      <sheetName val="Other Direct Costs"/>
      <sheetName val="Allowances"/>
      <sheetName val="EDP"/>
      <sheetName val="formulas"/>
      <sheetName val="Long-term_project_staff"/>
      <sheetName val="Short_Term_Technical_Assistance"/>
      <sheetName val="Other_Direct_Costs"/>
      <sheetName val="Long-term_project_staff1"/>
      <sheetName val="Short_Term_Technical_Assistanc1"/>
      <sheetName val="Other_Direct_Cost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MOBIS Schedule-Salary Analysis"/>
      <sheetName val="Summary by Year"/>
      <sheetName val="Summary by CLIN"/>
      <sheetName val="Staffing List"/>
      <sheetName val="Profitability"/>
      <sheetName val="Schedule Items-Labor"/>
      <sheetName val="Summary-Non-Labor"/>
      <sheetName val="Schedule Items-Other"/>
      <sheetName val="Non-Sch ODCs"/>
      <sheetName val="Procurement"/>
      <sheetName val="Local Travel "/>
      <sheetName val="Project Activity ODCs"/>
      <sheetName val="CLIN Ref"/>
      <sheetName val="DAI CLIN 1"/>
      <sheetName val="DAI CLIN 2"/>
      <sheetName val="DAI CLIN 3"/>
      <sheetName val="DAI CLIN 4"/>
      <sheetName val="Assumptions"/>
      <sheetName val="MOBIS Labor Categories"/>
      <sheetName val="MOBIS Schedule"/>
      <sheetName val="MOBIS Sch Expat"/>
      <sheetName val="MOBIS Schedule CCN "/>
      <sheetName val="Reference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SF424"/>
      <sheetName val="SF424A1"/>
      <sheetName val="SF424A2"/>
      <sheetName val="Links"/>
    </sheetNames>
    <sheetDataSet>
      <sheetData sheetId="0"/>
      <sheetData sheetId="1">
        <row r="1">
          <cell r="J1">
            <v>1.05</v>
          </cell>
        </row>
        <row r="2">
          <cell r="J2">
            <v>1.04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Review"/>
      <sheetName val="Profitability"/>
      <sheetName val="Summary"/>
      <sheetName val="DAI Budget "/>
      <sheetName val="DevTech"/>
      <sheetName val="The M Group "/>
      <sheetName val="Office"/>
      <sheetName val="US FBR"/>
      <sheetName val="Assumptions"/>
      <sheetName val="Schedule Items-Labo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AP-MF"/>
      <sheetName val="DAI Budget "/>
      <sheetName val="Pricin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MAP-MF"/>
      <sheetName val="IT Specs"/>
      <sheetName val="Office Gear"/>
      <sheetName val="Assumptions"/>
      <sheetName val="Summary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ervice Revenue"/>
      <sheetName val="Profitabilit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AMAP-M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arameters"/>
      <sheetName val="Back of Envelope"/>
      <sheetName val="1A. USAID Summary"/>
      <sheetName val="1B. Summary"/>
      <sheetName val="2. LOE"/>
      <sheetName val="3. Main Detailed"/>
      <sheetName val="4. Travel"/>
      <sheetName val="5. Allowances"/>
      <sheetName val="6. EVF"/>
      <sheetName val="7. CRS"/>
      <sheetName val="Subplan Goal Estimator"/>
      <sheetName val="Profit Analysis"/>
      <sheetName val="Unallowable Costs"/>
      <sheetName val="Back_of_Envelope"/>
      <sheetName val="1A__USAID_Summary"/>
      <sheetName val="1B__Summary"/>
      <sheetName val="2__LOE"/>
      <sheetName val="3__Main_Detailed"/>
      <sheetName val="4__Travel"/>
      <sheetName val="5__Allowances"/>
      <sheetName val="6__EVF"/>
      <sheetName val="7__CRS"/>
      <sheetName val="Subplan_Goal_Estimator"/>
      <sheetName val="Profit_Analysis"/>
      <sheetName val="Unallowable_Costs"/>
      <sheetName val="Back_of_Envelope1"/>
      <sheetName val="1A__USAID_Summary1"/>
      <sheetName val="1B__Summary1"/>
      <sheetName val="2__LOE1"/>
      <sheetName val="3__Main_Detailed1"/>
      <sheetName val="4__Travel1"/>
      <sheetName val="5__Allowances1"/>
      <sheetName val="6__EVF1"/>
      <sheetName val="7__CRS1"/>
      <sheetName val="Subplan_Goal_Estimator1"/>
      <sheetName val="Profit_Analysis1"/>
      <sheetName val="Unallowable_Costs1"/>
      <sheetName val="Back_of_Envelope2"/>
      <sheetName val="1A__USAID_Summary2"/>
      <sheetName val="1B__Summary2"/>
      <sheetName val="2__LOE2"/>
      <sheetName val="3__Main_Detailed2"/>
      <sheetName val="4__Travel2"/>
      <sheetName val="5__Allowances2"/>
      <sheetName val="6__EVF2"/>
      <sheetName val="7__CRS2"/>
      <sheetName val="Subplan_Goal_Estimator2"/>
      <sheetName val="Profit_Analysis2"/>
      <sheetName val="Unallowable_Cost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 Entry"/>
      <sheetName val="mapping"/>
      <sheetName val="Categories"/>
      <sheetName val="TRANSACTION I3R Mar 2004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udget"/>
      <sheetName val="Info"/>
      <sheetName val="Summary_Budget"/>
    </sheetNames>
    <sheetDataSet>
      <sheetData sheetId="0"/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Comp"/>
      <sheetName val="Summary by Year"/>
      <sheetName val="Summary by CLIN"/>
      <sheetName val="Summary Fee"/>
      <sheetName val="CLIN 1 Fee"/>
      <sheetName val="CLIN 2 Fee "/>
      <sheetName val="CLIN 3 Fee"/>
      <sheetName val="CLIN 4 Fee"/>
      <sheetName val="CLIN 5 Fee "/>
      <sheetName val="LABOR SUMMARY by CLIN"/>
      <sheetName val="Prof Labor by Year"/>
      <sheetName val="CCN Rates"/>
      <sheetName val="Prof Labor by CLIN"/>
      <sheetName val="Service &amp; Support Staff by Year"/>
      <sheetName val="Service &amp; Support by CLIN "/>
      <sheetName val="Fringe-US Expats by Year"/>
      <sheetName val="Fringe-US Expats by CLIN"/>
      <sheetName val="Social Charges-CCN by Year"/>
      <sheetName val="Social Charges-CCNs by CLIN"/>
      <sheetName val="Social Charges-S&amp;S by Year"/>
      <sheetName val="Social Charges-S&amp;S by CLIN"/>
      <sheetName val="Overhead-Prof Labor by Year"/>
      <sheetName val="Overhead-Prof Labor by CLIN"/>
      <sheetName val="Local Labor by Year"/>
      <sheetName val="Local Labor by CLIN"/>
      <sheetName val="LOCAL OH&amp;Soc. Costs"/>
      <sheetName val="Post Diff by Year"/>
      <sheetName val="Post Diff by CLIN"/>
      <sheetName val="Post Allow by Year"/>
      <sheetName val="Post Allow by CLIN"/>
      <sheetName val="Danger Pay by Year"/>
      <sheetName val="Danger Pay by CLIN"/>
      <sheetName val=" DBA-FGL by Year"/>
      <sheetName val=" DBA-FGL by CLIN"/>
      <sheetName val="US Allow by Year"/>
      <sheetName val="US Allow by CLIN"/>
      <sheetName val=" Travel-Start-up"/>
      <sheetName val="Local Travel by Year"/>
      <sheetName val=" Int'l Travel by Year"/>
      <sheetName val="Travel by CLIN"/>
      <sheetName val=" Program Support Costs"/>
      <sheetName val="Program Support Detail"/>
      <sheetName val="Computer Equipment"/>
      <sheetName val="Office Gear"/>
      <sheetName val="G&amp; C by Year"/>
      <sheetName val="G&amp;C by CLIN"/>
      <sheetName val="G&amp;C Detail"/>
      <sheetName val="Annex B Mtg-Wsho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TRIAL"/>
      <sheetName val="02CASH BANK"/>
      <sheetName val="03PAYABLE"/>
      <sheetName val="04EXPEND"/>
      <sheetName val="05TRA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 Values"/>
      <sheetName val="Formula_Values"/>
      <sheetName val="formulas"/>
      <sheetName val="Info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ob Cost"/>
      <sheetName val="Michael T."/>
      <sheetName val="COMPENSATION"/>
      <sheetName val="DAI Summary (CPFF)"/>
      <sheetName val="Salaries (CPFF)"/>
      <sheetName val="Fringe"/>
      <sheetName val="Overhead"/>
      <sheetName val="Gross Margin"/>
      <sheetName val="Profit Sum"/>
      <sheetName val="Labor Profit"/>
      <sheetName val="LOE Totals"/>
      <sheetName val="Sum By Yr"/>
      <sheetName val="Sum By Component"/>
      <sheetName val="Budget Comp 1"/>
      <sheetName val="Budget Comp 2 "/>
      <sheetName val="Budget Comp 3"/>
      <sheetName val="Budget Comp 4"/>
      <sheetName val="Budget Comp 5"/>
      <sheetName val="Est. Labor LOE by Comp."/>
      <sheetName val="ODCs"/>
      <sheetName val="Travel"/>
      <sheetName val="Allowances"/>
      <sheetName val="Training"/>
      <sheetName val="Equipment"/>
      <sheetName val="Severence Pay"/>
      <sheetName val="OTF Sum"/>
      <sheetName val="WRI Sum"/>
      <sheetName val="changes"/>
      <sheetName val="Changes2"/>
      <sheetName val="Assumptions"/>
      <sheetName val="Labor By Comp"/>
      <sheetName val="MOBIS Days"/>
      <sheetName val="Salaries"/>
      <sheetName val="TQSA Calc"/>
      <sheetName val="HH Exp Calc"/>
      <sheetName val="OTF Budget"/>
      <sheetName val="WRI Budget"/>
      <sheetName val="MOBIS Schedule"/>
      <sheetName val="Subcontracts"/>
      <sheetName val="IRM (old)"/>
      <sheetName val="IRM (dai)"/>
      <sheetName val="PACT (old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Code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. US Expat"/>
      <sheetName val="B. Local Hire and TCNs"/>
      <sheetName val="Travel"/>
      <sheetName val="Local Travel"/>
      <sheetName val="Allowances"/>
      <sheetName val="Admin  &amp; Support"/>
      <sheetName val="Computer Equipment"/>
      <sheetName val="Office"/>
      <sheetName val="ACCION"/>
      <sheetName val="OSU"/>
      <sheetName val="CEAL"/>
      <sheetName val="ICC"/>
      <sheetName val="IMCC"/>
      <sheetName val="Quisqueya"/>
      <sheetName val="MF Look-up Table"/>
      <sheetName val="Assumptions"/>
      <sheetName val=" Program Support Co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SF 1411"/>
      <sheetName val="Budget Summary by Cost Element"/>
      <sheetName val="LTTA and STTA Summary"/>
      <sheetName val="Summary Staffing Matrix"/>
      <sheetName val="5-Year Detailed Budget Estimate"/>
      <sheetName val="Rate Approval Request"/>
      <sheetName val="CCN Social Cost Estimate"/>
      <sheetName val="Travel Fares Analysis"/>
      <sheetName val="IRG Inflation &amp; Merit Factors"/>
      <sheetName val="IQC Labor categories"/>
      <sheetName val="Graph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"/>
      <sheetName val="SF424-A"/>
      <sheetName val="SUMMARY"/>
      <sheetName val="DETAIL"/>
    </sheetNames>
    <sheetDataSet>
      <sheetData sheetId="0"/>
      <sheetData sheetId="1"/>
      <sheetData sheetId="2"/>
      <sheetData sheetId="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F424A"/>
      <sheetName val="SF424"/>
      <sheetName val="SUMMARY"/>
      <sheetName val="DETAIL"/>
      <sheetName val="STTA LOE"/>
      <sheetName val="STTA_LOE"/>
      <sheetName val="STTA_LOE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D SUMMARY BUDGET"/>
      <sheetName val="AED DETAILED BUDGET"/>
      <sheetName val="AED EQUIPMENT SCHEDULE"/>
      <sheetName val="KEC"/>
      <sheetName val="AED_SUMMARY_BUDGET"/>
      <sheetName val="AED_DETAILED_BUDGET"/>
      <sheetName val="AED_EQUIPMENT_SCHEDULE"/>
      <sheetName val="AED_SUMMARY_BUDGET1"/>
      <sheetName val="AED_DETAILED_BUDGET1"/>
      <sheetName val="AED_EQUIPMENT_SCHEDULE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073EC-2A63-4767-A0AD-BE5EC0B78A25}">
  <sheetPr>
    <tabColor theme="6" tint="0.39997558519241921"/>
    <pageSetUpPr fitToPage="1"/>
  </sheetPr>
  <dimension ref="A2:AJ90"/>
  <sheetViews>
    <sheetView tabSelected="1" showOutlineSymbols="0" showWhiteSpace="0" zoomScale="70" zoomScaleNormal="70" workbookViewId="0">
      <pane xSplit="2" ySplit="11" topLeftCell="H78" activePane="bottomRight" state="frozen"/>
      <selection pane="topRight"/>
      <selection pane="bottomLeft"/>
      <selection pane="bottomRight" activeCell="W46" sqref="W46"/>
    </sheetView>
  </sheetViews>
  <sheetFormatPr defaultRowHeight="14.4" outlineLevelRow="1" outlineLevelCol="1" x14ac:dyDescent="0.55000000000000004"/>
  <cols>
    <col min="1" max="1" width="55.578125" style="1" customWidth="1"/>
    <col min="2" max="2" width="12.26171875" style="1" customWidth="1"/>
    <col min="3" max="3" width="26.68359375" style="2" bestFit="1" customWidth="1" outlineLevel="1"/>
    <col min="4" max="4" width="14.41796875" style="3" customWidth="1" outlineLevel="1"/>
    <col min="5" max="5" width="14.41796875" style="5" customWidth="1" outlineLevel="1"/>
    <col min="6" max="6" width="14.41796875" style="2" customWidth="1"/>
    <col min="7" max="7" width="14.41796875" style="2" customWidth="1" outlineLevel="1"/>
    <col min="8" max="8" width="14.41796875" style="3" customWidth="1" outlineLevel="1"/>
    <col min="9" max="9" width="14.41796875" style="4" customWidth="1" outlineLevel="1"/>
    <col min="10" max="10" width="14.41796875" style="2" customWidth="1"/>
    <col min="11" max="11" width="14.41796875" style="2" customWidth="1" outlineLevel="1"/>
    <col min="12" max="12" width="14.41796875" style="3" customWidth="1" outlineLevel="1"/>
    <col min="13" max="13" width="14.41796875" style="5" customWidth="1" outlineLevel="1"/>
    <col min="14" max="14" width="14.41796875" style="2" customWidth="1"/>
    <col min="15" max="15" width="14.41796875" style="2" customWidth="1" outlineLevel="1"/>
    <col min="16" max="16" width="14.41796875" style="3" customWidth="1" outlineLevel="1"/>
    <col min="17" max="17" width="14.41796875" style="5" customWidth="1" outlineLevel="1"/>
    <col min="18" max="18" width="15.26171875" style="2" customWidth="1"/>
    <col min="19" max="19" width="14.41796875" style="2" customWidth="1" outlineLevel="1"/>
    <col min="20" max="20" width="14.41796875" style="3" customWidth="1" outlineLevel="1"/>
    <col min="21" max="21" width="14.41796875" style="5" customWidth="1" outlineLevel="1"/>
    <col min="22" max="22" width="15.26171875" style="2" customWidth="1"/>
    <col min="23" max="23" width="16.578125" style="2" customWidth="1"/>
    <col min="24" max="24" width="8.578125" style="1" customWidth="1"/>
    <col min="25" max="25" width="8.26171875" style="1" customWidth="1"/>
    <col min="26" max="26" width="10.26171875" style="1" customWidth="1"/>
    <col min="27" max="27" width="8.26171875" style="1" customWidth="1"/>
    <col min="28" max="28" width="10.26171875" style="1" customWidth="1"/>
    <col min="29" max="29" width="4.578125" style="1" customWidth="1"/>
    <col min="30" max="30" width="4.578125" style="1" hidden="1" customWidth="1"/>
    <col min="31" max="31" width="6.578125" style="6" hidden="1" customWidth="1"/>
    <col min="32" max="32" width="18.26171875" style="1" hidden="1" customWidth="1"/>
    <col min="33" max="33" width="32.15625" style="1" hidden="1" customWidth="1"/>
    <col min="34" max="34" width="9.15625" style="1" hidden="1" customWidth="1"/>
    <col min="35" max="35" width="9.15625" style="1" customWidth="1"/>
    <col min="36" max="36" width="13.578125" style="1" customWidth="1"/>
    <col min="37" max="264" width="8.83984375" style="1"/>
    <col min="265" max="265" width="36.26171875" style="1" customWidth="1"/>
    <col min="266" max="266" width="22.15625" style="1" bestFit="1" customWidth="1"/>
    <col min="267" max="268" width="8.68359375" style="1" customWidth="1"/>
    <col min="269" max="269" width="10.68359375" style="1" bestFit="1" customWidth="1"/>
    <col min="270" max="270" width="13.68359375" style="1" bestFit="1" customWidth="1"/>
    <col min="271" max="271" width="7.68359375" style="1" customWidth="1"/>
    <col min="272" max="272" width="10.26171875" style="1" bestFit="1" customWidth="1"/>
    <col min="273" max="273" width="11.578125" style="1" bestFit="1" customWidth="1"/>
    <col min="274" max="274" width="8.68359375" style="1" customWidth="1"/>
    <col min="275" max="275" width="10.26171875" style="1" bestFit="1" customWidth="1"/>
    <col min="276" max="276" width="11.578125" style="1" bestFit="1" customWidth="1"/>
    <col min="277" max="277" width="7.578125" style="1" customWidth="1"/>
    <col min="278" max="278" width="10.26171875" style="1" bestFit="1" customWidth="1"/>
    <col min="279" max="279" width="11.578125" style="1" bestFit="1" customWidth="1"/>
    <col min="280" max="280" width="7.68359375" style="1" bestFit="1" customWidth="1"/>
    <col min="281" max="281" width="10.26171875" style="1" bestFit="1" customWidth="1"/>
    <col min="282" max="282" width="11.578125" style="1" bestFit="1" customWidth="1"/>
    <col min="283" max="283" width="17.26171875" style="1" bestFit="1" customWidth="1"/>
    <col min="284" max="284" width="10.26171875" style="1" bestFit="1" customWidth="1"/>
    <col min="285" max="520" width="8.83984375" style="1"/>
    <col min="521" max="521" width="36.26171875" style="1" customWidth="1"/>
    <col min="522" max="522" width="22.15625" style="1" bestFit="1" customWidth="1"/>
    <col min="523" max="524" width="8.68359375" style="1" customWidth="1"/>
    <col min="525" max="525" width="10.68359375" style="1" bestFit="1" customWidth="1"/>
    <col min="526" max="526" width="13.68359375" style="1" bestFit="1" customWidth="1"/>
    <col min="527" max="527" width="7.68359375" style="1" customWidth="1"/>
    <col min="528" max="528" width="10.26171875" style="1" bestFit="1" customWidth="1"/>
    <col min="529" max="529" width="11.578125" style="1" bestFit="1" customWidth="1"/>
    <col min="530" max="530" width="8.68359375" style="1" customWidth="1"/>
    <col min="531" max="531" width="10.26171875" style="1" bestFit="1" customWidth="1"/>
    <col min="532" max="532" width="11.578125" style="1" bestFit="1" customWidth="1"/>
    <col min="533" max="533" width="7.578125" style="1" customWidth="1"/>
    <col min="534" max="534" width="10.26171875" style="1" bestFit="1" customWidth="1"/>
    <col min="535" max="535" width="11.578125" style="1" bestFit="1" customWidth="1"/>
    <col min="536" max="536" width="7.68359375" style="1" bestFit="1" customWidth="1"/>
    <col min="537" max="537" width="10.26171875" style="1" bestFit="1" customWidth="1"/>
    <col min="538" max="538" width="11.578125" style="1" bestFit="1" customWidth="1"/>
    <col min="539" max="539" width="17.26171875" style="1" bestFit="1" customWidth="1"/>
    <col min="540" max="540" width="10.26171875" style="1" bestFit="1" customWidth="1"/>
    <col min="541" max="776" width="8.83984375" style="1"/>
    <col min="777" max="777" width="36.26171875" style="1" customWidth="1"/>
    <col min="778" max="778" width="22.15625" style="1" bestFit="1" customWidth="1"/>
    <col min="779" max="780" width="8.68359375" style="1" customWidth="1"/>
    <col min="781" max="781" width="10.68359375" style="1" bestFit="1" customWidth="1"/>
    <col min="782" max="782" width="13.68359375" style="1" bestFit="1" customWidth="1"/>
    <col min="783" max="783" width="7.68359375" style="1" customWidth="1"/>
    <col min="784" max="784" width="10.26171875" style="1" bestFit="1" customWidth="1"/>
    <col min="785" max="785" width="11.578125" style="1" bestFit="1" customWidth="1"/>
    <col min="786" max="786" width="8.68359375" style="1" customWidth="1"/>
    <col min="787" max="787" width="10.26171875" style="1" bestFit="1" customWidth="1"/>
    <col min="788" max="788" width="11.578125" style="1" bestFit="1" customWidth="1"/>
    <col min="789" max="789" width="7.578125" style="1" customWidth="1"/>
    <col min="790" max="790" width="10.26171875" style="1" bestFit="1" customWidth="1"/>
    <col min="791" max="791" width="11.578125" style="1" bestFit="1" customWidth="1"/>
    <col min="792" max="792" width="7.68359375" style="1" bestFit="1" customWidth="1"/>
    <col min="793" max="793" width="10.26171875" style="1" bestFit="1" customWidth="1"/>
    <col min="794" max="794" width="11.578125" style="1" bestFit="1" customWidth="1"/>
    <col min="795" max="795" width="17.26171875" style="1" bestFit="1" customWidth="1"/>
    <col min="796" max="796" width="10.26171875" style="1" bestFit="1" customWidth="1"/>
    <col min="797" max="1032" width="8.83984375" style="1"/>
    <col min="1033" max="1033" width="36.26171875" style="1" customWidth="1"/>
    <col min="1034" max="1034" width="22.15625" style="1" bestFit="1" customWidth="1"/>
    <col min="1035" max="1036" width="8.68359375" style="1" customWidth="1"/>
    <col min="1037" max="1037" width="10.68359375" style="1" bestFit="1" customWidth="1"/>
    <col min="1038" max="1038" width="13.68359375" style="1" bestFit="1" customWidth="1"/>
    <col min="1039" max="1039" width="7.68359375" style="1" customWidth="1"/>
    <col min="1040" max="1040" width="10.26171875" style="1" bestFit="1" customWidth="1"/>
    <col min="1041" max="1041" width="11.578125" style="1" bestFit="1" customWidth="1"/>
    <col min="1042" max="1042" width="8.68359375" style="1" customWidth="1"/>
    <col min="1043" max="1043" width="10.26171875" style="1" bestFit="1" customWidth="1"/>
    <col min="1044" max="1044" width="11.578125" style="1" bestFit="1" customWidth="1"/>
    <col min="1045" max="1045" width="7.578125" style="1" customWidth="1"/>
    <col min="1046" max="1046" width="10.26171875" style="1" bestFit="1" customWidth="1"/>
    <col min="1047" max="1047" width="11.578125" style="1" bestFit="1" customWidth="1"/>
    <col min="1048" max="1048" width="7.68359375" style="1" bestFit="1" customWidth="1"/>
    <col min="1049" max="1049" width="10.26171875" style="1" bestFit="1" customWidth="1"/>
    <col min="1050" max="1050" width="11.578125" style="1" bestFit="1" customWidth="1"/>
    <col min="1051" max="1051" width="17.26171875" style="1" bestFit="1" customWidth="1"/>
    <col min="1052" max="1052" width="10.26171875" style="1" bestFit="1" customWidth="1"/>
    <col min="1053" max="1288" width="8.83984375" style="1"/>
    <col min="1289" max="1289" width="36.26171875" style="1" customWidth="1"/>
    <col min="1290" max="1290" width="22.15625" style="1" bestFit="1" customWidth="1"/>
    <col min="1291" max="1292" width="8.68359375" style="1" customWidth="1"/>
    <col min="1293" max="1293" width="10.68359375" style="1" bestFit="1" customWidth="1"/>
    <col min="1294" max="1294" width="13.68359375" style="1" bestFit="1" customWidth="1"/>
    <col min="1295" max="1295" width="7.68359375" style="1" customWidth="1"/>
    <col min="1296" max="1296" width="10.26171875" style="1" bestFit="1" customWidth="1"/>
    <col min="1297" max="1297" width="11.578125" style="1" bestFit="1" customWidth="1"/>
    <col min="1298" max="1298" width="8.68359375" style="1" customWidth="1"/>
    <col min="1299" max="1299" width="10.26171875" style="1" bestFit="1" customWidth="1"/>
    <col min="1300" max="1300" width="11.578125" style="1" bestFit="1" customWidth="1"/>
    <col min="1301" max="1301" width="7.578125" style="1" customWidth="1"/>
    <col min="1302" max="1302" width="10.26171875" style="1" bestFit="1" customWidth="1"/>
    <col min="1303" max="1303" width="11.578125" style="1" bestFit="1" customWidth="1"/>
    <col min="1304" max="1304" width="7.68359375" style="1" bestFit="1" customWidth="1"/>
    <col min="1305" max="1305" width="10.26171875" style="1" bestFit="1" customWidth="1"/>
    <col min="1306" max="1306" width="11.578125" style="1" bestFit="1" customWidth="1"/>
    <col min="1307" max="1307" width="17.26171875" style="1" bestFit="1" customWidth="1"/>
    <col min="1308" max="1308" width="10.26171875" style="1" bestFit="1" customWidth="1"/>
    <col min="1309" max="1544" width="8.83984375" style="1"/>
    <col min="1545" max="1545" width="36.26171875" style="1" customWidth="1"/>
    <col min="1546" max="1546" width="22.15625" style="1" bestFit="1" customWidth="1"/>
    <col min="1547" max="1548" width="8.68359375" style="1" customWidth="1"/>
    <col min="1549" max="1549" width="10.68359375" style="1" bestFit="1" customWidth="1"/>
    <col min="1550" max="1550" width="13.68359375" style="1" bestFit="1" customWidth="1"/>
    <col min="1551" max="1551" width="7.68359375" style="1" customWidth="1"/>
    <col min="1552" max="1552" width="10.26171875" style="1" bestFit="1" customWidth="1"/>
    <col min="1553" max="1553" width="11.578125" style="1" bestFit="1" customWidth="1"/>
    <col min="1554" max="1554" width="8.68359375" style="1" customWidth="1"/>
    <col min="1555" max="1555" width="10.26171875" style="1" bestFit="1" customWidth="1"/>
    <col min="1556" max="1556" width="11.578125" style="1" bestFit="1" customWidth="1"/>
    <col min="1557" max="1557" width="7.578125" style="1" customWidth="1"/>
    <col min="1558" max="1558" width="10.26171875" style="1" bestFit="1" customWidth="1"/>
    <col min="1559" max="1559" width="11.578125" style="1" bestFit="1" customWidth="1"/>
    <col min="1560" max="1560" width="7.68359375" style="1" bestFit="1" customWidth="1"/>
    <col min="1561" max="1561" width="10.26171875" style="1" bestFit="1" customWidth="1"/>
    <col min="1562" max="1562" width="11.578125" style="1" bestFit="1" customWidth="1"/>
    <col min="1563" max="1563" width="17.26171875" style="1" bestFit="1" customWidth="1"/>
    <col min="1564" max="1564" width="10.26171875" style="1" bestFit="1" customWidth="1"/>
    <col min="1565" max="1800" width="8.83984375" style="1"/>
    <col min="1801" max="1801" width="36.26171875" style="1" customWidth="1"/>
    <col min="1802" max="1802" width="22.15625" style="1" bestFit="1" customWidth="1"/>
    <col min="1803" max="1804" width="8.68359375" style="1" customWidth="1"/>
    <col min="1805" max="1805" width="10.68359375" style="1" bestFit="1" customWidth="1"/>
    <col min="1806" max="1806" width="13.68359375" style="1" bestFit="1" customWidth="1"/>
    <col min="1807" max="1807" width="7.68359375" style="1" customWidth="1"/>
    <col min="1808" max="1808" width="10.26171875" style="1" bestFit="1" customWidth="1"/>
    <col min="1809" max="1809" width="11.578125" style="1" bestFit="1" customWidth="1"/>
    <col min="1810" max="1810" width="8.68359375" style="1" customWidth="1"/>
    <col min="1811" max="1811" width="10.26171875" style="1" bestFit="1" customWidth="1"/>
    <col min="1812" max="1812" width="11.578125" style="1" bestFit="1" customWidth="1"/>
    <col min="1813" max="1813" width="7.578125" style="1" customWidth="1"/>
    <col min="1814" max="1814" width="10.26171875" style="1" bestFit="1" customWidth="1"/>
    <col min="1815" max="1815" width="11.578125" style="1" bestFit="1" customWidth="1"/>
    <col min="1816" max="1816" width="7.68359375" style="1" bestFit="1" customWidth="1"/>
    <col min="1817" max="1817" width="10.26171875" style="1" bestFit="1" customWidth="1"/>
    <col min="1818" max="1818" width="11.578125" style="1" bestFit="1" customWidth="1"/>
    <col min="1819" max="1819" width="17.26171875" style="1" bestFit="1" customWidth="1"/>
    <col min="1820" max="1820" width="10.26171875" style="1" bestFit="1" customWidth="1"/>
    <col min="1821" max="2056" width="8.83984375" style="1"/>
    <col min="2057" max="2057" width="36.26171875" style="1" customWidth="1"/>
    <col min="2058" max="2058" width="22.15625" style="1" bestFit="1" customWidth="1"/>
    <col min="2059" max="2060" width="8.68359375" style="1" customWidth="1"/>
    <col min="2061" max="2061" width="10.68359375" style="1" bestFit="1" customWidth="1"/>
    <col min="2062" max="2062" width="13.68359375" style="1" bestFit="1" customWidth="1"/>
    <col min="2063" max="2063" width="7.68359375" style="1" customWidth="1"/>
    <col min="2064" max="2064" width="10.26171875" style="1" bestFit="1" customWidth="1"/>
    <col min="2065" max="2065" width="11.578125" style="1" bestFit="1" customWidth="1"/>
    <col min="2066" max="2066" width="8.68359375" style="1" customWidth="1"/>
    <col min="2067" max="2067" width="10.26171875" style="1" bestFit="1" customWidth="1"/>
    <col min="2068" max="2068" width="11.578125" style="1" bestFit="1" customWidth="1"/>
    <col min="2069" max="2069" width="7.578125" style="1" customWidth="1"/>
    <col min="2070" max="2070" width="10.26171875" style="1" bestFit="1" customWidth="1"/>
    <col min="2071" max="2071" width="11.578125" style="1" bestFit="1" customWidth="1"/>
    <col min="2072" max="2072" width="7.68359375" style="1" bestFit="1" customWidth="1"/>
    <col min="2073" max="2073" width="10.26171875" style="1" bestFit="1" customWidth="1"/>
    <col min="2074" max="2074" width="11.578125" style="1" bestFit="1" customWidth="1"/>
    <col min="2075" max="2075" width="17.26171875" style="1" bestFit="1" customWidth="1"/>
    <col min="2076" max="2076" width="10.26171875" style="1" bestFit="1" customWidth="1"/>
    <col min="2077" max="2312" width="8.83984375" style="1"/>
    <col min="2313" max="2313" width="36.26171875" style="1" customWidth="1"/>
    <col min="2314" max="2314" width="22.15625" style="1" bestFit="1" customWidth="1"/>
    <col min="2315" max="2316" width="8.68359375" style="1" customWidth="1"/>
    <col min="2317" max="2317" width="10.68359375" style="1" bestFit="1" customWidth="1"/>
    <col min="2318" max="2318" width="13.68359375" style="1" bestFit="1" customWidth="1"/>
    <col min="2319" max="2319" width="7.68359375" style="1" customWidth="1"/>
    <col min="2320" max="2320" width="10.26171875" style="1" bestFit="1" customWidth="1"/>
    <col min="2321" max="2321" width="11.578125" style="1" bestFit="1" customWidth="1"/>
    <col min="2322" max="2322" width="8.68359375" style="1" customWidth="1"/>
    <col min="2323" max="2323" width="10.26171875" style="1" bestFit="1" customWidth="1"/>
    <col min="2324" max="2324" width="11.578125" style="1" bestFit="1" customWidth="1"/>
    <col min="2325" max="2325" width="7.578125" style="1" customWidth="1"/>
    <col min="2326" max="2326" width="10.26171875" style="1" bestFit="1" customWidth="1"/>
    <col min="2327" max="2327" width="11.578125" style="1" bestFit="1" customWidth="1"/>
    <col min="2328" max="2328" width="7.68359375" style="1" bestFit="1" customWidth="1"/>
    <col min="2329" max="2329" width="10.26171875" style="1" bestFit="1" customWidth="1"/>
    <col min="2330" max="2330" width="11.578125" style="1" bestFit="1" customWidth="1"/>
    <col min="2331" max="2331" width="17.26171875" style="1" bestFit="1" customWidth="1"/>
    <col min="2332" max="2332" width="10.26171875" style="1" bestFit="1" customWidth="1"/>
    <col min="2333" max="2568" width="8.83984375" style="1"/>
    <col min="2569" max="2569" width="36.26171875" style="1" customWidth="1"/>
    <col min="2570" max="2570" width="22.15625" style="1" bestFit="1" customWidth="1"/>
    <col min="2571" max="2572" width="8.68359375" style="1" customWidth="1"/>
    <col min="2573" max="2573" width="10.68359375" style="1" bestFit="1" customWidth="1"/>
    <col min="2574" max="2574" width="13.68359375" style="1" bestFit="1" customWidth="1"/>
    <col min="2575" max="2575" width="7.68359375" style="1" customWidth="1"/>
    <col min="2576" max="2576" width="10.26171875" style="1" bestFit="1" customWidth="1"/>
    <col min="2577" max="2577" width="11.578125" style="1" bestFit="1" customWidth="1"/>
    <col min="2578" max="2578" width="8.68359375" style="1" customWidth="1"/>
    <col min="2579" max="2579" width="10.26171875" style="1" bestFit="1" customWidth="1"/>
    <col min="2580" max="2580" width="11.578125" style="1" bestFit="1" customWidth="1"/>
    <col min="2581" max="2581" width="7.578125" style="1" customWidth="1"/>
    <col min="2582" max="2582" width="10.26171875" style="1" bestFit="1" customWidth="1"/>
    <col min="2583" max="2583" width="11.578125" style="1" bestFit="1" customWidth="1"/>
    <col min="2584" max="2584" width="7.68359375" style="1" bestFit="1" customWidth="1"/>
    <col min="2585" max="2585" width="10.26171875" style="1" bestFit="1" customWidth="1"/>
    <col min="2586" max="2586" width="11.578125" style="1" bestFit="1" customWidth="1"/>
    <col min="2587" max="2587" width="17.26171875" style="1" bestFit="1" customWidth="1"/>
    <col min="2588" max="2588" width="10.26171875" style="1" bestFit="1" customWidth="1"/>
    <col min="2589" max="2824" width="8.83984375" style="1"/>
    <col min="2825" max="2825" width="36.26171875" style="1" customWidth="1"/>
    <col min="2826" max="2826" width="22.15625" style="1" bestFit="1" customWidth="1"/>
    <col min="2827" max="2828" width="8.68359375" style="1" customWidth="1"/>
    <col min="2829" max="2829" width="10.68359375" style="1" bestFit="1" customWidth="1"/>
    <col min="2830" max="2830" width="13.68359375" style="1" bestFit="1" customWidth="1"/>
    <col min="2831" max="2831" width="7.68359375" style="1" customWidth="1"/>
    <col min="2832" max="2832" width="10.26171875" style="1" bestFit="1" customWidth="1"/>
    <col min="2833" max="2833" width="11.578125" style="1" bestFit="1" customWidth="1"/>
    <col min="2834" max="2834" width="8.68359375" style="1" customWidth="1"/>
    <col min="2835" max="2835" width="10.26171875" style="1" bestFit="1" customWidth="1"/>
    <col min="2836" max="2836" width="11.578125" style="1" bestFit="1" customWidth="1"/>
    <col min="2837" max="2837" width="7.578125" style="1" customWidth="1"/>
    <col min="2838" max="2838" width="10.26171875" style="1" bestFit="1" customWidth="1"/>
    <col min="2839" max="2839" width="11.578125" style="1" bestFit="1" customWidth="1"/>
    <col min="2840" max="2840" width="7.68359375" style="1" bestFit="1" customWidth="1"/>
    <col min="2841" max="2841" width="10.26171875" style="1" bestFit="1" customWidth="1"/>
    <col min="2842" max="2842" width="11.578125" style="1" bestFit="1" customWidth="1"/>
    <col min="2843" max="2843" width="17.26171875" style="1" bestFit="1" customWidth="1"/>
    <col min="2844" max="2844" width="10.26171875" style="1" bestFit="1" customWidth="1"/>
    <col min="2845" max="3080" width="8.83984375" style="1"/>
    <col min="3081" max="3081" width="36.26171875" style="1" customWidth="1"/>
    <col min="3082" max="3082" width="22.15625" style="1" bestFit="1" customWidth="1"/>
    <col min="3083" max="3084" width="8.68359375" style="1" customWidth="1"/>
    <col min="3085" max="3085" width="10.68359375" style="1" bestFit="1" customWidth="1"/>
    <col min="3086" max="3086" width="13.68359375" style="1" bestFit="1" customWidth="1"/>
    <col min="3087" max="3087" width="7.68359375" style="1" customWidth="1"/>
    <col min="3088" max="3088" width="10.26171875" style="1" bestFit="1" customWidth="1"/>
    <col min="3089" max="3089" width="11.578125" style="1" bestFit="1" customWidth="1"/>
    <col min="3090" max="3090" width="8.68359375" style="1" customWidth="1"/>
    <col min="3091" max="3091" width="10.26171875" style="1" bestFit="1" customWidth="1"/>
    <col min="3092" max="3092" width="11.578125" style="1" bestFit="1" customWidth="1"/>
    <col min="3093" max="3093" width="7.578125" style="1" customWidth="1"/>
    <col min="3094" max="3094" width="10.26171875" style="1" bestFit="1" customWidth="1"/>
    <col min="3095" max="3095" width="11.578125" style="1" bestFit="1" customWidth="1"/>
    <col min="3096" max="3096" width="7.68359375" style="1" bestFit="1" customWidth="1"/>
    <col min="3097" max="3097" width="10.26171875" style="1" bestFit="1" customWidth="1"/>
    <col min="3098" max="3098" width="11.578125" style="1" bestFit="1" customWidth="1"/>
    <col min="3099" max="3099" width="17.26171875" style="1" bestFit="1" customWidth="1"/>
    <col min="3100" max="3100" width="10.26171875" style="1" bestFit="1" customWidth="1"/>
    <col min="3101" max="3336" width="8.83984375" style="1"/>
    <col min="3337" max="3337" width="36.26171875" style="1" customWidth="1"/>
    <col min="3338" max="3338" width="22.15625" style="1" bestFit="1" customWidth="1"/>
    <col min="3339" max="3340" width="8.68359375" style="1" customWidth="1"/>
    <col min="3341" max="3341" width="10.68359375" style="1" bestFit="1" customWidth="1"/>
    <col min="3342" max="3342" width="13.68359375" style="1" bestFit="1" customWidth="1"/>
    <col min="3343" max="3343" width="7.68359375" style="1" customWidth="1"/>
    <col min="3344" max="3344" width="10.26171875" style="1" bestFit="1" customWidth="1"/>
    <col min="3345" max="3345" width="11.578125" style="1" bestFit="1" customWidth="1"/>
    <col min="3346" max="3346" width="8.68359375" style="1" customWidth="1"/>
    <col min="3347" max="3347" width="10.26171875" style="1" bestFit="1" customWidth="1"/>
    <col min="3348" max="3348" width="11.578125" style="1" bestFit="1" customWidth="1"/>
    <col min="3349" max="3349" width="7.578125" style="1" customWidth="1"/>
    <col min="3350" max="3350" width="10.26171875" style="1" bestFit="1" customWidth="1"/>
    <col min="3351" max="3351" width="11.578125" style="1" bestFit="1" customWidth="1"/>
    <col min="3352" max="3352" width="7.68359375" style="1" bestFit="1" customWidth="1"/>
    <col min="3353" max="3353" width="10.26171875" style="1" bestFit="1" customWidth="1"/>
    <col min="3354" max="3354" width="11.578125" style="1" bestFit="1" customWidth="1"/>
    <col min="3355" max="3355" width="17.26171875" style="1" bestFit="1" customWidth="1"/>
    <col min="3356" max="3356" width="10.26171875" style="1" bestFit="1" customWidth="1"/>
    <col min="3357" max="3592" width="8.83984375" style="1"/>
    <col min="3593" max="3593" width="36.26171875" style="1" customWidth="1"/>
    <col min="3594" max="3594" width="22.15625" style="1" bestFit="1" customWidth="1"/>
    <col min="3595" max="3596" width="8.68359375" style="1" customWidth="1"/>
    <col min="3597" max="3597" width="10.68359375" style="1" bestFit="1" customWidth="1"/>
    <col min="3598" max="3598" width="13.68359375" style="1" bestFit="1" customWidth="1"/>
    <col min="3599" max="3599" width="7.68359375" style="1" customWidth="1"/>
    <col min="3600" max="3600" width="10.26171875" style="1" bestFit="1" customWidth="1"/>
    <col min="3601" max="3601" width="11.578125" style="1" bestFit="1" customWidth="1"/>
    <col min="3602" max="3602" width="8.68359375" style="1" customWidth="1"/>
    <col min="3603" max="3603" width="10.26171875" style="1" bestFit="1" customWidth="1"/>
    <col min="3604" max="3604" width="11.578125" style="1" bestFit="1" customWidth="1"/>
    <col min="3605" max="3605" width="7.578125" style="1" customWidth="1"/>
    <col min="3606" max="3606" width="10.26171875" style="1" bestFit="1" customWidth="1"/>
    <col min="3607" max="3607" width="11.578125" style="1" bestFit="1" customWidth="1"/>
    <col min="3608" max="3608" width="7.68359375" style="1" bestFit="1" customWidth="1"/>
    <col min="3609" max="3609" width="10.26171875" style="1" bestFit="1" customWidth="1"/>
    <col min="3610" max="3610" width="11.578125" style="1" bestFit="1" customWidth="1"/>
    <col min="3611" max="3611" width="17.26171875" style="1" bestFit="1" customWidth="1"/>
    <col min="3612" max="3612" width="10.26171875" style="1" bestFit="1" customWidth="1"/>
    <col min="3613" max="3848" width="8.83984375" style="1"/>
    <col min="3849" max="3849" width="36.26171875" style="1" customWidth="1"/>
    <col min="3850" max="3850" width="22.15625" style="1" bestFit="1" customWidth="1"/>
    <col min="3851" max="3852" width="8.68359375" style="1" customWidth="1"/>
    <col min="3853" max="3853" width="10.68359375" style="1" bestFit="1" customWidth="1"/>
    <col min="3854" max="3854" width="13.68359375" style="1" bestFit="1" customWidth="1"/>
    <col min="3855" max="3855" width="7.68359375" style="1" customWidth="1"/>
    <col min="3856" max="3856" width="10.26171875" style="1" bestFit="1" customWidth="1"/>
    <col min="3857" max="3857" width="11.578125" style="1" bestFit="1" customWidth="1"/>
    <col min="3858" max="3858" width="8.68359375" style="1" customWidth="1"/>
    <col min="3859" max="3859" width="10.26171875" style="1" bestFit="1" customWidth="1"/>
    <col min="3860" max="3860" width="11.578125" style="1" bestFit="1" customWidth="1"/>
    <col min="3861" max="3861" width="7.578125" style="1" customWidth="1"/>
    <col min="3862" max="3862" width="10.26171875" style="1" bestFit="1" customWidth="1"/>
    <col min="3863" max="3863" width="11.578125" style="1" bestFit="1" customWidth="1"/>
    <col min="3864" max="3864" width="7.68359375" style="1" bestFit="1" customWidth="1"/>
    <col min="3865" max="3865" width="10.26171875" style="1" bestFit="1" customWidth="1"/>
    <col min="3866" max="3866" width="11.578125" style="1" bestFit="1" customWidth="1"/>
    <col min="3867" max="3867" width="17.26171875" style="1" bestFit="1" customWidth="1"/>
    <col min="3868" max="3868" width="10.26171875" style="1" bestFit="1" customWidth="1"/>
    <col min="3869" max="4104" width="8.83984375" style="1"/>
    <col min="4105" max="4105" width="36.26171875" style="1" customWidth="1"/>
    <col min="4106" max="4106" width="22.15625" style="1" bestFit="1" customWidth="1"/>
    <col min="4107" max="4108" width="8.68359375" style="1" customWidth="1"/>
    <col min="4109" max="4109" width="10.68359375" style="1" bestFit="1" customWidth="1"/>
    <col min="4110" max="4110" width="13.68359375" style="1" bestFit="1" customWidth="1"/>
    <col min="4111" max="4111" width="7.68359375" style="1" customWidth="1"/>
    <col min="4112" max="4112" width="10.26171875" style="1" bestFit="1" customWidth="1"/>
    <col min="4113" max="4113" width="11.578125" style="1" bestFit="1" customWidth="1"/>
    <col min="4114" max="4114" width="8.68359375" style="1" customWidth="1"/>
    <col min="4115" max="4115" width="10.26171875" style="1" bestFit="1" customWidth="1"/>
    <col min="4116" max="4116" width="11.578125" style="1" bestFit="1" customWidth="1"/>
    <col min="4117" max="4117" width="7.578125" style="1" customWidth="1"/>
    <col min="4118" max="4118" width="10.26171875" style="1" bestFit="1" customWidth="1"/>
    <col min="4119" max="4119" width="11.578125" style="1" bestFit="1" customWidth="1"/>
    <col min="4120" max="4120" width="7.68359375" style="1" bestFit="1" customWidth="1"/>
    <col min="4121" max="4121" width="10.26171875" style="1" bestFit="1" customWidth="1"/>
    <col min="4122" max="4122" width="11.578125" style="1" bestFit="1" customWidth="1"/>
    <col min="4123" max="4123" width="17.26171875" style="1" bestFit="1" customWidth="1"/>
    <col min="4124" max="4124" width="10.26171875" style="1" bestFit="1" customWidth="1"/>
    <col min="4125" max="4360" width="8.83984375" style="1"/>
    <col min="4361" max="4361" width="36.26171875" style="1" customWidth="1"/>
    <col min="4362" max="4362" width="22.15625" style="1" bestFit="1" customWidth="1"/>
    <col min="4363" max="4364" width="8.68359375" style="1" customWidth="1"/>
    <col min="4365" max="4365" width="10.68359375" style="1" bestFit="1" customWidth="1"/>
    <col min="4366" max="4366" width="13.68359375" style="1" bestFit="1" customWidth="1"/>
    <col min="4367" max="4367" width="7.68359375" style="1" customWidth="1"/>
    <col min="4368" max="4368" width="10.26171875" style="1" bestFit="1" customWidth="1"/>
    <col min="4369" max="4369" width="11.578125" style="1" bestFit="1" customWidth="1"/>
    <col min="4370" max="4370" width="8.68359375" style="1" customWidth="1"/>
    <col min="4371" max="4371" width="10.26171875" style="1" bestFit="1" customWidth="1"/>
    <col min="4372" max="4372" width="11.578125" style="1" bestFit="1" customWidth="1"/>
    <col min="4373" max="4373" width="7.578125" style="1" customWidth="1"/>
    <col min="4374" max="4374" width="10.26171875" style="1" bestFit="1" customWidth="1"/>
    <col min="4375" max="4375" width="11.578125" style="1" bestFit="1" customWidth="1"/>
    <col min="4376" max="4376" width="7.68359375" style="1" bestFit="1" customWidth="1"/>
    <col min="4377" max="4377" width="10.26171875" style="1" bestFit="1" customWidth="1"/>
    <col min="4378" max="4378" width="11.578125" style="1" bestFit="1" customWidth="1"/>
    <col min="4379" max="4379" width="17.26171875" style="1" bestFit="1" customWidth="1"/>
    <col min="4380" max="4380" width="10.26171875" style="1" bestFit="1" customWidth="1"/>
    <col min="4381" max="4616" width="8.83984375" style="1"/>
    <col min="4617" max="4617" width="36.26171875" style="1" customWidth="1"/>
    <col min="4618" max="4618" width="22.15625" style="1" bestFit="1" customWidth="1"/>
    <col min="4619" max="4620" width="8.68359375" style="1" customWidth="1"/>
    <col min="4621" max="4621" width="10.68359375" style="1" bestFit="1" customWidth="1"/>
    <col min="4622" max="4622" width="13.68359375" style="1" bestFit="1" customWidth="1"/>
    <col min="4623" max="4623" width="7.68359375" style="1" customWidth="1"/>
    <col min="4624" max="4624" width="10.26171875" style="1" bestFit="1" customWidth="1"/>
    <col min="4625" max="4625" width="11.578125" style="1" bestFit="1" customWidth="1"/>
    <col min="4626" max="4626" width="8.68359375" style="1" customWidth="1"/>
    <col min="4627" max="4627" width="10.26171875" style="1" bestFit="1" customWidth="1"/>
    <col min="4628" max="4628" width="11.578125" style="1" bestFit="1" customWidth="1"/>
    <col min="4629" max="4629" width="7.578125" style="1" customWidth="1"/>
    <col min="4630" max="4630" width="10.26171875" style="1" bestFit="1" customWidth="1"/>
    <col min="4631" max="4631" width="11.578125" style="1" bestFit="1" customWidth="1"/>
    <col min="4632" max="4632" width="7.68359375" style="1" bestFit="1" customWidth="1"/>
    <col min="4633" max="4633" width="10.26171875" style="1" bestFit="1" customWidth="1"/>
    <col min="4634" max="4634" width="11.578125" style="1" bestFit="1" customWidth="1"/>
    <col min="4635" max="4635" width="17.26171875" style="1" bestFit="1" customWidth="1"/>
    <col min="4636" max="4636" width="10.26171875" style="1" bestFit="1" customWidth="1"/>
    <col min="4637" max="4872" width="8.83984375" style="1"/>
    <col min="4873" max="4873" width="36.26171875" style="1" customWidth="1"/>
    <col min="4874" max="4874" width="22.15625" style="1" bestFit="1" customWidth="1"/>
    <col min="4875" max="4876" width="8.68359375" style="1" customWidth="1"/>
    <col min="4877" max="4877" width="10.68359375" style="1" bestFit="1" customWidth="1"/>
    <col min="4878" max="4878" width="13.68359375" style="1" bestFit="1" customWidth="1"/>
    <col min="4879" max="4879" width="7.68359375" style="1" customWidth="1"/>
    <col min="4880" max="4880" width="10.26171875" style="1" bestFit="1" customWidth="1"/>
    <col min="4881" max="4881" width="11.578125" style="1" bestFit="1" customWidth="1"/>
    <col min="4882" max="4882" width="8.68359375" style="1" customWidth="1"/>
    <col min="4883" max="4883" width="10.26171875" style="1" bestFit="1" customWidth="1"/>
    <col min="4884" max="4884" width="11.578125" style="1" bestFit="1" customWidth="1"/>
    <col min="4885" max="4885" width="7.578125" style="1" customWidth="1"/>
    <col min="4886" max="4886" width="10.26171875" style="1" bestFit="1" customWidth="1"/>
    <col min="4887" max="4887" width="11.578125" style="1" bestFit="1" customWidth="1"/>
    <col min="4888" max="4888" width="7.68359375" style="1" bestFit="1" customWidth="1"/>
    <col min="4889" max="4889" width="10.26171875" style="1" bestFit="1" customWidth="1"/>
    <col min="4890" max="4890" width="11.578125" style="1" bestFit="1" customWidth="1"/>
    <col min="4891" max="4891" width="17.26171875" style="1" bestFit="1" customWidth="1"/>
    <col min="4892" max="4892" width="10.26171875" style="1" bestFit="1" customWidth="1"/>
    <col min="4893" max="5128" width="8.83984375" style="1"/>
    <col min="5129" max="5129" width="36.26171875" style="1" customWidth="1"/>
    <col min="5130" max="5130" width="22.15625" style="1" bestFit="1" customWidth="1"/>
    <col min="5131" max="5132" width="8.68359375" style="1" customWidth="1"/>
    <col min="5133" max="5133" width="10.68359375" style="1" bestFit="1" customWidth="1"/>
    <col min="5134" max="5134" width="13.68359375" style="1" bestFit="1" customWidth="1"/>
    <col min="5135" max="5135" width="7.68359375" style="1" customWidth="1"/>
    <col min="5136" max="5136" width="10.26171875" style="1" bestFit="1" customWidth="1"/>
    <col min="5137" max="5137" width="11.578125" style="1" bestFit="1" customWidth="1"/>
    <col min="5138" max="5138" width="8.68359375" style="1" customWidth="1"/>
    <col min="5139" max="5139" width="10.26171875" style="1" bestFit="1" customWidth="1"/>
    <col min="5140" max="5140" width="11.578125" style="1" bestFit="1" customWidth="1"/>
    <col min="5141" max="5141" width="7.578125" style="1" customWidth="1"/>
    <col min="5142" max="5142" width="10.26171875" style="1" bestFit="1" customWidth="1"/>
    <col min="5143" max="5143" width="11.578125" style="1" bestFit="1" customWidth="1"/>
    <col min="5144" max="5144" width="7.68359375" style="1" bestFit="1" customWidth="1"/>
    <col min="5145" max="5145" width="10.26171875" style="1" bestFit="1" customWidth="1"/>
    <col min="5146" max="5146" width="11.578125" style="1" bestFit="1" customWidth="1"/>
    <col min="5147" max="5147" width="17.26171875" style="1" bestFit="1" customWidth="1"/>
    <col min="5148" max="5148" width="10.26171875" style="1" bestFit="1" customWidth="1"/>
    <col min="5149" max="5384" width="8.83984375" style="1"/>
    <col min="5385" max="5385" width="36.26171875" style="1" customWidth="1"/>
    <col min="5386" max="5386" width="22.15625" style="1" bestFit="1" customWidth="1"/>
    <col min="5387" max="5388" width="8.68359375" style="1" customWidth="1"/>
    <col min="5389" max="5389" width="10.68359375" style="1" bestFit="1" customWidth="1"/>
    <col min="5390" max="5390" width="13.68359375" style="1" bestFit="1" customWidth="1"/>
    <col min="5391" max="5391" width="7.68359375" style="1" customWidth="1"/>
    <col min="5392" max="5392" width="10.26171875" style="1" bestFit="1" customWidth="1"/>
    <col min="5393" max="5393" width="11.578125" style="1" bestFit="1" customWidth="1"/>
    <col min="5394" max="5394" width="8.68359375" style="1" customWidth="1"/>
    <col min="5395" max="5395" width="10.26171875" style="1" bestFit="1" customWidth="1"/>
    <col min="5396" max="5396" width="11.578125" style="1" bestFit="1" customWidth="1"/>
    <col min="5397" max="5397" width="7.578125" style="1" customWidth="1"/>
    <col min="5398" max="5398" width="10.26171875" style="1" bestFit="1" customWidth="1"/>
    <col min="5399" max="5399" width="11.578125" style="1" bestFit="1" customWidth="1"/>
    <col min="5400" max="5400" width="7.68359375" style="1" bestFit="1" customWidth="1"/>
    <col min="5401" max="5401" width="10.26171875" style="1" bestFit="1" customWidth="1"/>
    <col min="5402" max="5402" width="11.578125" style="1" bestFit="1" customWidth="1"/>
    <col min="5403" max="5403" width="17.26171875" style="1" bestFit="1" customWidth="1"/>
    <col min="5404" max="5404" width="10.26171875" style="1" bestFit="1" customWidth="1"/>
    <col min="5405" max="5640" width="8.83984375" style="1"/>
    <col min="5641" max="5641" width="36.26171875" style="1" customWidth="1"/>
    <col min="5642" max="5642" width="22.15625" style="1" bestFit="1" customWidth="1"/>
    <col min="5643" max="5644" width="8.68359375" style="1" customWidth="1"/>
    <col min="5645" max="5645" width="10.68359375" style="1" bestFit="1" customWidth="1"/>
    <col min="5646" max="5646" width="13.68359375" style="1" bestFit="1" customWidth="1"/>
    <col min="5647" max="5647" width="7.68359375" style="1" customWidth="1"/>
    <col min="5648" max="5648" width="10.26171875" style="1" bestFit="1" customWidth="1"/>
    <col min="5649" max="5649" width="11.578125" style="1" bestFit="1" customWidth="1"/>
    <col min="5650" max="5650" width="8.68359375" style="1" customWidth="1"/>
    <col min="5651" max="5651" width="10.26171875" style="1" bestFit="1" customWidth="1"/>
    <col min="5652" max="5652" width="11.578125" style="1" bestFit="1" customWidth="1"/>
    <col min="5653" max="5653" width="7.578125" style="1" customWidth="1"/>
    <col min="5654" max="5654" width="10.26171875" style="1" bestFit="1" customWidth="1"/>
    <col min="5655" max="5655" width="11.578125" style="1" bestFit="1" customWidth="1"/>
    <col min="5656" max="5656" width="7.68359375" style="1" bestFit="1" customWidth="1"/>
    <col min="5657" max="5657" width="10.26171875" style="1" bestFit="1" customWidth="1"/>
    <col min="5658" max="5658" width="11.578125" style="1" bestFit="1" customWidth="1"/>
    <col min="5659" max="5659" width="17.26171875" style="1" bestFit="1" customWidth="1"/>
    <col min="5660" max="5660" width="10.26171875" style="1" bestFit="1" customWidth="1"/>
    <col min="5661" max="5896" width="8.83984375" style="1"/>
    <col min="5897" max="5897" width="36.26171875" style="1" customWidth="1"/>
    <col min="5898" max="5898" width="22.15625" style="1" bestFit="1" customWidth="1"/>
    <col min="5899" max="5900" width="8.68359375" style="1" customWidth="1"/>
    <col min="5901" max="5901" width="10.68359375" style="1" bestFit="1" customWidth="1"/>
    <col min="5902" max="5902" width="13.68359375" style="1" bestFit="1" customWidth="1"/>
    <col min="5903" max="5903" width="7.68359375" style="1" customWidth="1"/>
    <col min="5904" max="5904" width="10.26171875" style="1" bestFit="1" customWidth="1"/>
    <col min="5905" max="5905" width="11.578125" style="1" bestFit="1" customWidth="1"/>
    <col min="5906" max="5906" width="8.68359375" style="1" customWidth="1"/>
    <col min="5907" max="5907" width="10.26171875" style="1" bestFit="1" customWidth="1"/>
    <col min="5908" max="5908" width="11.578125" style="1" bestFit="1" customWidth="1"/>
    <col min="5909" max="5909" width="7.578125" style="1" customWidth="1"/>
    <col min="5910" max="5910" width="10.26171875" style="1" bestFit="1" customWidth="1"/>
    <col min="5911" max="5911" width="11.578125" style="1" bestFit="1" customWidth="1"/>
    <col min="5912" max="5912" width="7.68359375" style="1" bestFit="1" customWidth="1"/>
    <col min="5913" max="5913" width="10.26171875" style="1" bestFit="1" customWidth="1"/>
    <col min="5914" max="5914" width="11.578125" style="1" bestFit="1" customWidth="1"/>
    <col min="5915" max="5915" width="17.26171875" style="1" bestFit="1" customWidth="1"/>
    <col min="5916" max="5916" width="10.26171875" style="1" bestFit="1" customWidth="1"/>
    <col min="5917" max="6152" width="8.83984375" style="1"/>
    <col min="6153" max="6153" width="36.26171875" style="1" customWidth="1"/>
    <col min="6154" max="6154" width="22.15625" style="1" bestFit="1" customWidth="1"/>
    <col min="6155" max="6156" width="8.68359375" style="1" customWidth="1"/>
    <col min="6157" max="6157" width="10.68359375" style="1" bestFit="1" customWidth="1"/>
    <col min="6158" max="6158" width="13.68359375" style="1" bestFit="1" customWidth="1"/>
    <col min="6159" max="6159" width="7.68359375" style="1" customWidth="1"/>
    <col min="6160" max="6160" width="10.26171875" style="1" bestFit="1" customWidth="1"/>
    <col min="6161" max="6161" width="11.578125" style="1" bestFit="1" customWidth="1"/>
    <col min="6162" max="6162" width="8.68359375" style="1" customWidth="1"/>
    <col min="6163" max="6163" width="10.26171875" style="1" bestFit="1" customWidth="1"/>
    <col min="6164" max="6164" width="11.578125" style="1" bestFit="1" customWidth="1"/>
    <col min="6165" max="6165" width="7.578125" style="1" customWidth="1"/>
    <col min="6166" max="6166" width="10.26171875" style="1" bestFit="1" customWidth="1"/>
    <col min="6167" max="6167" width="11.578125" style="1" bestFit="1" customWidth="1"/>
    <col min="6168" max="6168" width="7.68359375" style="1" bestFit="1" customWidth="1"/>
    <col min="6169" max="6169" width="10.26171875" style="1" bestFit="1" customWidth="1"/>
    <col min="6170" max="6170" width="11.578125" style="1" bestFit="1" customWidth="1"/>
    <col min="6171" max="6171" width="17.26171875" style="1" bestFit="1" customWidth="1"/>
    <col min="6172" max="6172" width="10.26171875" style="1" bestFit="1" customWidth="1"/>
    <col min="6173" max="6408" width="8.83984375" style="1"/>
    <col min="6409" max="6409" width="36.26171875" style="1" customWidth="1"/>
    <col min="6410" max="6410" width="22.15625" style="1" bestFit="1" customWidth="1"/>
    <col min="6411" max="6412" width="8.68359375" style="1" customWidth="1"/>
    <col min="6413" max="6413" width="10.68359375" style="1" bestFit="1" customWidth="1"/>
    <col min="6414" max="6414" width="13.68359375" style="1" bestFit="1" customWidth="1"/>
    <col min="6415" max="6415" width="7.68359375" style="1" customWidth="1"/>
    <col min="6416" max="6416" width="10.26171875" style="1" bestFit="1" customWidth="1"/>
    <col min="6417" max="6417" width="11.578125" style="1" bestFit="1" customWidth="1"/>
    <col min="6418" max="6418" width="8.68359375" style="1" customWidth="1"/>
    <col min="6419" max="6419" width="10.26171875" style="1" bestFit="1" customWidth="1"/>
    <col min="6420" max="6420" width="11.578125" style="1" bestFit="1" customWidth="1"/>
    <col min="6421" max="6421" width="7.578125" style="1" customWidth="1"/>
    <col min="6422" max="6422" width="10.26171875" style="1" bestFit="1" customWidth="1"/>
    <col min="6423" max="6423" width="11.578125" style="1" bestFit="1" customWidth="1"/>
    <col min="6424" max="6424" width="7.68359375" style="1" bestFit="1" customWidth="1"/>
    <col min="6425" max="6425" width="10.26171875" style="1" bestFit="1" customWidth="1"/>
    <col min="6426" max="6426" width="11.578125" style="1" bestFit="1" customWidth="1"/>
    <col min="6427" max="6427" width="17.26171875" style="1" bestFit="1" customWidth="1"/>
    <col min="6428" max="6428" width="10.26171875" style="1" bestFit="1" customWidth="1"/>
    <col min="6429" max="6664" width="8.83984375" style="1"/>
    <col min="6665" max="6665" width="36.26171875" style="1" customWidth="1"/>
    <col min="6666" max="6666" width="22.15625" style="1" bestFit="1" customWidth="1"/>
    <col min="6667" max="6668" width="8.68359375" style="1" customWidth="1"/>
    <col min="6669" max="6669" width="10.68359375" style="1" bestFit="1" customWidth="1"/>
    <col min="6670" max="6670" width="13.68359375" style="1" bestFit="1" customWidth="1"/>
    <col min="6671" max="6671" width="7.68359375" style="1" customWidth="1"/>
    <col min="6672" max="6672" width="10.26171875" style="1" bestFit="1" customWidth="1"/>
    <col min="6673" max="6673" width="11.578125" style="1" bestFit="1" customWidth="1"/>
    <col min="6674" max="6674" width="8.68359375" style="1" customWidth="1"/>
    <col min="6675" max="6675" width="10.26171875" style="1" bestFit="1" customWidth="1"/>
    <col min="6676" max="6676" width="11.578125" style="1" bestFit="1" customWidth="1"/>
    <col min="6677" max="6677" width="7.578125" style="1" customWidth="1"/>
    <col min="6678" max="6678" width="10.26171875" style="1" bestFit="1" customWidth="1"/>
    <col min="6679" max="6679" width="11.578125" style="1" bestFit="1" customWidth="1"/>
    <col min="6680" max="6680" width="7.68359375" style="1" bestFit="1" customWidth="1"/>
    <col min="6681" max="6681" width="10.26171875" style="1" bestFit="1" customWidth="1"/>
    <col min="6682" max="6682" width="11.578125" style="1" bestFit="1" customWidth="1"/>
    <col min="6683" max="6683" width="17.26171875" style="1" bestFit="1" customWidth="1"/>
    <col min="6684" max="6684" width="10.26171875" style="1" bestFit="1" customWidth="1"/>
    <col min="6685" max="6920" width="8.83984375" style="1"/>
    <col min="6921" max="6921" width="36.26171875" style="1" customWidth="1"/>
    <col min="6922" max="6922" width="22.15625" style="1" bestFit="1" customWidth="1"/>
    <col min="6923" max="6924" width="8.68359375" style="1" customWidth="1"/>
    <col min="6925" max="6925" width="10.68359375" style="1" bestFit="1" customWidth="1"/>
    <col min="6926" max="6926" width="13.68359375" style="1" bestFit="1" customWidth="1"/>
    <col min="6927" max="6927" width="7.68359375" style="1" customWidth="1"/>
    <col min="6928" max="6928" width="10.26171875" style="1" bestFit="1" customWidth="1"/>
    <col min="6929" max="6929" width="11.578125" style="1" bestFit="1" customWidth="1"/>
    <col min="6930" max="6930" width="8.68359375" style="1" customWidth="1"/>
    <col min="6931" max="6931" width="10.26171875" style="1" bestFit="1" customWidth="1"/>
    <col min="6932" max="6932" width="11.578125" style="1" bestFit="1" customWidth="1"/>
    <col min="6933" max="6933" width="7.578125" style="1" customWidth="1"/>
    <col min="6934" max="6934" width="10.26171875" style="1" bestFit="1" customWidth="1"/>
    <col min="6935" max="6935" width="11.578125" style="1" bestFit="1" customWidth="1"/>
    <col min="6936" max="6936" width="7.68359375" style="1" bestFit="1" customWidth="1"/>
    <col min="6937" max="6937" width="10.26171875" style="1" bestFit="1" customWidth="1"/>
    <col min="6938" max="6938" width="11.578125" style="1" bestFit="1" customWidth="1"/>
    <col min="6939" max="6939" width="17.26171875" style="1" bestFit="1" customWidth="1"/>
    <col min="6940" max="6940" width="10.26171875" style="1" bestFit="1" customWidth="1"/>
    <col min="6941" max="7176" width="8.83984375" style="1"/>
    <col min="7177" max="7177" width="36.26171875" style="1" customWidth="1"/>
    <col min="7178" max="7178" width="22.15625" style="1" bestFit="1" customWidth="1"/>
    <col min="7179" max="7180" width="8.68359375" style="1" customWidth="1"/>
    <col min="7181" max="7181" width="10.68359375" style="1" bestFit="1" customWidth="1"/>
    <col min="7182" max="7182" width="13.68359375" style="1" bestFit="1" customWidth="1"/>
    <col min="7183" max="7183" width="7.68359375" style="1" customWidth="1"/>
    <col min="7184" max="7184" width="10.26171875" style="1" bestFit="1" customWidth="1"/>
    <col min="7185" max="7185" width="11.578125" style="1" bestFit="1" customWidth="1"/>
    <col min="7186" max="7186" width="8.68359375" style="1" customWidth="1"/>
    <col min="7187" max="7187" width="10.26171875" style="1" bestFit="1" customWidth="1"/>
    <col min="7188" max="7188" width="11.578125" style="1" bestFit="1" customWidth="1"/>
    <col min="7189" max="7189" width="7.578125" style="1" customWidth="1"/>
    <col min="7190" max="7190" width="10.26171875" style="1" bestFit="1" customWidth="1"/>
    <col min="7191" max="7191" width="11.578125" style="1" bestFit="1" customWidth="1"/>
    <col min="7192" max="7192" width="7.68359375" style="1" bestFit="1" customWidth="1"/>
    <col min="7193" max="7193" width="10.26171875" style="1" bestFit="1" customWidth="1"/>
    <col min="7194" max="7194" width="11.578125" style="1" bestFit="1" customWidth="1"/>
    <col min="7195" max="7195" width="17.26171875" style="1" bestFit="1" customWidth="1"/>
    <col min="7196" max="7196" width="10.26171875" style="1" bestFit="1" customWidth="1"/>
    <col min="7197" max="7432" width="8.83984375" style="1"/>
    <col min="7433" max="7433" width="36.26171875" style="1" customWidth="1"/>
    <col min="7434" max="7434" width="22.15625" style="1" bestFit="1" customWidth="1"/>
    <col min="7435" max="7436" width="8.68359375" style="1" customWidth="1"/>
    <col min="7437" max="7437" width="10.68359375" style="1" bestFit="1" customWidth="1"/>
    <col min="7438" max="7438" width="13.68359375" style="1" bestFit="1" customWidth="1"/>
    <col min="7439" max="7439" width="7.68359375" style="1" customWidth="1"/>
    <col min="7440" max="7440" width="10.26171875" style="1" bestFit="1" customWidth="1"/>
    <col min="7441" max="7441" width="11.578125" style="1" bestFit="1" customWidth="1"/>
    <col min="7442" max="7442" width="8.68359375" style="1" customWidth="1"/>
    <col min="7443" max="7443" width="10.26171875" style="1" bestFit="1" customWidth="1"/>
    <col min="7444" max="7444" width="11.578125" style="1" bestFit="1" customWidth="1"/>
    <col min="7445" max="7445" width="7.578125" style="1" customWidth="1"/>
    <col min="7446" max="7446" width="10.26171875" style="1" bestFit="1" customWidth="1"/>
    <col min="7447" max="7447" width="11.578125" style="1" bestFit="1" customWidth="1"/>
    <col min="7448" max="7448" width="7.68359375" style="1" bestFit="1" customWidth="1"/>
    <col min="7449" max="7449" width="10.26171875" style="1" bestFit="1" customWidth="1"/>
    <col min="7450" max="7450" width="11.578125" style="1" bestFit="1" customWidth="1"/>
    <col min="7451" max="7451" width="17.26171875" style="1" bestFit="1" customWidth="1"/>
    <col min="7452" max="7452" width="10.26171875" style="1" bestFit="1" customWidth="1"/>
    <col min="7453" max="7688" width="8.83984375" style="1"/>
    <col min="7689" max="7689" width="36.26171875" style="1" customWidth="1"/>
    <col min="7690" max="7690" width="22.15625" style="1" bestFit="1" customWidth="1"/>
    <col min="7691" max="7692" width="8.68359375" style="1" customWidth="1"/>
    <col min="7693" max="7693" width="10.68359375" style="1" bestFit="1" customWidth="1"/>
    <col min="7694" max="7694" width="13.68359375" style="1" bestFit="1" customWidth="1"/>
    <col min="7695" max="7695" width="7.68359375" style="1" customWidth="1"/>
    <col min="7696" max="7696" width="10.26171875" style="1" bestFit="1" customWidth="1"/>
    <col min="7697" max="7697" width="11.578125" style="1" bestFit="1" customWidth="1"/>
    <col min="7698" max="7698" width="8.68359375" style="1" customWidth="1"/>
    <col min="7699" max="7699" width="10.26171875" style="1" bestFit="1" customWidth="1"/>
    <col min="7700" max="7700" width="11.578125" style="1" bestFit="1" customWidth="1"/>
    <col min="7701" max="7701" width="7.578125" style="1" customWidth="1"/>
    <col min="7702" max="7702" width="10.26171875" style="1" bestFit="1" customWidth="1"/>
    <col min="7703" max="7703" width="11.578125" style="1" bestFit="1" customWidth="1"/>
    <col min="7704" max="7704" width="7.68359375" style="1" bestFit="1" customWidth="1"/>
    <col min="7705" max="7705" width="10.26171875" style="1" bestFit="1" customWidth="1"/>
    <col min="7706" max="7706" width="11.578125" style="1" bestFit="1" customWidth="1"/>
    <col min="7707" max="7707" width="17.26171875" style="1" bestFit="1" customWidth="1"/>
    <col min="7708" max="7708" width="10.26171875" style="1" bestFit="1" customWidth="1"/>
    <col min="7709" max="7944" width="8.83984375" style="1"/>
    <col min="7945" max="7945" width="36.26171875" style="1" customWidth="1"/>
    <col min="7946" max="7946" width="22.15625" style="1" bestFit="1" customWidth="1"/>
    <col min="7947" max="7948" width="8.68359375" style="1" customWidth="1"/>
    <col min="7949" max="7949" width="10.68359375" style="1" bestFit="1" customWidth="1"/>
    <col min="7950" max="7950" width="13.68359375" style="1" bestFit="1" customWidth="1"/>
    <col min="7951" max="7951" width="7.68359375" style="1" customWidth="1"/>
    <col min="7952" max="7952" width="10.26171875" style="1" bestFit="1" customWidth="1"/>
    <col min="7953" max="7953" width="11.578125" style="1" bestFit="1" customWidth="1"/>
    <col min="7954" max="7954" width="8.68359375" style="1" customWidth="1"/>
    <col min="7955" max="7955" width="10.26171875" style="1" bestFit="1" customWidth="1"/>
    <col min="7956" max="7956" width="11.578125" style="1" bestFit="1" customWidth="1"/>
    <col min="7957" max="7957" width="7.578125" style="1" customWidth="1"/>
    <col min="7958" max="7958" width="10.26171875" style="1" bestFit="1" customWidth="1"/>
    <col min="7959" max="7959" width="11.578125" style="1" bestFit="1" customWidth="1"/>
    <col min="7960" max="7960" width="7.68359375" style="1" bestFit="1" customWidth="1"/>
    <col min="7961" max="7961" width="10.26171875" style="1" bestFit="1" customWidth="1"/>
    <col min="7962" max="7962" width="11.578125" style="1" bestFit="1" customWidth="1"/>
    <col min="7963" max="7963" width="17.26171875" style="1" bestFit="1" customWidth="1"/>
    <col min="7964" max="7964" width="10.26171875" style="1" bestFit="1" customWidth="1"/>
    <col min="7965" max="8200" width="8.83984375" style="1"/>
    <col min="8201" max="8201" width="36.26171875" style="1" customWidth="1"/>
    <col min="8202" max="8202" width="22.15625" style="1" bestFit="1" customWidth="1"/>
    <col min="8203" max="8204" width="8.68359375" style="1" customWidth="1"/>
    <col min="8205" max="8205" width="10.68359375" style="1" bestFit="1" customWidth="1"/>
    <col min="8206" max="8206" width="13.68359375" style="1" bestFit="1" customWidth="1"/>
    <col min="8207" max="8207" width="7.68359375" style="1" customWidth="1"/>
    <col min="8208" max="8208" width="10.26171875" style="1" bestFit="1" customWidth="1"/>
    <col min="8209" max="8209" width="11.578125" style="1" bestFit="1" customWidth="1"/>
    <col min="8210" max="8210" width="8.68359375" style="1" customWidth="1"/>
    <col min="8211" max="8211" width="10.26171875" style="1" bestFit="1" customWidth="1"/>
    <col min="8212" max="8212" width="11.578125" style="1" bestFit="1" customWidth="1"/>
    <col min="8213" max="8213" width="7.578125" style="1" customWidth="1"/>
    <col min="8214" max="8214" width="10.26171875" style="1" bestFit="1" customWidth="1"/>
    <col min="8215" max="8215" width="11.578125" style="1" bestFit="1" customWidth="1"/>
    <col min="8216" max="8216" width="7.68359375" style="1" bestFit="1" customWidth="1"/>
    <col min="8217" max="8217" width="10.26171875" style="1" bestFit="1" customWidth="1"/>
    <col min="8218" max="8218" width="11.578125" style="1" bestFit="1" customWidth="1"/>
    <col min="8219" max="8219" width="17.26171875" style="1" bestFit="1" customWidth="1"/>
    <col min="8220" max="8220" width="10.26171875" style="1" bestFit="1" customWidth="1"/>
    <col min="8221" max="8456" width="8.83984375" style="1"/>
    <col min="8457" max="8457" width="36.26171875" style="1" customWidth="1"/>
    <col min="8458" max="8458" width="22.15625" style="1" bestFit="1" customWidth="1"/>
    <col min="8459" max="8460" width="8.68359375" style="1" customWidth="1"/>
    <col min="8461" max="8461" width="10.68359375" style="1" bestFit="1" customWidth="1"/>
    <col min="8462" max="8462" width="13.68359375" style="1" bestFit="1" customWidth="1"/>
    <col min="8463" max="8463" width="7.68359375" style="1" customWidth="1"/>
    <col min="8464" max="8464" width="10.26171875" style="1" bestFit="1" customWidth="1"/>
    <col min="8465" max="8465" width="11.578125" style="1" bestFit="1" customWidth="1"/>
    <col min="8466" max="8466" width="8.68359375" style="1" customWidth="1"/>
    <col min="8467" max="8467" width="10.26171875" style="1" bestFit="1" customWidth="1"/>
    <col min="8468" max="8468" width="11.578125" style="1" bestFit="1" customWidth="1"/>
    <col min="8469" max="8469" width="7.578125" style="1" customWidth="1"/>
    <col min="8470" max="8470" width="10.26171875" style="1" bestFit="1" customWidth="1"/>
    <col min="8471" max="8471" width="11.578125" style="1" bestFit="1" customWidth="1"/>
    <col min="8472" max="8472" width="7.68359375" style="1" bestFit="1" customWidth="1"/>
    <col min="8473" max="8473" width="10.26171875" style="1" bestFit="1" customWidth="1"/>
    <col min="8474" max="8474" width="11.578125" style="1" bestFit="1" customWidth="1"/>
    <col min="8475" max="8475" width="17.26171875" style="1" bestFit="1" customWidth="1"/>
    <col min="8476" max="8476" width="10.26171875" style="1" bestFit="1" customWidth="1"/>
    <col min="8477" max="8712" width="8.83984375" style="1"/>
    <col min="8713" max="8713" width="36.26171875" style="1" customWidth="1"/>
    <col min="8714" max="8714" width="22.15625" style="1" bestFit="1" customWidth="1"/>
    <col min="8715" max="8716" width="8.68359375" style="1" customWidth="1"/>
    <col min="8717" max="8717" width="10.68359375" style="1" bestFit="1" customWidth="1"/>
    <col min="8718" max="8718" width="13.68359375" style="1" bestFit="1" customWidth="1"/>
    <col min="8719" max="8719" width="7.68359375" style="1" customWidth="1"/>
    <col min="8720" max="8720" width="10.26171875" style="1" bestFit="1" customWidth="1"/>
    <col min="8721" max="8721" width="11.578125" style="1" bestFit="1" customWidth="1"/>
    <col min="8722" max="8722" width="8.68359375" style="1" customWidth="1"/>
    <col min="8723" max="8723" width="10.26171875" style="1" bestFit="1" customWidth="1"/>
    <col min="8724" max="8724" width="11.578125" style="1" bestFit="1" customWidth="1"/>
    <col min="8725" max="8725" width="7.578125" style="1" customWidth="1"/>
    <col min="8726" max="8726" width="10.26171875" style="1" bestFit="1" customWidth="1"/>
    <col min="8727" max="8727" width="11.578125" style="1" bestFit="1" customWidth="1"/>
    <col min="8728" max="8728" width="7.68359375" style="1" bestFit="1" customWidth="1"/>
    <col min="8729" max="8729" width="10.26171875" style="1" bestFit="1" customWidth="1"/>
    <col min="8730" max="8730" width="11.578125" style="1" bestFit="1" customWidth="1"/>
    <col min="8731" max="8731" width="17.26171875" style="1" bestFit="1" customWidth="1"/>
    <col min="8732" max="8732" width="10.26171875" style="1" bestFit="1" customWidth="1"/>
    <col min="8733" max="8968" width="8.83984375" style="1"/>
    <col min="8969" max="8969" width="36.26171875" style="1" customWidth="1"/>
    <col min="8970" max="8970" width="22.15625" style="1" bestFit="1" customWidth="1"/>
    <col min="8971" max="8972" width="8.68359375" style="1" customWidth="1"/>
    <col min="8973" max="8973" width="10.68359375" style="1" bestFit="1" customWidth="1"/>
    <col min="8974" max="8974" width="13.68359375" style="1" bestFit="1" customWidth="1"/>
    <col min="8975" max="8975" width="7.68359375" style="1" customWidth="1"/>
    <col min="8976" max="8976" width="10.26171875" style="1" bestFit="1" customWidth="1"/>
    <col min="8977" max="8977" width="11.578125" style="1" bestFit="1" customWidth="1"/>
    <col min="8978" max="8978" width="8.68359375" style="1" customWidth="1"/>
    <col min="8979" max="8979" width="10.26171875" style="1" bestFit="1" customWidth="1"/>
    <col min="8980" max="8980" width="11.578125" style="1" bestFit="1" customWidth="1"/>
    <col min="8981" max="8981" width="7.578125" style="1" customWidth="1"/>
    <col min="8982" max="8982" width="10.26171875" style="1" bestFit="1" customWidth="1"/>
    <col min="8983" max="8983" width="11.578125" style="1" bestFit="1" customWidth="1"/>
    <col min="8984" max="8984" width="7.68359375" style="1" bestFit="1" customWidth="1"/>
    <col min="8985" max="8985" width="10.26171875" style="1" bestFit="1" customWidth="1"/>
    <col min="8986" max="8986" width="11.578125" style="1" bestFit="1" customWidth="1"/>
    <col min="8987" max="8987" width="17.26171875" style="1" bestFit="1" customWidth="1"/>
    <col min="8988" max="8988" width="10.26171875" style="1" bestFit="1" customWidth="1"/>
    <col min="8989" max="9224" width="8.83984375" style="1"/>
    <col min="9225" max="9225" width="36.26171875" style="1" customWidth="1"/>
    <col min="9226" max="9226" width="22.15625" style="1" bestFit="1" customWidth="1"/>
    <col min="9227" max="9228" width="8.68359375" style="1" customWidth="1"/>
    <col min="9229" max="9229" width="10.68359375" style="1" bestFit="1" customWidth="1"/>
    <col min="9230" max="9230" width="13.68359375" style="1" bestFit="1" customWidth="1"/>
    <col min="9231" max="9231" width="7.68359375" style="1" customWidth="1"/>
    <col min="9232" max="9232" width="10.26171875" style="1" bestFit="1" customWidth="1"/>
    <col min="9233" max="9233" width="11.578125" style="1" bestFit="1" customWidth="1"/>
    <col min="9234" max="9234" width="8.68359375" style="1" customWidth="1"/>
    <col min="9235" max="9235" width="10.26171875" style="1" bestFit="1" customWidth="1"/>
    <col min="9236" max="9236" width="11.578125" style="1" bestFit="1" customWidth="1"/>
    <col min="9237" max="9237" width="7.578125" style="1" customWidth="1"/>
    <col min="9238" max="9238" width="10.26171875" style="1" bestFit="1" customWidth="1"/>
    <col min="9239" max="9239" width="11.578125" style="1" bestFit="1" customWidth="1"/>
    <col min="9240" max="9240" width="7.68359375" style="1" bestFit="1" customWidth="1"/>
    <col min="9241" max="9241" width="10.26171875" style="1" bestFit="1" customWidth="1"/>
    <col min="9242" max="9242" width="11.578125" style="1" bestFit="1" customWidth="1"/>
    <col min="9243" max="9243" width="17.26171875" style="1" bestFit="1" customWidth="1"/>
    <col min="9244" max="9244" width="10.26171875" style="1" bestFit="1" customWidth="1"/>
    <col min="9245" max="9480" width="8.83984375" style="1"/>
    <col min="9481" max="9481" width="36.26171875" style="1" customWidth="1"/>
    <col min="9482" max="9482" width="22.15625" style="1" bestFit="1" customWidth="1"/>
    <col min="9483" max="9484" width="8.68359375" style="1" customWidth="1"/>
    <col min="9485" max="9485" width="10.68359375" style="1" bestFit="1" customWidth="1"/>
    <col min="9486" max="9486" width="13.68359375" style="1" bestFit="1" customWidth="1"/>
    <col min="9487" max="9487" width="7.68359375" style="1" customWidth="1"/>
    <col min="9488" max="9488" width="10.26171875" style="1" bestFit="1" customWidth="1"/>
    <col min="9489" max="9489" width="11.578125" style="1" bestFit="1" customWidth="1"/>
    <col min="9490" max="9490" width="8.68359375" style="1" customWidth="1"/>
    <col min="9491" max="9491" width="10.26171875" style="1" bestFit="1" customWidth="1"/>
    <col min="9492" max="9492" width="11.578125" style="1" bestFit="1" customWidth="1"/>
    <col min="9493" max="9493" width="7.578125" style="1" customWidth="1"/>
    <col min="9494" max="9494" width="10.26171875" style="1" bestFit="1" customWidth="1"/>
    <col min="9495" max="9495" width="11.578125" style="1" bestFit="1" customWidth="1"/>
    <col min="9496" max="9496" width="7.68359375" style="1" bestFit="1" customWidth="1"/>
    <col min="9497" max="9497" width="10.26171875" style="1" bestFit="1" customWidth="1"/>
    <col min="9498" max="9498" width="11.578125" style="1" bestFit="1" customWidth="1"/>
    <col min="9499" max="9499" width="17.26171875" style="1" bestFit="1" customWidth="1"/>
    <col min="9500" max="9500" width="10.26171875" style="1" bestFit="1" customWidth="1"/>
    <col min="9501" max="9736" width="8.83984375" style="1"/>
    <col min="9737" max="9737" width="36.26171875" style="1" customWidth="1"/>
    <col min="9738" max="9738" width="22.15625" style="1" bestFit="1" customWidth="1"/>
    <col min="9739" max="9740" width="8.68359375" style="1" customWidth="1"/>
    <col min="9741" max="9741" width="10.68359375" style="1" bestFit="1" customWidth="1"/>
    <col min="9742" max="9742" width="13.68359375" style="1" bestFit="1" customWidth="1"/>
    <col min="9743" max="9743" width="7.68359375" style="1" customWidth="1"/>
    <col min="9744" max="9744" width="10.26171875" style="1" bestFit="1" customWidth="1"/>
    <col min="9745" max="9745" width="11.578125" style="1" bestFit="1" customWidth="1"/>
    <col min="9746" max="9746" width="8.68359375" style="1" customWidth="1"/>
    <col min="9747" max="9747" width="10.26171875" style="1" bestFit="1" customWidth="1"/>
    <col min="9748" max="9748" width="11.578125" style="1" bestFit="1" customWidth="1"/>
    <col min="9749" max="9749" width="7.578125" style="1" customWidth="1"/>
    <col min="9750" max="9750" width="10.26171875" style="1" bestFit="1" customWidth="1"/>
    <col min="9751" max="9751" width="11.578125" style="1" bestFit="1" customWidth="1"/>
    <col min="9752" max="9752" width="7.68359375" style="1" bestFit="1" customWidth="1"/>
    <col min="9753" max="9753" width="10.26171875" style="1" bestFit="1" customWidth="1"/>
    <col min="9754" max="9754" width="11.578125" style="1" bestFit="1" customWidth="1"/>
    <col min="9755" max="9755" width="17.26171875" style="1" bestFit="1" customWidth="1"/>
    <col min="9756" max="9756" width="10.26171875" style="1" bestFit="1" customWidth="1"/>
    <col min="9757" max="9992" width="8.83984375" style="1"/>
    <col min="9993" max="9993" width="36.26171875" style="1" customWidth="1"/>
    <col min="9994" max="9994" width="22.15625" style="1" bestFit="1" customWidth="1"/>
    <col min="9995" max="9996" width="8.68359375" style="1" customWidth="1"/>
    <col min="9997" max="9997" width="10.68359375" style="1" bestFit="1" customWidth="1"/>
    <col min="9998" max="9998" width="13.68359375" style="1" bestFit="1" customWidth="1"/>
    <col min="9999" max="9999" width="7.68359375" style="1" customWidth="1"/>
    <col min="10000" max="10000" width="10.26171875" style="1" bestFit="1" customWidth="1"/>
    <col min="10001" max="10001" width="11.578125" style="1" bestFit="1" customWidth="1"/>
    <col min="10002" max="10002" width="8.68359375" style="1" customWidth="1"/>
    <col min="10003" max="10003" width="10.26171875" style="1" bestFit="1" customWidth="1"/>
    <col min="10004" max="10004" width="11.578125" style="1" bestFit="1" customWidth="1"/>
    <col min="10005" max="10005" width="7.578125" style="1" customWidth="1"/>
    <col min="10006" max="10006" width="10.26171875" style="1" bestFit="1" customWidth="1"/>
    <col min="10007" max="10007" width="11.578125" style="1" bestFit="1" customWidth="1"/>
    <col min="10008" max="10008" width="7.68359375" style="1" bestFit="1" customWidth="1"/>
    <col min="10009" max="10009" width="10.26171875" style="1" bestFit="1" customWidth="1"/>
    <col min="10010" max="10010" width="11.578125" style="1" bestFit="1" customWidth="1"/>
    <col min="10011" max="10011" width="17.26171875" style="1" bestFit="1" customWidth="1"/>
    <col min="10012" max="10012" width="10.26171875" style="1" bestFit="1" customWidth="1"/>
    <col min="10013" max="10248" width="8.83984375" style="1"/>
    <col min="10249" max="10249" width="36.26171875" style="1" customWidth="1"/>
    <col min="10250" max="10250" width="22.15625" style="1" bestFit="1" customWidth="1"/>
    <col min="10251" max="10252" width="8.68359375" style="1" customWidth="1"/>
    <col min="10253" max="10253" width="10.68359375" style="1" bestFit="1" customWidth="1"/>
    <col min="10254" max="10254" width="13.68359375" style="1" bestFit="1" customWidth="1"/>
    <col min="10255" max="10255" width="7.68359375" style="1" customWidth="1"/>
    <col min="10256" max="10256" width="10.26171875" style="1" bestFit="1" customWidth="1"/>
    <col min="10257" max="10257" width="11.578125" style="1" bestFit="1" customWidth="1"/>
    <col min="10258" max="10258" width="8.68359375" style="1" customWidth="1"/>
    <col min="10259" max="10259" width="10.26171875" style="1" bestFit="1" customWidth="1"/>
    <col min="10260" max="10260" width="11.578125" style="1" bestFit="1" customWidth="1"/>
    <col min="10261" max="10261" width="7.578125" style="1" customWidth="1"/>
    <col min="10262" max="10262" width="10.26171875" style="1" bestFit="1" customWidth="1"/>
    <col min="10263" max="10263" width="11.578125" style="1" bestFit="1" customWidth="1"/>
    <col min="10264" max="10264" width="7.68359375" style="1" bestFit="1" customWidth="1"/>
    <col min="10265" max="10265" width="10.26171875" style="1" bestFit="1" customWidth="1"/>
    <col min="10266" max="10266" width="11.578125" style="1" bestFit="1" customWidth="1"/>
    <col min="10267" max="10267" width="17.26171875" style="1" bestFit="1" customWidth="1"/>
    <col min="10268" max="10268" width="10.26171875" style="1" bestFit="1" customWidth="1"/>
    <col min="10269" max="10504" width="8.83984375" style="1"/>
    <col min="10505" max="10505" width="36.26171875" style="1" customWidth="1"/>
    <col min="10506" max="10506" width="22.15625" style="1" bestFit="1" customWidth="1"/>
    <col min="10507" max="10508" width="8.68359375" style="1" customWidth="1"/>
    <col min="10509" max="10509" width="10.68359375" style="1" bestFit="1" customWidth="1"/>
    <col min="10510" max="10510" width="13.68359375" style="1" bestFit="1" customWidth="1"/>
    <col min="10511" max="10511" width="7.68359375" style="1" customWidth="1"/>
    <col min="10512" max="10512" width="10.26171875" style="1" bestFit="1" customWidth="1"/>
    <col min="10513" max="10513" width="11.578125" style="1" bestFit="1" customWidth="1"/>
    <col min="10514" max="10514" width="8.68359375" style="1" customWidth="1"/>
    <col min="10515" max="10515" width="10.26171875" style="1" bestFit="1" customWidth="1"/>
    <col min="10516" max="10516" width="11.578125" style="1" bestFit="1" customWidth="1"/>
    <col min="10517" max="10517" width="7.578125" style="1" customWidth="1"/>
    <col min="10518" max="10518" width="10.26171875" style="1" bestFit="1" customWidth="1"/>
    <col min="10519" max="10519" width="11.578125" style="1" bestFit="1" customWidth="1"/>
    <col min="10520" max="10520" width="7.68359375" style="1" bestFit="1" customWidth="1"/>
    <col min="10521" max="10521" width="10.26171875" style="1" bestFit="1" customWidth="1"/>
    <col min="10522" max="10522" width="11.578125" style="1" bestFit="1" customWidth="1"/>
    <col min="10523" max="10523" width="17.26171875" style="1" bestFit="1" customWidth="1"/>
    <col min="10524" max="10524" width="10.26171875" style="1" bestFit="1" customWidth="1"/>
    <col min="10525" max="10760" width="8.83984375" style="1"/>
    <col min="10761" max="10761" width="36.26171875" style="1" customWidth="1"/>
    <col min="10762" max="10762" width="22.15625" style="1" bestFit="1" customWidth="1"/>
    <col min="10763" max="10764" width="8.68359375" style="1" customWidth="1"/>
    <col min="10765" max="10765" width="10.68359375" style="1" bestFit="1" customWidth="1"/>
    <col min="10766" max="10766" width="13.68359375" style="1" bestFit="1" customWidth="1"/>
    <col min="10767" max="10767" width="7.68359375" style="1" customWidth="1"/>
    <col min="10768" max="10768" width="10.26171875" style="1" bestFit="1" customWidth="1"/>
    <col min="10769" max="10769" width="11.578125" style="1" bestFit="1" customWidth="1"/>
    <col min="10770" max="10770" width="8.68359375" style="1" customWidth="1"/>
    <col min="10771" max="10771" width="10.26171875" style="1" bestFit="1" customWidth="1"/>
    <col min="10772" max="10772" width="11.578125" style="1" bestFit="1" customWidth="1"/>
    <col min="10773" max="10773" width="7.578125" style="1" customWidth="1"/>
    <col min="10774" max="10774" width="10.26171875" style="1" bestFit="1" customWidth="1"/>
    <col min="10775" max="10775" width="11.578125" style="1" bestFit="1" customWidth="1"/>
    <col min="10776" max="10776" width="7.68359375" style="1" bestFit="1" customWidth="1"/>
    <col min="10777" max="10777" width="10.26171875" style="1" bestFit="1" customWidth="1"/>
    <col min="10778" max="10778" width="11.578125" style="1" bestFit="1" customWidth="1"/>
    <col min="10779" max="10779" width="17.26171875" style="1" bestFit="1" customWidth="1"/>
    <col min="10780" max="10780" width="10.26171875" style="1" bestFit="1" customWidth="1"/>
    <col min="10781" max="11016" width="8.83984375" style="1"/>
    <col min="11017" max="11017" width="36.26171875" style="1" customWidth="1"/>
    <col min="11018" max="11018" width="22.15625" style="1" bestFit="1" customWidth="1"/>
    <col min="11019" max="11020" width="8.68359375" style="1" customWidth="1"/>
    <col min="11021" max="11021" width="10.68359375" style="1" bestFit="1" customWidth="1"/>
    <col min="11022" max="11022" width="13.68359375" style="1" bestFit="1" customWidth="1"/>
    <col min="11023" max="11023" width="7.68359375" style="1" customWidth="1"/>
    <col min="11024" max="11024" width="10.26171875" style="1" bestFit="1" customWidth="1"/>
    <col min="11025" max="11025" width="11.578125" style="1" bestFit="1" customWidth="1"/>
    <col min="11026" max="11026" width="8.68359375" style="1" customWidth="1"/>
    <col min="11027" max="11027" width="10.26171875" style="1" bestFit="1" customWidth="1"/>
    <col min="11028" max="11028" width="11.578125" style="1" bestFit="1" customWidth="1"/>
    <col min="11029" max="11029" width="7.578125" style="1" customWidth="1"/>
    <col min="11030" max="11030" width="10.26171875" style="1" bestFit="1" customWidth="1"/>
    <col min="11031" max="11031" width="11.578125" style="1" bestFit="1" customWidth="1"/>
    <col min="11032" max="11032" width="7.68359375" style="1" bestFit="1" customWidth="1"/>
    <col min="11033" max="11033" width="10.26171875" style="1" bestFit="1" customWidth="1"/>
    <col min="11034" max="11034" width="11.578125" style="1" bestFit="1" customWidth="1"/>
    <col min="11035" max="11035" width="17.26171875" style="1" bestFit="1" customWidth="1"/>
    <col min="11036" max="11036" width="10.26171875" style="1" bestFit="1" customWidth="1"/>
    <col min="11037" max="11272" width="8.83984375" style="1"/>
    <col min="11273" max="11273" width="36.26171875" style="1" customWidth="1"/>
    <col min="11274" max="11274" width="22.15625" style="1" bestFit="1" customWidth="1"/>
    <col min="11275" max="11276" width="8.68359375" style="1" customWidth="1"/>
    <col min="11277" max="11277" width="10.68359375" style="1" bestFit="1" customWidth="1"/>
    <col min="11278" max="11278" width="13.68359375" style="1" bestFit="1" customWidth="1"/>
    <col min="11279" max="11279" width="7.68359375" style="1" customWidth="1"/>
    <col min="11280" max="11280" width="10.26171875" style="1" bestFit="1" customWidth="1"/>
    <col min="11281" max="11281" width="11.578125" style="1" bestFit="1" customWidth="1"/>
    <col min="11282" max="11282" width="8.68359375" style="1" customWidth="1"/>
    <col min="11283" max="11283" width="10.26171875" style="1" bestFit="1" customWidth="1"/>
    <col min="11284" max="11284" width="11.578125" style="1" bestFit="1" customWidth="1"/>
    <col min="11285" max="11285" width="7.578125" style="1" customWidth="1"/>
    <col min="11286" max="11286" width="10.26171875" style="1" bestFit="1" customWidth="1"/>
    <col min="11287" max="11287" width="11.578125" style="1" bestFit="1" customWidth="1"/>
    <col min="11288" max="11288" width="7.68359375" style="1" bestFit="1" customWidth="1"/>
    <col min="11289" max="11289" width="10.26171875" style="1" bestFit="1" customWidth="1"/>
    <col min="11290" max="11290" width="11.578125" style="1" bestFit="1" customWidth="1"/>
    <col min="11291" max="11291" width="17.26171875" style="1" bestFit="1" customWidth="1"/>
    <col min="11292" max="11292" width="10.26171875" style="1" bestFit="1" customWidth="1"/>
    <col min="11293" max="11528" width="8.83984375" style="1"/>
    <col min="11529" max="11529" width="36.26171875" style="1" customWidth="1"/>
    <col min="11530" max="11530" width="22.15625" style="1" bestFit="1" customWidth="1"/>
    <col min="11531" max="11532" width="8.68359375" style="1" customWidth="1"/>
    <col min="11533" max="11533" width="10.68359375" style="1" bestFit="1" customWidth="1"/>
    <col min="11534" max="11534" width="13.68359375" style="1" bestFit="1" customWidth="1"/>
    <col min="11535" max="11535" width="7.68359375" style="1" customWidth="1"/>
    <col min="11536" max="11536" width="10.26171875" style="1" bestFit="1" customWidth="1"/>
    <col min="11537" max="11537" width="11.578125" style="1" bestFit="1" customWidth="1"/>
    <col min="11538" max="11538" width="8.68359375" style="1" customWidth="1"/>
    <col min="11539" max="11539" width="10.26171875" style="1" bestFit="1" customWidth="1"/>
    <col min="11540" max="11540" width="11.578125" style="1" bestFit="1" customWidth="1"/>
    <col min="11541" max="11541" width="7.578125" style="1" customWidth="1"/>
    <col min="11542" max="11542" width="10.26171875" style="1" bestFit="1" customWidth="1"/>
    <col min="11543" max="11543" width="11.578125" style="1" bestFit="1" customWidth="1"/>
    <col min="11544" max="11544" width="7.68359375" style="1" bestFit="1" customWidth="1"/>
    <col min="11545" max="11545" width="10.26171875" style="1" bestFit="1" customWidth="1"/>
    <col min="11546" max="11546" width="11.578125" style="1" bestFit="1" customWidth="1"/>
    <col min="11547" max="11547" width="17.26171875" style="1" bestFit="1" customWidth="1"/>
    <col min="11548" max="11548" width="10.26171875" style="1" bestFit="1" customWidth="1"/>
    <col min="11549" max="11784" width="8.83984375" style="1"/>
    <col min="11785" max="11785" width="36.26171875" style="1" customWidth="1"/>
    <col min="11786" max="11786" width="22.15625" style="1" bestFit="1" customWidth="1"/>
    <col min="11787" max="11788" width="8.68359375" style="1" customWidth="1"/>
    <col min="11789" max="11789" width="10.68359375" style="1" bestFit="1" customWidth="1"/>
    <col min="11790" max="11790" width="13.68359375" style="1" bestFit="1" customWidth="1"/>
    <col min="11791" max="11791" width="7.68359375" style="1" customWidth="1"/>
    <col min="11792" max="11792" width="10.26171875" style="1" bestFit="1" customWidth="1"/>
    <col min="11793" max="11793" width="11.578125" style="1" bestFit="1" customWidth="1"/>
    <col min="11794" max="11794" width="8.68359375" style="1" customWidth="1"/>
    <col min="11795" max="11795" width="10.26171875" style="1" bestFit="1" customWidth="1"/>
    <col min="11796" max="11796" width="11.578125" style="1" bestFit="1" customWidth="1"/>
    <col min="11797" max="11797" width="7.578125" style="1" customWidth="1"/>
    <col min="11798" max="11798" width="10.26171875" style="1" bestFit="1" customWidth="1"/>
    <col min="11799" max="11799" width="11.578125" style="1" bestFit="1" customWidth="1"/>
    <col min="11800" max="11800" width="7.68359375" style="1" bestFit="1" customWidth="1"/>
    <col min="11801" max="11801" width="10.26171875" style="1" bestFit="1" customWidth="1"/>
    <col min="11802" max="11802" width="11.578125" style="1" bestFit="1" customWidth="1"/>
    <col min="11803" max="11803" width="17.26171875" style="1" bestFit="1" customWidth="1"/>
    <col min="11804" max="11804" width="10.26171875" style="1" bestFit="1" customWidth="1"/>
    <col min="11805" max="12040" width="8.83984375" style="1"/>
    <col min="12041" max="12041" width="36.26171875" style="1" customWidth="1"/>
    <col min="12042" max="12042" width="22.15625" style="1" bestFit="1" customWidth="1"/>
    <col min="12043" max="12044" width="8.68359375" style="1" customWidth="1"/>
    <col min="12045" max="12045" width="10.68359375" style="1" bestFit="1" customWidth="1"/>
    <col min="12046" max="12046" width="13.68359375" style="1" bestFit="1" customWidth="1"/>
    <col min="12047" max="12047" width="7.68359375" style="1" customWidth="1"/>
    <col min="12048" max="12048" width="10.26171875" style="1" bestFit="1" customWidth="1"/>
    <col min="12049" max="12049" width="11.578125" style="1" bestFit="1" customWidth="1"/>
    <col min="12050" max="12050" width="8.68359375" style="1" customWidth="1"/>
    <col min="12051" max="12051" width="10.26171875" style="1" bestFit="1" customWidth="1"/>
    <col min="12052" max="12052" width="11.578125" style="1" bestFit="1" customWidth="1"/>
    <col min="12053" max="12053" width="7.578125" style="1" customWidth="1"/>
    <col min="12054" max="12054" width="10.26171875" style="1" bestFit="1" customWidth="1"/>
    <col min="12055" max="12055" width="11.578125" style="1" bestFit="1" customWidth="1"/>
    <col min="12056" max="12056" width="7.68359375" style="1" bestFit="1" customWidth="1"/>
    <col min="12057" max="12057" width="10.26171875" style="1" bestFit="1" customWidth="1"/>
    <col min="12058" max="12058" width="11.578125" style="1" bestFit="1" customWidth="1"/>
    <col min="12059" max="12059" width="17.26171875" style="1" bestFit="1" customWidth="1"/>
    <col min="12060" max="12060" width="10.26171875" style="1" bestFit="1" customWidth="1"/>
    <col min="12061" max="12296" width="8.83984375" style="1"/>
    <col min="12297" max="12297" width="36.26171875" style="1" customWidth="1"/>
    <col min="12298" max="12298" width="22.15625" style="1" bestFit="1" customWidth="1"/>
    <col min="12299" max="12300" width="8.68359375" style="1" customWidth="1"/>
    <col min="12301" max="12301" width="10.68359375" style="1" bestFit="1" customWidth="1"/>
    <col min="12302" max="12302" width="13.68359375" style="1" bestFit="1" customWidth="1"/>
    <col min="12303" max="12303" width="7.68359375" style="1" customWidth="1"/>
    <col min="12304" max="12304" width="10.26171875" style="1" bestFit="1" customWidth="1"/>
    <col min="12305" max="12305" width="11.578125" style="1" bestFit="1" customWidth="1"/>
    <col min="12306" max="12306" width="8.68359375" style="1" customWidth="1"/>
    <col min="12307" max="12307" width="10.26171875" style="1" bestFit="1" customWidth="1"/>
    <col min="12308" max="12308" width="11.578125" style="1" bestFit="1" customWidth="1"/>
    <col min="12309" max="12309" width="7.578125" style="1" customWidth="1"/>
    <col min="12310" max="12310" width="10.26171875" style="1" bestFit="1" customWidth="1"/>
    <col min="12311" max="12311" width="11.578125" style="1" bestFit="1" customWidth="1"/>
    <col min="12312" max="12312" width="7.68359375" style="1" bestFit="1" customWidth="1"/>
    <col min="12313" max="12313" width="10.26171875" style="1" bestFit="1" customWidth="1"/>
    <col min="12314" max="12314" width="11.578125" style="1" bestFit="1" customWidth="1"/>
    <col min="12315" max="12315" width="17.26171875" style="1" bestFit="1" customWidth="1"/>
    <col min="12316" max="12316" width="10.26171875" style="1" bestFit="1" customWidth="1"/>
    <col min="12317" max="12552" width="8.83984375" style="1"/>
    <col min="12553" max="12553" width="36.26171875" style="1" customWidth="1"/>
    <col min="12554" max="12554" width="22.15625" style="1" bestFit="1" customWidth="1"/>
    <col min="12555" max="12556" width="8.68359375" style="1" customWidth="1"/>
    <col min="12557" max="12557" width="10.68359375" style="1" bestFit="1" customWidth="1"/>
    <col min="12558" max="12558" width="13.68359375" style="1" bestFit="1" customWidth="1"/>
    <col min="12559" max="12559" width="7.68359375" style="1" customWidth="1"/>
    <col min="12560" max="12560" width="10.26171875" style="1" bestFit="1" customWidth="1"/>
    <col min="12561" max="12561" width="11.578125" style="1" bestFit="1" customWidth="1"/>
    <col min="12562" max="12562" width="8.68359375" style="1" customWidth="1"/>
    <col min="12563" max="12563" width="10.26171875" style="1" bestFit="1" customWidth="1"/>
    <col min="12564" max="12564" width="11.578125" style="1" bestFit="1" customWidth="1"/>
    <col min="12565" max="12565" width="7.578125" style="1" customWidth="1"/>
    <col min="12566" max="12566" width="10.26171875" style="1" bestFit="1" customWidth="1"/>
    <col min="12567" max="12567" width="11.578125" style="1" bestFit="1" customWidth="1"/>
    <col min="12568" max="12568" width="7.68359375" style="1" bestFit="1" customWidth="1"/>
    <col min="12569" max="12569" width="10.26171875" style="1" bestFit="1" customWidth="1"/>
    <col min="12570" max="12570" width="11.578125" style="1" bestFit="1" customWidth="1"/>
    <col min="12571" max="12571" width="17.26171875" style="1" bestFit="1" customWidth="1"/>
    <col min="12572" max="12572" width="10.26171875" style="1" bestFit="1" customWidth="1"/>
    <col min="12573" max="12808" width="8.83984375" style="1"/>
    <col min="12809" max="12809" width="36.26171875" style="1" customWidth="1"/>
    <col min="12810" max="12810" width="22.15625" style="1" bestFit="1" customWidth="1"/>
    <col min="12811" max="12812" width="8.68359375" style="1" customWidth="1"/>
    <col min="12813" max="12813" width="10.68359375" style="1" bestFit="1" customWidth="1"/>
    <col min="12814" max="12814" width="13.68359375" style="1" bestFit="1" customWidth="1"/>
    <col min="12815" max="12815" width="7.68359375" style="1" customWidth="1"/>
    <col min="12816" max="12816" width="10.26171875" style="1" bestFit="1" customWidth="1"/>
    <col min="12817" max="12817" width="11.578125" style="1" bestFit="1" customWidth="1"/>
    <col min="12818" max="12818" width="8.68359375" style="1" customWidth="1"/>
    <col min="12819" max="12819" width="10.26171875" style="1" bestFit="1" customWidth="1"/>
    <col min="12820" max="12820" width="11.578125" style="1" bestFit="1" customWidth="1"/>
    <col min="12821" max="12821" width="7.578125" style="1" customWidth="1"/>
    <col min="12822" max="12822" width="10.26171875" style="1" bestFit="1" customWidth="1"/>
    <col min="12823" max="12823" width="11.578125" style="1" bestFit="1" customWidth="1"/>
    <col min="12824" max="12824" width="7.68359375" style="1" bestFit="1" customWidth="1"/>
    <col min="12825" max="12825" width="10.26171875" style="1" bestFit="1" customWidth="1"/>
    <col min="12826" max="12826" width="11.578125" style="1" bestFit="1" customWidth="1"/>
    <col min="12827" max="12827" width="17.26171875" style="1" bestFit="1" customWidth="1"/>
    <col min="12828" max="12828" width="10.26171875" style="1" bestFit="1" customWidth="1"/>
    <col min="12829" max="13064" width="8.83984375" style="1"/>
    <col min="13065" max="13065" width="36.26171875" style="1" customWidth="1"/>
    <col min="13066" max="13066" width="22.15625" style="1" bestFit="1" customWidth="1"/>
    <col min="13067" max="13068" width="8.68359375" style="1" customWidth="1"/>
    <col min="13069" max="13069" width="10.68359375" style="1" bestFit="1" customWidth="1"/>
    <col min="13070" max="13070" width="13.68359375" style="1" bestFit="1" customWidth="1"/>
    <col min="13071" max="13071" width="7.68359375" style="1" customWidth="1"/>
    <col min="13072" max="13072" width="10.26171875" style="1" bestFit="1" customWidth="1"/>
    <col min="13073" max="13073" width="11.578125" style="1" bestFit="1" customWidth="1"/>
    <col min="13074" max="13074" width="8.68359375" style="1" customWidth="1"/>
    <col min="13075" max="13075" width="10.26171875" style="1" bestFit="1" customWidth="1"/>
    <col min="13076" max="13076" width="11.578125" style="1" bestFit="1" customWidth="1"/>
    <col min="13077" max="13077" width="7.578125" style="1" customWidth="1"/>
    <col min="13078" max="13078" width="10.26171875" style="1" bestFit="1" customWidth="1"/>
    <col min="13079" max="13079" width="11.578125" style="1" bestFit="1" customWidth="1"/>
    <col min="13080" max="13080" width="7.68359375" style="1" bestFit="1" customWidth="1"/>
    <col min="13081" max="13081" width="10.26171875" style="1" bestFit="1" customWidth="1"/>
    <col min="13082" max="13082" width="11.578125" style="1" bestFit="1" customWidth="1"/>
    <col min="13083" max="13083" width="17.26171875" style="1" bestFit="1" customWidth="1"/>
    <col min="13084" max="13084" width="10.26171875" style="1" bestFit="1" customWidth="1"/>
    <col min="13085" max="13320" width="8.83984375" style="1"/>
    <col min="13321" max="13321" width="36.26171875" style="1" customWidth="1"/>
    <col min="13322" max="13322" width="22.15625" style="1" bestFit="1" customWidth="1"/>
    <col min="13323" max="13324" width="8.68359375" style="1" customWidth="1"/>
    <col min="13325" max="13325" width="10.68359375" style="1" bestFit="1" customWidth="1"/>
    <col min="13326" max="13326" width="13.68359375" style="1" bestFit="1" customWidth="1"/>
    <col min="13327" max="13327" width="7.68359375" style="1" customWidth="1"/>
    <col min="13328" max="13328" width="10.26171875" style="1" bestFit="1" customWidth="1"/>
    <col min="13329" max="13329" width="11.578125" style="1" bestFit="1" customWidth="1"/>
    <col min="13330" max="13330" width="8.68359375" style="1" customWidth="1"/>
    <col min="13331" max="13331" width="10.26171875" style="1" bestFit="1" customWidth="1"/>
    <col min="13332" max="13332" width="11.578125" style="1" bestFit="1" customWidth="1"/>
    <col min="13333" max="13333" width="7.578125" style="1" customWidth="1"/>
    <col min="13334" max="13334" width="10.26171875" style="1" bestFit="1" customWidth="1"/>
    <col min="13335" max="13335" width="11.578125" style="1" bestFit="1" customWidth="1"/>
    <col min="13336" max="13336" width="7.68359375" style="1" bestFit="1" customWidth="1"/>
    <col min="13337" max="13337" width="10.26171875" style="1" bestFit="1" customWidth="1"/>
    <col min="13338" max="13338" width="11.578125" style="1" bestFit="1" customWidth="1"/>
    <col min="13339" max="13339" width="17.26171875" style="1" bestFit="1" customWidth="1"/>
    <col min="13340" max="13340" width="10.26171875" style="1" bestFit="1" customWidth="1"/>
    <col min="13341" max="13576" width="8.83984375" style="1"/>
    <col min="13577" max="13577" width="36.26171875" style="1" customWidth="1"/>
    <col min="13578" max="13578" width="22.15625" style="1" bestFit="1" customWidth="1"/>
    <col min="13579" max="13580" width="8.68359375" style="1" customWidth="1"/>
    <col min="13581" max="13581" width="10.68359375" style="1" bestFit="1" customWidth="1"/>
    <col min="13582" max="13582" width="13.68359375" style="1" bestFit="1" customWidth="1"/>
    <col min="13583" max="13583" width="7.68359375" style="1" customWidth="1"/>
    <col min="13584" max="13584" width="10.26171875" style="1" bestFit="1" customWidth="1"/>
    <col min="13585" max="13585" width="11.578125" style="1" bestFit="1" customWidth="1"/>
    <col min="13586" max="13586" width="8.68359375" style="1" customWidth="1"/>
    <col min="13587" max="13587" width="10.26171875" style="1" bestFit="1" customWidth="1"/>
    <col min="13588" max="13588" width="11.578125" style="1" bestFit="1" customWidth="1"/>
    <col min="13589" max="13589" width="7.578125" style="1" customWidth="1"/>
    <col min="13590" max="13590" width="10.26171875" style="1" bestFit="1" customWidth="1"/>
    <col min="13591" max="13591" width="11.578125" style="1" bestFit="1" customWidth="1"/>
    <col min="13592" max="13592" width="7.68359375" style="1" bestFit="1" customWidth="1"/>
    <col min="13593" max="13593" width="10.26171875" style="1" bestFit="1" customWidth="1"/>
    <col min="13594" max="13594" width="11.578125" style="1" bestFit="1" customWidth="1"/>
    <col min="13595" max="13595" width="17.26171875" style="1" bestFit="1" customWidth="1"/>
    <col min="13596" max="13596" width="10.26171875" style="1" bestFit="1" customWidth="1"/>
    <col min="13597" max="13832" width="8.83984375" style="1"/>
    <col min="13833" max="13833" width="36.26171875" style="1" customWidth="1"/>
    <col min="13834" max="13834" width="22.15625" style="1" bestFit="1" customWidth="1"/>
    <col min="13835" max="13836" width="8.68359375" style="1" customWidth="1"/>
    <col min="13837" max="13837" width="10.68359375" style="1" bestFit="1" customWidth="1"/>
    <col min="13838" max="13838" width="13.68359375" style="1" bestFit="1" customWidth="1"/>
    <col min="13839" max="13839" width="7.68359375" style="1" customWidth="1"/>
    <col min="13840" max="13840" width="10.26171875" style="1" bestFit="1" customWidth="1"/>
    <col min="13841" max="13841" width="11.578125" style="1" bestFit="1" customWidth="1"/>
    <col min="13842" max="13842" width="8.68359375" style="1" customWidth="1"/>
    <col min="13843" max="13843" width="10.26171875" style="1" bestFit="1" customWidth="1"/>
    <col min="13844" max="13844" width="11.578125" style="1" bestFit="1" customWidth="1"/>
    <col min="13845" max="13845" width="7.578125" style="1" customWidth="1"/>
    <col min="13846" max="13846" width="10.26171875" style="1" bestFit="1" customWidth="1"/>
    <col min="13847" max="13847" width="11.578125" style="1" bestFit="1" customWidth="1"/>
    <col min="13848" max="13848" width="7.68359375" style="1" bestFit="1" customWidth="1"/>
    <col min="13849" max="13849" width="10.26171875" style="1" bestFit="1" customWidth="1"/>
    <col min="13850" max="13850" width="11.578125" style="1" bestFit="1" customWidth="1"/>
    <col min="13851" max="13851" width="17.26171875" style="1" bestFit="1" customWidth="1"/>
    <col min="13852" max="13852" width="10.26171875" style="1" bestFit="1" customWidth="1"/>
    <col min="13853" max="14088" width="8.83984375" style="1"/>
    <col min="14089" max="14089" width="36.26171875" style="1" customWidth="1"/>
    <col min="14090" max="14090" width="22.15625" style="1" bestFit="1" customWidth="1"/>
    <col min="14091" max="14092" width="8.68359375" style="1" customWidth="1"/>
    <col min="14093" max="14093" width="10.68359375" style="1" bestFit="1" customWidth="1"/>
    <col min="14094" max="14094" width="13.68359375" style="1" bestFit="1" customWidth="1"/>
    <col min="14095" max="14095" width="7.68359375" style="1" customWidth="1"/>
    <col min="14096" max="14096" width="10.26171875" style="1" bestFit="1" customWidth="1"/>
    <col min="14097" max="14097" width="11.578125" style="1" bestFit="1" customWidth="1"/>
    <col min="14098" max="14098" width="8.68359375" style="1" customWidth="1"/>
    <col min="14099" max="14099" width="10.26171875" style="1" bestFit="1" customWidth="1"/>
    <col min="14100" max="14100" width="11.578125" style="1" bestFit="1" customWidth="1"/>
    <col min="14101" max="14101" width="7.578125" style="1" customWidth="1"/>
    <col min="14102" max="14102" width="10.26171875" style="1" bestFit="1" customWidth="1"/>
    <col min="14103" max="14103" width="11.578125" style="1" bestFit="1" customWidth="1"/>
    <col min="14104" max="14104" width="7.68359375" style="1" bestFit="1" customWidth="1"/>
    <col min="14105" max="14105" width="10.26171875" style="1" bestFit="1" customWidth="1"/>
    <col min="14106" max="14106" width="11.578125" style="1" bestFit="1" customWidth="1"/>
    <col min="14107" max="14107" width="17.26171875" style="1" bestFit="1" customWidth="1"/>
    <col min="14108" max="14108" width="10.26171875" style="1" bestFit="1" customWidth="1"/>
    <col min="14109" max="14344" width="8.83984375" style="1"/>
    <col min="14345" max="14345" width="36.26171875" style="1" customWidth="1"/>
    <col min="14346" max="14346" width="22.15625" style="1" bestFit="1" customWidth="1"/>
    <col min="14347" max="14348" width="8.68359375" style="1" customWidth="1"/>
    <col min="14349" max="14349" width="10.68359375" style="1" bestFit="1" customWidth="1"/>
    <col min="14350" max="14350" width="13.68359375" style="1" bestFit="1" customWidth="1"/>
    <col min="14351" max="14351" width="7.68359375" style="1" customWidth="1"/>
    <col min="14352" max="14352" width="10.26171875" style="1" bestFit="1" customWidth="1"/>
    <col min="14353" max="14353" width="11.578125" style="1" bestFit="1" customWidth="1"/>
    <col min="14354" max="14354" width="8.68359375" style="1" customWidth="1"/>
    <col min="14355" max="14355" width="10.26171875" style="1" bestFit="1" customWidth="1"/>
    <col min="14356" max="14356" width="11.578125" style="1" bestFit="1" customWidth="1"/>
    <col min="14357" max="14357" width="7.578125" style="1" customWidth="1"/>
    <col min="14358" max="14358" width="10.26171875" style="1" bestFit="1" customWidth="1"/>
    <col min="14359" max="14359" width="11.578125" style="1" bestFit="1" customWidth="1"/>
    <col min="14360" max="14360" width="7.68359375" style="1" bestFit="1" customWidth="1"/>
    <col min="14361" max="14361" width="10.26171875" style="1" bestFit="1" customWidth="1"/>
    <col min="14362" max="14362" width="11.578125" style="1" bestFit="1" customWidth="1"/>
    <col min="14363" max="14363" width="17.26171875" style="1" bestFit="1" customWidth="1"/>
    <col min="14364" max="14364" width="10.26171875" style="1" bestFit="1" customWidth="1"/>
    <col min="14365" max="14600" width="8.83984375" style="1"/>
    <col min="14601" max="14601" width="36.26171875" style="1" customWidth="1"/>
    <col min="14602" max="14602" width="22.15625" style="1" bestFit="1" customWidth="1"/>
    <col min="14603" max="14604" width="8.68359375" style="1" customWidth="1"/>
    <col min="14605" max="14605" width="10.68359375" style="1" bestFit="1" customWidth="1"/>
    <col min="14606" max="14606" width="13.68359375" style="1" bestFit="1" customWidth="1"/>
    <col min="14607" max="14607" width="7.68359375" style="1" customWidth="1"/>
    <col min="14608" max="14608" width="10.26171875" style="1" bestFit="1" customWidth="1"/>
    <col min="14609" max="14609" width="11.578125" style="1" bestFit="1" customWidth="1"/>
    <col min="14610" max="14610" width="8.68359375" style="1" customWidth="1"/>
    <col min="14611" max="14611" width="10.26171875" style="1" bestFit="1" customWidth="1"/>
    <col min="14612" max="14612" width="11.578125" style="1" bestFit="1" customWidth="1"/>
    <col min="14613" max="14613" width="7.578125" style="1" customWidth="1"/>
    <col min="14614" max="14614" width="10.26171875" style="1" bestFit="1" customWidth="1"/>
    <col min="14615" max="14615" width="11.578125" style="1" bestFit="1" customWidth="1"/>
    <col min="14616" max="14616" width="7.68359375" style="1" bestFit="1" customWidth="1"/>
    <col min="14617" max="14617" width="10.26171875" style="1" bestFit="1" customWidth="1"/>
    <col min="14618" max="14618" width="11.578125" style="1" bestFit="1" customWidth="1"/>
    <col min="14619" max="14619" width="17.26171875" style="1" bestFit="1" customWidth="1"/>
    <col min="14620" max="14620" width="10.26171875" style="1" bestFit="1" customWidth="1"/>
    <col min="14621" max="14856" width="8.83984375" style="1"/>
    <col min="14857" max="14857" width="36.26171875" style="1" customWidth="1"/>
    <col min="14858" max="14858" width="22.15625" style="1" bestFit="1" customWidth="1"/>
    <col min="14859" max="14860" width="8.68359375" style="1" customWidth="1"/>
    <col min="14861" max="14861" width="10.68359375" style="1" bestFit="1" customWidth="1"/>
    <col min="14862" max="14862" width="13.68359375" style="1" bestFit="1" customWidth="1"/>
    <col min="14863" max="14863" width="7.68359375" style="1" customWidth="1"/>
    <col min="14864" max="14864" width="10.26171875" style="1" bestFit="1" customWidth="1"/>
    <col min="14865" max="14865" width="11.578125" style="1" bestFit="1" customWidth="1"/>
    <col min="14866" max="14866" width="8.68359375" style="1" customWidth="1"/>
    <col min="14867" max="14867" width="10.26171875" style="1" bestFit="1" customWidth="1"/>
    <col min="14868" max="14868" width="11.578125" style="1" bestFit="1" customWidth="1"/>
    <col min="14869" max="14869" width="7.578125" style="1" customWidth="1"/>
    <col min="14870" max="14870" width="10.26171875" style="1" bestFit="1" customWidth="1"/>
    <col min="14871" max="14871" width="11.578125" style="1" bestFit="1" customWidth="1"/>
    <col min="14872" max="14872" width="7.68359375" style="1" bestFit="1" customWidth="1"/>
    <col min="14873" max="14873" width="10.26171875" style="1" bestFit="1" customWidth="1"/>
    <col min="14874" max="14874" width="11.578125" style="1" bestFit="1" customWidth="1"/>
    <col min="14875" max="14875" width="17.26171875" style="1" bestFit="1" customWidth="1"/>
    <col min="14876" max="14876" width="10.26171875" style="1" bestFit="1" customWidth="1"/>
    <col min="14877" max="15112" width="8.83984375" style="1"/>
    <col min="15113" max="15113" width="36.26171875" style="1" customWidth="1"/>
    <col min="15114" max="15114" width="22.15625" style="1" bestFit="1" customWidth="1"/>
    <col min="15115" max="15116" width="8.68359375" style="1" customWidth="1"/>
    <col min="15117" max="15117" width="10.68359375" style="1" bestFit="1" customWidth="1"/>
    <col min="15118" max="15118" width="13.68359375" style="1" bestFit="1" customWidth="1"/>
    <col min="15119" max="15119" width="7.68359375" style="1" customWidth="1"/>
    <col min="15120" max="15120" width="10.26171875" style="1" bestFit="1" customWidth="1"/>
    <col min="15121" max="15121" width="11.578125" style="1" bestFit="1" customWidth="1"/>
    <col min="15122" max="15122" width="8.68359375" style="1" customWidth="1"/>
    <col min="15123" max="15123" width="10.26171875" style="1" bestFit="1" customWidth="1"/>
    <col min="15124" max="15124" width="11.578125" style="1" bestFit="1" customWidth="1"/>
    <col min="15125" max="15125" width="7.578125" style="1" customWidth="1"/>
    <col min="15126" max="15126" width="10.26171875" style="1" bestFit="1" customWidth="1"/>
    <col min="15127" max="15127" width="11.578125" style="1" bestFit="1" customWidth="1"/>
    <col min="15128" max="15128" width="7.68359375" style="1" bestFit="1" customWidth="1"/>
    <col min="15129" max="15129" width="10.26171875" style="1" bestFit="1" customWidth="1"/>
    <col min="15130" max="15130" width="11.578125" style="1" bestFit="1" customWidth="1"/>
    <col min="15131" max="15131" width="17.26171875" style="1" bestFit="1" customWidth="1"/>
    <col min="15132" max="15132" width="10.26171875" style="1" bestFit="1" customWidth="1"/>
    <col min="15133" max="15368" width="8.83984375" style="1"/>
    <col min="15369" max="15369" width="36.26171875" style="1" customWidth="1"/>
    <col min="15370" max="15370" width="22.15625" style="1" bestFit="1" customWidth="1"/>
    <col min="15371" max="15372" width="8.68359375" style="1" customWidth="1"/>
    <col min="15373" max="15373" width="10.68359375" style="1" bestFit="1" customWidth="1"/>
    <col min="15374" max="15374" width="13.68359375" style="1" bestFit="1" customWidth="1"/>
    <col min="15375" max="15375" width="7.68359375" style="1" customWidth="1"/>
    <col min="15376" max="15376" width="10.26171875" style="1" bestFit="1" customWidth="1"/>
    <col min="15377" max="15377" width="11.578125" style="1" bestFit="1" customWidth="1"/>
    <col min="15378" max="15378" width="8.68359375" style="1" customWidth="1"/>
    <col min="15379" max="15379" width="10.26171875" style="1" bestFit="1" customWidth="1"/>
    <col min="15380" max="15380" width="11.578125" style="1" bestFit="1" customWidth="1"/>
    <col min="15381" max="15381" width="7.578125" style="1" customWidth="1"/>
    <col min="15382" max="15382" width="10.26171875" style="1" bestFit="1" customWidth="1"/>
    <col min="15383" max="15383" width="11.578125" style="1" bestFit="1" customWidth="1"/>
    <col min="15384" max="15384" width="7.68359375" style="1" bestFit="1" customWidth="1"/>
    <col min="15385" max="15385" width="10.26171875" style="1" bestFit="1" customWidth="1"/>
    <col min="15386" max="15386" width="11.578125" style="1" bestFit="1" customWidth="1"/>
    <col min="15387" max="15387" width="17.26171875" style="1" bestFit="1" customWidth="1"/>
    <col min="15388" max="15388" width="10.26171875" style="1" bestFit="1" customWidth="1"/>
    <col min="15389" max="15624" width="8.83984375" style="1"/>
    <col min="15625" max="15625" width="36.26171875" style="1" customWidth="1"/>
    <col min="15626" max="15626" width="22.15625" style="1" bestFit="1" customWidth="1"/>
    <col min="15627" max="15628" width="8.68359375" style="1" customWidth="1"/>
    <col min="15629" max="15629" width="10.68359375" style="1" bestFit="1" customWidth="1"/>
    <col min="15630" max="15630" width="13.68359375" style="1" bestFit="1" customWidth="1"/>
    <col min="15631" max="15631" width="7.68359375" style="1" customWidth="1"/>
    <col min="15632" max="15632" width="10.26171875" style="1" bestFit="1" customWidth="1"/>
    <col min="15633" max="15633" width="11.578125" style="1" bestFit="1" customWidth="1"/>
    <col min="15634" max="15634" width="8.68359375" style="1" customWidth="1"/>
    <col min="15635" max="15635" width="10.26171875" style="1" bestFit="1" customWidth="1"/>
    <col min="15636" max="15636" width="11.578125" style="1" bestFit="1" customWidth="1"/>
    <col min="15637" max="15637" width="7.578125" style="1" customWidth="1"/>
    <col min="15638" max="15638" width="10.26171875" style="1" bestFit="1" customWidth="1"/>
    <col min="15639" max="15639" width="11.578125" style="1" bestFit="1" customWidth="1"/>
    <col min="15640" max="15640" width="7.68359375" style="1" bestFit="1" customWidth="1"/>
    <col min="15641" max="15641" width="10.26171875" style="1" bestFit="1" customWidth="1"/>
    <col min="15642" max="15642" width="11.578125" style="1" bestFit="1" customWidth="1"/>
    <col min="15643" max="15643" width="17.26171875" style="1" bestFit="1" customWidth="1"/>
    <col min="15644" max="15644" width="10.26171875" style="1" bestFit="1" customWidth="1"/>
    <col min="15645" max="15880" width="8.83984375" style="1"/>
    <col min="15881" max="15881" width="36.26171875" style="1" customWidth="1"/>
    <col min="15882" max="15882" width="22.15625" style="1" bestFit="1" customWidth="1"/>
    <col min="15883" max="15884" width="8.68359375" style="1" customWidth="1"/>
    <col min="15885" max="15885" width="10.68359375" style="1" bestFit="1" customWidth="1"/>
    <col min="15886" max="15886" width="13.68359375" style="1" bestFit="1" customWidth="1"/>
    <col min="15887" max="15887" width="7.68359375" style="1" customWidth="1"/>
    <col min="15888" max="15888" width="10.26171875" style="1" bestFit="1" customWidth="1"/>
    <col min="15889" max="15889" width="11.578125" style="1" bestFit="1" customWidth="1"/>
    <col min="15890" max="15890" width="8.68359375" style="1" customWidth="1"/>
    <col min="15891" max="15891" width="10.26171875" style="1" bestFit="1" customWidth="1"/>
    <col min="15892" max="15892" width="11.578125" style="1" bestFit="1" customWidth="1"/>
    <col min="15893" max="15893" width="7.578125" style="1" customWidth="1"/>
    <col min="15894" max="15894" width="10.26171875" style="1" bestFit="1" customWidth="1"/>
    <col min="15895" max="15895" width="11.578125" style="1" bestFit="1" customWidth="1"/>
    <col min="15896" max="15896" width="7.68359375" style="1" bestFit="1" customWidth="1"/>
    <col min="15897" max="15897" width="10.26171875" style="1" bestFit="1" customWidth="1"/>
    <col min="15898" max="15898" width="11.578125" style="1" bestFit="1" customWidth="1"/>
    <col min="15899" max="15899" width="17.26171875" style="1" bestFit="1" customWidth="1"/>
    <col min="15900" max="15900" width="10.26171875" style="1" bestFit="1" customWidth="1"/>
    <col min="15901" max="16136" width="8.83984375" style="1"/>
    <col min="16137" max="16137" width="36.26171875" style="1" customWidth="1"/>
    <col min="16138" max="16138" width="22.15625" style="1" bestFit="1" customWidth="1"/>
    <col min="16139" max="16140" width="8.68359375" style="1" customWidth="1"/>
    <col min="16141" max="16141" width="10.68359375" style="1" bestFit="1" customWidth="1"/>
    <col min="16142" max="16142" width="13.68359375" style="1" bestFit="1" customWidth="1"/>
    <col min="16143" max="16143" width="7.68359375" style="1" customWidth="1"/>
    <col min="16144" max="16144" width="10.26171875" style="1" bestFit="1" customWidth="1"/>
    <col min="16145" max="16145" width="11.578125" style="1" bestFit="1" customWidth="1"/>
    <col min="16146" max="16146" width="8.68359375" style="1" customWidth="1"/>
    <col min="16147" max="16147" width="10.26171875" style="1" bestFit="1" customWidth="1"/>
    <col min="16148" max="16148" width="11.578125" style="1" bestFit="1" customWidth="1"/>
    <col min="16149" max="16149" width="7.578125" style="1" customWidth="1"/>
    <col min="16150" max="16150" width="10.26171875" style="1" bestFit="1" customWidth="1"/>
    <col min="16151" max="16151" width="11.578125" style="1" bestFit="1" customWidth="1"/>
    <col min="16152" max="16152" width="7.68359375" style="1" bestFit="1" customWidth="1"/>
    <col min="16153" max="16153" width="10.26171875" style="1" bestFit="1" customWidth="1"/>
    <col min="16154" max="16154" width="11.578125" style="1" bestFit="1" customWidth="1"/>
    <col min="16155" max="16155" width="17.26171875" style="1" bestFit="1" customWidth="1"/>
    <col min="16156" max="16156" width="10.26171875" style="1" bestFit="1" customWidth="1"/>
    <col min="16157" max="16384" width="8.83984375" style="1"/>
  </cols>
  <sheetData>
    <row r="2" spans="1:36" s="158" customFormat="1" ht="19.8" x14ac:dyDescent="0.65">
      <c r="A2" s="156"/>
      <c r="B2" s="157"/>
      <c r="C2" s="174" t="s">
        <v>82</v>
      </c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</row>
    <row r="3" spans="1:36" s="158" customFormat="1" ht="19.8" x14ac:dyDescent="0.65">
      <c r="A3" s="156"/>
      <c r="B3" s="157"/>
      <c r="C3" s="174" t="s">
        <v>77</v>
      </c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</row>
    <row r="4" spans="1:36" s="158" customFormat="1" ht="19.8" x14ac:dyDescent="0.65">
      <c r="A4" s="156"/>
      <c r="B4" s="157"/>
      <c r="C4" s="174" t="s">
        <v>78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</row>
    <row r="5" spans="1:36" s="158" customFormat="1" ht="19.8" x14ac:dyDescent="0.65">
      <c r="A5" s="156"/>
      <c r="B5" s="157"/>
      <c r="C5" s="174" t="s">
        <v>83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</row>
    <row r="6" spans="1:36" ht="20.399999999999999" x14ac:dyDescent="0.75">
      <c r="A6" s="163" t="s">
        <v>79</v>
      </c>
      <c r="B6" s="164"/>
      <c r="C6" s="159"/>
      <c r="D6" s="160"/>
      <c r="E6" s="161"/>
      <c r="F6" s="159"/>
      <c r="G6" s="159"/>
      <c r="H6" s="160"/>
      <c r="I6" s="162"/>
      <c r="J6" s="159"/>
      <c r="K6" s="159"/>
      <c r="L6" s="160"/>
      <c r="M6" s="161"/>
      <c r="N6" s="159"/>
      <c r="O6" s="159"/>
      <c r="P6" s="160"/>
      <c r="Q6" s="161"/>
      <c r="R6" s="159"/>
      <c r="S6" s="159"/>
      <c r="T6" s="160"/>
      <c r="U6" s="161"/>
      <c r="V6" s="159"/>
      <c r="W6" s="159"/>
    </row>
    <row r="7" spans="1:36" x14ac:dyDescent="0.55000000000000004">
      <c r="A7" s="165" t="s">
        <v>80</v>
      </c>
      <c r="B7" s="166">
        <v>1</v>
      </c>
    </row>
    <row r="8" spans="1:36" x14ac:dyDescent="0.55000000000000004">
      <c r="A8" s="165" t="s">
        <v>81</v>
      </c>
      <c r="B8" s="166">
        <v>1.05</v>
      </c>
    </row>
    <row r="9" spans="1:36" ht="14.7" thickBot="1" x14ac:dyDescent="0.6"/>
    <row r="10" spans="1:36" ht="23.5" customHeight="1" x14ac:dyDescent="0.55000000000000004">
      <c r="A10" s="167" t="s">
        <v>0</v>
      </c>
      <c r="B10" s="169" t="s">
        <v>1</v>
      </c>
      <c r="C10" s="171" t="s">
        <v>72</v>
      </c>
      <c r="D10" s="172"/>
      <c r="E10" s="172"/>
      <c r="F10" s="173"/>
      <c r="G10" s="171" t="s">
        <v>73</v>
      </c>
      <c r="H10" s="172"/>
      <c r="I10" s="172"/>
      <c r="J10" s="173"/>
      <c r="K10" s="171" t="s">
        <v>74</v>
      </c>
      <c r="L10" s="172"/>
      <c r="M10" s="172"/>
      <c r="N10" s="173"/>
      <c r="O10" s="171" t="s">
        <v>75</v>
      </c>
      <c r="P10" s="172"/>
      <c r="Q10" s="172"/>
      <c r="R10" s="173"/>
      <c r="S10" s="171" t="s">
        <v>76</v>
      </c>
      <c r="T10" s="172"/>
      <c r="U10" s="172"/>
      <c r="V10" s="173"/>
      <c r="W10" s="175" t="s">
        <v>2</v>
      </c>
      <c r="AE10" s="7"/>
    </row>
    <row r="11" spans="1:36" ht="47.65" customHeight="1" x14ac:dyDescent="0.55000000000000004">
      <c r="A11" s="168"/>
      <c r="B11" s="170"/>
      <c r="C11" s="8" t="s">
        <v>3</v>
      </c>
      <c r="D11" s="9" t="s">
        <v>4</v>
      </c>
      <c r="E11" s="11" t="s">
        <v>5</v>
      </c>
      <c r="F11" s="12" t="s">
        <v>2</v>
      </c>
      <c r="G11" s="8" t="s">
        <v>3</v>
      </c>
      <c r="H11" s="9" t="s">
        <v>4</v>
      </c>
      <c r="I11" s="10" t="s">
        <v>5</v>
      </c>
      <c r="J11" s="12" t="s">
        <v>2</v>
      </c>
      <c r="K11" s="8" t="s">
        <v>3</v>
      </c>
      <c r="L11" s="9" t="s">
        <v>4</v>
      </c>
      <c r="M11" s="11" t="s">
        <v>5</v>
      </c>
      <c r="N11" s="12" t="s">
        <v>2</v>
      </c>
      <c r="O11" s="8" t="s">
        <v>3</v>
      </c>
      <c r="P11" s="9" t="s">
        <v>4</v>
      </c>
      <c r="Q11" s="11" t="s">
        <v>5</v>
      </c>
      <c r="R11" s="12" t="s">
        <v>2</v>
      </c>
      <c r="S11" s="8" t="s">
        <v>3</v>
      </c>
      <c r="T11" s="9" t="s">
        <v>4</v>
      </c>
      <c r="U11" s="11" t="s">
        <v>5</v>
      </c>
      <c r="V11" s="12" t="s">
        <v>2</v>
      </c>
      <c r="W11" s="176"/>
      <c r="AE11" s="7"/>
      <c r="AF11" s="1" t="s">
        <v>6</v>
      </c>
    </row>
    <row r="12" spans="1:36" ht="20.399999999999999" x14ac:dyDescent="0.75">
      <c r="A12" s="13" t="s">
        <v>7</v>
      </c>
      <c r="B12" s="14"/>
      <c r="C12" s="15"/>
      <c r="D12" s="16"/>
      <c r="E12" s="18"/>
      <c r="F12" s="19"/>
      <c r="G12" s="15"/>
      <c r="H12" s="16"/>
      <c r="I12" s="17"/>
      <c r="J12" s="19"/>
      <c r="K12" s="20"/>
      <c r="L12" s="16"/>
      <c r="M12" s="18"/>
      <c r="N12" s="19"/>
      <c r="O12" s="20"/>
      <c r="P12" s="16"/>
      <c r="Q12" s="18"/>
      <c r="R12" s="21"/>
      <c r="S12" s="20"/>
      <c r="T12" s="16"/>
      <c r="U12" s="18"/>
      <c r="V12" s="21"/>
      <c r="W12" s="19"/>
      <c r="AE12" s="22" t="s">
        <v>8</v>
      </c>
      <c r="AF12" s="22" t="s">
        <v>9</v>
      </c>
      <c r="AG12" s="22" t="s">
        <v>10</v>
      </c>
    </row>
    <row r="13" spans="1:36" s="32" customFormat="1" ht="15" customHeight="1" outlineLevel="1" x14ac:dyDescent="0.7">
      <c r="A13" s="23" t="s">
        <v>11</v>
      </c>
      <c r="B13" s="24"/>
      <c r="C13" s="25"/>
      <c r="D13" s="26"/>
      <c r="E13" s="28"/>
      <c r="F13" s="29"/>
      <c r="G13" s="25"/>
      <c r="H13" s="26"/>
      <c r="I13" s="27"/>
      <c r="J13" s="29"/>
      <c r="K13" s="25"/>
      <c r="L13" s="26"/>
      <c r="M13" s="28"/>
      <c r="N13" s="29"/>
      <c r="O13" s="25"/>
      <c r="P13" s="26"/>
      <c r="Q13" s="28"/>
      <c r="R13" s="29"/>
      <c r="S13" s="25"/>
      <c r="T13" s="26"/>
      <c r="U13" s="28"/>
      <c r="V13" s="29"/>
      <c r="W13" s="30"/>
      <c r="X13" s="31"/>
      <c r="Y13" s="1"/>
      <c r="Z13" s="1"/>
      <c r="AA13" s="1"/>
      <c r="AB13" s="1"/>
      <c r="AC13" s="1"/>
      <c r="AD13" s="1"/>
      <c r="AE13" s="7"/>
    </row>
    <row r="14" spans="1:36" ht="15" customHeight="1" outlineLevel="1" x14ac:dyDescent="0.6">
      <c r="A14" s="33" t="s">
        <v>12</v>
      </c>
      <c r="B14" s="56"/>
      <c r="C14" s="57"/>
      <c r="D14" s="58"/>
      <c r="E14" s="60"/>
      <c r="F14" s="61"/>
      <c r="G14" s="57"/>
      <c r="H14" s="58"/>
      <c r="I14" s="59"/>
      <c r="J14" s="61"/>
      <c r="K14" s="57"/>
      <c r="L14" s="58"/>
      <c r="M14" s="60"/>
      <c r="N14" s="61"/>
      <c r="O14" s="57"/>
      <c r="P14" s="58"/>
      <c r="Q14" s="60"/>
      <c r="R14" s="61"/>
      <c r="S14" s="57"/>
      <c r="T14" s="58"/>
      <c r="U14" s="60"/>
      <c r="V14" s="61"/>
      <c r="W14" s="62"/>
      <c r="X14" s="35"/>
      <c r="AE14" s="7"/>
      <c r="AF14" s="45"/>
      <c r="AG14" s="45" t="s">
        <v>13</v>
      </c>
      <c r="AJ14" s="47"/>
    </row>
    <row r="15" spans="1:36" ht="15" customHeight="1" outlineLevel="1" x14ac:dyDescent="0.55000000000000004">
      <c r="A15" s="36" t="s">
        <v>14</v>
      </c>
      <c r="B15" s="37" t="s">
        <v>15</v>
      </c>
      <c r="C15" s="38">
        <v>0</v>
      </c>
      <c r="D15" s="39">
        <v>0</v>
      </c>
      <c r="E15" s="40">
        <v>0</v>
      </c>
      <c r="F15" s="41">
        <f>C15*D15*E15</f>
        <v>0</v>
      </c>
      <c r="G15" s="38">
        <f>C15*$B$8</f>
        <v>0</v>
      </c>
      <c r="H15" s="39">
        <v>0</v>
      </c>
      <c r="I15" s="40">
        <v>0</v>
      </c>
      <c r="J15" s="41">
        <f>G15*H15*I15</f>
        <v>0</v>
      </c>
      <c r="K15" s="38">
        <f>G15*$B$8</f>
        <v>0</v>
      </c>
      <c r="L15" s="39">
        <v>0</v>
      </c>
      <c r="M15" s="40">
        <v>0</v>
      </c>
      <c r="N15" s="41">
        <f>K15*L15*M15</f>
        <v>0</v>
      </c>
      <c r="O15" s="38">
        <f>K15*$B$8</f>
        <v>0</v>
      </c>
      <c r="P15" s="39">
        <v>0</v>
      </c>
      <c r="Q15" s="40">
        <v>0</v>
      </c>
      <c r="R15" s="41">
        <f>O15*P15*Q15</f>
        <v>0</v>
      </c>
      <c r="S15" s="38">
        <f>O15*$B$8</f>
        <v>0</v>
      </c>
      <c r="T15" s="39">
        <v>0</v>
      </c>
      <c r="U15" s="40">
        <v>0</v>
      </c>
      <c r="V15" s="41">
        <f>S15*T15*U15</f>
        <v>0</v>
      </c>
      <c r="W15" s="63">
        <f>F15+J15+N15+V15+R15</f>
        <v>0</v>
      </c>
      <c r="X15" s="43"/>
      <c r="Y15" s="31"/>
      <c r="Z15" s="44"/>
      <c r="AA15" s="44"/>
      <c r="AE15" s="7">
        <v>180</v>
      </c>
      <c r="AF15" s="45" t="s">
        <v>16</v>
      </c>
      <c r="AG15" s="45" t="s">
        <v>17</v>
      </c>
      <c r="AH15" s="46"/>
      <c r="AJ15" s="47"/>
    </row>
    <row r="16" spans="1:36" ht="15" customHeight="1" outlineLevel="1" x14ac:dyDescent="0.55000000000000004">
      <c r="A16" s="36" t="s">
        <v>14</v>
      </c>
      <c r="B16" s="37" t="s">
        <v>15</v>
      </c>
      <c r="C16" s="38">
        <v>0</v>
      </c>
      <c r="D16" s="39">
        <v>0</v>
      </c>
      <c r="E16" s="40">
        <v>0</v>
      </c>
      <c r="F16" s="41">
        <f t="shared" ref="F16:F31" si="0">C16*D16*E16</f>
        <v>0</v>
      </c>
      <c r="G16" s="38">
        <f t="shared" ref="G16:G31" si="1">C16*$B$8</f>
        <v>0</v>
      </c>
      <c r="H16" s="39">
        <v>0</v>
      </c>
      <c r="I16" s="40">
        <v>0</v>
      </c>
      <c r="J16" s="41">
        <f t="shared" ref="J16:J31" si="2">G16*H16*I16</f>
        <v>0</v>
      </c>
      <c r="K16" s="38">
        <f t="shared" ref="K16:K31" si="3">G16*$B$8</f>
        <v>0</v>
      </c>
      <c r="L16" s="39">
        <v>0</v>
      </c>
      <c r="M16" s="40">
        <v>0</v>
      </c>
      <c r="N16" s="41">
        <f t="shared" ref="N16:N31" si="4">K16*L16*M16</f>
        <v>0</v>
      </c>
      <c r="O16" s="38">
        <f t="shared" ref="O16:O31" si="5">K16*$B$8</f>
        <v>0</v>
      </c>
      <c r="P16" s="39">
        <v>0</v>
      </c>
      <c r="Q16" s="40">
        <v>0</v>
      </c>
      <c r="R16" s="41">
        <f t="shared" ref="R16:R31" si="6">O16*P16*Q16</f>
        <v>0</v>
      </c>
      <c r="S16" s="38">
        <f t="shared" ref="S16:S31" si="7">O16*$B$8</f>
        <v>0</v>
      </c>
      <c r="T16" s="39">
        <v>0</v>
      </c>
      <c r="U16" s="40">
        <v>0</v>
      </c>
      <c r="V16" s="41">
        <f t="shared" ref="V16:V31" si="8">S16*T16*U16</f>
        <v>0</v>
      </c>
      <c r="W16" s="63">
        <f t="shared" ref="W16:W31" si="9">F16+J16+N16+V16+R16</f>
        <v>0</v>
      </c>
      <c r="X16" s="43"/>
      <c r="Y16" s="31"/>
      <c r="Z16" s="44"/>
      <c r="AA16" s="44"/>
      <c r="AE16" s="7">
        <v>180</v>
      </c>
      <c r="AF16" s="45" t="s">
        <v>16</v>
      </c>
      <c r="AG16" s="45" t="s">
        <v>17</v>
      </c>
      <c r="AH16" s="46"/>
      <c r="AJ16" s="47"/>
    </row>
    <row r="17" spans="1:36" ht="15" customHeight="1" outlineLevel="1" x14ac:dyDescent="0.55000000000000004">
      <c r="A17" s="36" t="s">
        <v>14</v>
      </c>
      <c r="B17" s="37" t="s">
        <v>15</v>
      </c>
      <c r="C17" s="38">
        <v>0</v>
      </c>
      <c r="D17" s="39">
        <v>0</v>
      </c>
      <c r="E17" s="40">
        <v>0</v>
      </c>
      <c r="F17" s="41">
        <f t="shared" si="0"/>
        <v>0</v>
      </c>
      <c r="G17" s="38">
        <f t="shared" si="1"/>
        <v>0</v>
      </c>
      <c r="H17" s="39">
        <v>0</v>
      </c>
      <c r="I17" s="40">
        <v>0</v>
      </c>
      <c r="J17" s="41">
        <f t="shared" si="2"/>
        <v>0</v>
      </c>
      <c r="K17" s="38">
        <f t="shared" si="3"/>
        <v>0</v>
      </c>
      <c r="L17" s="39">
        <v>0</v>
      </c>
      <c r="M17" s="40">
        <v>0</v>
      </c>
      <c r="N17" s="41">
        <f t="shared" si="4"/>
        <v>0</v>
      </c>
      <c r="O17" s="38">
        <f t="shared" si="5"/>
        <v>0</v>
      </c>
      <c r="P17" s="39">
        <v>0</v>
      </c>
      <c r="Q17" s="40">
        <v>0</v>
      </c>
      <c r="R17" s="41">
        <f t="shared" si="6"/>
        <v>0</v>
      </c>
      <c r="S17" s="38">
        <f t="shared" si="7"/>
        <v>0</v>
      </c>
      <c r="T17" s="39">
        <v>0</v>
      </c>
      <c r="U17" s="40">
        <v>0</v>
      </c>
      <c r="V17" s="41">
        <f t="shared" si="8"/>
        <v>0</v>
      </c>
      <c r="W17" s="63">
        <f t="shared" si="9"/>
        <v>0</v>
      </c>
      <c r="X17" s="43"/>
      <c r="Y17" s="31"/>
      <c r="Z17" s="44"/>
      <c r="AA17" s="44"/>
      <c r="AE17" s="7">
        <v>180</v>
      </c>
      <c r="AF17" s="45" t="s">
        <v>16</v>
      </c>
      <c r="AG17" s="45" t="s">
        <v>17</v>
      </c>
      <c r="AH17" s="46"/>
      <c r="AJ17" s="47"/>
    </row>
    <row r="18" spans="1:36" ht="15" customHeight="1" outlineLevel="1" x14ac:dyDescent="0.55000000000000004">
      <c r="A18" s="36" t="s">
        <v>14</v>
      </c>
      <c r="B18" s="37" t="s">
        <v>15</v>
      </c>
      <c r="C18" s="38">
        <v>0</v>
      </c>
      <c r="D18" s="39">
        <v>0</v>
      </c>
      <c r="E18" s="40">
        <v>0</v>
      </c>
      <c r="F18" s="41">
        <f t="shared" si="0"/>
        <v>0</v>
      </c>
      <c r="G18" s="38">
        <f t="shared" si="1"/>
        <v>0</v>
      </c>
      <c r="H18" s="39">
        <v>0</v>
      </c>
      <c r="I18" s="40">
        <v>0</v>
      </c>
      <c r="J18" s="41">
        <f t="shared" si="2"/>
        <v>0</v>
      </c>
      <c r="K18" s="38">
        <f t="shared" si="3"/>
        <v>0</v>
      </c>
      <c r="L18" s="39">
        <v>0</v>
      </c>
      <c r="M18" s="40">
        <v>0</v>
      </c>
      <c r="N18" s="41">
        <f t="shared" si="4"/>
        <v>0</v>
      </c>
      <c r="O18" s="38">
        <f t="shared" si="5"/>
        <v>0</v>
      </c>
      <c r="P18" s="39">
        <v>0</v>
      </c>
      <c r="Q18" s="40">
        <v>0</v>
      </c>
      <c r="R18" s="41">
        <f t="shared" si="6"/>
        <v>0</v>
      </c>
      <c r="S18" s="38">
        <f t="shared" si="7"/>
        <v>0</v>
      </c>
      <c r="T18" s="39">
        <v>0</v>
      </c>
      <c r="U18" s="40">
        <v>0</v>
      </c>
      <c r="V18" s="41">
        <f t="shared" si="8"/>
        <v>0</v>
      </c>
      <c r="W18" s="63">
        <f t="shared" si="9"/>
        <v>0</v>
      </c>
      <c r="X18" s="43"/>
      <c r="Y18" s="31"/>
      <c r="Z18" s="44"/>
      <c r="AA18" s="44"/>
      <c r="AE18" s="7">
        <v>180</v>
      </c>
      <c r="AF18" s="45" t="s">
        <v>16</v>
      </c>
      <c r="AG18" s="45" t="s">
        <v>17</v>
      </c>
      <c r="AH18" s="46"/>
      <c r="AJ18" s="47"/>
    </row>
    <row r="19" spans="1:36" ht="15" customHeight="1" outlineLevel="1" x14ac:dyDescent="0.55000000000000004">
      <c r="A19" s="36" t="s">
        <v>14</v>
      </c>
      <c r="B19" s="37" t="s">
        <v>15</v>
      </c>
      <c r="C19" s="38">
        <v>0</v>
      </c>
      <c r="D19" s="39">
        <v>0</v>
      </c>
      <c r="E19" s="40">
        <v>0</v>
      </c>
      <c r="F19" s="41">
        <f t="shared" si="0"/>
        <v>0</v>
      </c>
      <c r="G19" s="38">
        <f t="shared" si="1"/>
        <v>0</v>
      </c>
      <c r="H19" s="39">
        <v>0</v>
      </c>
      <c r="I19" s="40">
        <v>0</v>
      </c>
      <c r="J19" s="41">
        <f t="shared" si="2"/>
        <v>0</v>
      </c>
      <c r="K19" s="38">
        <f t="shared" si="3"/>
        <v>0</v>
      </c>
      <c r="L19" s="39">
        <v>0</v>
      </c>
      <c r="M19" s="40">
        <v>0</v>
      </c>
      <c r="N19" s="41">
        <f t="shared" si="4"/>
        <v>0</v>
      </c>
      <c r="O19" s="38">
        <f t="shared" si="5"/>
        <v>0</v>
      </c>
      <c r="P19" s="39">
        <v>0</v>
      </c>
      <c r="Q19" s="40">
        <v>0</v>
      </c>
      <c r="R19" s="41">
        <f t="shared" si="6"/>
        <v>0</v>
      </c>
      <c r="S19" s="38">
        <f t="shared" si="7"/>
        <v>0</v>
      </c>
      <c r="T19" s="39">
        <v>0</v>
      </c>
      <c r="U19" s="40">
        <v>0</v>
      </c>
      <c r="V19" s="41">
        <f t="shared" si="8"/>
        <v>0</v>
      </c>
      <c r="W19" s="63">
        <f t="shared" si="9"/>
        <v>0</v>
      </c>
      <c r="X19" s="43"/>
      <c r="Y19" s="31"/>
      <c r="Z19" s="44"/>
      <c r="AA19" s="44"/>
      <c r="AE19" s="7"/>
      <c r="AF19" s="45"/>
      <c r="AG19" s="45"/>
      <c r="AH19" s="46"/>
      <c r="AJ19" s="47"/>
    </row>
    <row r="20" spans="1:36" ht="15" customHeight="1" outlineLevel="1" x14ac:dyDescent="0.55000000000000004">
      <c r="A20" s="36" t="s">
        <v>14</v>
      </c>
      <c r="B20" s="37" t="s">
        <v>15</v>
      </c>
      <c r="C20" s="38">
        <v>0</v>
      </c>
      <c r="D20" s="39">
        <v>0</v>
      </c>
      <c r="E20" s="40">
        <v>0</v>
      </c>
      <c r="F20" s="41">
        <f t="shared" si="0"/>
        <v>0</v>
      </c>
      <c r="G20" s="38">
        <f t="shared" si="1"/>
        <v>0</v>
      </c>
      <c r="H20" s="39">
        <v>0</v>
      </c>
      <c r="I20" s="40">
        <v>0</v>
      </c>
      <c r="J20" s="41">
        <f t="shared" si="2"/>
        <v>0</v>
      </c>
      <c r="K20" s="38">
        <f t="shared" si="3"/>
        <v>0</v>
      </c>
      <c r="L20" s="39">
        <v>0</v>
      </c>
      <c r="M20" s="40">
        <v>0</v>
      </c>
      <c r="N20" s="41">
        <f t="shared" si="4"/>
        <v>0</v>
      </c>
      <c r="O20" s="38">
        <f t="shared" si="5"/>
        <v>0</v>
      </c>
      <c r="P20" s="39">
        <v>0</v>
      </c>
      <c r="Q20" s="40">
        <v>0</v>
      </c>
      <c r="R20" s="41">
        <f t="shared" si="6"/>
        <v>0</v>
      </c>
      <c r="S20" s="38">
        <f t="shared" si="7"/>
        <v>0</v>
      </c>
      <c r="T20" s="39">
        <v>0</v>
      </c>
      <c r="U20" s="40">
        <v>0</v>
      </c>
      <c r="V20" s="41">
        <f t="shared" si="8"/>
        <v>0</v>
      </c>
      <c r="W20" s="63">
        <f t="shared" si="9"/>
        <v>0</v>
      </c>
      <c r="X20" s="43"/>
      <c r="Y20" s="31"/>
      <c r="Z20" s="44"/>
      <c r="AA20" s="44"/>
      <c r="AE20" s="7"/>
      <c r="AF20" s="45"/>
      <c r="AG20" s="45"/>
      <c r="AH20" s="46"/>
      <c r="AJ20" s="47"/>
    </row>
    <row r="21" spans="1:36" ht="15" customHeight="1" outlineLevel="1" x14ac:dyDescent="0.55000000000000004">
      <c r="A21" s="36" t="s">
        <v>14</v>
      </c>
      <c r="B21" s="37" t="s">
        <v>15</v>
      </c>
      <c r="C21" s="38">
        <v>0</v>
      </c>
      <c r="D21" s="39">
        <v>0</v>
      </c>
      <c r="E21" s="40">
        <v>0</v>
      </c>
      <c r="F21" s="41">
        <f t="shared" si="0"/>
        <v>0</v>
      </c>
      <c r="G21" s="38">
        <f t="shared" si="1"/>
        <v>0</v>
      </c>
      <c r="H21" s="39">
        <v>0</v>
      </c>
      <c r="I21" s="40">
        <v>0</v>
      </c>
      <c r="J21" s="41">
        <f t="shared" si="2"/>
        <v>0</v>
      </c>
      <c r="K21" s="38">
        <f t="shared" si="3"/>
        <v>0</v>
      </c>
      <c r="L21" s="39">
        <v>0</v>
      </c>
      <c r="M21" s="40">
        <v>0</v>
      </c>
      <c r="N21" s="41">
        <f t="shared" si="4"/>
        <v>0</v>
      </c>
      <c r="O21" s="38">
        <f t="shared" si="5"/>
        <v>0</v>
      </c>
      <c r="P21" s="39">
        <v>0</v>
      </c>
      <c r="Q21" s="40">
        <v>0</v>
      </c>
      <c r="R21" s="41">
        <f t="shared" si="6"/>
        <v>0</v>
      </c>
      <c r="S21" s="38">
        <f>O21*$B$8</f>
        <v>0</v>
      </c>
      <c r="T21" s="39">
        <v>0</v>
      </c>
      <c r="U21" s="40">
        <v>0</v>
      </c>
      <c r="V21" s="41">
        <f t="shared" si="8"/>
        <v>0</v>
      </c>
      <c r="W21" s="63">
        <f t="shared" si="9"/>
        <v>0</v>
      </c>
      <c r="X21" s="43"/>
      <c r="Y21" s="31"/>
      <c r="Z21" s="44"/>
      <c r="AA21" s="44"/>
      <c r="AE21" s="7"/>
      <c r="AF21" s="45"/>
      <c r="AG21" s="45"/>
      <c r="AH21" s="46"/>
      <c r="AJ21" s="47"/>
    </row>
    <row r="22" spans="1:36" ht="15" customHeight="1" outlineLevel="1" x14ac:dyDescent="0.55000000000000004">
      <c r="A22" s="36" t="s">
        <v>14</v>
      </c>
      <c r="B22" s="37" t="s">
        <v>15</v>
      </c>
      <c r="C22" s="38">
        <v>0</v>
      </c>
      <c r="D22" s="39">
        <v>0</v>
      </c>
      <c r="E22" s="40">
        <v>0</v>
      </c>
      <c r="F22" s="41">
        <f t="shared" si="0"/>
        <v>0</v>
      </c>
      <c r="G22" s="38">
        <f t="shared" si="1"/>
        <v>0</v>
      </c>
      <c r="H22" s="39">
        <v>0</v>
      </c>
      <c r="I22" s="40">
        <v>0</v>
      </c>
      <c r="J22" s="41">
        <f t="shared" si="2"/>
        <v>0</v>
      </c>
      <c r="K22" s="38">
        <f t="shared" si="3"/>
        <v>0</v>
      </c>
      <c r="L22" s="39">
        <v>0</v>
      </c>
      <c r="M22" s="40">
        <v>0</v>
      </c>
      <c r="N22" s="41">
        <f t="shared" si="4"/>
        <v>0</v>
      </c>
      <c r="O22" s="38">
        <f t="shared" si="5"/>
        <v>0</v>
      </c>
      <c r="P22" s="39">
        <v>0</v>
      </c>
      <c r="Q22" s="40">
        <v>0</v>
      </c>
      <c r="R22" s="41">
        <f t="shared" si="6"/>
        <v>0</v>
      </c>
      <c r="S22" s="38">
        <f t="shared" si="7"/>
        <v>0</v>
      </c>
      <c r="T22" s="39">
        <v>0</v>
      </c>
      <c r="U22" s="40">
        <v>0</v>
      </c>
      <c r="V22" s="41">
        <f t="shared" si="8"/>
        <v>0</v>
      </c>
      <c r="W22" s="63">
        <f t="shared" si="9"/>
        <v>0</v>
      </c>
      <c r="X22" s="43"/>
      <c r="Y22" s="31"/>
      <c r="Z22" s="44"/>
      <c r="AA22" s="44"/>
      <c r="AE22" s="7">
        <v>180</v>
      </c>
      <c r="AF22" s="45" t="s">
        <v>16</v>
      </c>
      <c r="AG22" s="45" t="s">
        <v>17</v>
      </c>
      <c r="AH22" s="46"/>
      <c r="AJ22" s="47"/>
    </row>
    <row r="23" spans="1:36" ht="15" customHeight="1" outlineLevel="1" x14ac:dyDescent="0.55000000000000004">
      <c r="A23" s="36" t="s">
        <v>14</v>
      </c>
      <c r="B23" s="37" t="s">
        <v>15</v>
      </c>
      <c r="C23" s="38">
        <v>0</v>
      </c>
      <c r="D23" s="39">
        <v>0</v>
      </c>
      <c r="E23" s="40">
        <v>0</v>
      </c>
      <c r="F23" s="41">
        <f t="shared" si="0"/>
        <v>0</v>
      </c>
      <c r="G23" s="38">
        <f t="shared" si="1"/>
        <v>0</v>
      </c>
      <c r="H23" s="39">
        <v>0</v>
      </c>
      <c r="I23" s="40">
        <v>0</v>
      </c>
      <c r="J23" s="41">
        <f t="shared" si="2"/>
        <v>0</v>
      </c>
      <c r="K23" s="38">
        <f t="shared" si="3"/>
        <v>0</v>
      </c>
      <c r="L23" s="39">
        <v>0</v>
      </c>
      <c r="M23" s="40">
        <v>0</v>
      </c>
      <c r="N23" s="41">
        <f t="shared" si="4"/>
        <v>0</v>
      </c>
      <c r="O23" s="38">
        <f t="shared" si="5"/>
        <v>0</v>
      </c>
      <c r="P23" s="39">
        <v>0</v>
      </c>
      <c r="Q23" s="40">
        <v>0</v>
      </c>
      <c r="R23" s="41">
        <f t="shared" si="6"/>
        <v>0</v>
      </c>
      <c r="S23" s="38">
        <f t="shared" si="7"/>
        <v>0</v>
      </c>
      <c r="T23" s="39">
        <v>0</v>
      </c>
      <c r="U23" s="40">
        <v>0</v>
      </c>
      <c r="V23" s="41">
        <f t="shared" si="8"/>
        <v>0</v>
      </c>
      <c r="W23" s="63">
        <f t="shared" si="9"/>
        <v>0</v>
      </c>
      <c r="X23" s="43"/>
      <c r="Y23" s="31"/>
      <c r="Z23" s="44"/>
      <c r="AA23" s="44"/>
      <c r="AE23" s="7">
        <v>180</v>
      </c>
      <c r="AF23" s="45" t="s">
        <v>16</v>
      </c>
      <c r="AG23" s="45" t="s">
        <v>17</v>
      </c>
      <c r="AH23" s="46"/>
      <c r="AJ23" s="47"/>
    </row>
    <row r="24" spans="1:36" ht="15" customHeight="1" outlineLevel="1" x14ac:dyDescent="0.55000000000000004">
      <c r="A24" s="36" t="s">
        <v>14</v>
      </c>
      <c r="B24" s="37" t="s">
        <v>15</v>
      </c>
      <c r="C24" s="38">
        <v>0</v>
      </c>
      <c r="D24" s="39">
        <v>0</v>
      </c>
      <c r="E24" s="40">
        <v>0</v>
      </c>
      <c r="F24" s="41">
        <f t="shared" si="0"/>
        <v>0</v>
      </c>
      <c r="G24" s="38">
        <f t="shared" si="1"/>
        <v>0</v>
      </c>
      <c r="H24" s="39">
        <v>0</v>
      </c>
      <c r="I24" s="40">
        <v>0</v>
      </c>
      <c r="J24" s="41">
        <f t="shared" si="2"/>
        <v>0</v>
      </c>
      <c r="K24" s="38">
        <f t="shared" si="3"/>
        <v>0</v>
      </c>
      <c r="L24" s="39">
        <v>0</v>
      </c>
      <c r="M24" s="40">
        <v>0</v>
      </c>
      <c r="N24" s="41">
        <f t="shared" si="4"/>
        <v>0</v>
      </c>
      <c r="O24" s="38">
        <f t="shared" si="5"/>
        <v>0</v>
      </c>
      <c r="P24" s="39">
        <v>0</v>
      </c>
      <c r="Q24" s="40">
        <v>0</v>
      </c>
      <c r="R24" s="41">
        <f t="shared" si="6"/>
        <v>0</v>
      </c>
      <c r="S24" s="38">
        <f t="shared" si="7"/>
        <v>0</v>
      </c>
      <c r="T24" s="39">
        <v>0</v>
      </c>
      <c r="U24" s="40">
        <v>0</v>
      </c>
      <c r="V24" s="41">
        <f t="shared" si="8"/>
        <v>0</v>
      </c>
      <c r="W24" s="63">
        <f t="shared" si="9"/>
        <v>0</v>
      </c>
      <c r="X24" s="43"/>
      <c r="Y24" s="31"/>
      <c r="Z24" s="44"/>
      <c r="AA24" s="44"/>
      <c r="AE24" s="7">
        <v>180</v>
      </c>
      <c r="AF24" s="45" t="s">
        <v>16</v>
      </c>
      <c r="AG24" s="45" t="s">
        <v>17</v>
      </c>
      <c r="AH24" s="46"/>
      <c r="AJ24" s="47"/>
    </row>
    <row r="25" spans="1:36" ht="15" customHeight="1" outlineLevel="1" x14ac:dyDescent="0.55000000000000004">
      <c r="A25" s="36" t="s">
        <v>14</v>
      </c>
      <c r="B25" s="37" t="s">
        <v>15</v>
      </c>
      <c r="C25" s="38">
        <v>0</v>
      </c>
      <c r="D25" s="39">
        <v>0</v>
      </c>
      <c r="E25" s="40">
        <v>0</v>
      </c>
      <c r="F25" s="41">
        <f t="shared" si="0"/>
        <v>0</v>
      </c>
      <c r="G25" s="38">
        <f t="shared" si="1"/>
        <v>0</v>
      </c>
      <c r="H25" s="39">
        <v>0</v>
      </c>
      <c r="I25" s="40">
        <v>0</v>
      </c>
      <c r="J25" s="41">
        <f t="shared" si="2"/>
        <v>0</v>
      </c>
      <c r="K25" s="38">
        <f t="shared" si="3"/>
        <v>0</v>
      </c>
      <c r="L25" s="39">
        <v>0</v>
      </c>
      <c r="M25" s="40">
        <v>0</v>
      </c>
      <c r="N25" s="41">
        <f t="shared" si="4"/>
        <v>0</v>
      </c>
      <c r="O25" s="38">
        <f t="shared" si="5"/>
        <v>0</v>
      </c>
      <c r="P25" s="39">
        <v>0</v>
      </c>
      <c r="Q25" s="40">
        <v>0</v>
      </c>
      <c r="R25" s="41">
        <f t="shared" si="6"/>
        <v>0</v>
      </c>
      <c r="S25" s="38">
        <f t="shared" si="7"/>
        <v>0</v>
      </c>
      <c r="T25" s="39">
        <v>0</v>
      </c>
      <c r="U25" s="40">
        <v>0</v>
      </c>
      <c r="V25" s="41">
        <f t="shared" si="8"/>
        <v>0</v>
      </c>
      <c r="W25" s="63">
        <f t="shared" si="9"/>
        <v>0</v>
      </c>
      <c r="X25" s="43"/>
      <c r="Y25" s="31"/>
      <c r="Z25" s="44"/>
      <c r="AA25" s="44"/>
      <c r="AE25" s="7">
        <v>180</v>
      </c>
      <c r="AF25" s="45" t="s">
        <v>16</v>
      </c>
      <c r="AG25" s="45" t="s">
        <v>17</v>
      </c>
      <c r="AH25" s="46"/>
      <c r="AJ25" s="47"/>
    </row>
    <row r="26" spans="1:36" ht="15" customHeight="1" outlineLevel="1" x14ac:dyDescent="0.55000000000000004">
      <c r="A26" s="36" t="s">
        <v>14</v>
      </c>
      <c r="B26" s="37" t="s">
        <v>15</v>
      </c>
      <c r="C26" s="38">
        <v>0</v>
      </c>
      <c r="D26" s="39">
        <v>0</v>
      </c>
      <c r="E26" s="40">
        <v>0</v>
      </c>
      <c r="F26" s="41">
        <f t="shared" si="0"/>
        <v>0</v>
      </c>
      <c r="G26" s="38">
        <f t="shared" si="1"/>
        <v>0</v>
      </c>
      <c r="H26" s="39">
        <v>0</v>
      </c>
      <c r="I26" s="40">
        <v>0</v>
      </c>
      <c r="J26" s="41">
        <f t="shared" si="2"/>
        <v>0</v>
      </c>
      <c r="K26" s="38">
        <f t="shared" si="3"/>
        <v>0</v>
      </c>
      <c r="L26" s="39">
        <v>0</v>
      </c>
      <c r="M26" s="40">
        <v>0</v>
      </c>
      <c r="N26" s="41">
        <f t="shared" si="4"/>
        <v>0</v>
      </c>
      <c r="O26" s="38">
        <f t="shared" si="5"/>
        <v>0</v>
      </c>
      <c r="P26" s="39">
        <v>0</v>
      </c>
      <c r="Q26" s="40">
        <v>0</v>
      </c>
      <c r="R26" s="41">
        <f t="shared" si="6"/>
        <v>0</v>
      </c>
      <c r="S26" s="38">
        <f t="shared" si="7"/>
        <v>0</v>
      </c>
      <c r="T26" s="39">
        <v>0</v>
      </c>
      <c r="U26" s="40">
        <v>0</v>
      </c>
      <c r="V26" s="41">
        <f t="shared" si="8"/>
        <v>0</v>
      </c>
      <c r="W26" s="63">
        <f t="shared" si="9"/>
        <v>0</v>
      </c>
      <c r="X26" s="43"/>
      <c r="Y26" s="31"/>
      <c r="Z26" s="44"/>
      <c r="AA26" s="44"/>
      <c r="AE26" s="7"/>
      <c r="AF26" s="45"/>
      <c r="AG26" s="45"/>
      <c r="AH26" s="46"/>
      <c r="AJ26" s="47"/>
    </row>
    <row r="27" spans="1:36" ht="15" customHeight="1" outlineLevel="1" x14ac:dyDescent="0.55000000000000004">
      <c r="A27" s="36" t="s">
        <v>14</v>
      </c>
      <c r="B27" s="37" t="s">
        <v>15</v>
      </c>
      <c r="C27" s="38">
        <v>0</v>
      </c>
      <c r="D27" s="39">
        <v>0</v>
      </c>
      <c r="E27" s="40">
        <v>0</v>
      </c>
      <c r="F27" s="41">
        <f t="shared" si="0"/>
        <v>0</v>
      </c>
      <c r="G27" s="38">
        <f t="shared" si="1"/>
        <v>0</v>
      </c>
      <c r="H27" s="39">
        <v>0</v>
      </c>
      <c r="I27" s="40">
        <v>0</v>
      </c>
      <c r="J27" s="41">
        <f t="shared" si="2"/>
        <v>0</v>
      </c>
      <c r="K27" s="38">
        <f t="shared" si="3"/>
        <v>0</v>
      </c>
      <c r="L27" s="39">
        <v>0</v>
      </c>
      <c r="M27" s="40">
        <v>0</v>
      </c>
      <c r="N27" s="41">
        <f t="shared" si="4"/>
        <v>0</v>
      </c>
      <c r="O27" s="38">
        <f t="shared" si="5"/>
        <v>0</v>
      </c>
      <c r="P27" s="39">
        <v>0</v>
      </c>
      <c r="Q27" s="40">
        <v>0</v>
      </c>
      <c r="R27" s="41">
        <f t="shared" si="6"/>
        <v>0</v>
      </c>
      <c r="S27" s="38">
        <f t="shared" si="7"/>
        <v>0</v>
      </c>
      <c r="T27" s="39">
        <v>0</v>
      </c>
      <c r="U27" s="40">
        <v>0</v>
      </c>
      <c r="V27" s="41">
        <f t="shared" si="8"/>
        <v>0</v>
      </c>
      <c r="W27" s="63">
        <f t="shared" si="9"/>
        <v>0</v>
      </c>
      <c r="X27" s="43"/>
      <c r="Y27" s="31"/>
      <c r="Z27" s="44"/>
      <c r="AA27" s="44"/>
      <c r="AE27" s="7">
        <v>180</v>
      </c>
      <c r="AF27" s="45" t="s">
        <v>16</v>
      </c>
      <c r="AG27" s="45" t="s">
        <v>17</v>
      </c>
      <c r="AH27" s="46"/>
      <c r="AJ27" s="47"/>
    </row>
    <row r="28" spans="1:36" ht="15" customHeight="1" outlineLevel="1" x14ac:dyDescent="0.55000000000000004">
      <c r="A28" s="36" t="s">
        <v>14</v>
      </c>
      <c r="B28" s="37" t="s">
        <v>15</v>
      </c>
      <c r="C28" s="38">
        <v>0</v>
      </c>
      <c r="D28" s="39">
        <v>0</v>
      </c>
      <c r="E28" s="40">
        <v>0</v>
      </c>
      <c r="F28" s="41">
        <f t="shared" si="0"/>
        <v>0</v>
      </c>
      <c r="G28" s="38">
        <f t="shared" si="1"/>
        <v>0</v>
      </c>
      <c r="H28" s="39">
        <v>0</v>
      </c>
      <c r="I28" s="40">
        <v>0</v>
      </c>
      <c r="J28" s="41">
        <f t="shared" si="2"/>
        <v>0</v>
      </c>
      <c r="K28" s="38">
        <f t="shared" si="3"/>
        <v>0</v>
      </c>
      <c r="L28" s="39">
        <v>0</v>
      </c>
      <c r="M28" s="40">
        <v>0</v>
      </c>
      <c r="N28" s="41">
        <f t="shared" si="4"/>
        <v>0</v>
      </c>
      <c r="O28" s="38">
        <f t="shared" si="5"/>
        <v>0</v>
      </c>
      <c r="P28" s="39">
        <v>0</v>
      </c>
      <c r="Q28" s="40">
        <v>0</v>
      </c>
      <c r="R28" s="41">
        <f t="shared" si="6"/>
        <v>0</v>
      </c>
      <c r="S28" s="38">
        <f t="shared" si="7"/>
        <v>0</v>
      </c>
      <c r="T28" s="39">
        <v>0</v>
      </c>
      <c r="U28" s="40">
        <v>0</v>
      </c>
      <c r="V28" s="41">
        <f t="shared" si="8"/>
        <v>0</v>
      </c>
      <c r="W28" s="63">
        <f t="shared" si="9"/>
        <v>0</v>
      </c>
      <c r="X28" s="43"/>
      <c r="Y28" s="31"/>
      <c r="Z28" s="44"/>
      <c r="AA28" s="44"/>
      <c r="AE28" s="7">
        <v>180</v>
      </c>
      <c r="AF28" s="45" t="s">
        <v>16</v>
      </c>
      <c r="AG28" s="45" t="s">
        <v>17</v>
      </c>
      <c r="AH28" s="46"/>
      <c r="AJ28" s="47"/>
    </row>
    <row r="29" spans="1:36" ht="15" customHeight="1" outlineLevel="1" x14ac:dyDescent="0.55000000000000004">
      <c r="A29" s="36" t="s">
        <v>14</v>
      </c>
      <c r="B29" s="37" t="s">
        <v>15</v>
      </c>
      <c r="C29" s="38">
        <v>0</v>
      </c>
      <c r="D29" s="39">
        <v>0</v>
      </c>
      <c r="E29" s="40">
        <v>0</v>
      </c>
      <c r="F29" s="41">
        <f t="shared" si="0"/>
        <v>0</v>
      </c>
      <c r="G29" s="38">
        <f t="shared" si="1"/>
        <v>0</v>
      </c>
      <c r="H29" s="39">
        <v>0</v>
      </c>
      <c r="I29" s="40">
        <v>0</v>
      </c>
      <c r="J29" s="41">
        <f t="shared" si="2"/>
        <v>0</v>
      </c>
      <c r="K29" s="38">
        <f t="shared" si="3"/>
        <v>0</v>
      </c>
      <c r="L29" s="39">
        <v>0</v>
      </c>
      <c r="M29" s="40">
        <v>0</v>
      </c>
      <c r="N29" s="41">
        <f t="shared" si="4"/>
        <v>0</v>
      </c>
      <c r="O29" s="38">
        <f t="shared" si="5"/>
        <v>0</v>
      </c>
      <c r="P29" s="39">
        <v>0</v>
      </c>
      <c r="Q29" s="40">
        <v>0</v>
      </c>
      <c r="R29" s="41">
        <f t="shared" si="6"/>
        <v>0</v>
      </c>
      <c r="S29" s="38">
        <f t="shared" si="7"/>
        <v>0</v>
      </c>
      <c r="T29" s="39">
        <v>0</v>
      </c>
      <c r="U29" s="40">
        <v>0</v>
      </c>
      <c r="V29" s="41">
        <f t="shared" si="8"/>
        <v>0</v>
      </c>
      <c r="W29" s="63">
        <f t="shared" si="9"/>
        <v>0</v>
      </c>
      <c r="X29" s="43"/>
      <c r="Y29" s="31"/>
      <c r="Z29" s="44"/>
      <c r="AA29" s="44"/>
      <c r="AE29" s="7">
        <v>180</v>
      </c>
      <c r="AF29" s="45" t="s">
        <v>16</v>
      </c>
      <c r="AG29" s="45" t="s">
        <v>17</v>
      </c>
      <c r="AH29" s="46"/>
      <c r="AJ29" s="47"/>
    </row>
    <row r="30" spans="1:36" ht="15" customHeight="1" outlineLevel="1" x14ac:dyDescent="0.55000000000000004">
      <c r="A30" s="36" t="s">
        <v>14</v>
      </c>
      <c r="B30" s="37" t="s">
        <v>15</v>
      </c>
      <c r="C30" s="38">
        <v>0</v>
      </c>
      <c r="D30" s="39">
        <v>0</v>
      </c>
      <c r="E30" s="40">
        <v>0</v>
      </c>
      <c r="F30" s="41">
        <f t="shared" si="0"/>
        <v>0</v>
      </c>
      <c r="G30" s="38">
        <f t="shared" si="1"/>
        <v>0</v>
      </c>
      <c r="H30" s="39">
        <v>0</v>
      </c>
      <c r="I30" s="40">
        <v>0</v>
      </c>
      <c r="J30" s="41">
        <f t="shared" si="2"/>
        <v>0</v>
      </c>
      <c r="K30" s="38">
        <f t="shared" si="3"/>
        <v>0</v>
      </c>
      <c r="L30" s="39">
        <v>0</v>
      </c>
      <c r="M30" s="40">
        <v>0</v>
      </c>
      <c r="N30" s="41">
        <f t="shared" si="4"/>
        <v>0</v>
      </c>
      <c r="O30" s="38">
        <f t="shared" si="5"/>
        <v>0</v>
      </c>
      <c r="P30" s="39">
        <v>0</v>
      </c>
      <c r="Q30" s="40">
        <v>0</v>
      </c>
      <c r="R30" s="41">
        <f t="shared" si="6"/>
        <v>0</v>
      </c>
      <c r="S30" s="38">
        <f t="shared" si="7"/>
        <v>0</v>
      </c>
      <c r="T30" s="39">
        <v>0</v>
      </c>
      <c r="U30" s="40">
        <v>0</v>
      </c>
      <c r="V30" s="41">
        <f t="shared" si="8"/>
        <v>0</v>
      </c>
      <c r="W30" s="63">
        <f t="shared" si="9"/>
        <v>0</v>
      </c>
      <c r="X30" s="43"/>
      <c r="Y30" s="31"/>
      <c r="Z30" s="44"/>
      <c r="AA30" s="44"/>
      <c r="AE30" s="7">
        <v>180</v>
      </c>
      <c r="AF30" s="45" t="s">
        <v>16</v>
      </c>
      <c r="AG30" s="45" t="s">
        <v>17</v>
      </c>
      <c r="AH30" s="46"/>
      <c r="AJ30" s="47"/>
    </row>
    <row r="31" spans="1:36" ht="15" customHeight="1" outlineLevel="1" x14ac:dyDescent="0.55000000000000004">
      <c r="A31" s="36" t="s">
        <v>14</v>
      </c>
      <c r="B31" s="37" t="s">
        <v>15</v>
      </c>
      <c r="C31" s="38">
        <v>0</v>
      </c>
      <c r="D31" s="39">
        <v>0</v>
      </c>
      <c r="E31" s="40">
        <v>0</v>
      </c>
      <c r="F31" s="41">
        <f t="shared" si="0"/>
        <v>0</v>
      </c>
      <c r="G31" s="38">
        <f t="shared" si="1"/>
        <v>0</v>
      </c>
      <c r="H31" s="39">
        <v>0</v>
      </c>
      <c r="I31" s="40">
        <v>0</v>
      </c>
      <c r="J31" s="41">
        <f t="shared" si="2"/>
        <v>0</v>
      </c>
      <c r="K31" s="38">
        <f t="shared" si="3"/>
        <v>0</v>
      </c>
      <c r="L31" s="39">
        <v>0</v>
      </c>
      <c r="M31" s="40">
        <v>0</v>
      </c>
      <c r="N31" s="41">
        <f t="shared" si="4"/>
        <v>0</v>
      </c>
      <c r="O31" s="38">
        <f t="shared" si="5"/>
        <v>0</v>
      </c>
      <c r="P31" s="39">
        <v>0</v>
      </c>
      <c r="Q31" s="40">
        <v>0</v>
      </c>
      <c r="R31" s="41">
        <f t="shared" si="6"/>
        <v>0</v>
      </c>
      <c r="S31" s="38">
        <f t="shared" si="7"/>
        <v>0</v>
      </c>
      <c r="T31" s="39">
        <v>0</v>
      </c>
      <c r="U31" s="40">
        <v>0</v>
      </c>
      <c r="V31" s="41">
        <f t="shared" si="8"/>
        <v>0</v>
      </c>
      <c r="W31" s="63">
        <f t="shared" si="9"/>
        <v>0</v>
      </c>
      <c r="X31" s="43"/>
      <c r="Y31" s="31"/>
      <c r="Z31" s="44"/>
      <c r="AA31" s="44"/>
      <c r="AE31" s="7">
        <v>180</v>
      </c>
      <c r="AF31" s="45" t="s">
        <v>16</v>
      </c>
      <c r="AG31" s="45" t="s">
        <v>17</v>
      </c>
      <c r="AH31" s="46"/>
      <c r="AJ31" s="47"/>
    </row>
    <row r="32" spans="1:36" s="32" customFormat="1" ht="15" customHeight="1" outlineLevel="1" x14ac:dyDescent="0.55000000000000004">
      <c r="A32" s="64"/>
      <c r="B32" s="56"/>
      <c r="C32" s="57"/>
      <c r="D32" s="58"/>
      <c r="E32" s="54"/>
      <c r="F32" s="41"/>
      <c r="G32" s="57"/>
      <c r="H32" s="58"/>
      <c r="I32" s="4"/>
      <c r="J32" s="41"/>
      <c r="K32" s="57"/>
      <c r="L32" s="58"/>
      <c r="M32" s="4"/>
      <c r="N32" s="41"/>
      <c r="O32" s="57"/>
      <c r="P32" s="58"/>
      <c r="Q32" s="4"/>
      <c r="R32" s="41"/>
      <c r="S32" s="57"/>
      <c r="T32" s="58"/>
      <c r="U32" s="4"/>
      <c r="V32" s="41"/>
      <c r="W32" s="63"/>
      <c r="X32" s="1"/>
      <c r="Y32" s="1"/>
      <c r="Z32" s="1"/>
      <c r="AA32" s="1"/>
      <c r="AB32" s="1"/>
      <c r="AC32" s="1"/>
      <c r="AD32" s="1"/>
      <c r="AE32" s="7"/>
      <c r="AF32" s="45"/>
      <c r="AG32" s="45"/>
      <c r="AH32" s="65"/>
      <c r="AI32" s="66"/>
      <c r="AJ32" s="1"/>
    </row>
    <row r="33" spans="1:36" s="77" customFormat="1" ht="15" customHeight="1" x14ac:dyDescent="0.7">
      <c r="A33" s="67" t="s">
        <v>18</v>
      </c>
      <c r="B33" s="68"/>
      <c r="C33" s="69"/>
      <c r="D33" s="70"/>
      <c r="E33" s="73"/>
      <c r="F33" s="72">
        <f>SUM(F15:F31)</f>
        <v>0</v>
      </c>
      <c r="G33" s="69"/>
      <c r="H33" s="70"/>
      <c r="I33" s="71"/>
      <c r="J33" s="72">
        <f>SUM(J15:J31)</f>
        <v>0</v>
      </c>
      <c r="K33" s="69"/>
      <c r="L33" s="70"/>
      <c r="M33" s="73"/>
      <c r="N33" s="72">
        <f>SUM(N15:N31)</f>
        <v>0</v>
      </c>
      <c r="O33" s="69"/>
      <c r="P33" s="70"/>
      <c r="Q33" s="73"/>
      <c r="R33" s="72">
        <f>SUM(R15:R31)</f>
        <v>0</v>
      </c>
      <c r="S33" s="69"/>
      <c r="T33" s="70"/>
      <c r="U33" s="73"/>
      <c r="V33" s="72">
        <f>SUM(V15:V31)</f>
        <v>0</v>
      </c>
      <c r="W33" s="72">
        <f>SUM(W15:W31)</f>
        <v>0</v>
      </c>
      <c r="X33" s="75"/>
      <c r="Y33" s="75"/>
      <c r="Z33" s="75"/>
      <c r="AA33" s="75"/>
      <c r="AB33" s="75"/>
      <c r="AC33" s="76"/>
      <c r="AD33" s="76"/>
      <c r="AE33" s="75"/>
      <c r="AG33" s="77" t="s">
        <v>13</v>
      </c>
      <c r="AJ33" s="76"/>
    </row>
    <row r="34" spans="1:36" s="32" customFormat="1" ht="15" customHeight="1" outlineLevel="1" x14ac:dyDescent="0.6">
      <c r="A34" s="33" t="s">
        <v>19</v>
      </c>
      <c r="B34" s="34"/>
      <c r="C34" s="25"/>
      <c r="D34" s="26"/>
      <c r="E34" s="28"/>
      <c r="F34" s="29"/>
      <c r="G34" s="25"/>
      <c r="H34" s="26"/>
      <c r="I34" s="27"/>
      <c r="J34" s="29"/>
      <c r="K34" s="25"/>
      <c r="L34" s="26"/>
      <c r="M34" s="28"/>
      <c r="N34" s="29"/>
      <c r="O34" s="25"/>
      <c r="P34" s="26"/>
      <c r="Q34" s="28"/>
      <c r="R34" s="29"/>
      <c r="S34" s="25"/>
      <c r="T34" s="26"/>
      <c r="U34" s="28"/>
      <c r="V34" s="29"/>
      <c r="W34" s="30"/>
      <c r="X34" s="1"/>
      <c r="Y34" s="1"/>
      <c r="Z34" s="1"/>
      <c r="AA34" s="1"/>
      <c r="AB34" s="1"/>
      <c r="AC34" s="1"/>
      <c r="AD34" s="1"/>
      <c r="AE34" s="7"/>
      <c r="AJ34" s="1"/>
    </row>
    <row r="35" spans="1:36" s="32" customFormat="1" ht="15" customHeight="1" outlineLevel="1" x14ac:dyDescent="0.6">
      <c r="A35" s="78" t="s">
        <v>12</v>
      </c>
      <c r="B35" s="56" t="s">
        <v>20</v>
      </c>
      <c r="C35" s="79">
        <v>0</v>
      </c>
      <c r="D35" s="58">
        <v>1</v>
      </c>
      <c r="E35" s="4">
        <v>0</v>
      </c>
      <c r="F35" s="41">
        <f t="shared" ref="F35" si="10">C35*D35*E35</f>
        <v>0</v>
      </c>
      <c r="G35" s="79">
        <v>0</v>
      </c>
      <c r="H35" s="58">
        <v>1</v>
      </c>
      <c r="I35" s="4">
        <f t="shared" ref="I35" si="11">E35</f>
        <v>0</v>
      </c>
      <c r="J35" s="41">
        <f t="shared" ref="J35" si="12">G35*H35*I35</f>
        <v>0</v>
      </c>
      <c r="K35" s="79">
        <v>0</v>
      </c>
      <c r="L35" s="58">
        <v>1</v>
      </c>
      <c r="M35" s="4">
        <f t="shared" ref="M35" si="13">I35</f>
        <v>0</v>
      </c>
      <c r="N35" s="41">
        <f t="shared" ref="N35" si="14">K35*L35*M35</f>
        <v>0</v>
      </c>
      <c r="O35" s="79">
        <v>0</v>
      </c>
      <c r="P35" s="58">
        <v>1</v>
      </c>
      <c r="Q35" s="4">
        <f t="shared" ref="Q35" si="15">I35</f>
        <v>0</v>
      </c>
      <c r="R35" s="41">
        <f>O35*P35*Q35</f>
        <v>0</v>
      </c>
      <c r="S35" s="79">
        <v>0</v>
      </c>
      <c r="T35" s="58">
        <v>1</v>
      </c>
      <c r="U35" s="4">
        <f t="shared" ref="U35" si="16">M35</f>
        <v>0</v>
      </c>
      <c r="V35" s="41">
        <f>S35*T35*U35</f>
        <v>0</v>
      </c>
      <c r="W35" s="63">
        <f t="shared" ref="W35" si="17">F35+J35+N35+V35+R35</f>
        <v>0</v>
      </c>
      <c r="X35" s="1"/>
      <c r="Y35" s="1"/>
      <c r="Z35" s="1"/>
      <c r="AA35" s="1"/>
      <c r="AB35" s="1"/>
      <c r="AC35" s="1"/>
      <c r="AD35" s="1"/>
      <c r="AE35" s="80">
        <v>197</v>
      </c>
      <c r="AF35" s="81" t="s">
        <v>21</v>
      </c>
      <c r="AG35" s="81" t="s">
        <v>22</v>
      </c>
      <c r="AJ35" s="1"/>
    </row>
    <row r="36" spans="1:36" ht="15" customHeight="1" outlineLevel="1" x14ac:dyDescent="0.7">
      <c r="A36" s="48"/>
      <c r="B36" s="49"/>
      <c r="C36" s="50"/>
      <c r="D36" s="51"/>
      <c r="E36" s="54"/>
      <c r="F36" s="53"/>
      <c r="G36" s="50"/>
      <c r="H36" s="51"/>
      <c r="I36" s="52"/>
      <c r="J36" s="53"/>
      <c r="K36" s="50"/>
      <c r="L36" s="51"/>
      <c r="M36" s="54"/>
      <c r="N36" s="53"/>
      <c r="O36" s="50"/>
      <c r="P36" s="51"/>
      <c r="Q36" s="54"/>
      <c r="R36" s="53"/>
      <c r="S36" s="50"/>
      <c r="T36" s="51"/>
      <c r="U36" s="54"/>
      <c r="V36" s="53"/>
      <c r="W36" s="55"/>
      <c r="AE36" s="7"/>
      <c r="AF36" s="45"/>
      <c r="AG36" s="45"/>
    </row>
    <row r="37" spans="1:36" s="92" customFormat="1" ht="18.3" outlineLevel="1" x14ac:dyDescent="0.7">
      <c r="A37" s="83" t="s">
        <v>23</v>
      </c>
      <c r="B37" s="84"/>
      <c r="C37" s="85"/>
      <c r="D37" s="86"/>
      <c r="E37" s="89"/>
      <c r="F37" s="88">
        <f>F35</f>
        <v>0</v>
      </c>
      <c r="G37" s="85"/>
      <c r="H37" s="86"/>
      <c r="I37" s="87"/>
      <c r="J37" s="88">
        <f>J35</f>
        <v>0</v>
      </c>
      <c r="K37" s="85"/>
      <c r="L37" s="86"/>
      <c r="M37" s="89"/>
      <c r="N37" s="88">
        <f>N35</f>
        <v>0</v>
      </c>
      <c r="O37" s="85"/>
      <c r="P37" s="86"/>
      <c r="Q37" s="89"/>
      <c r="R37" s="88">
        <f>R35</f>
        <v>0</v>
      </c>
      <c r="S37" s="85"/>
      <c r="T37" s="86"/>
      <c r="U37" s="89"/>
      <c r="V37" s="88">
        <f>V35</f>
        <v>0</v>
      </c>
      <c r="W37" s="88">
        <f>W35</f>
        <v>0</v>
      </c>
      <c r="X37" s="76"/>
      <c r="Y37" s="76"/>
      <c r="Z37" s="76"/>
      <c r="AA37" s="76"/>
      <c r="AB37" s="76"/>
      <c r="AC37" s="76"/>
      <c r="AD37" s="76"/>
      <c r="AE37" s="75">
        <v>287</v>
      </c>
      <c r="AF37" s="90" t="s">
        <v>24</v>
      </c>
      <c r="AG37" s="90" t="s">
        <v>25</v>
      </c>
      <c r="AH37" s="91"/>
      <c r="AJ37" s="76"/>
    </row>
    <row r="38" spans="1:36" s="94" customFormat="1" ht="15.6" outlineLevel="1" x14ac:dyDescent="0.6">
      <c r="A38" s="33" t="s">
        <v>26</v>
      </c>
      <c r="B38" s="34"/>
      <c r="C38" s="2"/>
      <c r="D38" s="3"/>
      <c r="E38" s="28"/>
      <c r="F38" s="41"/>
      <c r="G38" s="2"/>
      <c r="H38" s="3"/>
      <c r="I38" s="27"/>
      <c r="J38" s="41"/>
      <c r="K38" s="2"/>
      <c r="L38" s="3"/>
      <c r="M38" s="28"/>
      <c r="N38" s="41"/>
      <c r="O38" s="2"/>
      <c r="P38" s="3"/>
      <c r="Q38" s="28"/>
      <c r="R38" s="41"/>
      <c r="S38" s="2"/>
      <c r="T38" s="3"/>
      <c r="U38" s="28"/>
      <c r="V38" s="41"/>
      <c r="W38" s="63"/>
      <c r="X38" s="1"/>
      <c r="Y38" s="1"/>
      <c r="Z38" s="1"/>
      <c r="AA38" s="1"/>
      <c r="AB38" s="1"/>
      <c r="AC38" s="1"/>
      <c r="AD38" s="1"/>
      <c r="AE38" s="7"/>
      <c r="AF38" s="45"/>
      <c r="AG38" s="45"/>
      <c r="AH38" s="93"/>
      <c r="AJ38" s="1"/>
    </row>
    <row r="39" spans="1:36" ht="15" customHeight="1" outlineLevel="1" x14ac:dyDescent="0.55000000000000004">
      <c r="A39" s="36" t="s">
        <v>27</v>
      </c>
      <c r="B39" s="37" t="s">
        <v>28</v>
      </c>
      <c r="C39" s="38">
        <v>0</v>
      </c>
      <c r="D39" s="39">
        <v>0</v>
      </c>
      <c r="E39" s="40">
        <v>1</v>
      </c>
      <c r="F39" s="41">
        <f>C39*D39*E39</f>
        <v>0</v>
      </c>
      <c r="G39" s="38">
        <f>C39*$B$7</f>
        <v>0</v>
      </c>
      <c r="H39" s="39">
        <v>0</v>
      </c>
      <c r="I39" s="40">
        <v>1</v>
      </c>
      <c r="J39" s="41">
        <f>G39*H39*I39</f>
        <v>0</v>
      </c>
      <c r="K39" s="38">
        <f>G39*$B$7</f>
        <v>0</v>
      </c>
      <c r="L39" s="39">
        <v>0</v>
      </c>
      <c r="M39" s="40">
        <v>1</v>
      </c>
      <c r="N39" s="41">
        <f>K39*L39*M39</f>
        <v>0</v>
      </c>
      <c r="O39" s="38">
        <f>K39*$B$7</f>
        <v>0</v>
      </c>
      <c r="P39" s="39">
        <v>0</v>
      </c>
      <c r="Q39" s="40">
        <v>1</v>
      </c>
      <c r="R39" s="41">
        <f>O39*P39*Q39</f>
        <v>0</v>
      </c>
      <c r="S39" s="38">
        <f>O39*$B$7</f>
        <v>0</v>
      </c>
      <c r="T39" s="39">
        <v>0</v>
      </c>
      <c r="U39" s="40">
        <v>1</v>
      </c>
      <c r="V39" s="41">
        <f>S39*T39*U39</f>
        <v>0</v>
      </c>
      <c r="W39" s="63">
        <f t="shared" ref="W39" si="18">F39+J39+N39+V39+R39</f>
        <v>0</v>
      </c>
      <c r="X39" s="43"/>
      <c r="Y39" s="31"/>
      <c r="Z39" s="44"/>
      <c r="AA39" s="44"/>
      <c r="AE39" s="7">
        <v>180</v>
      </c>
      <c r="AF39" s="45" t="s">
        <v>16</v>
      </c>
      <c r="AG39" s="45" t="s">
        <v>17</v>
      </c>
      <c r="AH39" s="46"/>
      <c r="AJ39" s="47"/>
    </row>
    <row r="40" spans="1:36" ht="15" customHeight="1" outlineLevel="1" x14ac:dyDescent="0.55000000000000004">
      <c r="A40" s="36" t="s">
        <v>29</v>
      </c>
      <c r="B40" s="37" t="s">
        <v>30</v>
      </c>
      <c r="C40" s="38">
        <v>0</v>
      </c>
      <c r="D40" s="39">
        <v>0</v>
      </c>
      <c r="E40" s="40">
        <v>1</v>
      </c>
      <c r="F40" s="41">
        <f t="shared" ref="F40" si="19">C40*D40*E40</f>
        <v>0</v>
      </c>
      <c r="G40" s="38">
        <f>C40*$B$7</f>
        <v>0</v>
      </c>
      <c r="H40" s="39">
        <v>0</v>
      </c>
      <c r="I40" s="40">
        <v>1</v>
      </c>
      <c r="J40" s="41">
        <f t="shared" ref="J40" si="20">G40*H40*I40</f>
        <v>0</v>
      </c>
      <c r="K40" s="38">
        <f t="shared" ref="K40:K44" si="21">G40*$B$7</f>
        <v>0</v>
      </c>
      <c r="L40" s="39">
        <v>0</v>
      </c>
      <c r="M40" s="40">
        <v>1</v>
      </c>
      <c r="N40" s="41">
        <f t="shared" ref="N40" si="22">K40*L40*M40</f>
        <v>0</v>
      </c>
      <c r="O40" s="38">
        <f>K40*$B$7</f>
        <v>0</v>
      </c>
      <c r="P40" s="39">
        <v>0</v>
      </c>
      <c r="Q40" s="40">
        <v>1</v>
      </c>
      <c r="R40" s="41">
        <f t="shared" ref="R40" si="23">O40*P40*Q40</f>
        <v>0</v>
      </c>
      <c r="S40" s="38">
        <f>O40*$B$7</f>
        <v>0</v>
      </c>
      <c r="T40" s="39">
        <v>0</v>
      </c>
      <c r="U40" s="40">
        <v>1</v>
      </c>
      <c r="V40" s="41">
        <f t="shared" ref="V40" si="24">S40*T40*U40</f>
        <v>0</v>
      </c>
      <c r="W40" s="63">
        <f t="shared" ref="W40" si="25">F40+J40+N40+V40+R40</f>
        <v>0</v>
      </c>
      <c r="X40" s="43"/>
      <c r="Y40" s="31"/>
      <c r="Z40" s="44"/>
      <c r="AA40" s="44"/>
      <c r="AE40" s="7">
        <v>180</v>
      </c>
      <c r="AF40" s="45" t="s">
        <v>16</v>
      </c>
      <c r="AG40" s="45" t="s">
        <v>17</v>
      </c>
      <c r="AH40" s="46"/>
      <c r="AJ40" s="47"/>
    </row>
    <row r="41" spans="1:36" s="94" customFormat="1" ht="15.6" outlineLevel="1" x14ac:dyDescent="0.6">
      <c r="A41" s="33" t="s">
        <v>31</v>
      </c>
      <c r="B41" s="56"/>
      <c r="C41" s="2"/>
      <c r="D41" s="3"/>
      <c r="E41" s="5"/>
      <c r="F41" s="41"/>
      <c r="G41" s="2"/>
      <c r="H41" s="3"/>
      <c r="I41" s="4"/>
      <c r="J41" s="41"/>
      <c r="K41" s="38"/>
      <c r="L41" s="3"/>
      <c r="M41" s="5"/>
      <c r="N41" s="41"/>
      <c r="O41" s="38"/>
      <c r="P41" s="3"/>
      <c r="Q41" s="5"/>
      <c r="R41" s="41"/>
      <c r="S41" s="38"/>
      <c r="T41" s="3"/>
      <c r="U41" s="5"/>
      <c r="V41" s="41"/>
      <c r="W41" s="63"/>
      <c r="X41" s="1"/>
      <c r="Y41" s="1"/>
      <c r="Z41" s="1"/>
      <c r="AA41" s="1"/>
      <c r="AB41" s="1"/>
      <c r="AC41" s="1"/>
      <c r="AD41" s="1"/>
      <c r="AE41" s="7"/>
      <c r="AF41" s="45"/>
      <c r="AG41" s="45"/>
      <c r="AH41" s="93"/>
      <c r="AJ41" s="1"/>
    </row>
    <row r="42" spans="1:36" ht="15" customHeight="1" outlineLevel="1" x14ac:dyDescent="0.55000000000000004">
      <c r="A42" s="36" t="s">
        <v>32</v>
      </c>
      <c r="B42" s="37" t="s">
        <v>15</v>
      </c>
      <c r="C42" s="38">
        <v>0</v>
      </c>
      <c r="D42" s="39">
        <v>0</v>
      </c>
      <c r="E42" s="40">
        <v>1</v>
      </c>
      <c r="F42" s="41">
        <f>C42*D42*E42</f>
        <v>0</v>
      </c>
      <c r="G42" s="38">
        <f>C42*$B$7</f>
        <v>0</v>
      </c>
      <c r="H42" s="39">
        <v>0</v>
      </c>
      <c r="I42" s="40">
        <v>1</v>
      </c>
      <c r="J42" s="41">
        <f>G42*H42*I42</f>
        <v>0</v>
      </c>
      <c r="K42" s="38">
        <f t="shared" si="21"/>
        <v>0</v>
      </c>
      <c r="L42" s="39">
        <v>0</v>
      </c>
      <c r="M42" s="40">
        <v>1</v>
      </c>
      <c r="N42" s="41">
        <f>K42*L42*M42</f>
        <v>0</v>
      </c>
      <c r="O42" s="38">
        <f>K42*$B$7</f>
        <v>0</v>
      </c>
      <c r="P42" s="39">
        <v>0</v>
      </c>
      <c r="Q42" s="40">
        <v>1</v>
      </c>
      <c r="R42" s="41">
        <f>O42*P42*Q42</f>
        <v>0</v>
      </c>
      <c r="S42" s="38">
        <f>O42*$B$7</f>
        <v>0</v>
      </c>
      <c r="T42" s="39">
        <v>0</v>
      </c>
      <c r="U42" s="40">
        <v>1</v>
      </c>
      <c r="V42" s="41">
        <f>S42*T42*U42</f>
        <v>0</v>
      </c>
      <c r="W42" s="63">
        <f t="shared" ref="W42:W44" si="26">F42+J42+N42+V42+R42</f>
        <v>0</v>
      </c>
      <c r="X42" s="43"/>
      <c r="Y42" s="31"/>
      <c r="Z42" s="44"/>
      <c r="AA42" s="44"/>
      <c r="AE42" s="7">
        <v>180</v>
      </c>
      <c r="AF42" s="45" t="s">
        <v>16</v>
      </c>
      <c r="AG42" s="45" t="s">
        <v>17</v>
      </c>
      <c r="AH42" s="46"/>
      <c r="AJ42" s="47"/>
    </row>
    <row r="43" spans="1:36" s="94" customFormat="1" ht="15.6" outlineLevel="1" x14ac:dyDescent="0.6">
      <c r="A43" s="33" t="s">
        <v>33</v>
      </c>
      <c r="B43" s="56"/>
      <c r="C43" s="2"/>
      <c r="D43" s="3"/>
      <c r="E43" s="5"/>
      <c r="F43" s="41">
        <f>C43*D43*E43</f>
        <v>0</v>
      </c>
      <c r="G43" s="2"/>
      <c r="H43" s="3"/>
      <c r="I43" s="4"/>
      <c r="J43" s="41">
        <f>G43*H43*I43</f>
        <v>0</v>
      </c>
      <c r="K43" s="38"/>
      <c r="L43" s="3"/>
      <c r="M43" s="5"/>
      <c r="N43" s="41">
        <f>K43*L43*M43</f>
        <v>0</v>
      </c>
      <c r="O43" s="38"/>
      <c r="P43" s="3"/>
      <c r="Q43" s="5"/>
      <c r="R43" s="41">
        <f>O43*P43*Q43</f>
        <v>0</v>
      </c>
      <c r="S43" s="38"/>
      <c r="T43" s="3"/>
      <c r="U43" s="5"/>
      <c r="V43" s="41">
        <f>S43*T43*U43</f>
        <v>0</v>
      </c>
      <c r="W43" s="63">
        <f t="shared" si="26"/>
        <v>0</v>
      </c>
      <c r="X43" s="1"/>
      <c r="Y43" s="1"/>
      <c r="Z43" s="1"/>
      <c r="AA43" s="1"/>
      <c r="AB43" s="1"/>
      <c r="AC43" s="1"/>
      <c r="AD43" s="1"/>
      <c r="AE43" s="7"/>
      <c r="AF43" s="45"/>
      <c r="AG43" s="45"/>
      <c r="AH43" s="93"/>
      <c r="AJ43" s="1"/>
    </row>
    <row r="44" spans="1:36" ht="15" customHeight="1" outlineLevel="1" x14ac:dyDescent="0.55000000000000004">
      <c r="A44" s="36" t="s">
        <v>34</v>
      </c>
      <c r="B44" s="37" t="s">
        <v>35</v>
      </c>
      <c r="C44" s="38">
        <v>0</v>
      </c>
      <c r="D44" s="39">
        <v>0</v>
      </c>
      <c r="E44" s="40">
        <v>1</v>
      </c>
      <c r="F44" s="41">
        <f>C44*D44*E44</f>
        <v>0</v>
      </c>
      <c r="G44" s="38">
        <f>C44*$B$7</f>
        <v>0</v>
      </c>
      <c r="H44" s="39">
        <v>0</v>
      </c>
      <c r="I44" s="40">
        <v>1</v>
      </c>
      <c r="J44" s="41">
        <f>G44*H44*I44</f>
        <v>0</v>
      </c>
      <c r="K44" s="38">
        <f t="shared" si="21"/>
        <v>0</v>
      </c>
      <c r="L44" s="39">
        <v>0</v>
      </c>
      <c r="M44" s="40">
        <v>1</v>
      </c>
      <c r="N44" s="41">
        <f>K44*L44*M44</f>
        <v>0</v>
      </c>
      <c r="O44" s="38">
        <f>K44*$B$7</f>
        <v>0</v>
      </c>
      <c r="P44" s="39">
        <v>0</v>
      </c>
      <c r="Q44" s="40">
        <v>1</v>
      </c>
      <c r="R44" s="41">
        <f>O44*P44*Q44</f>
        <v>0</v>
      </c>
      <c r="S44" s="38">
        <f>O44*$B$7</f>
        <v>0</v>
      </c>
      <c r="T44" s="39">
        <v>0</v>
      </c>
      <c r="U44" s="40">
        <v>1</v>
      </c>
      <c r="V44" s="41">
        <f>S44*T44*U44</f>
        <v>0</v>
      </c>
      <c r="W44" s="63">
        <f t="shared" si="26"/>
        <v>0</v>
      </c>
      <c r="X44" s="43"/>
      <c r="Y44" s="31"/>
      <c r="Z44" s="44"/>
      <c r="AA44" s="44"/>
      <c r="AE44" s="7">
        <v>180</v>
      </c>
      <c r="AF44" s="45" t="s">
        <v>16</v>
      </c>
      <c r="AG44" s="45" t="s">
        <v>17</v>
      </c>
      <c r="AH44" s="46"/>
      <c r="AJ44" s="47"/>
    </row>
    <row r="45" spans="1:36" outlineLevel="1" x14ac:dyDescent="0.55000000000000004">
      <c r="A45" s="95"/>
      <c r="B45" s="56"/>
      <c r="F45" s="41"/>
      <c r="J45" s="41"/>
      <c r="N45" s="41"/>
      <c r="R45" s="41"/>
      <c r="V45" s="41"/>
      <c r="W45" s="61"/>
      <c r="AE45" s="7"/>
      <c r="AF45" s="45"/>
      <c r="AG45" s="45"/>
    </row>
    <row r="46" spans="1:36" ht="18.3" x14ac:dyDescent="0.7">
      <c r="A46" s="96" t="s">
        <v>36</v>
      </c>
      <c r="B46" s="68"/>
      <c r="C46" s="69"/>
      <c r="D46" s="97"/>
      <c r="E46" s="73"/>
      <c r="F46" s="72">
        <f>SUM(F38:F45)</f>
        <v>0</v>
      </c>
      <c r="G46" s="69"/>
      <c r="H46" s="97"/>
      <c r="I46" s="98"/>
      <c r="J46" s="72">
        <f>SUM(J38:J45)</f>
        <v>0</v>
      </c>
      <c r="K46" s="69"/>
      <c r="L46" s="97"/>
      <c r="M46" s="73"/>
      <c r="N46" s="72">
        <f>SUM(N38:N45)</f>
        <v>0</v>
      </c>
      <c r="O46" s="69"/>
      <c r="P46" s="97"/>
      <c r="Q46" s="73"/>
      <c r="R46" s="72">
        <f>SUM(R38:R45)</f>
        <v>0</v>
      </c>
      <c r="S46" s="69"/>
      <c r="T46" s="97"/>
      <c r="U46" s="73"/>
      <c r="V46" s="72">
        <f>SUM(V38:V45)</f>
        <v>0</v>
      </c>
      <c r="W46" s="72">
        <f>SUM(W38:W45)</f>
        <v>0</v>
      </c>
      <c r="X46" s="7"/>
      <c r="Y46" s="7"/>
      <c r="Z46" s="7"/>
      <c r="AA46" s="7"/>
      <c r="AB46" s="7"/>
      <c r="AE46" s="7"/>
      <c r="AF46" s="32"/>
      <c r="AG46" s="32" t="s">
        <v>13</v>
      </c>
      <c r="AH46" s="32"/>
    </row>
    <row r="47" spans="1:36" ht="15.6" outlineLevel="1" x14ac:dyDescent="0.6">
      <c r="A47" s="33" t="s">
        <v>37</v>
      </c>
      <c r="B47" s="99"/>
      <c r="D47" s="100"/>
      <c r="E47" s="102"/>
      <c r="F47" s="82"/>
      <c r="H47" s="100"/>
      <c r="I47" s="101"/>
      <c r="J47" s="82"/>
      <c r="L47" s="100"/>
      <c r="M47" s="102"/>
      <c r="N47" s="82"/>
      <c r="P47" s="100"/>
      <c r="Q47" s="102"/>
      <c r="R47" s="82"/>
      <c r="T47" s="100"/>
      <c r="U47" s="102"/>
      <c r="V47" s="82"/>
      <c r="W47" s="61"/>
      <c r="AE47" s="7"/>
      <c r="AF47" s="45"/>
      <c r="AG47" s="103"/>
    </row>
    <row r="48" spans="1:36" ht="15.6" outlineLevel="1" x14ac:dyDescent="0.6">
      <c r="A48" s="104" t="s">
        <v>38</v>
      </c>
      <c r="B48" s="37" t="s">
        <v>39</v>
      </c>
      <c r="C48" s="38">
        <v>0</v>
      </c>
      <c r="D48" s="39">
        <v>0</v>
      </c>
      <c r="E48" s="40">
        <v>1</v>
      </c>
      <c r="F48" s="41">
        <f>C48*D48*E48</f>
        <v>0</v>
      </c>
      <c r="G48" s="38">
        <f>C48</f>
        <v>0</v>
      </c>
      <c r="H48" s="39">
        <v>0</v>
      </c>
      <c r="I48" s="40">
        <v>1</v>
      </c>
      <c r="J48" s="41">
        <f>G48*H48*I48</f>
        <v>0</v>
      </c>
      <c r="K48" s="38">
        <f>G48</f>
        <v>0</v>
      </c>
      <c r="L48" s="39">
        <v>0</v>
      </c>
      <c r="M48" s="40">
        <v>1</v>
      </c>
      <c r="N48" s="41">
        <f>K48*L48*M48</f>
        <v>0</v>
      </c>
      <c r="O48" s="38">
        <f>G48</f>
        <v>0</v>
      </c>
      <c r="P48" s="39">
        <v>0</v>
      </c>
      <c r="Q48" s="40">
        <v>1</v>
      </c>
      <c r="R48" s="41">
        <f>O48*P48*Q48</f>
        <v>0</v>
      </c>
      <c r="S48" s="38">
        <f>K48</f>
        <v>0</v>
      </c>
      <c r="T48" s="39">
        <v>0</v>
      </c>
      <c r="U48" s="40">
        <v>1</v>
      </c>
      <c r="V48" s="41">
        <f>S48*T48*U48</f>
        <v>0</v>
      </c>
      <c r="W48" s="63">
        <f t="shared" ref="W48:W53" si="27">F48+J48+N48+V48+R48</f>
        <v>0</v>
      </c>
      <c r="AE48" s="7"/>
      <c r="AF48" s="45"/>
      <c r="AG48" s="103"/>
    </row>
    <row r="49" spans="1:33" ht="15.6" outlineLevel="1" x14ac:dyDescent="0.6">
      <c r="A49" s="104" t="s">
        <v>38</v>
      </c>
      <c r="B49" s="37" t="s">
        <v>40</v>
      </c>
      <c r="C49" s="38">
        <v>0</v>
      </c>
      <c r="D49" s="39">
        <v>0</v>
      </c>
      <c r="E49" s="40">
        <v>1</v>
      </c>
      <c r="F49" s="41">
        <f t="shared" ref="F49:F53" si="28">C49*D49*E49</f>
        <v>0</v>
      </c>
      <c r="G49" s="38">
        <f t="shared" ref="G49:G53" si="29">C49</f>
        <v>0</v>
      </c>
      <c r="H49" s="39">
        <v>0</v>
      </c>
      <c r="I49" s="40">
        <v>1</v>
      </c>
      <c r="J49" s="41">
        <f t="shared" ref="J49:J53" si="30">G49*H49*I49</f>
        <v>0</v>
      </c>
      <c r="K49" s="38">
        <f t="shared" ref="K49:K53" si="31">G49</f>
        <v>0</v>
      </c>
      <c r="L49" s="39">
        <v>0</v>
      </c>
      <c r="M49" s="40">
        <v>1</v>
      </c>
      <c r="N49" s="41">
        <f t="shared" ref="N49:N53" si="32">K49*L49*M49</f>
        <v>0</v>
      </c>
      <c r="O49" s="38">
        <f t="shared" ref="O49:O53" si="33">G49</f>
        <v>0</v>
      </c>
      <c r="P49" s="39">
        <v>0</v>
      </c>
      <c r="Q49" s="40">
        <v>1</v>
      </c>
      <c r="R49" s="41">
        <f t="shared" ref="R49:R53" si="34">O49*P49*Q49</f>
        <v>0</v>
      </c>
      <c r="S49" s="38">
        <f>K49</f>
        <v>0</v>
      </c>
      <c r="T49" s="39">
        <v>0</v>
      </c>
      <c r="U49" s="40">
        <v>1</v>
      </c>
      <c r="V49" s="41">
        <f t="shared" ref="V49:V53" si="35">S49*T49*U49</f>
        <v>0</v>
      </c>
      <c r="W49" s="63">
        <f t="shared" si="27"/>
        <v>0</v>
      </c>
      <c r="AE49" s="7"/>
      <c r="AF49" s="45"/>
      <c r="AG49" s="103"/>
    </row>
    <row r="50" spans="1:33" ht="15.6" outlineLevel="1" x14ac:dyDescent="0.6">
      <c r="A50" s="104" t="s">
        <v>38</v>
      </c>
      <c r="B50" s="37" t="s">
        <v>41</v>
      </c>
      <c r="C50" s="38">
        <v>0</v>
      </c>
      <c r="D50" s="39">
        <v>0</v>
      </c>
      <c r="E50" s="40">
        <v>1</v>
      </c>
      <c r="F50" s="41">
        <f t="shared" si="28"/>
        <v>0</v>
      </c>
      <c r="G50" s="38">
        <f t="shared" si="29"/>
        <v>0</v>
      </c>
      <c r="H50" s="39">
        <v>0</v>
      </c>
      <c r="I50" s="40">
        <v>1</v>
      </c>
      <c r="J50" s="41">
        <f t="shared" si="30"/>
        <v>0</v>
      </c>
      <c r="K50" s="38">
        <f t="shared" si="31"/>
        <v>0</v>
      </c>
      <c r="L50" s="39">
        <v>0</v>
      </c>
      <c r="M50" s="40">
        <v>1</v>
      </c>
      <c r="N50" s="41">
        <f t="shared" si="32"/>
        <v>0</v>
      </c>
      <c r="O50" s="38">
        <f t="shared" si="33"/>
        <v>0</v>
      </c>
      <c r="P50" s="39">
        <v>0</v>
      </c>
      <c r="Q50" s="40">
        <v>1</v>
      </c>
      <c r="R50" s="41">
        <f t="shared" si="34"/>
        <v>0</v>
      </c>
      <c r="S50" s="38">
        <f t="shared" ref="S50:S53" si="36">K50</f>
        <v>0</v>
      </c>
      <c r="T50" s="39">
        <v>0</v>
      </c>
      <c r="U50" s="40">
        <v>1</v>
      </c>
      <c r="V50" s="41">
        <f t="shared" si="35"/>
        <v>0</v>
      </c>
      <c r="W50" s="63">
        <f t="shared" si="27"/>
        <v>0</v>
      </c>
      <c r="AE50" s="7"/>
      <c r="AF50" s="45"/>
      <c r="AG50" s="103"/>
    </row>
    <row r="51" spans="1:33" ht="15.6" outlineLevel="1" x14ac:dyDescent="0.6">
      <c r="A51" s="104" t="s">
        <v>38</v>
      </c>
      <c r="B51" s="37" t="s">
        <v>15</v>
      </c>
      <c r="C51" s="38">
        <v>0</v>
      </c>
      <c r="D51" s="39">
        <v>0</v>
      </c>
      <c r="E51" s="40">
        <v>1</v>
      </c>
      <c r="F51" s="41">
        <f t="shared" si="28"/>
        <v>0</v>
      </c>
      <c r="G51" s="38">
        <f t="shared" si="29"/>
        <v>0</v>
      </c>
      <c r="H51" s="39">
        <v>0</v>
      </c>
      <c r="I51" s="40">
        <v>1</v>
      </c>
      <c r="J51" s="41">
        <f t="shared" si="30"/>
        <v>0</v>
      </c>
      <c r="K51" s="38">
        <f t="shared" si="31"/>
        <v>0</v>
      </c>
      <c r="L51" s="39">
        <v>0</v>
      </c>
      <c r="M51" s="40">
        <v>1</v>
      </c>
      <c r="N51" s="41">
        <f t="shared" si="32"/>
        <v>0</v>
      </c>
      <c r="O51" s="38">
        <f t="shared" si="33"/>
        <v>0</v>
      </c>
      <c r="P51" s="39">
        <v>0</v>
      </c>
      <c r="Q51" s="40">
        <v>1</v>
      </c>
      <c r="R51" s="41">
        <f t="shared" si="34"/>
        <v>0</v>
      </c>
      <c r="S51" s="38">
        <f t="shared" si="36"/>
        <v>0</v>
      </c>
      <c r="T51" s="39">
        <v>0</v>
      </c>
      <c r="U51" s="40">
        <v>1</v>
      </c>
      <c r="V51" s="41">
        <f t="shared" si="35"/>
        <v>0</v>
      </c>
      <c r="W51" s="63">
        <f t="shared" si="27"/>
        <v>0</v>
      </c>
      <c r="AE51" s="7"/>
      <c r="AF51" s="45"/>
      <c r="AG51" s="103"/>
    </row>
    <row r="52" spans="1:33" ht="15.6" outlineLevel="1" x14ac:dyDescent="0.6">
      <c r="A52" s="104" t="s">
        <v>38</v>
      </c>
      <c r="B52" s="37" t="s">
        <v>40</v>
      </c>
      <c r="C52" s="38">
        <v>0</v>
      </c>
      <c r="D52" s="39">
        <v>0</v>
      </c>
      <c r="E52" s="40">
        <v>1</v>
      </c>
      <c r="F52" s="41">
        <f t="shared" si="28"/>
        <v>0</v>
      </c>
      <c r="G52" s="38">
        <f t="shared" si="29"/>
        <v>0</v>
      </c>
      <c r="H52" s="39">
        <v>0</v>
      </c>
      <c r="I52" s="40">
        <v>1</v>
      </c>
      <c r="J52" s="41">
        <f t="shared" si="30"/>
        <v>0</v>
      </c>
      <c r="K52" s="38">
        <f t="shared" si="31"/>
        <v>0</v>
      </c>
      <c r="L52" s="39">
        <v>0</v>
      </c>
      <c r="M52" s="40">
        <v>1</v>
      </c>
      <c r="N52" s="41">
        <f t="shared" si="32"/>
        <v>0</v>
      </c>
      <c r="O52" s="38">
        <f t="shared" si="33"/>
        <v>0</v>
      </c>
      <c r="P52" s="39">
        <v>0</v>
      </c>
      <c r="Q52" s="40">
        <v>1</v>
      </c>
      <c r="R52" s="41">
        <f t="shared" si="34"/>
        <v>0</v>
      </c>
      <c r="S52" s="38">
        <f t="shared" si="36"/>
        <v>0</v>
      </c>
      <c r="T52" s="39">
        <v>0</v>
      </c>
      <c r="U52" s="40">
        <v>1</v>
      </c>
      <c r="V52" s="41">
        <f t="shared" si="35"/>
        <v>0</v>
      </c>
      <c r="W52" s="63">
        <f t="shared" si="27"/>
        <v>0</v>
      </c>
      <c r="AE52" s="7"/>
      <c r="AF52" s="45"/>
      <c r="AG52" s="103"/>
    </row>
    <row r="53" spans="1:33" ht="15.6" outlineLevel="1" x14ac:dyDescent="0.6">
      <c r="A53" s="104" t="s">
        <v>38</v>
      </c>
      <c r="B53" s="37" t="s">
        <v>15</v>
      </c>
      <c r="C53" s="38">
        <v>0</v>
      </c>
      <c r="D53" s="39">
        <v>0</v>
      </c>
      <c r="E53" s="40">
        <v>1</v>
      </c>
      <c r="F53" s="41">
        <f t="shared" si="28"/>
        <v>0</v>
      </c>
      <c r="G53" s="38">
        <f t="shared" si="29"/>
        <v>0</v>
      </c>
      <c r="H53" s="39">
        <v>0</v>
      </c>
      <c r="I53" s="40">
        <v>1</v>
      </c>
      <c r="J53" s="41">
        <f t="shared" si="30"/>
        <v>0</v>
      </c>
      <c r="K53" s="38">
        <f t="shared" si="31"/>
        <v>0</v>
      </c>
      <c r="L53" s="39">
        <v>0</v>
      </c>
      <c r="M53" s="40">
        <v>1</v>
      </c>
      <c r="N53" s="41">
        <f t="shared" si="32"/>
        <v>0</v>
      </c>
      <c r="O53" s="38">
        <f t="shared" si="33"/>
        <v>0</v>
      </c>
      <c r="P53" s="39">
        <v>0</v>
      </c>
      <c r="Q53" s="40">
        <v>1</v>
      </c>
      <c r="R53" s="41">
        <f t="shared" si="34"/>
        <v>0</v>
      </c>
      <c r="S53" s="38">
        <f t="shared" si="36"/>
        <v>0</v>
      </c>
      <c r="T53" s="39">
        <v>0</v>
      </c>
      <c r="U53" s="40">
        <v>1</v>
      </c>
      <c r="V53" s="41">
        <f t="shared" si="35"/>
        <v>0</v>
      </c>
      <c r="W53" s="63">
        <f t="shared" si="27"/>
        <v>0</v>
      </c>
      <c r="AE53" s="7"/>
      <c r="AF53" s="45"/>
      <c r="AG53" s="103"/>
    </row>
    <row r="54" spans="1:33" ht="15.6" outlineLevel="1" x14ac:dyDescent="0.6">
      <c r="A54" s="104"/>
      <c r="B54" s="37"/>
      <c r="C54" s="38"/>
      <c r="D54" s="39"/>
      <c r="E54" s="40"/>
      <c r="F54" s="41"/>
      <c r="G54" s="38"/>
      <c r="H54" s="39"/>
      <c r="I54" s="40"/>
      <c r="J54" s="41"/>
      <c r="K54" s="38"/>
      <c r="L54" s="39"/>
      <c r="M54" s="40"/>
      <c r="N54" s="41"/>
      <c r="O54" s="38"/>
      <c r="P54" s="39"/>
      <c r="Q54" s="40"/>
      <c r="R54" s="41"/>
      <c r="S54" s="38"/>
      <c r="T54" s="39"/>
      <c r="U54" s="40"/>
      <c r="V54" s="41"/>
      <c r="W54" s="63"/>
      <c r="AE54" s="7"/>
      <c r="AF54" s="45"/>
      <c r="AG54" s="103"/>
    </row>
    <row r="55" spans="1:33" ht="18.3" outlineLevel="1" x14ac:dyDescent="0.7">
      <c r="A55" s="96" t="s">
        <v>42</v>
      </c>
      <c r="B55" s="68"/>
      <c r="C55" s="69"/>
      <c r="D55" s="97"/>
      <c r="E55" s="73"/>
      <c r="F55" s="72">
        <f>SUM(F48:F54)</f>
        <v>0</v>
      </c>
      <c r="G55" s="69"/>
      <c r="H55" s="97"/>
      <c r="I55" s="98"/>
      <c r="J55" s="72">
        <f>SUM(J48:J54)</f>
        <v>0</v>
      </c>
      <c r="K55" s="69"/>
      <c r="L55" s="97"/>
      <c r="M55" s="73"/>
      <c r="N55" s="72">
        <f>SUM(N48:N54)</f>
        <v>0</v>
      </c>
      <c r="O55" s="69"/>
      <c r="P55" s="97"/>
      <c r="Q55" s="73"/>
      <c r="R55" s="72">
        <f>SUM(R48:R54)</f>
        <v>0</v>
      </c>
      <c r="S55" s="69"/>
      <c r="T55" s="97"/>
      <c r="U55" s="73"/>
      <c r="V55" s="72">
        <f>SUM(V48:V54)</f>
        <v>0</v>
      </c>
      <c r="W55" s="72">
        <f>SUM(W48:W54)</f>
        <v>0</v>
      </c>
      <c r="AE55" s="7"/>
      <c r="AF55" s="45"/>
      <c r="AG55" s="103"/>
    </row>
    <row r="56" spans="1:33" ht="15.6" outlineLevel="1" x14ac:dyDescent="0.6">
      <c r="A56" s="33" t="s">
        <v>43</v>
      </c>
      <c r="B56" s="105"/>
      <c r="D56" s="100"/>
      <c r="F56" s="61"/>
      <c r="H56" s="100"/>
      <c r="J56" s="61"/>
      <c r="L56" s="100"/>
      <c r="N56" s="61"/>
      <c r="P56" s="100"/>
      <c r="R56" s="61"/>
      <c r="T56" s="100"/>
      <c r="V56" s="61"/>
      <c r="W56" s="61"/>
      <c r="AE56" s="7"/>
    </row>
    <row r="57" spans="1:33" outlineLevel="1" x14ac:dyDescent="0.55000000000000004">
      <c r="A57" s="36" t="s">
        <v>44</v>
      </c>
      <c r="B57" s="56"/>
      <c r="D57" s="106"/>
      <c r="E57" s="4"/>
      <c r="F57" s="41">
        <f t="shared" ref="F57" si="37">C57*D57*E57</f>
        <v>0</v>
      </c>
      <c r="H57" s="106"/>
      <c r="J57" s="41">
        <f t="shared" ref="J57" si="38">G57*H57*I57</f>
        <v>0</v>
      </c>
      <c r="L57" s="106"/>
      <c r="M57" s="4"/>
      <c r="N57" s="41">
        <f t="shared" ref="N57" si="39">K57*L57*M57</f>
        <v>0</v>
      </c>
      <c r="P57" s="106"/>
      <c r="Q57" s="4"/>
      <c r="R57" s="41">
        <f t="shared" ref="R57" si="40">O57*P57*Q57</f>
        <v>0</v>
      </c>
      <c r="T57" s="106"/>
      <c r="U57" s="4"/>
      <c r="V57" s="41">
        <f t="shared" ref="V57" si="41">S57*T57*U57</f>
        <v>0</v>
      </c>
      <c r="W57" s="63">
        <f t="shared" ref="W57" si="42">F57+J57+N57+V57+R57</f>
        <v>0</v>
      </c>
      <c r="AE57" s="7">
        <v>298</v>
      </c>
      <c r="AF57" s="45" t="s">
        <v>45</v>
      </c>
      <c r="AG57" s="45" t="s">
        <v>46</v>
      </c>
    </row>
    <row r="58" spans="1:33" ht="18.3" outlineLevel="1" x14ac:dyDescent="0.7">
      <c r="A58" s="96" t="s">
        <v>47</v>
      </c>
      <c r="B58" s="68"/>
      <c r="C58" s="69"/>
      <c r="D58" s="97"/>
      <c r="E58" s="73"/>
      <c r="F58" s="72">
        <f>SUM(F57:F57)</f>
        <v>0</v>
      </c>
      <c r="G58" s="69"/>
      <c r="H58" s="97"/>
      <c r="I58" s="98"/>
      <c r="J58" s="72">
        <f>SUM(J57:J57)</f>
        <v>0</v>
      </c>
      <c r="K58" s="69"/>
      <c r="L58" s="97"/>
      <c r="M58" s="73"/>
      <c r="N58" s="72">
        <f>SUM(N57:N57)</f>
        <v>0</v>
      </c>
      <c r="O58" s="69"/>
      <c r="P58" s="97"/>
      <c r="Q58" s="73"/>
      <c r="R58" s="72">
        <f>SUM(R57:R57)</f>
        <v>0</v>
      </c>
      <c r="S58" s="69"/>
      <c r="T58" s="97"/>
      <c r="U58" s="73"/>
      <c r="V58" s="72">
        <f>SUM(V57:V57)</f>
        <v>0</v>
      </c>
      <c r="W58" s="74" t="e">
        <f>+#REF!+F58+J58+N58+V58</f>
        <v>#REF!</v>
      </c>
      <c r="AE58" s="7"/>
      <c r="AF58" s="45"/>
      <c r="AG58" s="103"/>
    </row>
    <row r="59" spans="1:33" ht="15.6" outlineLevel="1" x14ac:dyDescent="0.6">
      <c r="A59" s="33" t="s">
        <v>48</v>
      </c>
      <c r="B59" s="56"/>
      <c r="D59" s="100"/>
      <c r="E59" s="4"/>
      <c r="F59" s="41"/>
      <c r="H59" s="100"/>
      <c r="J59" s="41"/>
      <c r="L59" s="100"/>
      <c r="M59" s="4"/>
      <c r="N59" s="41"/>
      <c r="P59" s="100"/>
      <c r="Q59" s="4"/>
      <c r="R59" s="41"/>
      <c r="T59" s="100"/>
      <c r="U59" s="4"/>
      <c r="V59" s="41"/>
      <c r="W59" s="61"/>
      <c r="AE59" s="7"/>
      <c r="AF59" s="45"/>
      <c r="AG59" s="45"/>
    </row>
    <row r="60" spans="1:33" ht="15.6" outlineLevel="1" x14ac:dyDescent="0.6">
      <c r="A60" s="104" t="s">
        <v>38</v>
      </c>
      <c r="B60" s="37" t="s">
        <v>15</v>
      </c>
      <c r="C60" s="38">
        <v>0</v>
      </c>
      <c r="D60" s="39">
        <v>0</v>
      </c>
      <c r="E60" s="40">
        <v>1</v>
      </c>
      <c r="F60" s="41">
        <f t="shared" ref="F60:F62" si="43">C60*D60*E60</f>
        <v>0</v>
      </c>
      <c r="G60" s="38">
        <f>C60*$B$7</f>
        <v>0</v>
      </c>
      <c r="H60" s="39">
        <v>0</v>
      </c>
      <c r="I60" s="40">
        <v>1</v>
      </c>
      <c r="J60" s="41">
        <f t="shared" ref="J60:J62" si="44">G60*H60*I60</f>
        <v>0</v>
      </c>
      <c r="K60" s="38">
        <f>G60*$B$7</f>
        <v>0</v>
      </c>
      <c r="L60" s="39">
        <v>0</v>
      </c>
      <c r="M60" s="40">
        <v>1</v>
      </c>
      <c r="N60" s="41">
        <f t="shared" ref="N60:N62" si="45">K60*L60*M60</f>
        <v>0</v>
      </c>
      <c r="O60" s="38">
        <f>K60*$B$7</f>
        <v>0</v>
      </c>
      <c r="P60" s="39">
        <v>0</v>
      </c>
      <c r="Q60" s="40">
        <v>1</v>
      </c>
      <c r="R60" s="41">
        <f t="shared" ref="R60:R63" si="46">O60*P60*Q60</f>
        <v>0</v>
      </c>
      <c r="S60" s="38">
        <f>O60*$B$7</f>
        <v>0</v>
      </c>
      <c r="T60" s="39">
        <v>0</v>
      </c>
      <c r="U60" s="40">
        <v>1</v>
      </c>
      <c r="V60" s="41">
        <f t="shared" ref="V60:V62" si="47">S60*T60*U60</f>
        <v>0</v>
      </c>
      <c r="W60" s="63">
        <f t="shared" ref="W60:W63" si="48">F60+J60+N60+V60+R60</f>
        <v>0</v>
      </c>
      <c r="AE60" s="7"/>
      <c r="AF60" s="45"/>
      <c r="AG60" s="103"/>
    </row>
    <row r="61" spans="1:33" ht="15.6" outlineLevel="1" x14ac:dyDescent="0.6">
      <c r="A61" s="104" t="s">
        <v>38</v>
      </c>
      <c r="B61" s="37" t="s">
        <v>15</v>
      </c>
      <c r="C61" s="38">
        <v>0</v>
      </c>
      <c r="D61" s="39">
        <v>0</v>
      </c>
      <c r="E61" s="40">
        <v>1</v>
      </c>
      <c r="F61" s="41">
        <f t="shared" si="43"/>
        <v>0</v>
      </c>
      <c r="G61" s="38">
        <f t="shared" ref="G61:G63" si="49">C61*$B$7</f>
        <v>0</v>
      </c>
      <c r="H61" s="39">
        <v>0</v>
      </c>
      <c r="I61" s="40">
        <v>1</v>
      </c>
      <c r="J61" s="41">
        <f t="shared" si="44"/>
        <v>0</v>
      </c>
      <c r="K61" s="38">
        <f t="shared" ref="K61:K63" si="50">G61*$B$7</f>
        <v>0</v>
      </c>
      <c r="L61" s="39">
        <v>0</v>
      </c>
      <c r="M61" s="40">
        <v>1</v>
      </c>
      <c r="N61" s="41">
        <f t="shared" si="45"/>
        <v>0</v>
      </c>
      <c r="O61" s="38">
        <f t="shared" ref="O61:O63" si="51">K61*$B$7</f>
        <v>0</v>
      </c>
      <c r="P61" s="39">
        <v>0</v>
      </c>
      <c r="Q61" s="40">
        <v>1</v>
      </c>
      <c r="R61" s="41">
        <f t="shared" si="46"/>
        <v>0</v>
      </c>
      <c r="S61" s="38">
        <f t="shared" ref="S61:S63" si="52">O61*$B$7</f>
        <v>0</v>
      </c>
      <c r="T61" s="39">
        <v>0</v>
      </c>
      <c r="U61" s="40">
        <v>1</v>
      </c>
      <c r="V61" s="41">
        <f t="shared" si="47"/>
        <v>0</v>
      </c>
      <c r="W61" s="63">
        <f t="shared" si="48"/>
        <v>0</v>
      </c>
      <c r="AE61" s="7"/>
      <c r="AF61" s="45"/>
      <c r="AG61" s="103"/>
    </row>
    <row r="62" spans="1:33" ht="15.6" outlineLevel="1" x14ac:dyDescent="0.6">
      <c r="A62" s="104" t="s">
        <v>38</v>
      </c>
      <c r="B62" s="37" t="s">
        <v>15</v>
      </c>
      <c r="C62" s="38">
        <v>0</v>
      </c>
      <c r="D62" s="39">
        <v>0</v>
      </c>
      <c r="E62" s="40">
        <v>1</v>
      </c>
      <c r="F62" s="41">
        <f t="shared" si="43"/>
        <v>0</v>
      </c>
      <c r="G62" s="38">
        <f t="shared" si="49"/>
        <v>0</v>
      </c>
      <c r="H62" s="39">
        <v>0</v>
      </c>
      <c r="I62" s="40">
        <v>1</v>
      </c>
      <c r="J62" s="41">
        <f t="shared" si="44"/>
        <v>0</v>
      </c>
      <c r="K62" s="38">
        <f t="shared" si="50"/>
        <v>0</v>
      </c>
      <c r="L62" s="39">
        <v>0</v>
      </c>
      <c r="M62" s="40">
        <v>1</v>
      </c>
      <c r="N62" s="41">
        <f t="shared" si="45"/>
        <v>0</v>
      </c>
      <c r="O62" s="38">
        <f t="shared" si="51"/>
        <v>0</v>
      </c>
      <c r="P62" s="39">
        <v>0</v>
      </c>
      <c r="Q62" s="40">
        <v>1</v>
      </c>
      <c r="R62" s="41">
        <f t="shared" si="46"/>
        <v>0</v>
      </c>
      <c r="S62" s="38">
        <f t="shared" si="52"/>
        <v>0</v>
      </c>
      <c r="T62" s="39">
        <v>0</v>
      </c>
      <c r="U62" s="40">
        <v>1</v>
      </c>
      <c r="V62" s="41">
        <f t="shared" si="47"/>
        <v>0</v>
      </c>
      <c r="W62" s="63">
        <f t="shared" si="48"/>
        <v>0</v>
      </c>
      <c r="AE62" s="7"/>
      <c r="AF62" s="45"/>
      <c r="AG62" s="103"/>
    </row>
    <row r="63" spans="1:33" ht="15.6" outlineLevel="1" x14ac:dyDescent="0.6">
      <c r="A63" s="104" t="s">
        <v>38</v>
      </c>
      <c r="B63" s="37" t="s">
        <v>15</v>
      </c>
      <c r="C63" s="38">
        <v>0</v>
      </c>
      <c r="D63" s="39">
        <v>0</v>
      </c>
      <c r="E63" s="40">
        <v>1</v>
      </c>
      <c r="F63" s="41">
        <f t="shared" ref="F63" si="53">C63*D63*E63</f>
        <v>0</v>
      </c>
      <c r="G63" s="38">
        <f t="shared" si="49"/>
        <v>0</v>
      </c>
      <c r="H63" s="39">
        <v>0</v>
      </c>
      <c r="I63" s="40">
        <v>1</v>
      </c>
      <c r="J63" s="41">
        <f t="shared" ref="J63" si="54">G63*H63*I63</f>
        <v>0</v>
      </c>
      <c r="K63" s="38">
        <f t="shared" si="50"/>
        <v>0</v>
      </c>
      <c r="L63" s="39">
        <v>0</v>
      </c>
      <c r="M63" s="40">
        <v>1</v>
      </c>
      <c r="N63" s="41">
        <f t="shared" ref="N63" si="55">K63*L63*M63</f>
        <v>0</v>
      </c>
      <c r="O63" s="38">
        <f t="shared" si="51"/>
        <v>0</v>
      </c>
      <c r="P63" s="39">
        <v>0</v>
      </c>
      <c r="Q63" s="40">
        <v>1</v>
      </c>
      <c r="R63" s="41">
        <f t="shared" si="46"/>
        <v>0</v>
      </c>
      <c r="S63" s="38">
        <f t="shared" si="52"/>
        <v>0</v>
      </c>
      <c r="T63" s="39">
        <v>0</v>
      </c>
      <c r="U63" s="40">
        <v>1</v>
      </c>
      <c r="V63" s="41">
        <f t="shared" ref="V63" si="56">S63*T63*U63</f>
        <v>0</v>
      </c>
      <c r="W63" s="63">
        <f t="shared" si="48"/>
        <v>0</v>
      </c>
      <c r="AE63" s="7"/>
      <c r="AF63" s="45"/>
      <c r="AG63" s="103"/>
    </row>
    <row r="64" spans="1:33" ht="18.3" outlineLevel="1" x14ac:dyDescent="0.7">
      <c r="A64" s="96" t="s">
        <v>49</v>
      </c>
      <c r="B64" s="68"/>
      <c r="C64" s="69"/>
      <c r="D64" s="97"/>
      <c r="E64" s="73"/>
      <c r="F64" s="72">
        <f>SUM(F59:F63)</f>
        <v>0</v>
      </c>
      <c r="G64" s="69"/>
      <c r="H64" s="97"/>
      <c r="I64" s="98"/>
      <c r="J64" s="72">
        <f>SUM(J59:J63)</f>
        <v>0</v>
      </c>
      <c r="K64" s="69"/>
      <c r="L64" s="97"/>
      <c r="M64" s="73"/>
      <c r="N64" s="72">
        <f>SUM(N59:N63)</f>
        <v>0</v>
      </c>
      <c r="O64" s="69"/>
      <c r="P64" s="97"/>
      <c r="Q64" s="73"/>
      <c r="R64" s="72">
        <f>SUM(R59:R63)</f>
        <v>0</v>
      </c>
      <c r="S64" s="69"/>
      <c r="T64" s="97"/>
      <c r="U64" s="73"/>
      <c r="V64" s="72">
        <f>SUM(V59:V63)</f>
        <v>0</v>
      </c>
      <c r="W64" s="72">
        <f>SUM(W59:W63)</f>
        <v>0</v>
      </c>
      <c r="AE64" s="7">
        <v>236</v>
      </c>
      <c r="AF64" s="45" t="s">
        <v>50</v>
      </c>
      <c r="AG64" s="103" t="s">
        <v>51</v>
      </c>
    </row>
    <row r="65" spans="1:33" ht="15.6" outlineLevel="1" x14ac:dyDescent="0.6">
      <c r="A65" s="33" t="s">
        <v>52</v>
      </c>
      <c r="B65" s="99"/>
      <c r="D65" s="100"/>
      <c r="E65" s="102"/>
      <c r="F65" s="82"/>
      <c r="H65" s="100"/>
      <c r="I65" s="101"/>
      <c r="J65" s="82"/>
      <c r="L65" s="100"/>
      <c r="M65" s="102"/>
      <c r="N65" s="82"/>
      <c r="P65" s="100"/>
      <c r="Q65" s="102"/>
      <c r="R65" s="82"/>
      <c r="T65" s="100"/>
      <c r="U65" s="102"/>
      <c r="V65" s="82"/>
      <c r="W65" s="61"/>
      <c r="AE65" s="7">
        <v>236</v>
      </c>
      <c r="AF65" s="45" t="s">
        <v>50</v>
      </c>
      <c r="AG65" s="103" t="s">
        <v>51</v>
      </c>
    </row>
    <row r="66" spans="1:33" ht="15.6" outlineLevel="1" x14ac:dyDescent="0.6">
      <c r="A66" s="104" t="s">
        <v>53</v>
      </c>
      <c r="B66" s="37" t="s">
        <v>39</v>
      </c>
      <c r="C66" s="38">
        <v>0</v>
      </c>
      <c r="D66" s="39">
        <v>0</v>
      </c>
      <c r="E66" s="40">
        <v>1</v>
      </c>
      <c r="F66" s="41">
        <f t="shared" ref="F66:F67" si="57">C66*D66*E66</f>
        <v>0</v>
      </c>
      <c r="G66" s="38">
        <f t="shared" ref="G66:G67" si="58">C66*$B$7</f>
        <v>0</v>
      </c>
      <c r="H66" s="39">
        <v>0</v>
      </c>
      <c r="I66" s="40">
        <v>1</v>
      </c>
      <c r="J66" s="41">
        <f t="shared" ref="J66:J67" si="59">G66*H66*I66</f>
        <v>0</v>
      </c>
      <c r="K66" s="38">
        <f t="shared" ref="K66:K67" si="60">G66*$B$7</f>
        <v>0</v>
      </c>
      <c r="L66" s="39">
        <v>0</v>
      </c>
      <c r="M66" s="40">
        <v>1</v>
      </c>
      <c r="N66" s="41">
        <f t="shared" ref="N66:N67" si="61">K66*L66*M66</f>
        <v>0</v>
      </c>
      <c r="O66" s="38">
        <f t="shared" ref="O66:O67" si="62">K66*$B$7</f>
        <v>0</v>
      </c>
      <c r="P66" s="39">
        <v>0</v>
      </c>
      <c r="Q66" s="40">
        <v>1</v>
      </c>
      <c r="R66" s="41">
        <f t="shared" ref="R66:R67" si="63">O66*P66*Q66</f>
        <v>0</v>
      </c>
      <c r="S66" s="38">
        <f t="shared" ref="S66:S67" si="64">O66*$B$7</f>
        <v>0</v>
      </c>
      <c r="T66" s="39">
        <v>0</v>
      </c>
      <c r="U66" s="40">
        <v>1</v>
      </c>
      <c r="V66" s="41">
        <f t="shared" ref="V66:V67" si="65">S66*T66*U66</f>
        <v>0</v>
      </c>
      <c r="W66" s="63">
        <f t="shared" ref="W66" si="66">F66+J66+N66+V66+R66</f>
        <v>0</v>
      </c>
      <c r="AE66" s="7"/>
      <c r="AF66" s="45"/>
      <c r="AG66" s="103"/>
    </row>
    <row r="67" spans="1:33" ht="15.6" outlineLevel="1" x14ac:dyDescent="0.6">
      <c r="A67" s="104" t="s">
        <v>38</v>
      </c>
      <c r="B67" s="37" t="s">
        <v>39</v>
      </c>
      <c r="C67" s="38">
        <v>0</v>
      </c>
      <c r="D67" s="39">
        <v>0</v>
      </c>
      <c r="E67" s="40">
        <v>1</v>
      </c>
      <c r="F67" s="41">
        <f t="shared" si="57"/>
        <v>0</v>
      </c>
      <c r="G67" s="38">
        <f t="shared" si="58"/>
        <v>0</v>
      </c>
      <c r="H67" s="39">
        <v>0</v>
      </c>
      <c r="I67" s="40">
        <v>1</v>
      </c>
      <c r="J67" s="41">
        <f t="shared" si="59"/>
        <v>0</v>
      </c>
      <c r="K67" s="38">
        <f t="shared" si="60"/>
        <v>0</v>
      </c>
      <c r="L67" s="39">
        <v>0</v>
      </c>
      <c r="M67" s="40">
        <v>1</v>
      </c>
      <c r="N67" s="41">
        <f t="shared" si="61"/>
        <v>0</v>
      </c>
      <c r="O67" s="38">
        <f t="shared" si="62"/>
        <v>0</v>
      </c>
      <c r="P67" s="39">
        <v>0</v>
      </c>
      <c r="Q67" s="40">
        <v>1</v>
      </c>
      <c r="R67" s="41">
        <f t="shared" si="63"/>
        <v>0</v>
      </c>
      <c r="S67" s="38">
        <f t="shared" si="64"/>
        <v>0</v>
      </c>
      <c r="T67" s="39">
        <v>0</v>
      </c>
      <c r="U67" s="40">
        <v>1</v>
      </c>
      <c r="V67" s="41">
        <f t="shared" si="65"/>
        <v>0</v>
      </c>
      <c r="W67" s="63">
        <f t="shared" ref="W67" si="67">F67+J67+N67+V67+R67</f>
        <v>0</v>
      </c>
      <c r="AE67" s="7"/>
      <c r="AF67" s="45"/>
      <c r="AG67" s="45"/>
    </row>
    <row r="68" spans="1:33" outlineLevel="1" x14ac:dyDescent="0.55000000000000004">
      <c r="A68" s="36"/>
      <c r="B68" s="56"/>
      <c r="D68" s="106"/>
      <c r="E68" s="4"/>
      <c r="F68" s="41"/>
      <c r="H68" s="106"/>
      <c r="J68" s="41"/>
      <c r="L68" s="106"/>
      <c r="M68" s="4"/>
      <c r="N68" s="41"/>
      <c r="P68" s="106"/>
      <c r="Q68" s="4"/>
      <c r="R68" s="41"/>
      <c r="T68" s="106"/>
      <c r="U68" s="4"/>
      <c r="V68" s="41"/>
      <c r="W68" s="61"/>
      <c r="AE68" s="7"/>
      <c r="AF68" s="45"/>
      <c r="AG68" s="45"/>
    </row>
    <row r="69" spans="1:33" ht="18.3" outlineLevel="1" x14ac:dyDescent="0.7">
      <c r="A69" s="96" t="s">
        <v>54</v>
      </c>
      <c r="B69" s="68"/>
      <c r="C69" s="69"/>
      <c r="D69" s="97"/>
      <c r="E69" s="73"/>
      <c r="F69" s="72">
        <f>SUM(F66:F68)</f>
        <v>0</v>
      </c>
      <c r="G69" s="69"/>
      <c r="H69" s="97"/>
      <c r="I69" s="98"/>
      <c r="J69" s="72">
        <f>SUM(J66:J68)</f>
        <v>0</v>
      </c>
      <c r="K69" s="69"/>
      <c r="L69" s="97"/>
      <c r="M69" s="73"/>
      <c r="N69" s="72">
        <f>SUM(N66:N68)</f>
        <v>0</v>
      </c>
      <c r="O69" s="69"/>
      <c r="P69" s="97"/>
      <c r="Q69" s="73"/>
      <c r="R69" s="72">
        <f>SUM(R66:R68)</f>
        <v>0</v>
      </c>
      <c r="S69" s="69"/>
      <c r="T69" s="97"/>
      <c r="U69" s="73"/>
      <c r="V69" s="72">
        <f>SUM(V66:V68)</f>
        <v>0</v>
      </c>
      <c r="W69" s="72">
        <f>SUM(W66:W68)</f>
        <v>0</v>
      </c>
      <c r="AE69" s="7"/>
      <c r="AF69" s="45"/>
      <c r="AG69" s="103"/>
    </row>
    <row r="70" spans="1:33" ht="15.6" outlineLevel="1" x14ac:dyDescent="0.6">
      <c r="A70" s="107" t="s">
        <v>55</v>
      </c>
      <c r="B70" s="56"/>
      <c r="C70" s="108"/>
      <c r="D70" s="109"/>
      <c r="F70" s="82"/>
      <c r="G70" s="108"/>
      <c r="H70" s="109"/>
      <c r="J70" s="82"/>
      <c r="K70" s="108"/>
      <c r="L70" s="109"/>
      <c r="N70" s="82"/>
      <c r="O70" s="108"/>
      <c r="P70" s="109"/>
      <c r="R70" s="82"/>
      <c r="S70" s="108"/>
      <c r="T70" s="109"/>
      <c r="V70" s="82"/>
      <c r="W70" s="61"/>
      <c r="AE70" s="7"/>
      <c r="AF70" s="45"/>
      <c r="AG70" s="103"/>
    </row>
    <row r="71" spans="1:33" ht="15.6" outlineLevel="1" x14ac:dyDescent="0.6">
      <c r="A71" s="33" t="s">
        <v>56</v>
      </c>
      <c r="B71" s="56"/>
      <c r="C71" s="108"/>
      <c r="D71" s="109"/>
      <c r="E71" s="4"/>
      <c r="F71" s="41"/>
      <c r="G71" s="108"/>
      <c r="H71" s="109"/>
      <c r="J71" s="41"/>
      <c r="K71" s="108"/>
      <c r="L71" s="109"/>
      <c r="M71" s="4"/>
      <c r="N71" s="41"/>
      <c r="O71" s="108"/>
      <c r="P71" s="109"/>
      <c r="Q71" s="4"/>
      <c r="R71" s="41"/>
      <c r="S71" s="108"/>
      <c r="T71" s="109"/>
      <c r="U71" s="4"/>
      <c r="V71" s="41"/>
      <c r="W71" s="61"/>
      <c r="AE71" s="7"/>
      <c r="AF71" s="45"/>
      <c r="AG71" s="103"/>
    </row>
    <row r="72" spans="1:33" ht="15.6" outlineLevel="1" x14ac:dyDescent="0.6">
      <c r="A72" s="104" t="s">
        <v>38</v>
      </c>
      <c r="B72" s="37" t="s">
        <v>56</v>
      </c>
      <c r="C72" s="38">
        <v>0</v>
      </c>
      <c r="D72" s="39">
        <v>0</v>
      </c>
      <c r="E72" s="40">
        <v>1</v>
      </c>
      <c r="F72" s="41">
        <f t="shared" ref="F72:F75" si="68">C72*D72*E72</f>
        <v>0</v>
      </c>
      <c r="G72" s="38">
        <f t="shared" ref="G72:G75" si="69">C72*$B$7</f>
        <v>0</v>
      </c>
      <c r="H72" s="39">
        <v>0</v>
      </c>
      <c r="I72" s="40">
        <v>1</v>
      </c>
      <c r="J72" s="41">
        <f t="shared" ref="J72:J75" si="70">G72*H72*I72</f>
        <v>0</v>
      </c>
      <c r="K72" s="38">
        <f>G72*$B$7</f>
        <v>0</v>
      </c>
      <c r="L72" s="39">
        <v>0</v>
      </c>
      <c r="M72" s="40">
        <v>1</v>
      </c>
      <c r="N72" s="41">
        <f t="shared" ref="N72:N75" si="71">K72*L72*M72</f>
        <v>0</v>
      </c>
      <c r="O72" s="38">
        <f>K72*$B$7</f>
        <v>0</v>
      </c>
      <c r="P72" s="39">
        <v>0</v>
      </c>
      <c r="Q72" s="40">
        <v>1</v>
      </c>
      <c r="R72" s="41">
        <f t="shared" ref="R72:R75" si="72">O72*P72*Q72</f>
        <v>0</v>
      </c>
      <c r="S72" s="38">
        <f>O72*$B$7</f>
        <v>0</v>
      </c>
      <c r="T72" s="39">
        <v>0</v>
      </c>
      <c r="U72" s="40">
        <v>1</v>
      </c>
      <c r="V72" s="41">
        <f t="shared" ref="V72:V75" si="73">S72*T72*U72</f>
        <v>0</v>
      </c>
      <c r="W72" s="63">
        <f t="shared" ref="W72:W75" si="74">F72+J72+N72+V72+R72</f>
        <v>0</v>
      </c>
      <c r="AE72" s="7"/>
      <c r="AF72" s="45"/>
      <c r="AG72" s="103"/>
    </row>
    <row r="73" spans="1:33" ht="15.6" outlineLevel="1" x14ac:dyDescent="0.6">
      <c r="A73" s="104" t="s">
        <v>38</v>
      </c>
      <c r="B73" s="37" t="s">
        <v>56</v>
      </c>
      <c r="C73" s="38">
        <v>0</v>
      </c>
      <c r="D73" s="39">
        <v>0</v>
      </c>
      <c r="E73" s="40">
        <v>1</v>
      </c>
      <c r="F73" s="41">
        <f t="shared" si="68"/>
        <v>0</v>
      </c>
      <c r="G73" s="38">
        <f t="shared" si="69"/>
        <v>0</v>
      </c>
      <c r="H73" s="39">
        <v>0</v>
      </c>
      <c r="I73" s="40">
        <v>1</v>
      </c>
      <c r="J73" s="41">
        <f t="shared" si="70"/>
        <v>0</v>
      </c>
      <c r="K73" s="38">
        <f t="shared" ref="K73:K75" si="75">G73*$B$7</f>
        <v>0</v>
      </c>
      <c r="L73" s="39">
        <v>0</v>
      </c>
      <c r="M73" s="40">
        <v>1</v>
      </c>
      <c r="N73" s="41">
        <f t="shared" si="71"/>
        <v>0</v>
      </c>
      <c r="O73" s="38">
        <f t="shared" ref="O73:O75" si="76">K73*$B$7</f>
        <v>0</v>
      </c>
      <c r="P73" s="39">
        <v>0</v>
      </c>
      <c r="Q73" s="40">
        <v>1</v>
      </c>
      <c r="R73" s="41">
        <f t="shared" si="72"/>
        <v>0</v>
      </c>
      <c r="S73" s="38">
        <f t="shared" ref="S73:S75" si="77">O73*$B$7</f>
        <v>0</v>
      </c>
      <c r="T73" s="39">
        <v>0</v>
      </c>
      <c r="U73" s="40">
        <v>1</v>
      </c>
      <c r="V73" s="41">
        <f t="shared" si="73"/>
        <v>0</v>
      </c>
      <c r="W73" s="63">
        <f t="shared" si="74"/>
        <v>0</v>
      </c>
      <c r="AE73" s="7"/>
      <c r="AF73" s="45"/>
      <c r="AG73" s="103"/>
    </row>
    <row r="74" spans="1:33" ht="15.6" outlineLevel="1" x14ac:dyDescent="0.6">
      <c r="A74" s="104" t="s">
        <v>38</v>
      </c>
      <c r="B74" s="37" t="s">
        <v>56</v>
      </c>
      <c r="C74" s="38">
        <v>0</v>
      </c>
      <c r="D74" s="39">
        <v>0</v>
      </c>
      <c r="E74" s="40">
        <v>1</v>
      </c>
      <c r="F74" s="41">
        <f t="shared" si="68"/>
        <v>0</v>
      </c>
      <c r="G74" s="38">
        <f t="shared" si="69"/>
        <v>0</v>
      </c>
      <c r="H74" s="39">
        <v>0</v>
      </c>
      <c r="I74" s="40">
        <v>1</v>
      </c>
      <c r="J74" s="41">
        <f t="shared" si="70"/>
        <v>0</v>
      </c>
      <c r="K74" s="38">
        <f t="shared" si="75"/>
        <v>0</v>
      </c>
      <c r="L74" s="39">
        <v>0</v>
      </c>
      <c r="M74" s="40">
        <v>1</v>
      </c>
      <c r="N74" s="41">
        <f t="shared" si="71"/>
        <v>0</v>
      </c>
      <c r="O74" s="38">
        <f t="shared" si="76"/>
        <v>0</v>
      </c>
      <c r="P74" s="39">
        <v>0</v>
      </c>
      <c r="Q74" s="40">
        <v>1</v>
      </c>
      <c r="R74" s="41">
        <f t="shared" si="72"/>
        <v>0</v>
      </c>
      <c r="S74" s="38">
        <f t="shared" si="77"/>
        <v>0</v>
      </c>
      <c r="T74" s="39">
        <v>0</v>
      </c>
      <c r="U74" s="40">
        <v>1</v>
      </c>
      <c r="V74" s="41">
        <f t="shared" si="73"/>
        <v>0</v>
      </c>
      <c r="W74" s="63">
        <f t="shared" si="74"/>
        <v>0</v>
      </c>
      <c r="AE74" s="7"/>
      <c r="AF74" s="45"/>
      <c r="AG74" s="103"/>
    </row>
    <row r="75" spans="1:33" ht="15.6" outlineLevel="1" x14ac:dyDescent="0.6">
      <c r="A75" s="104" t="s">
        <v>38</v>
      </c>
      <c r="B75" s="37" t="s">
        <v>56</v>
      </c>
      <c r="C75" s="38">
        <v>0</v>
      </c>
      <c r="D75" s="39">
        <v>0</v>
      </c>
      <c r="E75" s="40">
        <v>1</v>
      </c>
      <c r="F75" s="41">
        <f t="shared" si="68"/>
        <v>0</v>
      </c>
      <c r="G75" s="38">
        <f t="shared" si="69"/>
        <v>0</v>
      </c>
      <c r="H75" s="39">
        <v>0</v>
      </c>
      <c r="I75" s="40">
        <v>1</v>
      </c>
      <c r="J75" s="41">
        <f t="shared" si="70"/>
        <v>0</v>
      </c>
      <c r="K75" s="38">
        <f t="shared" si="75"/>
        <v>0</v>
      </c>
      <c r="L75" s="39">
        <v>0</v>
      </c>
      <c r="M75" s="40">
        <v>1</v>
      </c>
      <c r="N75" s="41">
        <f t="shared" si="71"/>
        <v>0</v>
      </c>
      <c r="O75" s="38">
        <f t="shared" si="76"/>
        <v>0</v>
      </c>
      <c r="P75" s="39">
        <v>0</v>
      </c>
      <c r="Q75" s="40">
        <v>1</v>
      </c>
      <c r="R75" s="41">
        <f t="shared" si="72"/>
        <v>0</v>
      </c>
      <c r="S75" s="38">
        <f t="shared" si="77"/>
        <v>0</v>
      </c>
      <c r="T75" s="39">
        <v>0</v>
      </c>
      <c r="U75" s="40">
        <v>1</v>
      </c>
      <c r="V75" s="41">
        <f t="shared" si="73"/>
        <v>0</v>
      </c>
      <c r="W75" s="63">
        <f t="shared" si="74"/>
        <v>0</v>
      </c>
      <c r="AE75" s="7"/>
      <c r="AF75" s="45"/>
      <c r="AG75" s="103"/>
    </row>
    <row r="76" spans="1:33" ht="15.6" outlineLevel="1" x14ac:dyDescent="0.6">
      <c r="A76" s="110"/>
      <c r="B76" s="111"/>
      <c r="C76" s="112"/>
      <c r="D76" s="113"/>
      <c r="E76" s="114"/>
      <c r="F76" s="115"/>
      <c r="G76" s="112"/>
      <c r="H76" s="113"/>
      <c r="I76" s="114"/>
      <c r="J76" s="115"/>
      <c r="K76" s="112"/>
      <c r="L76" s="113"/>
      <c r="M76" s="114"/>
      <c r="N76" s="115"/>
      <c r="O76" s="112"/>
      <c r="P76" s="113"/>
      <c r="Q76" s="114"/>
      <c r="R76" s="115"/>
      <c r="S76" s="112"/>
      <c r="T76" s="113"/>
      <c r="U76" s="114"/>
      <c r="V76" s="115"/>
      <c r="W76" s="61"/>
      <c r="AE76" s="7"/>
      <c r="AF76" s="45"/>
      <c r="AG76" s="103"/>
    </row>
    <row r="77" spans="1:33" ht="18.3" outlineLevel="1" x14ac:dyDescent="0.7">
      <c r="A77" s="116" t="s">
        <v>57</v>
      </c>
      <c r="B77" s="68"/>
      <c r="C77" s="85"/>
      <c r="D77" s="86"/>
      <c r="E77" s="89"/>
      <c r="F77" s="88">
        <f>SUM(F72:F76)</f>
        <v>0</v>
      </c>
      <c r="G77" s="85"/>
      <c r="H77" s="86"/>
      <c r="I77" s="117"/>
      <c r="J77" s="88">
        <f>SUM(J72:J76)</f>
        <v>0</v>
      </c>
      <c r="K77" s="85"/>
      <c r="L77" s="86"/>
      <c r="M77" s="89"/>
      <c r="N77" s="88">
        <f>SUM(N72:N76)</f>
        <v>0</v>
      </c>
      <c r="O77" s="85"/>
      <c r="P77" s="86"/>
      <c r="Q77" s="89"/>
      <c r="R77" s="88">
        <f>SUM(R72:R76)</f>
        <v>0</v>
      </c>
      <c r="S77" s="85"/>
      <c r="T77" s="86"/>
      <c r="U77" s="89"/>
      <c r="V77" s="88">
        <f>SUM(V72:V76)</f>
        <v>0</v>
      </c>
      <c r="W77" s="88">
        <f>SUM(W72:W76)</f>
        <v>0</v>
      </c>
      <c r="AE77" s="7">
        <v>250</v>
      </c>
      <c r="AF77" s="45" t="s">
        <v>58</v>
      </c>
      <c r="AG77" s="103" t="s">
        <v>59</v>
      </c>
    </row>
    <row r="78" spans="1:33" ht="15.6" outlineLevel="1" x14ac:dyDescent="0.6">
      <c r="A78" s="118"/>
      <c r="B78" s="81"/>
      <c r="C78" s="108"/>
      <c r="D78" s="109"/>
      <c r="F78" s="61"/>
      <c r="G78" s="108"/>
      <c r="H78" s="109"/>
      <c r="J78" s="61"/>
      <c r="K78" s="108"/>
      <c r="L78" s="109"/>
      <c r="N78" s="61"/>
      <c r="O78" s="108"/>
      <c r="P78" s="109"/>
      <c r="R78" s="61"/>
      <c r="S78" s="108"/>
      <c r="T78" s="109"/>
      <c r="V78" s="61"/>
      <c r="W78" s="61"/>
      <c r="AE78" s="7">
        <v>317</v>
      </c>
      <c r="AF78" s="45" t="s">
        <v>60</v>
      </c>
      <c r="AG78" s="103" t="s">
        <v>61</v>
      </c>
    </row>
    <row r="79" spans="1:33" ht="18.3" outlineLevel="1" x14ac:dyDescent="0.7">
      <c r="A79" s="119" t="s">
        <v>62</v>
      </c>
      <c r="B79" s="120"/>
      <c r="C79" s="121"/>
      <c r="D79" s="122"/>
      <c r="E79" s="125"/>
      <c r="F79" s="124">
        <f>F33+F37+F46+F64+F69+F55+F77</f>
        <v>0</v>
      </c>
      <c r="G79" s="121"/>
      <c r="H79" s="122"/>
      <c r="I79" s="123"/>
      <c r="J79" s="124">
        <f>J33+J37+J46+J64+J69+J55+J77</f>
        <v>0</v>
      </c>
      <c r="K79" s="121"/>
      <c r="L79" s="122"/>
      <c r="M79" s="125"/>
      <c r="N79" s="124">
        <f>N33+N37+N46+N64+N69+N55+N77</f>
        <v>0</v>
      </c>
      <c r="O79" s="121"/>
      <c r="P79" s="122"/>
      <c r="Q79" s="125"/>
      <c r="R79" s="124">
        <f>R33+R37+R46+R64+R69+R55+R77</f>
        <v>0</v>
      </c>
      <c r="S79" s="121"/>
      <c r="T79" s="122"/>
      <c r="U79" s="125"/>
      <c r="V79" s="124">
        <f>V33+V37+V46+V64+V69+V55+V77</f>
        <v>0</v>
      </c>
      <c r="W79" s="124">
        <f>W33+W37+W46+W64+W69+W55+W77</f>
        <v>0</v>
      </c>
      <c r="AE79" s="7">
        <v>318</v>
      </c>
      <c r="AF79" s="45" t="s">
        <v>63</v>
      </c>
      <c r="AG79" s="103" t="s">
        <v>64</v>
      </c>
    </row>
    <row r="80" spans="1:33" x14ac:dyDescent="0.55000000000000004">
      <c r="A80" s="126"/>
      <c r="B80" s="81"/>
      <c r="C80" s="108"/>
      <c r="D80" s="109"/>
      <c r="F80" s="61"/>
      <c r="G80" s="108"/>
      <c r="H80" s="109"/>
      <c r="J80" s="61"/>
      <c r="K80" s="108"/>
      <c r="L80" s="109"/>
      <c r="N80" s="61"/>
      <c r="O80" s="108"/>
      <c r="P80" s="109"/>
      <c r="R80" s="61"/>
      <c r="S80" s="108"/>
      <c r="T80" s="109"/>
      <c r="V80" s="61"/>
      <c r="W80" s="61"/>
    </row>
    <row r="81" spans="1:23" ht="20.399999999999999" x14ac:dyDescent="0.75">
      <c r="A81" s="127" t="s">
        <v>65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8"/>
    </row>
    <row r="82" spans="1:23" ht="15" customHeight="1" x14ac:dyDescent="0.7">
      <c r="A82" s="130" t="s">
        <v>66</v>
      </c>
      <c r="B82" s="131" t="s">
        <v>20</v>
      </c>
      <c r="C82" s="38">
        <v>0</v>
      </c>
      <c r="D82" s="39">
        <v>1</v>
      </c>
      <c r="E82" s="40">
        <v>0.15</v>
      </c>
      <c r="F82" s="41">
        <f>C82*D82*E82</f>
        <v>0</v>
      </c>
      <c r="G82" s="177">
        <f>J79</f>
        <v>0</v>
      </c>
      <c r="H82" s="39">
        <v>1</v>
      </c>
      <c r="I82" s="40">
        <f>E82</f>
        <v>0.15</v>
      </c>
      <c r="J82" s="41">
        <f>G82*H82*I82</f>
        <v>0</v>
      </c>
      <c r="K82" s="38">
        <f>N79</f>
        <v>0</v>
      </c>
      <c r="L82" s="39">
        <v>1</v>
      </c>
      <c r="M82" s="40">
        <f>E82</f>
        <v>0.15</v>
      </c>
      <c r="N82" s="41">
        <f>K82*L82*M82</f>
        <v>0</v>
      </c>
      <c r="O82" s="38">
        <f>R79</f>
        <v>0</v>
      </c>
      <c r="P82" s="39">
        <v>1</v>
      </c>
      <c r="Q82" s="40">
        <f>E82</f>
        <v>0.15</v>
      </c>
      <c r="R82" s="41">
        <f>O82*P82*Q82</f>
        <v>0</v>
      </c>
      <c r="S82" s="38">
        <f>V79</f>
        <v>0</v>
      </c>
      <c r="T82" s="39">
        <v>1</v>
      </c>
      <c r="U82" s="40">
        <f>E82</f>
        <v>0.15</v>
      </c>
      <c r="V82" s="41">
        <f>S82*T82*U82</f>
        <v>0</v>
      </c>
      <c r="W82" s="63">
        <f t="shared" ref="W82" si="78">F82+J82+N82+V82+R82</f>
        <v>0</v>
      </c>
    </row>
    <row r="83" spans="1:23" x14ac:dyDescent="0.55000000000000004">
      <c r="A83" s="132"/>
      <c r="B83" s="81"/>
      <c r="C83" s="133"/>
      <c r="D83" s="134"/>
      <c r="E83" s="42"/>
      <c r="F83" s="41"/>
      <c r="G83" s="133"/>
      <c r="H83" s="134"/>
      <c r="I83" s="135"/>
      <c r="J83" s="41"/>
      <c r="K83" s="133"/>
      <c r="L83" s="134"/>
      <c r="M83" s="42"/>
      <c r="N83" s="41"/>
      <c r="O83" s="133"/>
      <c r="P83" s="134"/>
      <c r="Q83" s="42"/>
      <c r="R83" s="41"/>
      <c r="S83" s="133"/>
      <c r="T83" s="134"/>
      <c r="U83" s="42"/>
      <c r="V83" s="41"/>
      <c r="W83" s="61"/>
    </row>
    <row r="84" spans="1:23" ht="18.3" x14ac:dyDescent="0.7">
      <c r="A84" s="119" t="s">
        <v>67</v>
      </c>
      <c r="B84" s="120"/>
      <c r="C84" s="121"/>
      <c r="D84" s="122"/>
      <c r="E84" s="125"/>
      <c r="F84" s="124">
        <f>SUM(F82:F83)</f>
        <v>0</v>
      </c>
      <c r="G84" s="121"/>
      <c r="H84" s="122"/>
      <c r="I84" s="123"/>
      <c r="J84" s="124">
        <f>SUM(J82:J83)</f>
        <v>0</v>
      </c>
      <c r="K84" s="121"/>
      <c r="L84" s="122"/>
      <c r="M84" s="125"/>
      <c r="N84" s="124">
        <f>SUM(N82:N83)</f>
        <v>0</v>
      </c>
      <c r="O84" s="121"/>
      <c r="P84" s="122"/>
      <c r="Q84" s="125"/>
      <c r="R84" s="124">
        <f>SUM(R82:R83)</f>
        <v>0</v>
      </c>
      <c r="S84" s="121"/>
      <c r="T84" s="122"/>
      <c r="U84" s="125"/>
      <c r="V84" s="124">
        <f>SUM(V82:V83)</f>
        <v>0</v>
      </c>
      <c r="W84" s="124">
        <f>SUM(W82:W83)</f>
        <v>0</v>
      </c>
    </row>
    <row r="85" spans="1:23" x14ac:dyDescent="0.55000000000000004">
      <c r="A85" s="41"/>
      <c r="B85" s="81"/>
      <c r="C85" s="133"/>
      <c r="D85" s="134"/>
      <c r="E85" s="42"/>
      <c r="F85" s="41"/>
      <c r="G85" s="133"/>
      <c r="H85" s="134"/>
      <c r="I85" s="135"/>
      <c r="J85" s="41"/>
      <c r="K85" s="133"/>
      <c r="L85" s="134"/>
      <c r="M85" s="42"/>
      <c r="N85" s="41"/>
      <c r="O85" s="133"/>
      <c r="P85" s="134"/>
      <c r="Q85" s="42"/>
      <c r="R85" s="41"/>
      <c r="S85" s="133"/>
      <c r="T85" s="134"/>
      <c r="U85" s="42"/>
      <c r="V85" s="41"/>
      <c r="W85" s="61"/>
    </row>
    <row r="86" spans="1:23" ht="18.3" x14ac:dyDescent="0.7">
      <c r="A86" s="136" t="s">
        <v>68</v>
      </c>
      <c r="B86" s="137"/>
      <c r="C86" s="138"/>
      <c r="D86" s="139"/>
      <c r="E86" s="142"/>
      <c r="F86" s="141">
        <f>F79+F84</f>
        <v>0</v>
      </c>
      <c r="G86" s="138"/>
      <c r="H86" s="139"/>
      <c r="I86" s="140"/>
      <c r="J86" s="141">
        <f>J79+J84</f>
        <v>0</v>
      </c>
      <c r="K86" s="138"/>
      <c r="L86" s="139"/>
      <c r="M86" s="142"/>
      <c r="N86" s="141">
        <f>N79+N84</f>
        <v>0</v>
      </c>
      <c r="O86" s="138"/>
      <c r="P86" s="139"/>
      <c r="Q86" s="142"/>
      <c r="R86" s="141">
        <f>R79+R84</f>
        <v>0</v>
      </c>
      <c r="S86" s="138"/>
      <c r="T86" s="139"/>
      <c r="U86" s="142"/>
      <c r="V86" s="141">
        <f>V79+V84</f>
        <v>0</v>
      </c>
      <c r="W86" s="143">
        <f t="shared" ref="W86:W88" si="79">F86+J86+N86+V86+R86</f>
        <v>0</v>
      </c>
    </row>
    <row r="87" spans="1:23" ht="15.6" x14ac:dyDescent="0.6">
      <c r="A87" s="144" t="s">
        <v>69</v>
      </c>
      <c r="B87" s="145"/>
      <c r="C87" s="146"/>
      <c r="D87" s="147"/>
      <c r="E87" s="148"/>
      <c r="F87" s="115">
        <f t="shared" ref="F87" si="80">C87*D87*E87</f>
        <v>0</v>
      </c>
      <c r="G87" s="146"/>
      <c r="H87" s="147"/>
      <c r="I87" s="114"/>
      <c r="J87" s="115">
        <f t="shared" ref="J87" si="81">G87*H87*I87</f>
        <v>0</v>
      </c>
      <c r="K87" s="146"/>
      <c r="L87" s="147"/>
      <c r="M87" s="148"/>
      <c r="N87" s="115">
        <f t="shared" ref="N87" si="82">K87*L87*M87</f>
        <v>0</v>
      </c>
      <c r="O87" s="146"/>
      <c r="P87" s="147"/>
      <c r="Q87" s="148"/>
      <c r="R87" s="115">
        <f t="shared" ref="R87" si="83">O87*P87*Q87</f>
        <v>0</v>
      </c>
      <c r="S87" s="146"/>
      <c r="T87" s="147"/>
      <c r="U87" s="148"/>
      <c r="V87" s="115">
        <f t="shared" ref="V87" si="84">S87*T87*U87</f>
        <v>0</v>
      </c>
      <c r="W87" s="63">
        <f t="shared" si="79"/>
        <v>0</v>
      </c>
    </row>
    <row r="88" spans="1:23" ht="18.3" x14ac:dyDescent="0.7">
      <c r="A88" s="136" t="s">
        <v>70</v>
      </c>
      <c r="B88" s="137"/>
      <c r="C88" s="138"/>
      <c r="D88" s="139"/>
      <c r="E88" s="142"/>
      <c r="F88" s="141">
        <f>F86+F87</f>
        <v>0</v>
      </c>
      <c r="G88" s="138"/>
      <c r="H88" s="139"/>
      <c r="I88" s="140"/>
      <c r="J88" s="141">
        <f>J86+J87</f>
        <v>0</v>
      </c>
      <c r="K88" s="138"/>
      <c r="L88" s="139"/>
      <c r="M88" s="142"/>
      <c r="N88" s="141">
        <f>N86+N87</f>
        <v>0</v>
      </c>
      <c r="O88" s="138"/>
      <c r="P88" s="139"/>
      <c r="Q88" s="142"/>
      <c r="R88" s="141">
        <f>R86+R87</f>
        <v>0</v>
      </c>
      <c r="S88" s="138"/>
      <c r="T88" s="139"/>
      <c r="U88" s="142"/>
      <c r="V88" s="141">
        <f>V86+V87</f>
        <v>0</v>
      </c>
      <c r="W88" s="143">
        <f t="shared" si="79"/>
        <v>0</v>
      </c>
    </row>
    <row r="89" spans="1:23" x14ac:dyDescent="0.55000000000000004">
      <c r="A89" s="37"/>
      <c r="B89" s="37"/>
      <c r="W89" s="61"/>
    </row>
    <row r="90" spans="1:23" ht="31.2" x14ac:dyDescent="0.6">
      <c r="A90" s="149" t="s">
        <v>71</v>
      </c>
      <c r="B90" s="150"/>
      <c r="C90" s="151"/>
      <c r="D90" s="152"/>
      <c r="E90" s="154"/>
      <c r="F90" s="155"/>
      <c r="G90" s="151"/>
      <c r="H90" s="152"/>
      <c r="I90" s="153"/>
      <c r="J90" s="155"/>
      <c r="K90" s="151"/>
      <c r="L90" s="152"/>
      <c r="M90" s="154"/>
      <c r="N90" s="155"/>
      <c r="O90" s="151"/>
      <c r="P90" s="152"/>
      <c r="Q90" s="154"/>
      <c r="R90" s="155"/>
      <c r="S90" s="151"/>
      <c r="T90" s="152"/>
      <c r="U90" s="154"/>
      <c r="V90" s="155"/>
      <c r="W90" s="155"/>
    </row>
  </sheetData>
  <mergeCells count="12">
    <mergeCell ref="C2:W2"/>
    <mergeCell ref="C3:W3"/>
    <mergeCell ref="C4:W4"/>
    <mergeCell ref="C5:W5"/>
    <mergeCell ref="S10:V10"/>
    <mergeCell ref="W10:W11"/>
    <mergeCell ref="K10:N10"/>
    <mergeCell ref="O10:R10"/>
    <mergeCell ref="A10:A11"/>
    <mergeCell ref="B10:B11"/>
    <mergeCell ref="C10:F10"/>
    <mergeCell ref="G10:J10"/>
  </mergeCells>
  <printOptions horizontalCentered="1"/>
  <pageMargins left="0.25" right="0.25" top="0.75" bottom="0.75" header="0.3" footer="0.3"/>
  <pageSetup scale="34" orientation="landscape" r:id="rId1"/>
  <headerFooter alignWithMargins="0"/>
  <rowBreaks count="1" manualBreakCount="1">
    <brk id="85" max="1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8EDCE-D26D-4874-B413-3672ACBF1069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ceb09a40-ef32-4a87-9fbf-fded1049908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046b57c-59e1-4fa1-9b84-487c48408bb6"/>
  </ds:schemaRefs>
</ds:datastoreItem>
</file>

<file path=customXml/itemProps2.xml><?xml version="1.0" encoding="utf-8"?>
<ds:datastoreItem xmlns:ds="http://schemas.openxmlformats.org/officeDocument/2006/customXml" ds:itemID="{7D59148E-646D-4174-B523-4D9ADAD33F0E}"/>
</file>

<file path=customXml/itemProps3.xml><?xml version="1.0" encoding="utf-8"?>
<ds:datastoreItem xmlns:ds="http://schemas.openxmlformats.org/officeDocument/2006/customXml" ds:itemID="{CA4AFB6F-EF3A-4391-ACE5-9C1CCE1228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Activity XX</vt:lpstr>
      <vt:lpstr>'Activity XX'!Print_Area</vt:lpstr>
      <vt:lpstr>'Activity XX'!Print_Titles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2024-05-23T20:04:21Z</dcterms:created>
  <dcterms:modified xsi:type="dcterms:W3CDTF">2025-07-22T15:06:16Z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