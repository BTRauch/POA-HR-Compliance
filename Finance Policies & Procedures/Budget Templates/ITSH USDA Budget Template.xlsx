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ownloads\"/>
    </mc:Choice>
  </mc:AlternateContent>
  <xr:revisionPtr revIDLastSave="0" documentId="13_ncr:1_{FD25FB7F-65ED-4E01-BAE3-50E500550DBA}" xr6:coauthVersionLast="47" xr6:coauthVersionMax="47" xr10:uidLastSave="{00000000-0000-0000-0000-000000000000}"/>
  <bookViews>
    <workbookView xWindow="57480" yWindow="-120" windowWidth="29040" windowHeight="15720" xr2:uid="{C20F870F-D443-4DD1-8621-6336D948ED53}"/>
  </bookViews>
  <sheets>
    <sheet name="PRESUPUESTO GENERAL ITSH MGD" sheetId="1" r:id="rId1"/>
  </sheets>
  <externalReferences>
    <externalReference r:id="rId2"/>
    <externalReference r:id="rId3"/>
  </externalReferences>
  <definedNames>
    <definedName name="_xlnm._FilterDatabase" localSheetId="0" hidden="1">'PRESUPUESTO GENERAL ITSH MGD'!$B$3:$M$138</definedName>
    <definedName name="FullAct">'[2]Budget Lists'!$D$2:$D$39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1" i="1" l="1"/>
  <c r="I31" i="1" s="1"/>
  <c r="J31" i="1" s="1"/>
  <c r="G32" i="1"/>
  <c r="I32" i="1" s="1"/>
  <c r="J32" i="1" s="1"/>
  <c r="G33" i="1"/>
  <c r="I33" i="1" s="1"/>
  <c r="J33" i="1" s="1"/>
  <c r="G34" i="1"/>
  <c r="I34" i="1" s="1"/>
  <c r="J34" i="1" s="1"/>
  <c r="G35" i="1"/>
  <c r="I35" i="1" s="1"/>
  <c r="J35" i="1" s="1"/>
  <c r="G36" i="1"/>
  <c r="I36" i="1" s="1"/>
  <c r="J36" i="1" s="1"/>
  <c r="I37" i="1"/>
  <c r="J37" i="1" s="1"/>
  <c r="I38" i="1"/>
  <c r="J38" i="1" s="1"/>
  <c r="I39" i="1"/>
  <c r="J39" i="1"/>
  <c r="I40" i="1"/>
  <c r="J40" i="1"/>
  <c r="I41" i="1"/>
  <c r="J41" i="1" s="1"/>
  <c r="I42" i="1"/>
  <c r="J42" i="1" s="1"/>
  <c r="I43" i="1"/>
  <c r="J43" i="1" s="1"/>
  <c r="I44" i="1"/>
  <c r="J44" i="1" s="1"/>
  <c r="I45" i="1"/>
  <c r="J45" i="1"/>
  <c r="I46" i="1"/>
  <c r="J46" i="1"/>
  <c r="I47" i="1"/>
  <c r="J47" i="1"/>
  <c r="I48" i="1"/>
  <c r="J48" i="1" s="1"/>
  <c r="G134" i="1"/>
  <c r="I134" i="1" s="1"/>
  <c r="J134" i="1" s="1"/>
  <c r="G133" i="1"/>
  <c r="I133" i="1" s="1"/>
  <c r="J133" i="1" s="1"/>
  <c r="E163" i="1" s="1"/>
  <c r="G132" i="1"/>
  <c r="I132" i="1" s="1"/>
  <c r="J132" i="1" s="1"/>
  <c r="G131" i="1"/>
  <c r="I131" i="1" s="1"/>
  <c r="J131" i="1" s="1"/>
  <c r="G130" i="1"/>
  <c r="I130" i="1" s="1"/>
  <c r="J130" i="1" s="1"/>
  <c r="G129" i="1"/>
  <c r="I129" i="1" s="1"/>
  <c r="J129" i="1" s="1"/>
  <c r="E161" i="1" s="1"/>
  <c r="G128" i="1"/>
  <c r="I128" i="1" s="1"/>
  <c r="J128" i="1" s="1"/>
  <c r="G127" i="1"/>
  <c r="I127" i="1" s="1"/>
  <c r="J127" i="1" s="1"/>
  <c r="E160" i="1" s="1"/>
  <c r="G126" i="1"/>
  <c r="I126" i="1" s="1"/>
  <c r="J126" i="1" s="1"/>
  <c r="G125" i="1"/>
  <c r="I125" i="1" s="1"/>
  <c r="J125" i="1" s="1"/>
  <c r="E159" i="1" s="1"/>
  <c r="G124" i="1"/>
  <c r="I124" i="1" s="1"/>
  <c r="J124" i="1" s="1"/>
  <c r="G123" i="1"/>
  <c r="I123" i="1" s="1"/>
  <c r="G113" i="1"/>
  <c r="I113" i="1" s="1"/>
  <c r="J113" i="1" s="1"/>
  <c r="G112" i="1"/>
  <c r="I112" i="1" s="1"/>
  <c r="J112" i="1" s="1"/>
  <c r="G111" i="1"/>
  <c r="I111" i="1" s="1"/>
  <c r="J111" i="1" s="1"/>
  <c r="G110" i="1"/>
  <c r="I110" i="1" s="1"/>
  <c r="J110" i="1" s="1"/>
  <c r="G109" i="1"/>
  <c r="I109" i="1" s="1"/>
  <c r="J109" i="1" s="1"/>
  <c r="G108" i="1"/>
  <c r="I108" i="1" s="1"/>
  <c r="J108" i="1" s="1"/>
  <c r="G106" i="1"/>
  <c r="I106" i="1" s="1"/>
  <c r="J106" i="1" s="1"/>
  <c r="G105" i="1"/>
  <c r="I105" i="1" s="1"/>
  <c r="J105" i="1" s="1"/>
  <c r="G104" i="1"/>
  <c r="I104" i="1" s="1"/>
  <c r="J104" i="1" s="1"/>
  <c r="G103" i="1"/>
  <c r="I103" i="1" s="1"/>
  <c r="J103" i="1" s="1"/>
  <c r="G102" i="1"/>
  <c r="I102" i="1" s="1"/>
  <c r="J102" i="1" s="1"/>
  <c r="G101" i="1"/>
  <c r="I101" i="1" s="1"/>
  <c r="J101" i="1" s="1"/>
  <c r="G99" i="1"/>
  <c r="I99" i="1" s="1"/>
  <c r="J99" i="1" s="1"/>
  <c r="G98" i="1"/>
  <c r="I98" i="1" s="1"/>
  <c r="J98" i="1" s="1"/>
  <c r="G97" i="1"/>
  <c r="I97" i="1" s="1"/>
  <c r="J97" i="1" s="1"/>
  <c r="G96" i="1"/>
  <c r="I96" i="1" s="1"/>
  <c r="J96" i="1" s="1"/>
  <c r="G95" i="1"/>
  <c r="I95" i="1" s="1"/>
  <c r="J95" i="1" s="1"/>
  <c r="G94" i="1"/>
  <c r="I94" i="1" s="1"/>
  <c r="J94" i="1" s="1"/>
  <c r="G92" i="1"/>
  <c r="I92" i="1" s="1"/>
  <c r="J92" i="1" s="1"/>
  <c r="G91" i="1"/>
  <c r="I91" i="1" s="1"/>
  <c r="J91" i="1" s="1"/>
  <c r="G90" i="1"/>
  <c r="I90" i="1" s="1"/>
  <c r="J90" i="1" s="1"/>
  <c r="G89" i="1"/>
  <c r="I89" i="1" s="1"/>
  <c r="J89" i="1" s="1"/>
  <c r="G88" i="1"/>
  <c r="I88" i="1" s="1"/>
  <c r="J88" i="1" s="1"/>
  <c r="G87" i="1"/>
  <c r="I87" i="1" s="1"/>
  <c r="J87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28" i="1"/>
  <c r="J28" i="1" s="1"/>
  <c r="O28" i="1" s="1"/>
  <c r="I27" i="1"/>
  <c r="J27" i="1" s="1"/>
  <c r="O27" i="1" s="1"/>
  <c r="I25" i="1"/>
  <c r="J25" i="1" s="1"/>
  <c r="O25" i="1" s="1"/>
  <c r="I23" i="1"/>
  <c r="J23" i="1" s="1"/>
  <c r="O23" i="1" s="1"/>
  <c r="I22" i="1"/>
  <c r="J22" i="1" s="1"/>
  <c r="O22" i="1" s="1"/>
  <c r="I21" i="1"/>
  <c r="J21" i="1" s="1"/>
  <c r="O21" i="1" s="1"/>
  <c r="I20" i="1"/>
  <c r="J20" i="1" s="1"/>
  <c r="O20" i="1" s="1"/>
  <c r="I19" i="1"/>
  <c r="J19" i="1" s="1"/>
  <c r="O19" i="1" s="1"/>
  <c r="I18" i="1"/>
  <c r="J18" i="1" s="1"/>
  <c r="O18" i="1" s="1"/>
  <c r="I17" i="1"/>
  <c r="J17" i="1" s="1"/>
  <c r="O17" i="1" s="1"/>
  <c r="I16" i="1"/>
  <c r="J16" i="1" s="1"/>
  <c r="O16" i="1" s="1"/>
  <c r="I15" i="1"/>
  <c r="J15" i="1" s="1"/>
  <c r="O15" i="1" s="1"/>
  <c r="I14" i="1"/>
  <c r="J14" i="1" s="1"/>
  <c r="O14" i="1" s="1"/>
  <c r="I13" i="1"/>
  <c r="J13" i="1" s="1"/>
  <c r="O13" i="1" s="1"/>
  <c r="J12" i="1"/>
  <c r="I12" i="1"/>
  <c r="I9" i="1"/>
  <c r="J9" i="1" s="1"/>
  <c r="E156" i="1" s="1"/>
  <c r="I8" i="1"/>
  <c r="J8" i="1" s="1"/>
  <c r="E155" i="1" s="1"/>
  <c r="I7" i="1"/>
  <c r="J7" i="1" s="1"/>
  <c r="E154" i="1" s="1"/>
  <c r="I6" i="1"/>
  <c r="J6" i="1" s="1"/>
  <c r="E153" i="1" s="1"/>
  <c r="I5" i="1"/>
  <c r="J5" i="1" s="1"/>
  <c r="E152" i="1" s="1"/>
  <c r="I4" i="1"/>
  <c r="I11" i="1" s="1"/>
  <c r="I30" i="1" l="1"/>
  <c r="J30" i="1" s="1"/>
  <c r="J4" i="1"/>
  <c r="E151" i="1" s="1"/>
  <c r="E162" i="1"/>
  <c r="J123" i="1"/>
  <c r="E158" i="1" s="1"/>
  <c r="E164" i="1" s="1"/>
  <c r="I136" i="1"/>
  <c r="J136" i="1" s="1"/>
  <c r="J11" i="1"/>
  <c r="E157" i="1"/>
  <c r="E147" i="1"/>
  <c r="J142" i="1" s="1"/>
  <c r="E149" i="1"/>
  <c r="L142" i="1" s="1"/>
  <c r="E142" i="1"/>
  <c r="E143" i="1" s="1"/>
  <c r="E145" i="1"/>
  <c r="H142" i="1" s="1"/>
  <c r="G117" i="1"/>
  <c r="I117" i="1" s="1"/>
  <c r="J117" i="1" s="1"/>
  <c r="E146" i="1" s="1"/>
  <c r="I142" i="1" s="1"/>
  <c r="G118" i="1"/>
  <c r="I118" i="1" s="1"/>
  <c r="J118" i="1" s="1"/>
  <c r="G115" i="1"/>
  <c r="I115" i="1" s="1"/>
  <c r="J115" i="1" s="1"/>
  <c r="G119" i="1"/>
  <c r="I119" i="1" s="1"/>
  <c r="J119" i="1" s="1"/>
  <c r="E148" i="1" s="1"/>
  <c r="K142" i="1" s="1"/>
  <c r="O12" i="1"/>
  <c r="G116" i="1"/>
  <c r="I116" i="1" s="1"/>
  <c r="J116" i="1" s="1"/>
  <c r="G120" i="1"/>
  <c r="I120" i="1" s="1"/>
  <c r="J120" i="1" s="1"/>
  <c r="E144" i="1" l="1"/>
  <c r="E150" i="1" s="1"/>
  <c r="E166" i="1" s="1"/>
  <c r="I122" i="1"/>
  <c r="J122" i="1" l="1"/>
  <c r="J137" i="1" s="1"/>
  <c r="I137" i="1"/>
  <c r="J138" i="1" s="1"/>
  <c r="E169" i="1" s="1"/>
  <c r="G142" i="1"/>
</calcChain>
</file>

<file path=xl/sharedStrings.xml><?xml version="1.0" encoding="utf-8"?>
<sst xmlns="http://schemas.openxmlformats.org/spreadsheetml/2006/main" count="417" uniqueCount="118">
  <si>
    <t>AÑOS</t>
  </si>
  <si>
    <t>Sub Activity</t>
  </si>
  <si>
    <t>TIPO CAMBIO 20 MAYO 2025 US$26.00</t>
  </si>
  <si>
    <t>Account Code</t>
  </si>
  <si>
    <t>Project No</t>
  </si>
  <si>
    <t>Donor</t>
  </si>
  <si>
    <t>Alquiler de Almacén Central Mensual</t>
  </si>
  <si>
    <t>Warehouse</t>
  </si>
  <si>
    <t>mes</t>
  </si>
  <si>
    <t>Alquiler de Almacén Central de POA</t>
  </si>
  <si>
    <t>TOTAL WAREHOUSE</t>
  </si>
  <si>
    <t>Bolsas Hermeticas GRAIN PRO 50ME</t>
  </si>
  <si>
    <t>Supplies</t>
  </si>
  <si>
    <t>Unidad</t>
  </si>
  <si>
    <t>BOMBA PARA EXTRAER AIRE A BOLSAS GRAIN PRO</t>
  </si>
  <si>
    <t>BOMBA PARA FUMIGAR TAMAÑO 20 LTS.</t>
  </si>
  <si>
    <t>HERRAMIENTAS FERRETERIA(carreta,trocos,balanzas,palas,piochas,martillos,etc</t>
  </si>
  <si>
    <t xml:space="preserve">MUEBLE PARA GUARDAR HERRAMIENTAS </t>
  </si>
  <si>
    <t>BOTAS CON CUBO HIERRO</t>
  </si>
  <si>
    <t>Par</t>
  </si>
  <si>
    <t>GALONES PLASTICOS</t>
  </si>
  <si>
    <t>EXTINGUIDORES</t>
  </si>
  <si>
    <t>RAMPLAS</t>
  </si>
  <si>
    <t>SACOS</t>
  </si>
  <si>
    <t xml:space="preserve">CHALECOS CON SEGURIDAD CON CINTAS REFLECTORAS </t>
  </si>
  <si>
    <t xml:space="preserve">CASCOS PARA SEGURIDAD </t>
  </si>
  <si>
    <t>Kits de fumigación y prevención de enfermedades para almacén central y almacén asociado</t>
  </si>
  <si>
    <t>Kit</t>
  </si>
  <si>
    <t>Unidades</t>
  </si>
  <si>
    <t>Materiales impresos para el control de productos locales adquiridos, almacenados y distribuidos por redes educativas</t>
  </si>
  <si>
    <t>Material de Imprenta</t>
  </si>
  <si>
    <t>Bolsa LISA 24x37.5x3.5 Gruesa Fx80[P]</t>
  </si>
  <si>
    <t>Bolsa LISA 12x19x3.5 Gruesa Fx80[P]</t>
  </si>
  <si>
    <t>Suministros para el reembalaje de productos básicos para socios y redes educativas</t>
  </si>
  <si>
    <t>Libras</t>
  </si>
  <si>
    <t>TOTAL SUPPLIES</t>
  </si>
  <si>
    <t xml:space="preserve">Permisos fitosanitarios  Arroz,Frijol, Maiz y CSB Plus 1,670.000 Kilos </t>
  </si>
  <si>
    <t>Professional Services</t>
  </si>
  <si>
    <t>Kg</t>
  </si>
  <si>
    <t xml:space="preserve">Permisos fitosanitarios  Arroz,Frijol, Maiz y CSB Plus 2,030,000 Kilos </t>
  </si>
  <si>
    <t>kg</t>
  </si>
  <si>
    <t xml:space="preserve">Permisos fitosanitarios  Arroz,Frijol, Maiz y CSB Plus 1,030,000 Kilos </t>
  </si>
  <si>
    <t xml:space="preserve">Permisos fitosanitarios  Arroz,Frijol, Maiz y CSB Plus 500,000 Kilos </t>
  </si>
  <si>
    <t>Permisos Salud  Arroz,Frijol, Maiz, CSB Plus y Aceite</t>
  </si>
  <si>
    <t>Dispensas ( Abogado)</t>
  </si>
  <si>
    <t>Dispensas</t>
  </si>
  <si>
    <t>Service</t>
  </si>
  <si>
    <t xml:space="preserve"> </t>
  </si>
  <si>
    <t>Permisos fitosanitarios, Permisos de Salud y Dispensas</t>
  </si>
  <si>
    <t>Permisos</t>
  </si>
  <si>
    <t>Fumigacion Preventiva Bodega de POA en Siguatepeque 8104.24Metros Cubicos</t>
  </si>
  <si>
    <t>m3</t>
  </si>
  <si>
    <t>Fumigacion Preventiva Bodega de CRS en Siguatepeque Metros Cubicos</t>
  </si>
  <si>
    <t>Fumigacion por Plagas T.M.Bodega POA en Siguatepeque</t>
  </si>
  <si>
    <t>Fumigacion por Plagas T.M.Bodega CRS en Siguatepeque</t>
  </si>
  <si>
    <t>Servicios de fumigación preventiva en el almacén central al comienzo del año</t>
  </si>
  <si>
    <t>Metros cubicos y T.M.</t>
  </si>
  <si>
    <t>Gastos varios de la bodega (Limpiezas,reparaciones,Recargas Extintores,etc.)</t>
  </si>
  <si>
    <t>month</t>
  </si>
  <si>
    <t xml:space="preserve">Re-Empaque de 10,000 raciones para llevar voluntarios </t>
  </si>
  <si>
    <t>each</t>
  </si>
  <si>
    <t xml:space="preserve">Re-Empaque de 14,500 raciones para llevar voluntarios Preescolares </t>
  </si>
  <si>
    <t>Servicios de fumigación preventiva en almacenes secundarios al inicio del año</t>
  </si>
  <si>
    <t>Servicios de seguridad en el almacén central mensual</t>
  </si>
  <si>
    <t>Servicio de Seguridad del Almacén Central de POA</t>
  </si>
  <si>
    <t>Desaduanaje Alimentos CSB Plus,Arroz,Frijol, Maiz y Aceite</t>
  </si>
  <si>
    <t>Container</t>
  </si>
  <si>
    <t>Servicios de despacho de aduanas para productos básicos</t>
  </si>
  <si>
    <t>Contenedores</t>
  </si>
  <si>
    <t>Descarga y Estiba ,CSB Plus y Aceite Vegetal Bodega POA</t>
  </si>
  <si>
    <t>Descarga y Estiba ,CSB Plus y Aceite Vegetal</t>
  </si>
  <si>
    <t>Servicios de Descarga y Estiba en Almacén Central (CSB + y Aceite Vegetal)</t>
  </si>
  <si>
    <t>Descarga y Estiba ,Maiz,Frijol y Arroz Bodega POA</t>
  </si>
  <si>
    <t>Descarga y Estiba ,Maiz,Frijol y Arroz</t>
  </si>
  <si>
    <t>Servicios de Descarga y Estiba en Almacén Central (Maíz, Frijoles y Arroz)</t>
  </si>
  <si>
    <t>UNIDADES</t>
  </si>
  <si>
    <t>Servicios Descarga y Estiba en rutas de distribucion cinco alimentos</t>
  </si>
  <si>
    <t>each 100 punds</t>
  </si>
  <si>
    <t>Servicios de Descarga y Estiba en Rutas de distribucion  (Maíz, Frijoles ,Arroz CSB y Aceite)</t>
  </si>
  <si>
    <t>QUINTALES</t>
  </si>
  <si>
    <t>Surveyer Alimentos de CSB Plus,Arroz,Frijol ,Maiz  y Aceite</t>
  </si>
  <si>
    <t>Servicios de SURVEYER para productos básicos</t>
  </si>
  <si>
    <t>TOTAL PROFESSIONAL SERVICES</t>
  </si>
  <si>
    <t>each 100 pounds</t>
  </si>
  <si>
    <t>Transporte de Siguatepeque a Centros Escolares municipios de Intibuca</t>
  </si>
  <si>
    <t>Transportation</t>
  </si>
  <si>
    <t>Transporte de Siguatepeque a Centros Escolares municipios de la Paz</t>
  </si>
  <si>
    <t>Transporte de productos básicos desde el almacén central al almacén asociado y desde allí a los almacenes municipales o puntos de entrega</t>
  </si>
  <si>
    <t>TOTAL TRANSPORTATION</t>
  </si>
  <si>
    <t>GRAN TOTAL</t>
  </si>
  <si>
    <t>Supplies 2026</t>
  </si>
  <si>
    <t>Professional Services 2026</t>
  </si>
  <si>
    <t>Professional Services 2027</t>
  </si>
  <si>
    <t>Professional Services 2028</t>
  </si>
  <si>
    <t>Professional Services 2029</t>
  </si>
  <si>
    <t>Professional Services 2030</t>
  </si>
  <si>
    <t>Professional Services 2031</t>
  </si>
  <si>
    <t>Warehouse 2026</t>
  </si>
  <si>
    <t>Warehouse 2027</t>
  </si>
  <si>
    <t>Warehouse 2028</t>
  </si>
  <si>
    <t>Warehouse 2029</t>
  </si>
  <si>
    <t>Warehouse 2030</t>
  </si>
  <si>
    <t>Warehouse 2031</t>
  </si>
  <si>
    <t>Transportation 2026</t>
  </si>
  <si>
    <t>Transportation 2027</t>
  </si>
  <si>
    <t>Transportation 2028</t>
  </si>
  <si>
    <t>Transportation 2029</t>
  </si>
  <si>
    <t>Transportation 2030</t>
  </si>
  <si>
    <t>Transportation 2031</t>
  </si>
  <si>
    <t>Sistema de Trazabilidad ( Tablets e Imprena Comprobante de recepcion,Guias de transporte;Hojas de control de estiba,afiches etc.)</t>
  </si>
  <si>
    <t>Activity Description/Budget Notes</t>
  </si>
  <si>
    <t>Year</t>
  </si>
  <si>
    <t>Unit of Measure</t>
  </si>
  <si>
    <t>No of Units</t>
  </si>
  <si>
    <t>Unit Price</t>
  </si>
  <si>
    <t>Budget</t>
  </si>
  <si>
    <t>ITSH Budget</t>
  </si>
  <si>
    <t>Unit/Department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</si>
</sst>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L&quot;#,##0.00"/>
    <numFmt numFmtId="165" formatCode="[$$-540A]#,##0.00"/>
    <numFmt numFmtId="166" formatCode="_-* #,##0.00_-;\-* #,##0.00_-;_-* &quot;-&quot;??_-;_-@_-"/>
  </numFmts>
  <fonts count="16" x14ac:knownFonts="1">
    <font>
      <sz val="10"/>
      <name val="Arial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right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right"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right" vertical="center"/>
    </xf>
    <xf numFmtId="165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>
      <alignment horizontal="right" vertical="center"/>
    </xf>
    <xf numFmtId="165" fontId="10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164" fontId="6" fillId="4" borderId="5" xfId="0" applyNumberFormat="1" applyFont="1" applyFill="1" applyBorder="1" applyAlignment="1">
      <alignment horizontal="right" vertical="center"/>
    </xf>
    <xf numFmtId="165" fontId="6" fillId="4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9" fontId="6" fillId="3" borderId="8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1" fontId="1" fillId="3" borderId="5" xfId="0" applyNumberFormat="1" applyFont="1" applyFill="1" applyBorder="1" applyAlignment="1">
      <alignment horizontal="center" vertical="center"/>
    </xf>
    <xf numFmtId="1" fontId="10" fillId="2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6" fontId="6" fillId="2" borderId="5" xfId="0" applyNumberFormat="1" applyFont="1" applyFill="1" applyBorder="1" applyAlignment="1">
      <alignment horizontal="center" vertical="center"/>
    </xf>
    <xf numFmtId="166" fontId="6" fillId="0" borderId="5" xfId="0" applyNumberFormat="1" applyFont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4" fontId="6" fillId="2" borderId="5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right" vertical="center"/>
    </xf>
    <xf numFmtId="4" fontId="6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right" vertical="center"/>
    </xf>
    <xf numFmtId="164" fontId="5" fillId="3" borderId="5" xfId="0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/>
    <xf numFmtId="164" fontId="13" fillId="2" borderId="0" xfId="0" applyNumberFormat="1" applyFont="1" applyFill="1" applyAlignment="1">
      <alignment horizontal="center" vertical="center"/>
    </xf>
    <xf numFmtId="165" fontId="13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4" fontId="9" fillId="7" borderId="16" xfId="0" applyNumberFormat="1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center"/>
    </xf>
    <xf numFmtId="165" fontId="2" fillId="0" borderId="16" xfId="0" applyNumberFormat="1" applyFont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5" fontId="14" fillId="6" borderId="16" xfId="0" applyNumberFormat="1" applyFont="1" applyFill="1" applyBorder="1" applyAlignment="1">
      <alignment horizontal="center" vertical="center"/>
    </xf>
    <xf numFmtId="165" fontId="14" fillId="6" borderId="0" xfId="0" applyNumberFormat="1" applyFon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165" fontId="14" fillId="8" borderId="16" xfId="0" applyNumberFormat="1" applyFont="1" applyFill="1" applyBorder="1" applyAlignment="1">
      <alignment horizontal="center" vertical="center"/>
    </xf>
    <xf numFmtId="165" fontId="14" fillId="8" borderId="0" xfId="0" applyNumberFormat="1" applyFon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14" fillId="3" borderId="16" xfId="0" applyNumberFormat="1" applyFont="1" applyFill="1" applyBorder="1" applyAlignment="1">
      <alignment horizontal="center" vertical="center"/>
    </xf>
    <xf numFmtId="165" fontId="14" fillId="3" borderId="0" xfId="0" applyNumberFormat="1" applyFon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Alignment="1">
      <alignment horizontal="center" vertical="center"/>
    </xf>
    <xf numFmtId="165" fontId="14" fillId="5" borderId="16" xfId="0" applyNumberFormat="1" applyFont="1" applyFill="1" applyBorder="1" applyAlignment="1">
      <alignment horizontal="center" vertical="center"/>
    </xf>
    <xf numFmtId="165" fontId="14" fillId="5" borderId="0" xfId="0" applyNumberFormat="1" applyFont="1" applyFill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164" fontId="6" fillId="0" borderId="5" xfId="0" applyNumberFormat="1" applyFont="1" applyFill="1" applyBorder="1" applyAlignment="1">
      <alignment horizontal="right" vertical="center"/>
    </xf>
    <xf numFmtId="165" fontId="6" fillId="0" borderId="5" xfId="0" applyNumberFormat="1" applyFont="1" applyFill="1" applyBorder="1" applyAlignment="1">
      <alignment horizontal="center" vertical="center"/>
    </xf>
    <xf numFmtId="1" fontId="6" fillId="0" borderId="5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horizontal="center" vertical="center"/>
    </xf>
    <xf numFmtId="1" fontId="1" fillId="0" borderId="8" xfId="0" applyNumberFormat="1" applyFont="1" applyFill="1" applyBorder="1" applyAlignment="1">
      <alignment horizontal="center" vertical="center"/>
    </xf>
    <xf numFmtId="3" fontId="6" fillId="0" borderId="8" xfId="0" applyNumberFormat="1" applyFont="1" applyFill="1" applyBorder="1" applyAlignment="1">
      <alignment vertical="center"/>
    </xf>
    <xf numFmtId="37" fontId="6" fillId="0" borderId="8" xfId="0" applyNumberFormat="1" applyFont="1" applyFill="1" applyBorder="1" applyAlignment="1">
      <alignment horizontal="center" vertical="center"/>
    </xf>
    <xf numFmtId="9" fontId="6" fillId="0" borderId="8" xfId="0" applyNumberFormat="1" applyFont="1" applyFill="1" applyBorder="1" applyAlignment="1">
      <alignment horizontal="center" vertical="center"/>
    </xf>
    <xf numFmtId="1" fontId="1" fillId="0" borderId="5" xfId="0" applyNumberFormat="1" applyFont="1" applyFill="1" applyBorder="1" applyAlignment="1">
      <alignment horizontal="center" vertical="center" wrapText="1"/>
    </xf>
    <xf numFmtId="0" fontId="12" fillId="0" borderId="5" xfId="1" applyFont="1" applyFill="1" applyBorder="1" applyAlignment="1">
      <alignment horizontal="left" vertical="center" wrapText="1"/>
    </xf>
    <xf numFmtId="0" fontId="12" fillId="0" borderId="5" xfId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/>
    </xf>
    <xf numFmtId="2" fontId="6" fillId="0" borderId="5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2">
    <cellStyle name="Normal" xfId="0" builtinId="0"/>
    <cellStyle name="Normal 5" xfId="1" xr:uid="{75E694A3-D1D1-434B-A0FF-7CB6BEE6B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ena\Downloads\Herramienta%20para%20Calculo%20de%20TM,%20y%20Presupuesto.xlsx" TargetMode="External"/><Relationship Id="rId1" Type="http://schemas.openxmlformats.org/officeDocument/2006/relationships/externalLinkPath" Target="Herramienta%20para%20Calculo%20de%20TM,%20y%20Presupuest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sorg-my.sharepoint.com/personal/jennifer_mallman_crs_org/Documents/Phase%203%20Start%20Up/Start%20up%20Finances/CRS%20HN%20Attachment%20C-1%20Budget%20Summary%20WithWorksheets%20-%20Sent%20-%2010.08.2020%20'MASTER'%20kee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 - ITSH - MGD"/>
      <sheetName val="Budget - Commodities - MGD"/>
      <sheetName val="CRS ExpAccounts"/>
      <sheetName val="CantCommodities Gral X Año"/>
      <sheetName val="Sop1-SoporteNutric+RacionesAE"/>
      <sheetName val="Sop2-FY2025CommodityCalculator"/>
      <sheetName val="Sop3-Comm Codes"/>
      <sheetName val="TRANSPORTE NUEVA PROPUESTA "/>
      <sheetName val="DESADUANAJE DESCARGA Y SURVEY"/>
      <sheetName val="PRESUPUESTO GENERAL ITSH MGD4"/>
      <sheetName val="VIDA DEL PROYECTO 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5">
          <cell r="J25">
            <v>14079.002286336421</v>
          </cell>
          <cell r="L25">
            <v>26072.226456178556</v>
          </cell>
        </row>
        <row r="60">
          <cell r="J60">
            <v>11993.224169842135</v>
          </cell>
        </row>
        <row r="98">
          <cell r="J98">
            <v>14197.80228633642</v>
          </cell>
          <cell r="L98">
            <v>26292.226456178556</v>
          </cell>
        </row>
        <row r="133">
          <cell r="J133">
            <v>12094.424169842134</v>
          </cell>
        </row>
        <row r="170">
          <cell r="J170">
            <v>14197.80228633642</v>
          </cell>
          <cell r="L170">
            <v>26292.226456178556</v>
          </cell>
        </row>
        <row r="205">
          <cell r="J205">
            <v>12094.424169842134</v>
          </cell>
        </row>
        <row r="242">
          <cell r="J242">
            <v>14316.60228633642</v>
          </cell>
          <cell r="L242">
            <v>26512.226456178552</v>
          </cell>
        </row>
        <row r="277">
          <cell r="J277">
            <v>12195.624169842133</v>
          </cell>
        </row>
        <row r="314">
          <cell r="J314">
            <v>14316.60228633642</v>
          </cell>
        </row>
        <row r="316">
          <cell r="L316">
            <v>26512.226456178552</v>
          </cell>
        </row>
        <row r="349">
          <cell r="J349">
            <v>12195.624169842133</v>
          </cell>
        </row>
        <row r="385">
          <cell r="J385">
            <v>0</v>
          </cell>
        </row>
        <row r="387">
          <cell r="L387">
            <v>0</v>
          </cell>
        </row>
        <row r="420">
          <cell r="J420">
            <v>0</v>
          </cell>
        </row>
      </sheetData>
      <sheetData sheetId="8">
        <row r="9">
          <cell r="K9">
            <v>1180000</v>
          </cell>
        </row>
        <row r="10">
          <cell r="K10">
            <v>1190000</v>
          </cell>
        </row>
        <row r="11">
          <cell r="K11">
            <v>1190000</v>
          </cell>
        </row>
        <row r="12">
          <cell r="K12">
            <v>1200000</v>
          </cell>
        </row>
        <row r="13">
          <cell r="K13">
            <v>1200000</v>
          </cell>
        </row>
        <row r="14">
          <cell r="K14">
            <v>0</v>
          </cell>
        </row>
        <row r="29">
          <cell r="K29">
            <v>12600</v>
          </cell>
        </row>
        <row r="30">
          <cell r="K30">
            <v>22321.829069134459</v>
          </cell>
        </row>
        <row r="33">
          <cell r="I33">
            <v>66</v>
          </cell>
        </row>
        <row r="42">
          <cell r="K42">
            <v>12800</v>
          </cell>
        </row>
        <row r="43">
          <cell r="K43">
            <v>22321.829069134459</v>
          </cell>
        </row>
        <row r="46">
          <cell r="I46">
            <v>67</v>
          </cell>
        </row>
        <row r="55">
          <cell r="K55">
            <v>12800</v>
          </cell>
        </row>
        <row r="56">
          <cell r="K56">
            <v>22321.829069134459</v>
          </cell>
        </row>
        <row r="59">
          <cell r="I59">
            <v>67</v>
          </cell>
        </row>
        <row r="68">
          <cell r="K68">
            <v>12800</v>
          </cell>
        </row>
        <row r="69">
          <cell r="K69">
            <v>22721.829069134459</v>
          </cell>
        </row>
        <row r="72">
          <cell r="I72">
            <v>70</v>
          </cell>
        </row>
        <row r="81">
          <cell r="K81">
            <v>12800</v>
          </cell>
        </row>
        <row r="82">
          <cell r="K82">
            <v>22721.829069134459</v>
          </cell>
        </row>
        <row r="85">
          <cell r="I85">
            <v>70</v>
          </cell>
        </row>
        <row r="94">
          <cell r="K94">
            <v>0</v>
          </cell>
        </row>
        <row r="95">
          <cell r="K95">
            <v>0</v>
          </cell>
        </row>
        <row r="98">
          <cell r="I98">
            <v>0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esults"/>
      <sheetName val="Mapping"/>
      <sheetName val="Activities"/>
      <sheetName val="Commodities"/>
      <sheetName val="FAIS Lists"/>
      <sheetName val="SF424A"/>
      <sheetName val="CRS Budget Summary"/>
      <sheetName val="USDA Budget Summary"/>
      <sheetName val="COCEPRADII"/>
      <sheetName val="Sub budget - Local (2)"/>
      <sheetName val="EDC"/>
      <sheetName val="CRS Budget Detail"/>
      <sheetName val="Feed the Children"/>
      <sheetName val="Sheet1"/>
      <sheetName val="Budget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D2" t="str">
            <v>Administration</v>
          </cell>
        </row>
        <row r="3">
          <cell r="D3" t="str">
            <v>ITSH</v>
          </cell>
        </row>
        <row r="4">
          <cell r="D4" t="str">
            <v>LRP</v>
          </cell>
        </row>
        <row r="5">
          <cell r="D5" t="str">
            <v>Distribution: School supplies and materials</v>
          </cell>
        </row>
        <row r="6">
          <cell r="D6" t="str">
            <v>Training: Teachers</v>
          </cell>
        </row>
        <row r="7">
          <cell r="D7" t="str">
            <v>Training: School administrators</v>
          </cell>
        </row>
        <row r="8">
          <cell r="D8" t="str">
            <v>Provide School Meals</v>
          </cell>
        </row>
        <row r="9">
          <cell r="D9" t="str">
            <v>Develop partnerships with farmer groups to supply food to schools</v>
          </cell>
        </row>
        <row r="10">
          <cell r="D10" t="str">
            <v>Take home rations</v>
          </cell>
        </row>
        <row r="11">
          <cell r="D11" t="str">
            <v>Building/Rehabilitation: Schools</v>
          </cell>
        </row>
        <row r="12">
          <cell r="D12" t="str">
            <v>Enrollment campaigns</v>
          </cell>
        </row>
        <row r="13">
          <cell r="D13" t="str">
            <v>Training: Good health and nutrition practices</v>
          </cell>
        </row>
        <row r="14">
          <cell r="D14" t="str">
            <v>Training: Food preparation and storage practices</v>
          </cell>
        </row>
        <row r="15">
          <cell r="D15" t="str">
            <v>Distribution: De-worming medication, vitamins &amp; minerals</v>
          </cell>
        </row>
        <row r="16">
          <cell r="D16" t="str">
            <v>Distribution: School furniture and equipment</v>
          </cell>
        </row>
        <row r="17">
          <cell r="D17" t="str">
            <v>Capacity Building: Local, regional, national level</v>
          </cell>
        </row>
        <row r="18">
          <cell r="D18" t="str">
            <v>Custom: Supplemental Learning Activities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D764-0F01-4AB9-B11E-F8578A11647B}">
  <dimension ref="B1:Q169"/>
  <sheetViews>
    <sheetView tabSelected="1" topLeftCell="A6" zoomScale="90" zoomScaleNormal="90" workbookViewId="0">
      <selection activeCell="M1" sqref="M1:M1048576"/>
    </sheetView>
  </sheetViews>
  <sheetFormatPr defaultColWidth="9.08984375" defaultRowHeight="12.5" x14ac:dyDescent="0.25"/>
  <cols>
    <col min="1" max="1" width="2.08984375" customWidth="1"/>
    <col min="2" max="2" width="4.6328125" style="1" customWidth="1"/>
    <col min="3" max="3" width="84.08984375" style="2" customWidth="1"/>
    <col min="4" max="4" width="8.6328125" style="2" customWidth="1"/>
    <col min="5" max="6" width="21.90625" style="1" customWidth="1"/>
    <col min="7" max="7" width="17.6328125" style="1" customWidth="1"/>
    <col min="8" max="9" width="22.08984375" style="1" customWidth="1"/>
    <col min="10" max="10" width="18.453125" customWidth="1"/>
    <col min="11" max="11" width="13.08984375" customWidth="1"/>
    <col min="12" max="12" width="14" customWidth="1"/>
    <col min="13" max="13" width="14.36328125" customWidth="1"/>
    <col min="14" max="14" width="20.36328125" customWidth="1"/>
    <col min="15" max="15" width="21.453125" style="1" customWidth="1"/>
    <col min="16" max="16" width="14.6328125" style="1" customWidth="1"/>
    <col min="17" max="17" width="19.54296875" style="1" customWidth="1"/>
    <col min="18" max="18" width="20.90625" customWidth="1"/>
    <col min="19" max="19" width="21.36328125" customWidth="1"/>
    <col min="20" max="20" width="13.453125" customWidth="1"/>
  </cols>
  <sheetData>
    <row r="1" spans="2:17" ht="10.5" customHeight="1" x14ac:dyDescent="0.25"/>
    <row r="2" spans="2:17" ht="36" customHeight="1" thickBot="1" x14ac:dyDescent="0.3">
      <c r="B2" s="131" t="s">
        <v>116</v>
      </c>
    </row>
    <row r="3" spans="2:17" s="12" customFormat="1" ht="72" customHeight="1" thickBot="1" x14ac:dyDescent="0.35">
      <c r="B3" s="3" t="s">
        <v>110</v>
      </c>
      <c r="C3" s="4"/>
      <c r="D3" s="5" t="s">
        <v>111</v>
      </c>
      <c r="E3" s="6" t="s">
        <v>1</v>
      </c>
      <c r="F3" s="6" t="s">
        <v>112</v>
      </c>
      <c r="G3" s="6" t="s">
        <v>113</v>
      </c>
      <c r="H3" s="6" t="s">
        <v>114</v>
      </c>
      <c r="I3" s="7" t="s">
        <v>115</v>
      </c>
      <c r="J3" s="8" t="s">
        <v>2</v>
      </c>
      <c r="K3" s="8" t="s">
        <v>3</v>
      </c>
      <c r="L3" s="9" t="s">
        <v>4</v>
      </c>
      <c r="M3" s="10" t="s">
        <v>5</v>
      </c>
      <c r="N3" s="6" t="s">
        <v>117</v>
      </c>
      <c r="O3" s="11"/>
      <c r="P3" s="11"/>
      <c r="Q3" s="11"/>
    </row>
    <row r="4" spans="2:17" ht="32.25" customHeight="1" x14ac:dyDescent="0.25">
      <c r="B4" s="13"/>
      <c r="C4" s="114" t="s">
        <v>6</v>
      </c>
      <c r="D4" s="115">
        <v>2026</v>
      </c>
      <c r="E4" s="116" t="s">
        <v>7</v>
      </c>
      <c r="F4" s="116" t="s">
        <v>8</v>
      </c>
      <c r="G4" s="116">
        <v>12</v>
      </c>
      <c r="H4" s="117">
        <v>117000</v>
      </c>
      <c r="I4" s="117">
        <f t="shared" ref="I4:I9" si="0">G4*H4</f>
        <v>1404000</v>
      </c>
      <c r="J4" s="118">
        <f>I4/26</f>
        <v>54000</v>
      </c>
      <c r="K4" s="19"/>
      <c r="L4" s="20"/>
      <c r="M4" s="22"/>
      <c r="N4" s="21"/>
      <c r="O4" s="24"/>
      <c r="P4" s="24"/>
      <c r="Q4" s="23"/>
    </row>
    <row r="5" spans="2:17" ht="32.25" customHeight="1" x14ac:dyDescent="0.25">
      <c r="B5" s="13"/>
      <c r="C5" s="114" t="s">
        <v>6</v>
      </c>
      <c r="D5" s="115">
        <v>2027</v>
      </c>
      <c r="E5" s="116" t="s">
        <v>7</v>
      </c>
      <c r="F5" s="116" t="s">
        <v>8</v>
      </c>
      <c r="G5" s="116">
        <v>12</v>
      </c>
      <c r="H5" s="117">
        <v>117000</v>
      </c>
      <c r="I5" s="117">
        <f t="shared" si="0"/>
        <v>1404000</v>
      </c>
      <c r="J5" s="118">
        <f t="shared" ref="J5:J9" si="1">I5/26</f>
        <v>54000</v>
      </c>
      <c r="K5" s="19"/>
      <c r="L5" s="20"/>
      <c r="M5" s="22"/>
      <c r="N5" s="21"/>
      <c r="O5" s="24"/>
      <c r="P5" s="24"/>
      <c r="Q5" s="23"/>
    </row>
    <row r="6" spans="2:17" ht="32.25" customHeight="1" x14ac:dyDescent="0.25">
      <c r="B6" s="13"/>
      <c r="C6" s="114" t="s">
        <v>6</v>
      </c>
      <c r="D6" s="115">
        <v>2028</v>
      </c>
      <c r="E6" s="116" t="s">
        <v>7</v>
      </c>
      <c r="F6" s="116" t="s">
        <v>8</v>
      </c>
      <c r="G6" s="116">
        <v>12</v>
      </c>
      <c r="H6" s="117">
        <v>117000</v>
      </c>
      <c r="I6" s="117">
        <f t="shared" si="0"/>
        <v>1404000</v>
      </c>
      <c r="J6" s="118">
        <f t="shared" si="1"/>
        <v>54000</v>
      </c>
      <c r="K6" s="19"/>
      <c r="L6" s="20"/>
      <c r="M6" s="22"/>
      <c r="N6" s="21"/>
      <c r="O6" s="24"/>
      <c r="P6" s="24"/>
      <c r="Q6" s="23"/>
    </row>
    <row r="7" spans="2:17" ht="32.25" customHeight="1" x14ac:dyDescent="0.25">
      <c r="B7" s="13"/>
      <c r="C7" s="114" t="s">
        <v>6</v>
      </c>
      <c r="D7" s="115">
        <v>2029</v>
      </c>
      <c r="E7" s="116" t="s">
        <v>7</v>
      </c>
      <c r="F7" s="116" t="s">
        <v>8</v>
      </c>
      <c r="G7" s="116">
        <v>12</v>
      </c>
      <c r="H7" s="117">
        <v>117000</v>
      </c>
      <c r="I7" s="117">
        <f t="shared" si="0"/>
        <v>1404000</v>
      </c>
      <c r="J7" s="118">
        <f t="shared" si="1"/>
        <v>54000</v>
      </c>
      <c r="K7" s="19"/>
      <c r="L7" s="20"/>
      <c r="M7" s="22"/>
      <c r="N7" s="21"/>
      <c r="O7" s="24"/>
      <c r="P7" s="24"/>
      <c r="Q7" s="23"/>
    </row>
    <row r="8" spans="2:17" ht="32.25" customHeight="1" x14ac:dyDescent="0.25">
      <c r="B8" s="13"/>
      <c r="C8" s="114" t="s">
        <v>6</v>
      </c>
      <c r="D8" s="115">
        <v>2030</v>
      </c>
      <c r="E8" s="116" t="s">
        <v>7</v>
      </c>
      <c r="F8" s="116" t="s">
        <v>8</v>
      </c>
      <c r="G8" s="116">
        <v>12</v>
      </c>
      <c r="H8" s="117">
        <v>117000</v>
      </c>
      <c r="I8" s="117">
        <f t="shared" si="0"/>
        <v>1404000</v>
      </c>
      <c r="J8" s="118">
        <f t="shared" si="1"/>
        <v>54000</v>
      </c>
      <c r="K8" s="19"/>
      <c r="L8" s="20"/>
      <c r="M8" s="22"/>
      <c r="N8" s="21"/>
      <c r="O8" s="24"/>
      <c r="P8" s="24"/>
      <c r="Q8" s="23"/>
    </row>
    <row r="9" spans="2:17" ht="32.25" customHeight="1" x14ac:dyDescent="0.25">
      <c r="B9" s="13"/>
      <c r="C9" s="114" t="s">
        <v>6</v>
      </c>
      <c r="D9" s="115">
        <v>2031</v>
      </c>
      <c r="E9" s="116" t="s">
        <v>7</v>
      </c>
      <c r="F9" s="116" t="s">
        <v>8</v>
      </c>
      <c r="G9" s="116"/>
      <c r="H9" s="117">
        <v>117000</v>
      </c>
      <c r="I9" s="117">
        <f t="shared" si="0"/>
        <v>0</v>
      </c>
      <c r="J9" s="118">
        <f t="shared" si="1"/>
        <v>0</v>
      </c>
      <c r="K9" s="19"/>
      <c r="L9" s="20"/>
      <c r="M9" s="22"/>
      <c r="N9" s="21"/>
      <c r="O9" s="24"/>
      <c r="P9" s="24"/>
      <c r="Q9" s="23"/>
    </row>
    <row r="10" spans="2:17" ht="32.25" customHeight="1" x14ac:dyDescent="0.25">
      <c r="B10" s="13">
        <v>1</v>
      </c>
      <c r="C10" s="29" t="s">
        <v>9</v>
      </c>
      <c r="D10" s="30"/>
      <c r="E10" s="31"/>
      <c r="F10" s="31"/>
      <c r="G10" s="31"/>
      <c r="H10" s="32"/>
      <c r="I10" s="32"/>
      <c r="J10" s="33"/>
      <c r="K10" s="33"/>
      <c r="L10" s="34"/>
      <c r="M10" s="36"/>
      <c r="N10" s="35"/>
      <c r="O10" s="24"/>
      <c r="P10" s="24"/>
      <c r="Q10" s="23"/>
    </row>
    <row r="11" spans="2:17" ht="32.25" customHeight="1" x14ac:dyDescent="0.25">
      <c r="B11" s="37"/>
      <c r="C11" s="38" t="s">
        <v>10</v>
      </c>
      <c r="D11" s="39"/>
      <c r="E11" s="40"/>
      <c r="F11" s="40"/>
      <c r="G11" s="40"/>
      <c r="H11" s="41"/>
      <c r="I11" s="41">
        <f>SUM(I4:I10)</f>
        <v>7020000</v>
      </c>
      <c r="J11" s="42">
        <f>I11/26</f>
        <v>270000</v>
      </c>
      <c r="K11" s="42"/>
      <c r="L11" s="43"/>
      <c r="M11" s="45"/>
      <c r="N11" s="44"/>
      <c r="O11" s="24"/>
      <c r="P11" s="24"/>
      <c r="Q11" s="23"/>
    </row>
    <row r="12" spans="2:17" ht="24.75" customHeight="1" x14ac:dyDescent="0.25">
      <c r="B12" s="13"/>
      <c r="C12" s="114" t="s">
        <v>11</v>
      </c>
      <c r="D12" s="115">
        <v>2026</v>
      </c>
      <c r="E12" s="116" t="s">
        <v>12</v>
      </c>
      <c r="F12" s="116" t="s">
        <v>13</v>
      </c>
      <c r="G12" s="119">
        <v>20</v>
      </c>
      <c r="H12" s="117">
        <v>15000</v>
      </c>
      <c r="I12" s="117">
        <f>G12*H12</f>
        <v>300000</v>
      </c>
      <c r="J12" s="118">
        <f>I12/26</f>
        <v>11538.461538461539</v>
      </c>
      <c r="K12" s="19"/>
      <c r="L12" s="20"/>
      <c r="M12" s="22"/>
      <c r="N12" s="21"/>
      <c r="O12" s="46">
        <f>J12/60</f>
        <v>192.30769230769232</v>
      </c>
      <c r="P12" s="24"/>
      <c r="Q12" s="23"/>
    </row>
    <row r="13" spans="2:17" ht="19.5" customHeight="1" x14ac:dyDescent="0.25">
      <c r="B13" s="13"/>
      <c r="C13" s="114" t="s">
        <v>14</v>
      </c>
      <c r="D13" s="115">
        <v>2026</v>
      </c>
      <c r="E13" s="116" t="s">
        <v>12</v>
      </c>
      <c r="F13" s="116" t="s">
        <v>13</v>
      </c>
      <c r="G13" s="119">
        <v>2</v>
      </c>
      <c r="H13" s="117">
        <v>2500</v>
      </c>
      <c r="I13" s="117">
        <f t="shared" ref="I13:I23" si="2">G13*H13</f>
        <v>5000</v>
      </c>
      <c r="J13" s="118">
        <f t="shared" ref="J13:J23" si="3">I13/26</f>
        <v>192.30769230769232</v>
      </c>
      <c r="K13" s="19"/>
      <c r="L13" s="20"/>
      <c r="M13" s="22"/>
      <c r="N13" s="21"/>
      <c r="O13" s="46">
        <f t="shared" ref="O13:O23" si="4">J13/60</f>
        <v>3.2051282051282053</v>
      </c>
      <c r="P13" s="24"/>
      <c r="Q13" s="23"/>
    </row>
    <row r="14" spans="2:17" ht="25.5" customHeight="1" x14ac:dyDescent="0.25">
      <c r="B14" s="13"/>
      <c r="C14" s="114" t="s">
        <v>15</v>
      </c>
      <c r="D14" s="115">
        <v>2026</v>
      </c>
      <c r="E14" s="116" t="s">
        <v>12</v>
      </c>
      <c r="F14" s="116" t="s">
        <v>13</v>
      </c>
      <c r="G14" s="119">
        <v>2</v>
      </c>
      <c r="H14" s="117">
        <v>2800</v>
      </c>
      <c r="I14" s="117">
        <f t="shared" si="2"/>
        <v>5600</v>
      </c>
      <c r="J14" s="118">
        <f t="shared" si="3"/>
        <v>215.38461538461539</v>
      </c>
      <c r="K14" s="19"/>
      <c r="L14" s="20"/>
      <c r="M14" s="22"/>
      <c r="N14" s="21"/>
      <c r="O14" s="46">
        <f t="shared" si="4"/>
        <v>3.5897435897435899</v>
      </c>
      <c r="P14" s="24"/>
      <c r="Q14" s="23"/>
    </row>
    <row r="15" spans="2:17" ht="25.5" customHeight="1" x14ac:dyDescent="0.25">
      <c r="B15" s="13"/>
      <c r="C15" s="114" t="s">
        <v>16</v>
      </c>
      <c r="D15" s="115">
        <v>2026</v>
      </c>
      <c r="E15" s="116" t="s">
        <v>12</v>
      </c>
      <c r="F15" s="116" t="s">
        <v>13</v>
      </c>
      <c r="G15" s="119">
        <v>1</v>
      </c>
      <c r="H15" s="117">
        <v>30000</v>
      </c>
      <c r="I15" s="117">
        <f t="shared" si="2"/>
        <v>30000</v>
      </c>
      <c r="J15" s="118">
        <f t="shared" si="3"/>
        <v>1153.8461538461538</v>
      </c>
      <c r="K15" s="19"/>
      <c r="L15" s="20"/>
      <c r="M15" s="22"/>
      <c r="N15" s="21"/>
      <c r="O15" s="46">
        <f t="shared" si="4"/>
        <v>19.23076923076923</v>
      </c>
      <c r="P15" s="24"/>
      <c r="Q15" s="23"/>
    </row>
    <row r="16" spans="2:17" ht="25.5" customHeight="1" x14ac:dyDescent="0.25">
      <c r="B16" s="13"/>
      <c r="C16" s="114" t="s">
        <v>17</v>
      </c>
      <c r="D16" s="115">
        <v>2026</v>
      </c>
      <c r="E16" s="116" t="s">
        <v>12</v>
      </c>
      <c r="F16" s="116" t="s">
        <v>13</v>
      </c>
      <c r="G16" s="119">
        <v>1</v>
      </c>
      <c r="H16" s="117">
        <v>5000</v>
      </c>
      <c r="I16" s="117">
        <f t="shared" si="2"/>
        <v>5000</v>
      </c>
      <c r="J16" s="118">
        <f t="shared" si="3"/>
        <v>192.30769230769232</v>
      </c>
      <c r="K16" s="19"/>
      <c r="L16" s="20"/>
      <c r="M16" s="22"/>
      <c r="N16" s="21"/>
      <c r="O16" s="46">
        <f t="shared" si="4"/>
        <v>3.2051282051282053</v>
      </c>
      <c r="P16" s="24"/>
      <c r="Q16" s="23"/>
    </row>
    <row r="17" spans="2:17" ht="25.5" customHeight="1" x14ac:dyDescent="0.25">
      <c r="B17" s="13"/>
      <c r="C17" s="114" t="s">
        <v>18</v>
      </c>
      <c r="D17" s="115">
        <v>2026</v>
      </c>
      <c r="E17" s="116" t="s">
        <v>12</v>
      </c>
      <c r="F17" s="116" t="s">
        <v>19</v>
      </c>
      <c r="G17" s="119">
        <v>3</v>
      </c>
      <c r="H17" s="117">
        <v>1500</v>
      </c>
      <c r="I17" s="117">
        <f t="shared" si="2"/>
        <v>4500</v>
      </c>
      <c r="J17" s="118">
        <f t="shared" si="3"/>
        <v>173.07692307692307</v>
      </c>
      <c r="K17" s="19"/>
      <c r="L17" s="20"/>
      <c r="M17" s="22"/>
      <c r="N17" s="21"/>
      <c r="O17" s="46">
        <f t="shared" si="4"/>
        <v>2.8846153846153846</v>
      </c>
      <c r="P17" s="24"/>
      <c r="Q17" s="23"/>
    </row>
    <row r="18" spans="2:17" ht="25.5" customHeight="1" x14ac:dyDescent="0.25">
      <c r="B18" s="13"/>
      <c r="C18" s="114" t="s">
        <v>20</v>
      </c>
      <c r="D18" s="115">
        <v>2026</v>
      </c>
      <c r="E18" s="116" t="s">
        <v>12</v>
      </c>
      <c r="F18" s="116" t="s">
        <v>13</v>
      </c>
      <c r="G18" s="119">
        <v>500</v>
      </c>
      <c r="H18" s="117">
        <v>30</v>
      </c>
      <c r="I18" s="117">
        <f t="shared" si="2"/>
        <v>15000</v>
      </c>
      <c r="J18" s="118">
        <f t="shared" si="3"/>
        <v>576.92307692307691</v>
      </c>
      <c r="K18" s="19"/>
      <c r="L18" s="20"/>
      <c r="M18" s="22"/>
      <c r="N18" s="21"/>
      <c r="O18" s="46">
        <f t="shared" si="4"/>
        <v>9.615384615384615</v>
      </c>
      <c r="P18" s="24"/>
      <c r="Q18" s="23"/>
    </row>
    <row r="19" spans="2:17" ht="25.5" customHeight="1" x14ac:dyDescent="0.25">
      <c r="B19" s="13"/>
      <c r="C19" s="114" t="s">
        <v>21</v>
      </c>
      <c r="D19" s="115">
        <v>2026</v>
      </c>
      <c r="E19" s="116" t="s">
        <v>12</v>
      </c>
      <c r="F19" s="116" t="s">
        <v>13</v>
      </c>
      <c r="G19" s="119">
        <v>21</v>
      </c>
      <c r="H19" s="117">
        <v>2000</v>
      </c>
      <c r="I19" s="117">
        <f t="shared" si="2"/>
        <v>42000</v>
      </c>
      <c r="J19" s="118">
        <f t="shared" si="3"/>
        <v>1615.3846153846155</v>
      </c>
      <c r="K19" s="19"/>
      <c r="L19" s="20"/>
      <c r="M19" s="22"/>
      <c r="N19" s="21"/>
      <c r="O19" s="46">
        <f t="shared" si="4"/>
        <v>26.923076923076923</v>
      </c>
      <c r="P19" s="24"/>
      <c r="Q19" s="23"/>
    </row>
    <row r="20" spans="2:17" ht="25.5" customHeight="1" x14ac:dyDescent="0.25">
      <c r="B20" s="13"/>
      <c r="C20" s="114" t="s">
        <v>22</v>
      </c>
      <c r="D20" s="115">
        <v>2026</v>
      </c>
      <c r="E20" s="116" t="s">
        <v>12</v>
      </c>
      <c r="F20" s="116" t="s">
        <v>13</v>
      </c>
      <c r="G20" s="119">
        <v>100</v>
      </c>
      <c r="H20" s="117">
        <v>150</v>
      </c>
      <c r="I20" s="117">
        <f t="shared" si="2"/>
        <v>15000</v>
      </c>
      <c r="J20" s="118">
        <f t="shared" si="3"/>
        <v>576.92307692307691</v>
      </c>
      <c r="K20" s="19"/>
      <c r="L20" s="20"/>
      <c r="M20" s="22"/>
      <c r="N20" s="21"/>
      <c r="O20" s="46">
        <f t="shared" si="4"/>
        <v>9.615384615384615</v>
      </c>
      <c r="P20" s="24"/>
      <c r="Q20" s="23"/>
    </row>
    <row r="21" spans="2:17" ht="25.5" customHeight="1" x14ac:dyDescent="0.25">
      <c r="B21" s="13"/>
      <c r="C21" s="114" t="s">
        <v>23</v>
      </c>
      <c r="D21" s="115">
        <v>2026</v>
      </c>
      <c r="E21" s="116" t="s">
        <v>12</v>
      </c>
      <c r="F21" s="116" t="s">
        <v>13</v>
      </c>
      <c r="G21" s="119">
        <v>500</v>
      </c>
      <c r="H21" s="117">
        <v>5</v>
      </c>
      <c r="I21" s="117">
        <f t="shared" si="2"/>
        <v>2500</v>
      </c>
      <c r="J21" s="118">
        <f t="shared" si="3"/>
        <v>96.15384615384616</v>
      </c>
      <c r="K21" s="19"/>
      <c r="L21" s="20"/>
      <c r="M21" s="22"/>
      <c r="N21" s="21"/>
      <c r="O21" s="46">
        <f t="shared" si="4"/>
        <v>1.6025641025641026</v>
      </c>
      <c r="P21" s="24"/>
      <c r="Q21" s="23"/>
    </row>
    <row r="22" spans="2:17" ht="25.5" customHeight="1" x14ac:dyDescent="0.25">
      <c r="B22" s="13"/>
      <c r="C22" s="114" t="s">
        <v>24</v>
      </c>
      <c r="D22" s="115">
        <v>2026</v>
      </c>
      <c r="E22" s="116" t="s">
        <v>12</v>
      </c>
      <c r="F22" s="116" t="s">
        <v>13</v>
      </c>
      <c r="G22" s="119">
        <v>12</v>
      </c>
      <c r="H22" s="117">
        <v>500</v>
      </c>
      <c r="I22" s="117">
        <f t="shared" si="2"/>
        <v>6000</v>
      </c>
      <c r="J22" s="118">
        <f t="shared" si="3"/>
        <v>230.76923076923077</v>
      </c>
      <c r="K22" s="19"/>
      <c r="L22" s="20"/>
      <c r="M22" s="22"/>
      <c r="N22" s="21"/>
      <c r="O22" s="46">
        <f t="shared" si="4"/>
        <v>3.8461538461538463</v>
      </c>
      <c r="P22" s="24"/>
      <c r="Q22" s="23"/>
    </row>
    <row r="23" spans="2:17" ht="19.5" customHeight="1" thickBot="1" x14ac:dyDescent="0.3">
      <c r="B23" s="13"/>
      <c r="C23" s="114" t="s">
        <v>25</v>
      </c>
      <c r="D23" s="115">
        <v>2026</v>
      </c>
      <c r="E23" s="116" t="s">
        <v>12</v>
      </c>
      <c r="F23" s="116" t="s">
        <v>13</v>
      </c>
      <c r="G23" s="119">
        <v>12</v>
      </c>
      <c r="H23" s="117">
        <v>500</v>
      </c>
      <c r="I23" s="117">
        <f t="shared" si="2"/>
        <v>6000</v>
      </c>
      <c r="J23" s="118">
        <f t="shared" si="3"/>
        <v>230.76923076923077</v>
      </c>
      <c r="K23" s="19"/>
      <c r="L23" s="20"/>
      <c r="M23" s="22"/>
      <c r="N23" s="21"/>
      <c r="O23" s="46">
        <f t="shared" si="4"/>
        <v>3.8461538461538463</v>
      </c>
      <c r="P23" s="24"/>
      <c r="Q23" s="23"/>
    </row>
    <row r="24" spans="2:17" ht="36.75" customHeight="1" x14ac:dyDescent="0.25">
      <c r="B24" s="53">
        <v>2</v>
      </c>
      <c r="C24" s="120" t="s">
        <v>26</v>
      </c>
      <c r="D24" s="120"/>
      <c r="E24" s="121" t="s">
        <v>12</v>
      </c>
      <c r="F24" s="121" t="s">
        <v>27</v>
      </c>
      <c r="G24" s="122" t="s">
        <v>28</v>
      </c>
      <c r="H24" s="123"/>
      <c r="I24" s="124"/>
      <c r="J24" s="125"/>
      <c r="K24" s="54"/>
      <c r="L24" s="55"/>
      <c r="M24" s="57"/>
      <c r="N24" s="56"/>
      <c r="O24" s="24"/>
      <c r="P24" s="24"/>
      <c r="Q24" s="23"/>
    </row>
    <row r="25" spans="2:17" ht="37.5" customHeight="1" x14ac:dyDescent="0.25">
      <c r="B25" s="13"/>
      <c r="C25" s="114" t="s">
        <v>109</v>
      </c>
      <c r="D25" s="115">
        <v>2026</v>
      </c>
      <c r="E25" s="116" t="s">
        <v>12</v>
      </c>
      <c r="F25" s="116"/>
      <c r="G25" s="119">
        <v>1</v>
      </c>
      <c r="H25" s="117">
        <v>150000</v>
      </c>
      <c r="I25" s="117">
        <f t="shared" ref="I25" si="5">G25*H25</f>
        <v>150000</v>
      </c>
      <c r="J25" s="118">
        <f>I25/26</f>
        <v>5769.2307692307695</v>
      </c>
      <c r="K25" s="19"/>
      <c r="L25" s="20"/>
      <c r="M25" s="22"/>
      <c r="N25" s="21"/>
      <c r="O25" s="46">
        <f>J25/60</f>
        <v>96.15384615384616</v>
      </c>
      <c r="P25" s="24"/>
      <c r="Q25" s="23"/>
    </row>
    <row r="26" spans="2:17" ht="33" customHeight="1" x14ac:dyDescent="0.25">
      <c r="B26" s="13">
        <v>3</v>
      </c>
      <c r="C26" s="114" t="s">
        <v>29</v>
      </c>
      <c r="D26" s="114"/>
      <c r="E26" s="116" t="s">
        <v>12</v>
      </c>
      <c r="F26" s="116"/>
      <c r="G26" s="126" t="s">
        <v>30</v>
      </c>
      <c r="H26" s="117"/>
      <c r="I26" s="117"/>
      <c r="J26" s="118"/>
      <c r="K26" s="33"/>
      <c r="L26" s="34"/>
      <c r="M26" s="36"/>
      <c r="N26" s="35"/>
      <c r="O26" s="24"/>
      <c r="P26" s="24"/>
      <c r="Q26" s="23"/>
    </row>
    <row r="27" spans="2:17" ht="25.5" customHeight="1" x14ac:dyDescent="0.25">
      <c r="B27" s="13"/>
      <c r="C27" s="127" t="s">
        <v>31</v>
      </c>
      <c r="D27" s="128">
        <v>2026</v>
      </c>
      <c r="E27" s="116" t="s">
        <v>12</v>
      </c>
      <c r="F27" s="116" t="s">
        <v>13</v>
      </c>
      <c r="G27" s="119">
        <v>4000</v>
      </c>
      <c r="H27" s="117">
        <v>50</v>
      </c>
      <c r="I27" s="117">
        <f t="shared" ref="I27:I28" si="6">G27*H27</f>
        <v>200000</v>
      </c>
      <c r="J27" s="118">
        <f>I27/26</f>
        <v>7692.3076923076924</v>
      </c>
      <c r="K27" s="19"/>
      <c r="L27" s="20"/>
      <c r="M27" s="22"/>
      <c r="N27" s="21"/>
      <c r="O27" s="46">
        <f t="shared" ref="O27:O28" si="7">J27/60</f>
        <v>128.2051282051282</v>
      </c>
      <c r="P27" s="24"/>
      <c r="Q27" s="23"/>
    </row>
    <row r="28" spans="2:17" ht="32.25" customHeight="1" x14ac:dyDescent="0.25">
      <c r="B28" s="13"/>
      <c r="C28" s="127" t="s">
        <v>32</v>
      </c>
      <c r="D28" s="128">
        <v>2026</v>
      </c>
      <c r="E28" s="116" t="s">
        <v>12</v>
      </c>
      <c r="F28" s="116" t="s">
        <v>13</v>
      </c>
      <c r="G28" s="119">
        <v>8000</v>
      </c>
      <c r="H28" s="117">
        <v>50</v>
      </c>
      <c r="I28" s="117">
        <f t="shared" si="6"/>
        <v>400000</v>
      </c>
      <c r="J28" s="118">
        <f>I28/26</f>
        <v>15384.615384615385</v>
      </c>
      <c r="K28" s="19"/>
      <c r="L28" s="20"/>
      <c r="M28" s="22"/>
      <c r="N28" s="21"/>
      <c r="O28" s="46">
        <f t="shared" si="7"/>
        <v>256.41025641025641</v>
      </c>
      <c r="P28" s="24"/>
      <c r="Q28" s="23"/>
    </row>
    <row r="29" spans="2:17" ht="27.75" customHeight="1" x14ac:dyDescent="0.25">
      <c r="B29" s="13">
        <v>4</v>
      </c>
      <c r="C29" s="29" t="s">
        <v>33</v>
      </c>
      <c r="D29" s="29"/>
      <c r="E29" s="31" t="s">
        <v>12</v>
      </c>
      <c r="F29" s="31"/>
      <c r="G29" s="58" t="s">
        <v>34</v>
      </c>
      <c r="H29" s="32"/>
      <c r="I29" s="32"/>
      <c r="J29" s="33"/>
      <c r="K29" s="33"/>
      <c r="L29" s="34"/>
      <c r="M29" s="36"/>
      <c r="N29" s="35"/>
      <c r="O29" s="24"/>
      <c r="P29" s="24"/>
      <c r="Q29" s="23"/>
    </row>
    <row r="30" spans="2:17" ht="27.75" customHeight="1" x14ac:dyDescent="0.25">
      <c r="B30" s="37"/>
      <c r="C30" s="38" t="s">
        <v>35</v>
      </c>
      <c r="D30" s="38"/>
      <c r="E30" s="40"/>
      <c r="F30" s="40"/>
      <c r="G30" s="59"/>
      <c r="H30" s="41"/>
      <c r="I30" s="41">
        <f>SUM(I12:I29)</f>
        <v>1186600</v>
      </c>
      <c r="J30" s="42">
        <f>I30/26</f>
        <v>45638.461538461539</v>
      </c>
      <c r="K30" s="42"/>
      <c r="L30" s="43"/>
      <c r="M30" s="45"/>
      <c r="N30" s="44"/>
      <c r="O30" s="24"/>
      <c r="P30" s="24"/>
      <c r="Q30" s="23"/>
    </row>
    <row r="31" spans="2:17" ht="22.5" customHeight="1" x14ac:dyDescent="0.25">
      <c r="B31" s="13"/>
      <c r="C31" s="114" t="s">
        <v>36</v>
      </c>
      <c r="D31" s="115">
        <v>2026</v>
      </c>
      <c r="E31" s="116" t="s">
        <v>37</v>
      </c>
      <c r="F31" s="116" t="s">
        <v>38</v>
      </c>
      <c r="G31" s="129">
        <f>'[1]DESADUANAJE DESCARGA Y SURVEY'!K9</f>
        <v>1180000</v>
      </c>
      <c r="H31" s="117">
        <v>1.7999999999999999E-2</v>
      </c>
      <c r="I31" s="117">
        <f>G31*H31</f>
        <v>21240</v>
      </c>
      <c r="J31" s="118">
        <f>I31/26</f>
        <v>816.92307692307691</v>
      </c>
      <c r="K31" s="19"/>
      <c r="L31" s="20"/>
      <c r="M31" s="22"/>
      <c r="N31" s="21"/>
      <c r="O31" s="24"/>
      <c r="P31" s="24"/>
      <c r="Q31" s="23"/>
    </row>
    <row r="32" spans="2:17" ht="22.5" customHeight="1" x14ac:dyDescent="0.25">
      <c r="B32" s="13"/>
      <c r="C32" s="114" t="s">
        <v>39</v>
      </c>
      <c r="D32" s="115">
        <v>2027</v>
      </c>
      <c r="E32" s="116" t="s">
        <v>37</v>
      </c>
      <c r="F32" s="116" t="s">
        <v>40</v>
      </c>
      <c r="G32" s="129">
        <f>'[1]DESADUANAJE DESCARGA Y SURVEY'!K10</f>
        <v>1190000</v>
      </c>
      <c r="H32" s="117">
        <v>1.7999999999999999E-2</v>
      </c>
      <c r="I32" s="117">
        <f>G32*H32</f>
        <v>21420</v>
      </c>
      <c r="J32" s="118">
        <f t="shared" ref="J32:J44" si="8">I32/26</f>
        <v>823.84615384615381</v>
      </c>
      <c r="K32" s="19"/>
      <c r="L32" s="20"/>
      <c r="M32" s="22"/>
      <c r="N32" s="21"/>
      <c r="O32" s="24"/>
      <c r="P32" s="24"/>
      <c r="Q32" s="23"/>
    </row>
    <row r="33" spans="2:17" ht="22.5" customHeight="1" x14ac:dyDescent="0.25">
      <c r="B33" s="13"/>
      <c r="C33" s="114" t="s">
        <v>39</v>
      </c>
      <c r="D33" s="115">
        <v>2028</v>
      </c>
      <c r="E33" s="116" t="s">
        <v>37</v>
      </c>
      <c r="F33" s="116" t="s">
        <v>40</v>
      </c>
      <c r="G33" s="129">
        <f>'[1]DESADUANAJE DESCARGA Y SURVEY'!K11</f>
        <v>1190000</v>
      </c>
      <c r="H33" s="117">
        <v>1.7999999999999999E-2</v>
      </c>
      <c r="I33" s="117">
        <f t="shared" ref="I33:I43" si="9">G33*H33</f>
        <v>21420</v>
      </c>
      <c r="J33" s="118">
        <f t="shared" si="8"/>
        <v>823.84615384615381</v>
      </c>
      <c r="K33" s="19"/>
      <c r="L33" s="20"/>
      <c r="M33" s="22"/>
      <c r="N33" s="21"/>
      <c r="O33" s="24"/>
      <c r="P33" s="24"/>
      <c r="Q33" s="23"/>
    </row>
    <row r="34" spans="2:17" ht="22.5" customHeight="1" x14ac:dyDescent="0.25">
      <c r="B34" s="13"/>
      <c r="C34" s="114" t="s">
        <v>39</v>
      </c>
      <c r="D34" s="115">
        <v>2029</v>
      </c>
      <c r="E34" s="116" t="s">
        <v>37</v>
      </c>
      <c r="F34" s="116" t="s">
        <v>40</v>
      </c>
      <c r="G34" s="129">
        <f>'[1]DESADUANAJE DESCARGA Y SURVEY'!K12</f>
        <v>1200000</v>
      </c>
      <c r="H34" s="117">
        <v>1.7999999999999999E-2</v>
      </c>
      <c r="I34" s="117">
        <f t="shared" si="9"/>
        <v>21600</v>
      </c>
      <c r="J34" s="118">
        <f t="shared" si="8"/>
        <v>830.76923076923072</v>
      </c>
      <c r="K34" s="19"/>
      <c r="L34" s="20"/>
      <c r="M34" s="22"/>
      <c r="N34" s="21"/>
      <c r="O34" s="24"/>
      <c r="P34" s="24"/>
      <c r="Q34" s="23"/>
    </row>
    <row r="35" spans="2:17" ht="22.5" customHeight="1" x14ac:dyDescent="0.25">
      <c r="B35" s="13"/>
      <c r="C35" s="114" t="s">
        <v>41</v>
      </c>
      <c r="D35" s="115">
        <v>2030</v>
      </c>
      <c r="E35" s="116" t="s">
        <v>37</v>
      </c>
      <c r="F35" s="116" t="s">
        <v>40</v>
      </c>
      <c r="G35" s="129">
        <f>'[1]DESADUANAJE DESCARGA Y SURVEY'!K13</f>
        <v>1200000</v>
      </c>
      <c r="H35" s="117">
        <v>1.7999999999999999E-2</v>
      </c>
      <c r="I35" s="117">
        <f t="shared" si="9"/>
        <v>21600</v>
      </c>
      <c r="J35" s="118">
        <f t="shared" si="8"/>
        <v>830.76923076923072</v>
      </c>
      <c r="K35" s="19"/>
      <c r="L35" s="20"/>
      <c r="M35" s="22"/>
      <c r="N35" s="21"/>
      <c r="O35" s="24"/>
      <c r="P35" s="24"/>
      <c r="Q35" s="23"/>
    </row>
    <row r="36" spans="2:17" ht="22.5" customHeight="1" x14ac:dyDescent="0.25">
      <c r="B36" s="13"/>
      <c r="C36" s="114" t="s">
        <v>42</v>
      </c>
      <c r="D36" s="115">
        <v>2031</v>
      </c>
      <c r="E36" s="116" t="s">
        <v>37</v>
      </c>
      <c r="F36" s="116" t="s">
        <v>40</v>
      </c>
      <c r="G36" s="129">
        <f>'[1]DESADUANAJE DESCARGA Y SURVEY'!K14</f>
        <v>0</v>
      </c>
      <c r="H36" s="117">
        <v>1.7999999999999999E-2</v>
      </c>
      <c r="I36" s="117">
        <f t="shared" si="9"/>
        <v>0</v>
      </c>
      <c r="J36" s="118">
        <f t="shared" si="8"/>
        <v>0</v>
      </c>
      <c r="K36" s="19"/>
      <c r="L36" s="20"/>
      <c r="M36" s="22"/>
      <c r="N36" s="21"/>
      <c r="O36" s="24"/>
      <c r="P36" s="24"/>
      <c r="Q36" s="23"/>
    </row>
    <row r="37" spans="2:17" ht="22.5" customHeight="1" x14ac:dyDescent="0.25">
      <c r="B37" s="13"/>
      <c r="C37" s="114" t="s">
        <v>43</v>
      </c>
      <c r="D37" s="115">
        <v>2026</v>
      </c>
      <c r="E37" s="116" t="s">
        <v>37</v>
      </c>
      <c r="F37" s="116" t="s">
        <v>40</v>
      </c>
      <c r="G37" s="129">
        <v>2</v>
      </c>
      <c r="H37" s="117">
        <v>500</v>
      </c>
      <c r="I37" s="117">
        <f t="shared" si="9"/>
        <v>1000</v>
      </c>
      <c r="J37" s="118">
        <f t="shared" si="8"/>
        <v>38.46153846153846</v>
      </c>
      <c r="K37" s="19"/>
      <c r="L37" s="20"/>
      <c r="M37" s="22"/>
      <c r="N37" s="21"/>
      <c r="O37" s="24"/>
      <c r="P37" s="24"/>
      <c r="Q37" s="23"/>
    </row>
    <row r="38" spans="2:17" ht="22.5" customHeight="1" x14ac:dyDescent="0.25">
      <c r="B38" s="13"/>
      <c r="C38" s="114" t="s">
        <v>43</v>
      </c>
      <c r="D38" s="115">
        <v>2027</v>
      </c>
      <c r="E38" s="116" t="s">
        <v>37</v>
      </c>
      <c r="F38" s="116" t="s">
        <v>40</v>
      </c>
      <c r="G38" s="129">
        <v>2</v>
      </c>
      <c r="H38" s="117">
        <v>500</v>
      </c>
      <c r="I38" s="117">
        <f>G38*H38</f>
        <v>1000</v>
      </c>
      <c r="J38" s="118">
        <f t="shared" si="8"/>
        <v>38.46153846153846</v>
      </c>
      <c r="K38" s="19"/>
      <c r="L38" s="20"/>
      <c r="M38" s="22"/>
      <c r="N38" s="21"/>
      <c r="O38" s="24"/>
      <c r="P38" s="24"/>
      <c r="Q38" s="23"/>
    </row>
    <row r="39" spans="2:17" ht="22.5" customHeight="1" x14ac:dyDescent="0.25">
      <c r="B39" s="13"/>
      <c r="C39" s="114" t="s">
        <v>43</v>
      </c>
      <c r="D39" s="115">
        <v>2028</v>
      </c>
      <c r="E39" s="116" t="s">
        <v>37</v>
      </c>
      <c r="F39" s="116" t="s">
        <v>40</v>
      </c>
      <c r="G39" s="129">
        <v>2</v>
      </c>
      <c r="H39" s="117">
        <v>500</v>
      </c>
      <c r="I39" s="117">
        <f t="shared" si="9"/>
        <v>1000</v>
      </c>
      <c r="J39" s="118">
        <f t="shared" si="8"/>
        <v>38.46153846153846</v>
      </c>
      <c r="K39" s="19"/>
      <c r="L39" s="20"/>
      <c r="M39" s="22"/>
      <c r="N39" s="21"/>
      <c r="O39" s="24"/>
      <c r="P39" s="24"/>
      <c r="Q39" s="23"/>
    </row>
    <row r="40" spans="2:17" ht="22.5" customHeight="1" x14ac:dyDescent="0.25">
      <c r="B40" s="13"/>
      <c r="C40" s="114" t="s">
        <v>43</v>
      </c>
      <c r="D40" s="115">
        <v>2029</v>
      </c>
      <c r="E40" s="116" t="s">
        <v>37</v>
      </c>
      <c r="F40" s="116" t="s">
        <v>40</v>
      </c>
      <c r="G40" s="129">
        <v>2</v>
      </c>
      <c r="H40" s="117">
        <v>500</v>
      </c>
      <c r="I40" s="117">
        <f t="shared" si="9"/>
        <v>1000</v>
      </c>
      <c r="J40" s="118">
        <f t="shared" si="8"/>
        <v>38.46153846153846</v>
      </c>
      <c r="K40" s="19"/>
      <c r="L40" s="20"/>
      <c r="M40" s="22"/>
      <c r="N40" s="21"/>
      <c r="O40" s="24"/>
      <c r="P40" s="24"/>
      <c r="Q40" s="23"/>
    </row>
    <row r="41" spans="2:17" ht="22.5" customHeight="1" x14ac:dyDescent="0.25">
      <c r="B41" s="13"/>
      <c r="C41" s="114" t="s">
        <v>43</v>
      </c>
      <c r="D41" s="115">
        <v>2030</v>
      </c>
      <c r="E41" s="116" t="s">
        <v>37</v>
      </c>
      <c r="F41" s="116" t="s">
        <v>40</v>
      </c>
      <c r="G41" s="129">
        <v>2</v>
      </c>
      <c r="H41" s="117">
        <v>500</v>
      </c>
      <c r="I41" s="117">
        <f t="shared" si="9"/>
        <v>1000</v>
      </c>
      <c r="J41" s="118">
        <f t="shared" si="8"/>
        <v>38.46153846153846</v>
      </c>
      <c r="K41" s="19"/>
      <c r="L41" s="20"/>
      <c r="M41" s="22"/>
      <c r="N41" s="21"/>
      <c r="O41" s="24"/>
      <c r="P41" s="24"/>
      <c r="Q41" s="23"/>
    </row>
    <row r="42" spans="2:17" ht="22.5" customHeight="1" x14ac:dyDescent="0.25">
      <c r="B42" s="13"/>
      <c r="C42" s="114" t="s">
        <v>43</v>
      </c>
      <c r="D42" s="115">
        <v>2031</v>
      </c>
      <c r="E42" s="116" t="s">
        <v>37</v>
      </c>
      <c r="F42" s="116" t="s">
        <v>40</v>
      </c>
      <c r="G42" s="129"/>
      <c r="H42" s="117">
        <v>500</v>
      </c>
      <c r="I42" s="117">
        <f t="shared" si="9"/>
        <v>0</v>
      </c>
      <c r="J42" s="118">
        <f t="shared" si="8"/>
        <v>0</v>
      </c>
      <c r="K42" s="19"/>
      <c r="L42" s="20"/>
      <c r="M42" s="22"/>
      <c r="N42" s="21"/>
      <c r="O42" s="24"/>
      <c r="P42" s="24"/>
      <c r="Q42" s="23"/>
    </row>
    <row r="43" spans="2:17" ht="22.5" customHeight="1" x14ac:dyDescent="0.25">
      <c r="B43" s="13"/>
      <c r="C43" s="114" t="s">
        <v>44</v>
      </c>
      <c r="D43" s="115">
        <v>2026</v>
      </c>
      <c r="E43" s="116" t="s">
        <v>37</v>
      </c>
      <c r="F43" s="116"/>
      <c r="G43" s="129">
        <v>1</v>
      </c>
      <c r="H43" s="117">
        <v>50000</v>
      </c>
      <c r="I43" s="117">
        <f t="shared" si="9"/>
        <v>50000</v>
      </c>
      <c r="J43" s="118">
        <f t="shared" si="8"/>
        <v>1923.0769230769231</v>
      </c>
      <c r="K43" s="19"/>
      <c r="L43" s="20"/>
      <c r="M43" s="22"/>
      <c r="N43" s="21"/>
      <c r="O43" s="24"/>
      <c r="P43" s="24"/>
      <c r="Q43" s="23"/>
    </row>
    <row r="44" spans="2:17" ht="22.5" customHeight="1" x14ac:dyDescent="0.25">
      <c r="B44" s="13"/>
      <c r="C44" s="114" t="s">
        <v>45</v>
      </c>
      <c r="D44" s="115">
        <v>2027</v>
      </c>
      <c r="E44" s="116" t="s">
        <v>37</v>
      </c>
      <c r="F44" s="116" t="s">
        <v>46</v>
      </c>
      <c r="G44" s="129">
        <v>1</v>
      </c>
      <c r="H44" s="117">
        <v>25000</v>
      </c>
      <c r="I44" s="117">
        <f>G44*H44</f>
        <v>25000</v>
      </c>
      <c r="J44" s="118">
        <f t="shared" si="8"/>
        <v>961.53846153846155</v>
      </c>
      <c r="K44" s="19"/>
      <c r="L44" s="20"/>
      <c r="M44" s="22"/>
      <c r="N44" s="21"/>
      <c r="O44" s="24"/>
      <c r="P44" s="24"/>
      <c r="Q44" s="23"/>
    </row>
    <row r="45" spans="2:17" ht="22.5" customHeight="1" x14ac:dyDescent="0.25">
      <c r="B45" s="13"/>
      <c r="C45" s="114" t="s">
        <v>45</v>
      </c>
      <c r="D45" s="115">
        <v>2028</v>
      </c>
      <c r="E45" s="116" t="s">
        <v>37</v>
      </c>
      <c r="F45" s="116" t="s">
        <v>46</v>
      </c>
      <c r="G45" s="129">
        <v>1</v>
      </c>
      <c r="H45" s="117">
        <v>25000</v>
      </c>
      <c r="I45" s="117">
        <f>G45*H45</f>
        <v>25000</v>
      </c>
      <c r="J45" s="118">
        <f>I45/26</f>
        <v>961.53846153846155</v>
      </c>
      <c r="K45" s="19"/>
      <c r="L45" s="20"/>
      <c r="M45" s="22"/>
      <c r="N45" s="21"/>
      <c r="O45" s="24"/>
      <c r="P45" s="24"/>
      <c r="Q45" s="23"/>
    </row>
    <row r="46" spans="2:17" ht="22.5" customHeight="1" x14ac:dyDescent="0.25">
      <c r="B46" s="13"/>
      <c r="C46" s="114" t="s">
        <v>45</v>
      </c>
      <c r="D46" s="115">
        <v>2029</v>
      </c>
      <c r="E46" s="116" t="s">
        <v>37</v>
      </c>
      <c r="F46" s="116" t="s">
        <v>46</v>
      </c>
      <c r="G46" s="129">
        <v>1</v>
      </c>
      <c r="H46" s="117">
        <v>25000</v>
      </c>
      <c r="I46" s="117">
        <f t="shared" ref="I46:I85" si="10">G46*H46</f>
        <v>25000</v>
      </c>
      <c r="J46" s="118">
        <f t="shared" ref="J46:J47" si="11">I46/26</f>
        <v>961.53846153846155</v>
      </c>
      <c r="K46" s="19"/>
      <c r="L46" s="20"/>
      <c r="M46" s="22"/>
      <c r="N46" s="21"/>
      <c r="O46" s="24"/>
      <c r="P46" s="24"/>
      <c r="Q46" s="23"/>
    </row>
    <row r="47" spans="2:17" ht="22.5" customHeight="1" x14ac:dyDescent="0.25">
      <c r="B47" s="13"/>
      <c r="C47" s="114" t="s">
        <v>45</v>
      </c>
      <c r="D47" s="115">
        <v>2030</v>
      </c>
      <c r="E47" s="116" t="s">
        <v>37</v>
      </c>
      <c r="F47" s="116" t="s">
        <v>46</v>
      </c>
      <c r="G47" s="129">
        <v>1</v>
      </c>
      <c r="H47" s="117">
        <v>25000</v>
      </c>
      <c r="I47" s="117">
        <f t="shared" si="10"/>
        <v>25000</v>
      </c>
      <c r="J47" s="118">
        <f t="shared" si="11"/>
        <v>961.53846153846155</v>
      </c>
      <c r="K47" s="19"/>
      <c r="L47" s="20"/>
      <c r="M47" s="22"/>
      <c r="N47" s="21"/>
      <c r="O47" s="24"/>
      <c r="P47" s="24"/>
      <c r="Q47" s="23"/>
    </row>
    <row r="48" spans="2:17" ht="22.5" customHeight="1" x14ac:dyDescent="0.25">
      <c r="B48" s="13"/>
      <c r="C48" s="114" t="s">
        <v>45</v>
      </c>
      <c r="D48" s="115">
        <v>2031</v>
      </c>
      <c r="E48" s="116" t="s">
        <v>37</v>
      </c>
      <c r="F48" s="116" t="s">
        <v>46</v>
      </c>
      <c r="G48" s="129"/>
      <c r="H48" s="117">
        <v>25000</v>
      </c>
      <c r="I48" s="117">
        <f t="shared" si="10"/>
        <v>0</v>
      </c>
      <c r="J48" s="118">
        <f>I48/26</f>
        <v>0</v>
      </c>
      <c r="K48" s="19"/>
      <c r="L48" s="20"/>
      <c r="M48" s="22"/>
      <c r="N48" s="21"/>
      <c r="O48" s="24" t="s">
        <v>47</v>
      </c>
      <c r="P48" s="24"/>
      <c r="Q48" s="23"/>
    </row>
    <row r="49" spans="2:17" ht="39.75" customHeight="1" x14ac:dyDescent="0.25">
      <c r="B49" s="13">
        <v>5</v>
      </c>
      <c r="C49" s="29" t="s">
        <v>48</v>
      </c>
      <c r="D49" s="30" t="s">
        <v>0</v>
      </c>
      <c r="E49" s="31" t="s">
        <v>37</v>
      </c>
      <c r="F49" s="31"/>
      <c r="G49" s="60" t="s">
        <v>49</v>
      </c>
      <c r="H49" s="32"/>
      <c r="I49" s="32"/>
      <c r="J49" s="33"/>
      <c r="K49" s="33"/>
      <c r="L49" s="34"/>
      <c r="M49" s="36"/>
      <c r="N49" s="35"/>
      <c r="O49" s="24"/>
      <c r="P49" s="24"/>
      <c r="Q49" s="23"/>
    </row>
    <row r="50" spans="2:17" ht="22.5" customHeight="1" x14ac:dyDescent="0.25">
      <c r="B50" s="13"/>
      <c r="C50" s="14" t="s">
        <v>50</v>
      </c>
      <c r="D50" s="15">
        <v>2026</v>
      </c>
      <c r="E50" s="16" t="s">
        <v>37</v>
      </c>
      <c r="F50" s="16" t="s">
        <v>51</v>
      </c>
      <c r="G50" s="61">
        <v>8104.24</v>
      </c>
      <c r="H50" s="17">
        <v>1.5</v>
      </c>
      <c r="I50" s="17">
        <f t="shared" si="10"/>
        <v>12156.36</v>
      </c>
      <c r="J50" s="18">
        <f>I50/26</f>
        <v>467.55230769230769</v>
      </c>
      <c r="K50" s="19"/>
      <c r="L50" s="20"/>
      <c r="M50" s="22"/>
      <c r="N50" s="21"/>
      <c r="O50" s="24"/>
      <c r="P50" s="24"/>
      <c r="Q50" s="23"/>
    </row>
    <row r="51" spans="2:17" ht="22.5" customHeight="1" x14ac:dyDescent="0.25">
      <c r="B51" s="13"/>
      <c r="C51" s="114" t="s">
        <v>52</v>
      </c>
      <c r="D51" s="115">
        <v>2027</v>
      </c>
      <c r="E51" s="116" t="s">
        <v>37</v>
      </c>
      <c r="F51" s="116" t="s">
        <v>51</v>
      </c>
      <c r="G51" s="130">
        <v>8104.24</v>
      </c>
      <c r="H51" s="117">
        <v>1.5</v>
      </c>
      <c r="I51" s="117">
        <f>G51*H51</f>
        <v>12156.36</v>
      </c>
      <c r="J51" s="118">
        <f t="shared" ref="J51:J58" si="12">I51/26</f>
        <v>467.55230769230769</v>
      </c>
      <c r="K51" s="19"/>
      <c r="L51" s="20"/>
      <c r="M51" s="22"/>
      <c r="N51" s="21"/>
      <c r="O51" s="24"/>
      <c r="P51" s="24"/>
      <c r="Q51" s="23"/>
    </row>
    <row r="52" spans="2:17" ht="22.5" customHeight="1" x14ac:dyDescent="0.25">
      <c r="B52" s="13"/>
      <c r="C52" s="114" t="s">
        <v>52</v>
      </c>
      <c r="D52" s="115">
        <v>2028</v>
      </c>
      <c r="E52" s="116" t="s">
        <v>37</v>
      </c>
      <c r="F52" s="116" t="s">
        <v>51</v>
      </c>
      <c r="G52" s="130">
        <v>8104.24</v>
      </c>
      <c r="H52" s="117">
        <v>1.5</v>
      </c>
      <c r="I52" s="117">
        <f t="shared" si="10"/>
        <v>12156.36</v>
      </c>
      <c r="J52" s="118">
        <f t="shared" si="12"/>
        <v>467.55230769230769</v>
      </c>
      <c r="K52" s="19"/>
      <c r="L52" s="20"/>
      <c r="M52" s="22"/>
      <c r="N52" s="21"/>
      <c r="O52" s="24"/>
      <c r="P52" s="24"/>
      <c r="Q52" s="23"/>
    </row>
    <row r="53" spans="2:17" ht="22.5" customHeight="1" x14ac:dyDescent="0.25">
      <c r="B53" s="13"/>
      <c r="C53" s="114" t="s">
        <v>52</v>
      </c>
      <c r="D53" s="115">
        <v>2029</v>
      </c>
      <c r="E53" s="116" t="s">
        <v>37</v>
      </c>
      <c r="F53" s="116" t="s">
        <v>51</v>
      </c>
      <c r="G53" s="130">
        <v>8104.24</v>
      </c>
      <c r="H53" s="117">
        <v>1.5</v>
      </c>
      <c r="I53" s="117">
        <f t="shared" si="10"/>
        <v>12156.36</v>
      </c>
      <c r="J53" s="118">
        <f t="shared" si="12"/>
        <v>467.55230769230769</v>
      </c>
      <c r="K53" s="19"/>
      <c r="L53" s="20"/>
      <c r="M53" s="22"/>
      <c r="N53" s="21"/>
      <c r="O53" s="24"/>
      <c r="P53" s="24"/>
      <c r="Q53" s="23"/>
    </row>
    <row r="54" spans="2:17" ht="22.5" customHeight="1" x14ac:dyDescent="0.25">
      <c r="B54" s="13"/>
      <c r="C54" s="114" t="s">
        <v>52</v>
      </c>
      <c r="D54" s="115">
        <v>2030</v>
      </c>
      <c r="E54" s="116" t="s">
        <v>37</v>
      </c>
      <c r="F54" s="116" t="s">
        <v>51</v>
      </c>
      <c r="G54" s="130">
        <v>8104.24</v>
      </c>
      <c r="H54" s="117">
        <v>1.5</v>
      </c>
      <c r="I54" s="117">
        <f t="shared" si="10"/>
        <v>12156.36</v>
      </c>
      <c r="J54" s="118">
        <f t="shared" si="12"/>
        <v>467.55230769230769</v>
      </c>
      <c r="K54" s="19"/>
      <c r="L54" s="20"/>
      <c r="M54" s="22"/>
      <c r="N54" s="21"/>
      <c r="O54" s="24"/>
      <c r="P54" s="24"/>
      <c r="Q54" s="23"/>
    </row>
    <row r="55" spans="2:17" ht="22.5" customHeight="1" x14ac:dyDescent="0.25">
      <c r="B55" s="13"/>
      <c r="C55" s="114" t="s">
        <v>52</v>
      </c>
      <c r="D55" s="115">
        <v>2031</v>
      </c>
      <c r="E55" s="116" t="s">
        <v>37</v>
      </c>
      <c r="F55" s="116" t="s">
        <v>51</v>
      </c>
      <c r="G55" s="130"/>
      <c r="H55" s="117">
        <v>1.5</v>
      </c>
      <c r="I55" s="117">
        <f t="shared" si="10"/>
        <v>0</v>
      </c>
      <c r="J55" s="118">
        <f t="shared" si="12"/>
        <v>0</v>
      </c>
      <c r="K55" s="19"/>
      <c r="L55" s="20"/>
      <c r="M55" s="22"/>
      <c r="N55" s="21"/>
      <c r="O55" s="24"/>
      <c r="P55" s="24"/>
      <c r="Q55" s="23"/>
    </row>
    <row r="56" spans="2:17" ht="22.5" customHeight="1" x14ac:dyDescent="0.25">
      <c r="B56" s="13"/>
      <c r="C56" s="114" t="s">
        <v>53</v>
      </c>
      <c r="D56" s="115">
        <v>2026</v>
      </c>
      <c r="E56" s="116" t="s">
        <v>37</v>
      </c>
      <c r="F56" s="116"/>
      <c r="G56" s="116">
        <v>1000</v>
      </c>
      <c r="H56" s="117">
        <v>102</v>
      </c>
      <c r="I56" s="117">
        <f t="shared" si="10"/>
        <v>102000</v>
      </c>
      <c r="J56" s="118">
        <f t="shared" si="12"/>
        <v>3923.0769230769229</v>
      </c>
      <c r="K56" s="19"/>
      <c r="L56" s="20"/>
      <c r="M56" s="22"/>
      <c r="N56" s="21"/>
      <c r="O56" s="24"/>
      <c r="P56" s="24"/>
      <c r="Q56" s="23"/>
    </row>
    <row r="57" spans="2:17" ht="22.5" customHeight="1" x14ac:dyDescent="0.25">
      <c r="B57" s="13"/>
      <c r="C57" s="114" t="s">
        <v>54</v>
      </c>
      <c r="D57" s="115">
        <v>2027</v>
      </c>
      <c r="E57" s="116" t="s">
        <v>37</v>
      </c>
      <c r="F57" s="116" t="s">
        <v>51</v>
      </c>
      <c r="G57" s="116">
        <v>1000</v>
      </c>
      <c r="H57" s="117">
        <v>102</v>
      </c>
      <c r="I57" s="117">
        <f>G57*H57</f>
        <v>102000</v>
      </c>
      <c r="J57" s="118">
        <f t="shared" si="12"/>
        <v>3923.0769230769229</v>
      </c>
      <c r="K57" s="19"/>
      <c r="L57" s="20"/>
      <c r="M57" s="22"/>
      <c r="N57" s="21"/>
      <c r="O57" s="24"/>
      <c r="P57" s="24"/>
      <c r="Q57" s="23"/>
    </row>
    <row r="58" spans="2:17" ht="22.5" customHeight="1" x14ac:dyDescent="0.25">
      <c r="B58" s="13"/>
      <c r="C58" s="114" t="s">
        <v>54</v>
      </c>
      <c r="D58" s="115">
        <v>2028</v>
      </c>
      <c r="E58" s="116" t="s">
        <v>37</v>
      </c>
      <c r="F58" s="116" t="s">
        <v>51</v>
      </c>
      <c r="G58" s="116">
        <v>1000</v>
      </c>
      <c r="H58" s="117">
        <v>102</v>
      </c>
      <c r="I58" s="117">
        <f t="shared" si="10"/>
        <v>102000</v>
      </c>
      <c r="J58" s="118">
        <f t="shared" si="12"/>
        <v>3923.0769230769229</v>
      </c>
      <c r="K58" s="19"/>
      <c r="L58" s="20"/>
      <c r="M58" s="22"/>
      <c r="N58" s="21"/>
      <c r="O58" s="24"/>
      <c r="P58" s="24"/>
      <c r="Q58" s="23"/>
    </row>
    <row r="59" spans="2:17" ht="22.5" customHeight="1" x14ac:dyDescent="0.25">
      <c r="B59" s="13"/>
      <c r="C59" s="114" t="s">
        <v>54</v>
      </c>
      <c r="D59" s="115">
        <v>2029</v>
      </c>
      <c r="E59" s="116" t="s">
        <v>37</v>
      </c>
      <c r="F59" s="116" t="s">
        <v>51</v>
      </c>
      <c r="G59" s="116">
        <v>1000</v>
      </c>
      <c r="H59" s="117">
        <v>102</v>
      </c>
      <c r="I59" s="117">
        <f t="shared" si="10"/>
        <v>102000</v>
      </c>
      <c r="J59" s="118">
        <f>I59/26</f>
        <v>3923.0769230769229</v>
      </c>
      <c r="K59" s="19"/>
      <c r="L59" s="20"/>
      <c r="M59" s="22"/>
      <c r="N59" s="21"/>
      <c r="O59" s="24"/>
      <c r="P59" s="24"/>
      <c r="Q59" s="23"/>
    </row>
    <row r="60" spans="2:17" ht="22.5" customHeight="1" x14ac:dyDescent="0.25">
      <c r="B60" s="13"/>
      <c r="C60" s="114" t="s">
        <v>54</v>
      </c>
      <c r="D60" s="115">
        <v>2030</v>
      </c>
      <c r="E60" s="116" t="s">
        <v>37</v>
      </c>
      <c r="F60" s="116" t="s">
        <v>51</v>
      </c>
      <c r="G60" s="116">
        <v>1000</v>
      </c>
      <c r="H60" s="117">
        <v>102</v>
      </c>
      <c r="I60" s="117">
        <f t="shared" si="10"/>
        <v>102000</v>
      </c>
      <c r="J60" s="118">
        <f t="shared" ref="J60:J61" si="13">I60/26</f>
        <v>3923.0769230769229</v>
      </c>
      <c r="K60" s="19"/>
      <c r="L60" s="20"/>
      <c r="M60" s="22"/>
      <c r="N60" s="21"/>
      <c r="O60" s="24"/>
      <c r="P60" s="24"/>
      <c r="Q60" s="23"/>
    </row>
    <row r="61" spans="2:17" ht="22.5" customHeight="1" x14ac:dyDescent="0.25">
      <c r="B61" s="13"/>
      <c r="C61" s="114" t="s">
        <v>54</v>
      </c>
      <c r="D61" s="115">
        <v>2031</v>
      </c>
      <c r="E61" s="116" t="s">
        <v>37</v>
      </c>
      <c r="F61" s="116" t="s">
        <v>51</v>
      </c>
      <c r="G61" s="116"/>
      <c r="H61" s="117">
        <v>102</v>
      </c>
      <c r="I61" s="117">
        <f t="shared" si="10"/>
        <v>0</v>
      </c>
      <c r="J61" s="118">
        <f t="shared" si="13"/>
        <v>0</v>
      </c>
      <c r="K61" s="19"/>
      <c r="L61" s="20"/>
      <c r="M61" s="22"/>
      <c r="N61" s="21"/>
      <c r="O61" s="24"/>
      <c r="P61" s="24"/>
      <c r="Q61" s="23"/>
    </row>
    <row r="62" spans="2:17" ht="38.25" customHeight="1" x14ac:dyDescent="0.25">
      <c r="B62" s="13">
        <v>6</v>
      </c>
      <c r="C62" s="29" t="s">
        <v>55</v>
      </c>
      <c r="D62" s="29"/>
      <c r="E62" s="31" t="s">
        <v>37</v>
      </c>
      <c r="F62" s="31"/>
      <c r="G62" s="62" t="s">
        <v>56</v>
      </c>
      <c r="H62" s="32"/>
      <c r="I62" s="32"/>
      <c r="J62" s="33"/>
      <c r="K62" s="33"/>
      <c r="L62" s="34"/>
      <c r="M62" s="36"/>
      <c r="N62" s="35"/>
      <c r="O62" s="24"/>
      <c r="P62" s="24"/>
      <c r="Q62" s="23"/>
    </row>
    <row r="63" spans="2:17" ht="22.5" customHeight="1" x14ac:dyDescent="0.25">
      <c r="B63" s="13"/>
      <c r="C63" s="49" t="s">
        <v>57</v>
      </c>
      <c r="D63" s="50">
        <v>2026</v>
      </c>
      <c r="E63" s="47" t="s">
        <v>37</v>
      </c>
      <c r="F63" s="47" t="s">
        <v>58</v>
      </c>
      <c r="G63" s="47">
        <v>21</v>
      </c>
      <c r="H63" s="51">
        <v>1000</v>
      </c>
      <c r="I63" s="51">
        <f t="shared" ref="I63:I66" si="14">G63*H63</f>
        <v>21000</v>
      </c>
      <c r="J63" s="52">
        <f>I63/26</f>
        <v>807.69230769230774</v>
      </c>
      <c r="K63" s="19"/>
      <c r="L63" s="20"/>
      <c r="M63" s="22"/>
      <c r="N63" s="21"/>
      <c r="O63"/>
      <c r="P63" s="24"/>
      <c r="Q63" s="23"/>
    </row>
    <row r="64" spans="2:17" ht="22.5" customHeight="1" x14ac:dyDescent="0.25">
      <c r="B64" s="13"/>
      <c r="C64" s="25" t="s">
        <v>57</v>
      </c>
      <c r="D64" s="26">
        <v>2027</v>
      </c>
      <c r="E64" s="27" t="s">
        <v>37</v>
      </c>
      <c r="F64" s="27" t="s">
        <v>58</v>
      </c>
      <c r="G64" s="27">
        <v>21</v>
      </c>
      <c r="H64" s="28">
        <v>1000</v>
      </c>
      <c r="I64" s="28">
        <f>G64*H64</f>
        <v>21000</v>
      </c>
      <c r="J64" s="19">
        <f t="shared" ref="J64:J69" si="15">I64/26</f>
        <v>807.69230769230774</v>
      </c>
      <c r="K64" s="19"/>
      <c r="L64" s="20"/>
      <c r="M64" s="22"/>
      <c r="N64" s="21"/>
      <c r="O64"/>
      <c r="P64" s="24"/>
      <c r="Q64" s="23"/>
    </row>
    <row r="65" spans="2:17" ht="22.5" customHeight="1" x14ac:dyDescent="0.25">
      <c r="B65" s="13"/>
      <c r="C65" s="25" t="s">
        <v>57</v>
      </c>
      <c r="D65" s="26">
        <v>2028</v>
      </c>
      <c r="E65" s="27" t="s">
        <v>37</v>
      </c>
      <c r="F65" s="27" t="s">
        <v>58</v>
      </c>
      <c r="G65" s="27">
        <v>21</v>
      </c>
      <c r="H65" s="28">
        <v>1000</v>
      </c>
      <c r="I65" s="28">
        <f t="shared" si="14"/>
        <v>21000</v>
      </c>
      <c r="J65" s="19">
        <f t="shared" si="15"/>
        <v>807.69230769230774</v>
      </c>
      <c r="K65" s="19"/>
      <c r="L65" s="20"/>
      <c r="M65" s="22"/>
      <c r="N65" s="21"/>
      <c r="O65"/>
      <c r="P65" s="24"/>
      <c r="Q65" s="23"/>
    </row>
    <row r="66" spans="2:17" ht="22.5" customHeight="1" x14ac:dyDescent="0.25">
      <c r="B66" s="13"/>
      <c r="C66" s="25" t="s">
        <v>57</v>
      </c>
      <c r="D66" s="26">
        <v>2029</v>
      </c>
      <c r="E66" s="27" t="s">
        <v>37</v>
      </c>
      <c r="F66" s="27" t="s">
        <v>58</v>
      </c>
      <c r="G66" s="27">
        <v>21</v>
      </c>
      <c r="H66" s="28">
        <v>1000</v>
      </c>
      <c r="I66" s="28">
        <f t="shared" si="14"/>
        <v>21000</v>
      </c>
      <c r="J66" s="19">
        <f t="shared" si="15"/>
        <v>807.69230769230774</v>
      </c>
      <c r="K66" s="19"/>
      <c r="L66" s="20"/>
      <c r="M66" s="22"/>
      <c r="N66" s="21"/>
      <c r="O66"/>
      <c r="P66" s="24"/>
      <c r="Q66" s="23"/>
    </row>
    <row r="67" spans="2:17" ht="22.5" customHeight="1" x14ac:dyDescent="0.25">
      <c r="B67" s="13"/>
      <c r="C67" s="25" t="s">
        <v>57</v>
      </c>
      <c r="D67" s="26">
        <v>2030</v>
      </c>
      <c r="E67" s="27" t="s">
        <v>37</v>
      </c>
      <c r="F67" s="27" t="s">
        <v>58</v>
      </c>
      <c r="G67" s="27">
        <v>21</v>
      </c>
      <c r="H67" s="28">
        <v>1000</v>
      </c>
      <c r="I67" s="28">
        <f t="shared" si="10"/>
        <v>21000</v>
      </c>
      <c r="J67" s="19">
        <f t="shared" si="15"/>
        <v>807.69230769230774</v>
      </c>
      <c r="K67" s="19"/>
      <c r="L67" s="20"/>
      <c r="M67" s="22"/>
      <c r="N67" s="21"/>
      <c r="O67"/>
      <c r="P67" s="24"/>
      <c r="Q67" s="23"/>
    </row>
    <row r="68" spans="2:17" ht="22.5" customHeight="1" x14ac:dyDescent="0.25">
      <c r="B68" s="13"/>
      <c r="C68" s="25" t="s">
        <v>57</v>
      </c>
      <c r="D68" s="26">
        <v>2031</v>
      </c>
      <c r="E68" s="27" t="s">
        <v>37</v>
      </c>
      <c r="F68" s="27" t="s">
        <v>58</v>
      </c>
      <c r="G68" s="27"/>
      <c r="H68" s="28">
        <v>1000</v>
      </c>
      <c r="I68" s="28">
        <f t="shared" si="10"/>
        <v>0</v>
      </c>
      <c r="J68" s="19">
        <f t="shared" si="15"/>
        <v>0</v>
      </c>
      <c r="K68" s="19"/>
      <c r="L68" s="20"/>
      <c r="M68" s="22"/>
      <c r="N68" s="21"/>
      <c r="O68"/>
      <c r="P68" s="24"/>
      <c r="Q68" s="23"/>
    </row>
    <row r="69" spans="2:17" ht="22.5" customHeight="1" x14ac:dyDescent="0.25">
      <c r="B69" s="13"/>
      <c r="C69" s="14" t="s">
        <v>59</v>
      </c>
      <c r="D69" s="15">
        <v>2026</v>
      </c>
      <c r="E69" s="16" t="s">
        <v>37</v>
      </c>
      <c r="F69" s="16" t="s">
        <v>60</v>
      </c>
      <c r="G69" s="16">
        <v>10000</v>
      </c>
      <c r="H69" s="17">
        <v>7</v>
      </c>
      <c r="I69" s="17">
        <f t="shared" si="10"/>
        <v>70000</v>
      </c>
      <c r="J69" s="18">
        <f t="shared" si="15"/>
        <v>2692.3076923076924</v>
      </c>
      <c r="K69" s="19"/>
      <c r="L69" s="20"/>
      <c r="M69" s="22"/>
      <c r="N69" s="21"/>
      <c r="O69"/>
      <c r="P69" s="24"/>
      <c r="Q69" s="23"/>
    </row>
    <row r="70" spans="2:17" ht="22.5" customHeight="1" x14ac:dyDescent="0.25">
      <c r="B70" s="13"/>
      <c r="C70" s="25" t="s">
        <v>59</v>
      </c>
      <c r="D70" s="26">
        <v>2027</v>
      </c>
      <c r="E70" s="27" t="s">
        <v>37</v>
      </c>
      <c r="F70" s="27" t="s">
        <v>60</v>
      </c>
      <c r="G70" s="27">
        <v>10000</v>
      </c>
      <c r="H70" s="28">
        <v>7</v>
      </c>
      <c r="I70" s="28">
        <f>G70*H70</f>
        <v>70000</v>
      </c>
      <c r="J70" s="19">
        <f>I70/26</f>
        <v>2692.3076923076924</v>
      </c>
      <c r="K70" s="19"/>
      <c r="L70" s="20"/>
      <c r="M70" s="22"/>
      <c r="N70" s="21"/>
      <c r="O70" s="24"/>
      <c r="P70" s="24"/>
      <c r="Q70" s="23"/>
    </row>
    <row r="71" spans="2:17" ht="22.5" customHeight="1" x14ac:dyDescent="0.25">
      <c r="B71" s="13"/>
      <c r="C71" s="25" t="s">
        <v>59</v>
      </c>
      <c r="D71" s="26">
        <v>2028</v>
      </c>
      <c r="E71" s="27" t="s">
        <v>37</v>
      </c>
      <c r="F71" s="27" t="s">
        <v>60</v>
      </c>
      <c r="G71" s="27">
        <v>10000</v>
      </c>
      <c r="H71" s="28">
        <v>7</v>
      </c>
      <c r="I71" s="28">
        <f t="shared" si="10"/>
        <v>70000</v>
      </c>
      <c r="J71" s="19">
        <f>I71/26</f>
        <v>2692.3076923076924</v>
      </c>
      <c r="K71" s="19"/>
      <c r="L71" s="20"/>
      <c r="M71" s="22"/>
      <c r="N71" s="21"/>
      <c r="O71" s="24"/>
      <c r="P71" s="24"/>
      <c r="Q71" s="23"/>
    </row>
    <row r="72" spans="2:17" ht="22.5" customHeight="1" x14ac:dyDescent="0.25">
      <c r="B72" s="13"/>
      <c r="C72" s="25" t="s">
        <v>59</v>
      </c>
      <c r="D72" s="26">
        <v>2029</v>
      </c>
      <c r="E72" s="27" t="s">
        <v>37</v>
      </c>
      <c r="F72" s="27" t="s">
        <v>60</v>
      </c>
      <c r="G72" s="27">
        <v>10000</v>
      </c>
      <c r="H72" s="28">
        <v>7</v>
      </c>
      <c r="I72" s="28">
        <f t="shared" si="10"/>
        <v>70000</v>
      </c>
      <c r="J72" s="19">
        <f t="shared" ref="J72:J78" si="16">I72/26</f>
        <v>2692.3076923076924</v>
      </c>
      <c r="K72" s="19"/>
      <c r="L72" s="20"/>
      <c r="M72" s="22"/>
      <c r="N72" s="21"/>
      <c r="O72" s="24"/>
      <c r="P72" s="24"/>
      <c r="Q72" s="23"/>
    </row>
    <row r="73" spans="2:17" ht="22.5" customHeight="1" x14ac:dyDescent="0.25">
      <c r="B73" s="13"/>
      <c r="C73" s="25" t="s">
        <v>59</v>
      </c>
      <c r="D73" s="26">
        <v>2030</v>
      </c>
      <c r="E73" s="27" t="s">
        <v>37</v>
      </c>
      <c r="F73" s="27" t="s">
        <v>60</v>
      </c>
      <c r="G73" s="27">
        <v>10000</v>
      </c>
      <c r="H73" s="28">
        <v>7</v>
      </c>
      <c r="I73" s="28">
        <f t="shared" si="10"/>
        <v>70000</v>
      </c>
      <c r="J73" s="19">
        <f t="shared" si="16"/>
        <v>2692.3076923076924</v>
      </c>
      <c r="K73" s="19"/>
      <c r="L73" s="20"/>
      <c r="M73" s="22"/>
      <c r="N73" s="21"/>
      <c r="O73" s="24"/>
      <c r="P73" s="24"/>
      <c r="Q73" s="23"/>
    </row>
    <row r="74" spans="2:17" ht="22.5" customHeight="1" x14ac:dyDescent="0.25">
      <c r="B74" s="13"/>
      <c r="C74" s="14" t="s">
        <v>61</v>
      </c>
      <c r="D74" s="15">
        <v>2026</v>
      </c>
      <c r="E74" s="16" t="s">
        <v>37</v>
      </c>
      <c r="F74" s="16" t="s">
        <v>60</v>
      </c>
      <c r="G74" s="16">
        <v>14500</v>
      </c>
      <c r="H74" s="17">
        <v>7</v>
      </c>
      <c r="I74" s="17">
        <f>G74*H74</f>
        <v>101500</v>
      </c>
      <c r="J74" s="18">
        <f>I74/26</f>
        <v>3903.8461538461538</v>
      </c>
      <c r="K74" s="19"/>
      <c r="L74" s="20"/>
      <c r="M74" s="22"/>
      <c r="N74" s="21"/>
      <c r="O74" s="24"/>
      <c r="P74" s="24"/>
      <c r="Q74" s="23"/>
    </row>
    <row r="75" spans="2:17" ht="22.5" customHeight="1" x14ac:dyDescent="0.25">
      <c r="B75" s="13"/>
      <c r="C75" s="25" t="s">
        <v>61</v>
      </c>
      <c r="D75" s="26">
        <v>2027</v>
      </c>
      <c r="E75" s="27" t="s">
        <v>37</v>
      </c>
      <c r="F75" s="27" t="s">
        <v>60</v>
      </c>
      <c r="G75" s="27">
        <v>14500</v>
      </c>
      <c r="H75" s="28">
        <v>7</v>
      </c>
      <c r="I75" s="28">
        <f>G75*H75</f>
        <v>101500</v>
      </c>
      <c r="J75" s="19">
        <f t="shared" si="16"/>
        <v>3903.8461538461538</v>
      </c>
      <c r="K75" s="19"/>
      <c r="L75" s="20"/>
      <c r="M75" s="22"/>
      <c r="N75" s="21"/>
      <c r="O75" s="24"/>
      <c r="P75" s="24"/>
      <c r="Q75" s="23"/>
    </row>
    <row r="76" spans="2:17" ht="22.5" customHeight="1" x14ac:dyDescent="0.25">
      <c r="B76" s="13"/>
      <c r="C76" s="25" t="s">
        <v>61</v>
      </c>
      <c r="D76" s="26">
        <v>2028</v>
      </c>
      <c r="E76" s="27" t="s">
        <v>37</v>
      </c>
      <c r="F76" s="27" t="s">
        <v>60</v>
      </c>
      <c r="G76" s="27">
        <v>14500</v>
      </c>
      <c r="H76" s="28">
        <v>7</v>
      </c>
      <c r="I76" s="28">
        <f t="shared" si="10"/>
        <v>101500</v>
      </c>
      <c r="J76" s="19">
        <f t="shared" si="16"/>
        <v>3903.8461538461538</v>
      </c>
      <c r="K76" s="19"/>
      <c r="L76" s="20"/>
      <c r="M76" s="22"/>
      <c r="N76" s="21"/>
      <c r="O76" s="24"/>
      <c r="P76" s="24"/>
      <c r="Q76" s="23"/>
    </row>
    <row r="77" spans="2:17" ht="22.5" customHeight="1" x14ac:dyDescent="0.25">
      <c r="B77" s="13"/>
      <c r="C77" s="25" t="s">
        <v>61</v>
      </c>
      <c r="D77" s="26">
        <v>2029</v>
      </c>
      <c r="E77" s="27" t="s">
        <v>37</v>
      </c>
      <c r="F77" s="27" t="s">
        <v>60</v>
      </c>
      <c r="G77" s="27">
        <v>14500</v>
      </c>
      <c r="H77" s="28">
        <v>7</v>
      </c>
      <c r="I77" s="28">
        <f t="shared" si="10"/>
        <v>101500</v>
      </c>
      <c r="J77" s="19">
        <f t="shared" si="16"/>
        <v>3903.8461538461538</v>
      </c>
      <c r="K77" s="19"/>
      <c r="L77" s="20"/>
      <c r="M77" s="22"/>
      <c r="N77" s="21"/>
      <c r="O77" s="24"/>
      <c r="P77" s="24"/>
      <c r="Q77" s="23"/>
    </row>
    <row r="78" spans="2:17" ht="22.5" customHeight="1" x14ac:dyDescent="0.25">
      <c r="B78" s="13"/>
      <c r="C78" s="25" t="s">
        <v>61</v>
      </c>
      <c r="D78" s="26">
        <v>2030</v>
      </c>
      <c r="E78" s="27" t="s">
        <v>37</v>
      </c>
      <c r="F78" s="27" t="s">
        <v>60</v>
      </c>
      <c r="G78" s="27">
        <v>14500</v>
      </c>
      <c r="H78" s="28">
        <v>7</v>
      </c>
      <c r="I78" s="28">
        <f t="shared" si="10"/>
        <v>101500</v>
      </c>
      <c r="J78" s="19">
        <f t="shared" si="16"/>
        <v>3903.8461538461538</v>
      </c>
      <c r="K78" s="19"/>
      <c r="L78" s="20"/>
      <c r="M78" s="22"/>
      <c r="N78" s="21"/>
      <c r="O78" s="24"/>
      <c r="P78" s="24"/>
      <c r="Q78" s="23"/>
    </row>
    <row r="79" spans="2:17" ht="22.5" customHeight="1" x14ac:dyDescent="0.25">
      <c r="B79" s="13">
        <v>7</v>
      </c>
      <c r="C79" s="29" t="s">
        <v>62</v>
      </c>
      <c r="D79" s="29"/>
      <c r="E79" s="31" t="s">
        <v>37</v>
      </c>
      <c r="F79" s="31"/>
      <c r="G79" s="62"/>
      <c r="H79" s="32"/>
      <c r="I79" s="32"/>
      <c r="J79" s="33"/>
      <c r="K79" s="33"/>
      <c r="L79" s="34"/>
      <c r="M79" s="36"/>
      <c r="N79" s="35"/>
      <c r="O79" s="24"/>
      <c r="P79" s="24"/>
      <c r="Q79" s="23"/>
    </row>
    <row r="80" spans="2:17" ht="22.5" customHeight="1" x14ac:dyDescent="0.25">
      <c r="B80" s="13"/>
      <c r="C80" s="14" t="s">
        <v>63</v>
      </c>
      <c r="D80" s="15">
        <v>2026</v>
      </c>
      <c r="E80" s="16" t="s">
        <v>37</v>
      </c>
      <c r="F80" s="16"/>
      <c r="G80" s="16">
        <v>12</v>
      </c>
      <c r="H80" s="17">
        <v>36000</v>
      </c>
      <c r="I80" s="17">
        <f t="shared" ref="I80:I83" si="17">G80*H80</f>
        <v>432000</v>
      </c>
      <c r="J80" s="18">
        <f t="shared" ref="J80:J85" si="18">I80/26</f>
        <v>16615.384615384617</v>
      </c>
      <c r="K80" s="19"/>
      <c r="L80" s="20"/>
      <c r="M80" s="22"/>
      <c r="N80" s="21"/>
      <c r="O80" s="24"/>
      <c r="P80" s="24"/>
      <c r="Q80" s="23"/>
    </row>
    <row r="81" spans="2:17" ht="22.5" customHeight="1" x14ac:dyDescent="0.25">
      <c r="B81" s="13"/>
      <c r="C81" s="25" t="s">
        <v>63</v>
      </c>
      <c r="D81" s="26">
        <v>2027</v>
      </c>
      <c r="E81" s="27" t="s">
        <v>37</v>
      </c>
      <c r="F81" s="27" t="s">
        <v>58</v>
      </c>
      <c r="G81" s="27">
        <v>12</v>
      </c>
      <c r="H81" s="28">
        <v>36000</v>
      </c>
      <c r="I81" s="28">
        <f>G81*H81</f>
        <v>432000</v>
      </c>
      <c r="J81" s="19">
        <f t="shared" si="18"/>
        <v>16615.384615384617</v>
      </c>
      <c r="K81" s="19"/>
      <c r="L81" s="20"/>
      <c r="M81" s="22"/>
      <c r="N81" s="21"/>
      <c r="O81" s="24"/>
      <c r="P81" s="24"/>
      <c r="Q81" s="23"/>
    </row>
    <row r="82" spans="2:17" ht="22.5" customHeight="1" x14ac:dyDescent="0.25">
      <c r="B82" s="13"/>
      <c r="C82" s="25" t="s">
        <v>63</v>
      </c>
      <c r="D82" s="26">
        <v>2028</v>
      </c>
      <c r="E82" s="27" t="s">
        <v>37</v>
      </c>
      <c r="F82" s="27" t="s">
        <v>58</v>
      </c>
      <c r="G82" s="27">
        <v>12</v>
      </c>
      <c r="H82" s="28">
        <v>36000</v>
      </c>
      <c r="I82" s="28">
        <f t="shared" si="17"/>
        <v>432000</v>
      </c>
      <c r="J82" s="19">
        <f t="shared" si="18"/>
        <v>16615.384615384617</v>
      </c>
      <c r="K82" s="19"/>
      <c r="L82" s="20"/>
      <c r="M82" s="22"/>
      <c r="N82" s="21"/>
      <c r="O82" s="24"/>
      <c r="P82" s="24"/>
      <c r="Q82" s="23"/>
    </row>
    <row r="83" spans="2:17" ht="22.5" customHeight="1" x14ac:dyDescent="0.25">
      <c r="B83" s="13"/>
      <c r="C83" s="25" t="s">
        <v>63</v>
      </c>
      <c r="D83" s="26">
        <v>2029</v>
      </c>
      <c r="E83" s="27" t="s">
        <v>37</v>
      </c>
      <c r="F83" s="27" t="s">
        <v>58</v>
      </c>
      <c r="G83" s="27">
        <v>12</v>
      </c>
      <c r="H83" s="28">
        <v>36000</v>
      </c>
      <c r="I83" s="28">
        <f t="shared" si="17"/>
        <v>432000</v>
      </c>
      <c r="J83" s="19">
        <f t="shared" si="18"/>
        <v>16615.384615384617</v>
      </c>
      <c r="K83" s="19"/>
      <c r="L83" s="20"/>
      <c r="M83" s="22"/>
      <c r="N83" s="21"/>
      <c r="O83" s="24"/>
      <c r="P83" s="24"/>
      <c r="Q83" s="23"/>
    </row>
    <row r="84" spans="2:17" ht="22.5" customHeight="1" x14ac:dyDescent="0.25">
      <c r="B84" s="13"/>
      <c r="C84" s="25" t="s">
        <v>63</v>
      </c>
      <c r="D84" s="26">
        <v>2030</v>
      </c>
      <c r="E84" s="27" t="s">
        <v>37</v>
      </c>
      <c r="F84" s="27" t="s">
        <v>58</v>
      </c>
      <c r="G84" s="27">
        <v>12</v>
      </c>
      <c r="H84" s="28">
        <v>36000</v>
      </c>
      <c r="I84" s="28">
        <f t="shared" si="10"/>
        <v>432000</v>
      </c>
      <c r="J84" s="19">
        <f t="shared" si="18"/>
        <v>16615.384615384617</v>
      </c>
      <c r="K84" s="19"/>
      <c r="L84" s="20"/>
      <c r="M84" s="22"/>
      <c r="N84" s="21"/>
      <c r="O84" s="24"/>
      <c r="P84" s="24"/>
      <c r="Q84" s="23"/>
    </row>
    <row r="85" spans="2:17" ht="22.5" customHeight="1" x14ac:dyDescent="0.25">
      <c r="B85" s="13"/>
      <c r="C85" s="25" t="s">
        <v>63</v>
      </c>
      <c r="D85" s="26">
        <v>2031</v>
      </c>
      <c r="E85" s="27" t="s">
        <v>37</v>
      </c>
      <c r="F85" s="27" t="s">
        <v>58</v>
      </c>
      <c r="G85" s="27"/>
      <c r="H85" s="28">
        <v>36000</v>
      </c>
      <c r="I85" s="28">
        <f t="shared" si="10"/>
        <v>0</v>
      </c>
      <c r="J85" s="19">
        <f t="shared" si="18"/>
        <v>0</v>
      </c>
      <c r="K85" s="19"/>
      <c r="L85" s="20"/>
      <c r="M85" s="22"/>
      <c r="N85" s="21"/>
      <c r="O85" s="24"/>
      <c r="P85" s="24"/>
      <c r="Q85" s="23"/>
    </row>
    <row r="86" spans="2:17" ht="25.5" customHeight="1" x14ac:dyDescent="0.25">
      <c r="B86" s="13">
        <v>8</v>
      </c>
      <c r="C86" s="29" t="s">
        <v>64</v>
      </c>
      <c r="D86" s="30"/>
      <c r="E86" s="31"/>
      <c r="F86" s="31"/>
      <c r="G86" s="31"/>
      <c r="H86" s="32"/>
      <c r="I86" s="32"/>
      <c r="J86" s="33"/>
      <c r="K86" s="33"/>
      <c r="L86" s="34"/>
      <c r="M86" s="36"/>
      <c r="N86" s="35"/>
      <c r="O86" s="24"/>
      <c r="P86" s="24"/>
      <c r="Q86" s="23"/>
    </row>
    <row r="87" spans="2:17" ht="22.5" customHeight="1" x14ac:dyDescent="0.25">
      <c r="B87" s="13"/>
      <c r="C87" s="14" t="s">
        <v>65</v>
      </c>
      <c r="D87" s="15">
        <v>2026</v>
      </c>
      <c r="E87" s="16" t="s">
        <v>37</v>
      </c>
      <c r="F87" s="16" t="s">
        <v>66</v>
      </c>
      <c r="G87" s="48">
        <f>'[1]DESADUANAJE DESCARGA Y SURVEY'!I33</f>
        <v>66</v>
      </c>
      <c r="H87" s="17">
        <v>11600</v>
      </c>
      <c r="I87" s="17">
        <f t="shared" ref="I87:I92" si="19">G87*H87</f>
        <v>765600</v>
      </c>
      <c r="J87" s="18">
        <f>I87/26</f>
        <v>29446.153846153848</v>
      </c>
      <c r="K87" s="19"/>
      <c r="L87" s="20"/>
      <c r="M87" s="22"/>
      <c r="N87" s="21"/>
      <c r="O87" s="24"/>
      <c r="P87" s="24"/>
      <c r="Q87" s="23"/>
    </row>
    <row r="88" spans="2:17" ht="22.5" customHeight="1" x14ac:dyDescent="0.25">
      <c r="B88" s="13"/>
      <c r="C88" s="25" t="s">
        <v>65</v>
      </c>
      <c r="D88" s="26">
        <v>2027</v>
      </c>
      <c r="E88" s="27" t="s">
        <v>37</v>
      </c>
      <c r="F88" s="63" t="s">
        <v>66</v>
      </c>
      <c r="G88" s="64">
        <f>'[1]DESADUANAJE DESCARGA Y SURVEY'!I46</f>
        <v>67</v>
      </c>
      <c r="H88" s="28">
        <v>11600</v>
      </c>
      <c r="I88" s="28">
        <f>G88*H88</f>
        <v>777200</v>
      </c>
      <c r="J88" s="19">
        <f t="shared" ref="J88:J92" si="20">I88/26</f>
        <v>29892.307692307691</v>
      </c>
      <c r="K88" s="19"/>
      <c r="L88" s="20"/>
      <c r="M88" s="22"/>
      <c r="N88" s="21"/>
      <c r="O88" s="24"/>
      <c r="P88" s="24"/>
      <c r="Q88" s="23"/>
    </row>
    <row r="89" spans="2:17" ht="22.5" customHeight="1" x14ac:dyDescent="0.25">
      <c r="B89" s="13"/>
      <c r="C89" s="25" t="s">
        <v>65</v>
      </c>
      <c r="D89" s="26">
        <v>2028</v>
      </c>
      <c r="E89" s="27" t="s">
        <v>37</v>
      </c>
      <c r="F89" s="63" t="s">
        <v>66</v>
      </c>
      <c r="G89" s="64">
        <f>'[1]DESADUANAJE DESCARGA Y SURVEY'!I59</f>
        <v>67</v>
      </c>
      <c r="H89" s="28">
        <v>11600</v>
      </c>
      <c r="I89" s="28">
        <f t="shared" si="19"/>
        <v>777200</v>
      </c>
      <c r="J89" s="19">
        <f t="shared" si="20"/>
        <v>29892.307692307691</v>
      </c>
      <c r="K89" s="19"/>
      <c r="L89" s="20"/>
      <c r="M89" s="22"/>
      <c r="N89" s="21"/>
      <c r="O89" s="24"/>
      <c r="P89" s="24"/>
      <c r="Q89" s="23"/>
    </row>
    <row r="90" spans="2:17" ht="22.5" customHeight="1" x14ac:dyDescent="0.25">
      <c r="B90" s="13"/>
      <c r="C90" s="25" t="s">
        <v>65</v>
      </c>
      <c r="D90" s="26">
        <v>2029</v>
      </c>
      <c r="E90" s="27" t="s">
        <v>37</v>
      </c>
      <c r="F90" s="63" t="s">
        <v>66</v>
      </c>
      <c r="G90" s="64">
        <f>'[1]DESADUANAJE DESCARGA Y SURVEY'!I72</f>
        <v>70</v>
      </c>
      <c r="H90" s="28">
        <v>11600</v>
      </c>
      <c r="I90" s="28">
        <f t="shared" si="19"/>
        <v>812000</v>
      </c>
      <c r="J90" s="19">
        <f t="shared" si="20"/>
        <v>31230.76923076923</v>
      </c>
      <c r="K90" s="19"/>
      <c r="L90" s="20"/>
      <c r="M90" s="22"/>
      <c r="N90" s="21"/>
      <c r="O90" s="24"/>
      <c r="P90" s="24"/>
      <c r="Q90" s="23"/>
    </row>
    <row r="91" spans="2:17" ht="22.5" customHeight="1" x14ac:dyDescent="0.25">
      <c r="B91" s="13"/>
      <c r="C91" s="25" t="s">
        <v>65</v>
      </c>
      <c r="D91" s="26">
        <v>2030</v>
      </c>
      <c r="E91" s="27" t="s">
        <v>37</v>
      </c>
      <c r="F91" s="63" t="s">
        <v>66</v>
      </c>
      <c r="G91" s="65">
        <f>'[1]DESADUANAJE DESCARGA Y SURVEY'!I85</f>
        <v>70</v>
      </c>
      <c r="H91" s="28">
        <v>11600</v>
      </c>
      <c r="I91" s="28">
        <f t="shared" si="19"/>
        <v>812000</v>
      </c>
      <c r="J91" s="19">
        <f t="shared" si="20"/>
        <v>31230.76923076923</v>
      </c>
      <c r="K91" s="19"/>
      <c r="L91" s="20"/>
      <c r="M91" s="22"/>
      <c r="N91" s="21"/>
      <c r="O91" s="24"/>
      <c r="P91" s="24"/>
      <c r="Q91" s="23"/>
    </row>
    <row r="92" spans="2:17" ht="22.5" customHeight="1" x14ac:dyDescent="0.25">
      <c r="B92" s="13"/>
      <c r="C92" s="25" t="s">
        <v>65</v>
      </c>
      <c r="D92" s="26">
        <v>2031</v>
      </c>
      <c r="E92" s="27" t="s">
        <v>37</v>
      </c>
      <c r="F92" s="63" t="s">
        <v>66</v>
      </c>
      <c r="G92" s="65">
        <f>'[1]DESADUANAJE DESCARGA Y SURVEY'!I98</f>
        <v>0</v>
      </c>
      <c r="H92" s="28">
        <v>11600</v>
      </c>
      <c r="I92" s="28">
        <f t="shared" si="19"/>
        <v>0</v>
      </c>
      <c r="J92" s="19">
        <f t="shared" si="20"/>
        <v>0</v>
      </c>
      <c r="K92" s="19"/>
      <c r="L92" s="20"/>
      <c r="M92" s="22"/>
      <c r="N92" s="21"/>
      <c r="O92" s="24"/>
      <c r="P92" s="24"/>
      <c r="Q92" s="23"/>
    </row>
    <row r="93" spans="2:17" ht="22.5" customHeight="1" x14ac:dyDescent="0.25">
      <c r="B93" s="13">
        <v>9</v>
      </c>
      <c r="C93" s="29" t="s">
        <v>67</v>
      </c>
      <c r="D93" s="29"/>
      <c r="E93" s="31" t="s">
        <v>37</v>
      </c>
      <c r="F93" s="31"/>
      <c r="G93" s="66" t="s">
        <v>68</v>
      </c>
      <c r="H93" s="32"/>
      <c r="I93" s="32"/>
      <c r="J93" s="33"/>
      <c r="K93" s="33"/>
      <c r="L93" s="34"/>
      <c r="M93" s="36"/>
      <c r="N93" s="35"/>
      <c r="O93" s="24"/>
      <c r="P93" s="24"/>
      <c r="Q93" s="24"/>
    </row>
    <row r="94" spans="2:17" ht="22.5" customHeight="1" x14ac:dyDescent="0.25">
      <c r="B94" s="13"/>
      <c r="C94" s="14" t="s">
        <v>69</v>
      </c>
      <c r="D94" s="15">
        <v>2026</v>
      </c>
      <c r="E94" s="16" t="s">
        <v>37</v>
      </c>
      <c r="F94" s="16"/>
      <c r="G94" s="67">
        <f>'[1]DESADUANAJE DESCARGA Y SURVEY'!K30</f>
        <v>22321.829069134459</v>
      </c>
      <c r="H94" s="17">
        <v>7.5</v>
      </c>
      <c r="I94" s="17">
        <f t="shared" ref="I94:I99" si="21">G94*H94</f>
        <v>167413.71801850846</v>
      </c>
      <c r="J94" s="18">
        <f>I94/26</f>
        <v>6438.9891545580176</v>
      </c>
      <c r="K94" s="19"/>
      <c r="L94" s="20"/>
      <c r="M94" s="22"/>
      <c r="N94" s="21"/>
      <c r="O94" s="24"/>
      <c r="P94" s="24"/>
      <c r="Q94" s="24"/>
    </row>
    <row r="95" spans="2:17" ht="22.5" customHeight="1" x14ac:dyDescent="0.25">
      <c r="B95" s="13"/>
      <c r="C95" s="25" t="s">
        <v>70</v>
      </c>
      <c r="D95" s="26">
        <v>2027</v>
      </c>
      <c r="E95" s="27" t="s">
        <v>37</v>
      </c>
      <c r="F95" s="27" t="s">
        <v>60</v>
      </c>
      <c r="G95" s="68">
        <f>'[1]DESADUANAJE DESCARGA Y SURVEY'!K43</f>
        <v>22321.829069134459</v>
      </c>
      <c r="H95" s="28">
        <v>7.5</v>
      </c>
      <c r="I95" s="28">
        <f>G95*H95</f>
        <v>167413.71801850846</v>
      </c>
      <c r="J95" s="19">
        <f t="shared" ref="J95:J99" si="22">I95/26</f>
        <v>6438.9891545580176</v>
      </c>
      <c r="K95" s="19"/>
      <c r="L95" s="20"/>
      <c r="M95" s="22"/>
      <c r="N95" s="21"/>
      <c r="O95" s="24"/>
      <c r="P95" s="24"/>
      <c r="Q95" s="24"/>
    </row>
    <row r="96" spans="2:17" ht="22.5" customHeight="1" x14ac:dyDescent="0.25">
      <c r="B96" s="13"/>
      <c r="C96" s="25" t="s">
        <v>70</v>
      </c>
      <c r="D96" s="26">
        <v>2028</v>
      </c>
      <c r="E96" s="27" t="s">
        <v>37</v>
      </c>
      <c r="F96" s="27" t="s">
        <v>60</v>
      </c>
      <c r="G96" s="68">
        <f>'[1]DESADUANAJE DESCARGA Y SURVEY'!K56</f>
        <v>22321.829069134459</v>
      </c>
      <c r="H96" s="28">
        <v>7.5</v>
      </c>
      <c r="I96" s="28">
        <f t="shared" si="21"/>
        <v>167413.71801850846</v>
      </c>
      <c r="J96" s="19">
        <f t="shared" si="22"/>
        <v>6438.9891545580176</v>
      </c>
      <c r="K96" s="19"/>
      <c r="L96" s="20"/>
      <c r="M96" s="22"/>
      <c r="N96" s="21"/>
      <c r="O96" s="24"/>
      <c r="P96" s="24"/>
      <c r="Q96" s="24"/>
    </row>
    <row r="97" spans="2:17" ht="22.5" customHeight="1" x14ac:dyDescent="0.25">
      <c r="B97" s="13"/>
      <c r="C97" s="25" t="s">
        <v>70</v>
      </c>
      <c r="D97" s="26">
        <v>2029</v>
      </c>
      <c r="E97" s="27" t="s">
        <v>37</v>
      </c>
      <c r="F97" s="27" t="s">
        <v>60</v>
      </c>
      <c r="G97" s="68">
        <f>'[1]DESADUANAJE DESCARGA Y SURVEY'!K69</f>
        <v>22721.829069134459</v>
      </c>
      <c r="H97" s="28">
        <v>7.5</v>
      </c>
      <c r="I97" s="28">
        <f t="shared" si="21"/>
        <v>170413.71801850846</v>
      </c>
      <c r="J97" s="19">
        <f t="shared" si="22"/>
        <v>6554.3737699426329</v>
      </c>
      <c r="K97" s="19"/>
      <c r="L97" s="20"/>
      <c r="M97" s="22"/>
      <c r="N97" s="21"/>
      <c r="O97" s="24"/>
      <c r="P97" s="24"/>
      <c r="Q97" s="24"/>
    </row>
    <row r="98" spans="2:17" ht="22.5" customHeight="1" x14ac:dyDescent="0.25">
      <c r="B98" s="13"/>
      <c r="C98" s="25" t="s">
        <v>70</v>
      </c>
      <c r="D98" s="26">
        <v>2030</v>
      </c>
      <c r="E98" s="27" t="s">
        <v>37</v>
      </c>
      <c r="F98" s="27" t="s">
        <v>60</v>
      </c>
      <c r="G98" s="68">
        <f>'[1]DESADUANAJE DESCARGA Y SURVEY'!K82</f>
        <v>22721.829069134459</v>
      </c>
      <c r="H98" s="28">
        <v>7.5</v>
      </c>
      <c r="I98" s="28">
        <f t="shared" si="21"/>
        <v>170413.71801850846</v>
      </c>
      <c r="J98" s="19">
        <f t="shared" si="22"/>
        <v>6554.3737699426329</v>
      </c>
      <c r="K98" s="19"/>
      <c r="L98" s="20"/>
      <c r="M98" s="22"/>
      <c r="N98" s="21"/>
      <c r="O98" s="24"/>
      <c r="P98" s="24"/>
      <c r="Q98" s="24"/>
    </row>
    <row r="99" spans="2:17" ht="22.5" customHeight="1" x14ac:dyDescent="0.25">
      <c r="B99" s="13"/>
      <c r="C99" s="25" t="s">
        <v>70</v>
      </c>
      <c r="D99" s="26">
        <v>2031</v>
      </c>
      <c r="E99" s="27" t="s">
        <v>37</v>
      </c>
      <c r="F99" s="27" t="s">
        <v>60</v>
      </c>
      <c r="G99" s="68">
        <f>'[1]DESADUANAJE DESCARGA Y SURVEY'!K95</f>
        <v>0</v>
      </c>
      <c r="H99" s="28">
        <v>7.5</v>
      </c>
      <c r="I99" s="28">
        <f t="shared" si="21"/>
        <v>0</v>
      </c>
      <c r="J99" s="19">
        <f t="shared" si="22"/>
        <v>0</v>
      </c>
      <c r="K99" s="19"/>
      <c r="L99" s="20"/>
      <c r="M99" s="22"/>
      <c r="N99" s="21"/>
      <c r="O99" s="24"/>
      <c r="P99" s="24"/>
      <c r="Q99" s="24"/>
    </row>
    <row r="100" spans="2:17" ht="22.5" customHeight="1" x14ac:dyDescent="0.25">
      <c r="B100" s="13">
        <v>10</v>
      </c>
      <c r="C100" s="29" t="s">
        <v>71</v>
      </c>
      <c r="D100" s="29"/>
      <c r="E100" s="31" t="s">
        <v>37</v>
      </c>
      <c r="F100" s="31"/>
      <c r="G100" s="66" t="s">
        <v>28</v>
      </c>
      <c r="H100" s="32"/>
      <c r="I100" s="32"/>
      <c r="J100" s="33"/>
      <c r="K100" s="33"/>
      <c r="L100" s="34"/>
      <c r="M100" s="36"/>
      <c r="N100" s="35"/>
      <c r="O100" s="24"/>
      <c r="P100" s="24"/>
      <c r="Q100" s="24"/>
    </row>
    <row r="101" spans="2:17" ht="22.5" customHeight="1" x14ac:dyDescent="0.25">
      <c r="B101" s="13"/>
      <c r="C101" s="14" t="s">
        <v>72</v>
      </c>
      <c r="D101" s="15">
        <v>2026</v>
      </c>
      <c r="E101" s="16" t="s">
        <v>37</v>
      </c>
      <c r="F101" s="16" t="s">
        <v>60</v>
      </c>
      <c r="G101" s="67">
        <f>'[1]DESADUANAJE DESCARGA Y SURVEY'!K29</f>
        <v>12600</v>
      </c>
      <c r="H101" s="17">
        <v>9.75</v>
      </c>
      <c r="I101" s="17">
        <f t="shared" ref="I101:I106" si="23">G101*H101</f>
        <v>122850</v>
      </c>
      <c r="J101" s="18">
        <f>I101/26</f>
        <v>4725</v>
      </c>
      <c r="K101" s="19"/>
      <c r="L101" s="20"/>
      <c r="M101" s="22"/>
      <c r="N101" s="21"/>
      <c r="O101" s="24"/>
      <c r="P101" s="24"/>
      <c r="Q101" s="24"/>
    </row>
    <row r="102" spans="2:17" ht="22.5" customHeight="1" x14ac:dyDescent="0.25">
      <c r="B102" s="13"/>
      <c r="C102" s="25" t="s">
        <v>73</v>
      </c>
      <c r="D102" s="26">
        <v>2027</v>
      </c>
      <c r="E102" s="27" t="s">
        <v>37</v>
      </c>
      <c r="F102" s="63" t="s">
        <v>60</v>
      </c>
      <c r="G102" s="69">
        <f>'[1]DESADUANAJE DESCARGA Y SURVEY'!K42</f>
        <v>12800</v>
      </c>
      <c r="H102" s="28">
        <v>9.75</v>
      </c>
      <c r="I102" s="28">
        <f>G102*H102</f>
        <v>124800</v>
      </c>
      <c r="J102" s="19">
        <f t="shared" ref="J102:J113" si="24">I102/26</f>
        <v>4800</v>
      </c>
      <c r="K102" s="19"/>
      <c r="L102" s="20"/>
      <c r="M102" s="22"/>
      <c r="N102" s="21"/>
      <c r="O102" s="24"/>
      <c r="P102" s="24"/>
      <c r="Q102" s="24"/>
    </row>
    <row r="103" spans="2:17" ht="22.5" customHeight="1" x14ac:dyDescent="0.25">
      <c r="B103" s="13"/>
      <c r="C103" s="25" t="s">
        <v>73</v>
      </c>
      <c r="D103" s="26">
        <v>2028</v>
      </c>
      <c r="E103" s="27" t="s">
        <v>37</v>
      </c>
      <c r="F103" s="63" t="s">
        <v>60</v>
      </c>
      <c r="G103" s="69">
        <f>'[1]DESADUANAJE DESCARGA Y SURVEY'!K55</f>
        <v>12800</v>
      </c>
      <c r="H103" s="28">
        <v>9.75</v>
      </c>
      <c r="I103" s="28">
        <f t="shared" si="23"/>
        <v>124800</v>
      </c>
      <c r="J103" s="19">
        <f t="shared" si="24"/>
        <v>4800</v>
      </c>
      <c r="K103" s="19"/>
      <c r="L103" s="20"/>
      <c r="M103" s="22"/>
      <c r="N103" s="21"/>
      <c r="O103" s="24"/>
      <c r="P103" s="24"/>
      <c r="Q103" s="24"/>
    </row>
    <row r="104" spans="2:17" ht="22.5" customHeight="1" x14ac:dyDescent="0.25">
      <c r="B104" s="13"/>
      <c r="C104" s="25" t="s">
        <v>73</v>
      </c>
      <c r="D104" s="26">
        <v>2029</v>
      </c>
      <c r="E104" s="27" t="s">
        <v>37</v>
      </c>
      <c r="F104" s="63" t="s">
        <v>60</v>
      </c>
      <c r="G104" s="69">
        <f>'[1]DESADUANAJE DESCARGA Y SURVEY'!K68</f>
        <v>12800</v>
      </c>
      <c r="H104" s="28">
        <v>9.75</v>
      </c>
      <c r="I104" s="28">
        <f t="shared" si="23"/>
        <v>124800</v>
      </c>
      <c r="J104" s="19">
        <f t="shared" si="24"/>
        <v>4800</v>
      </c>
      <c r="K104" s="19"/>
      <c r="L104" s="20"/>
      <c r="M104" s="22"/>
      <c r="N104" s="21"/>
      <c r="O104" s="24"/>
      <c r="P104" s="24"/>
      <c r="Q104" s="24"/>
    </row>
    <row r="105" spans="2:17" ht="22.5" customHeight="1" x14ac:dyDescent="0.25">
      <c r="B105" s="13"/>
      <c r="C105" s="25" t="s">
        <v>73</v>
      </c>
      <c r="D105" s="26">
        <v>2030</v>
      </c>
      <c r="E105" s="27" t="s">
        <v>37</v>
      </c>
      <c r="F105" s="63" t="s">
        <v>60</v>
      </c>
      <c r="G105" s="69">
        <f>'[1]DESADUANAJE DESCARGA Y SURVEY'!K81</f>
        <v>12800</v>
      </c>
      <c r="H105" s="28">
        <v>9.75</v>
      </c>
      <c r="I105" s="28">
        <f t="shared" si="23"/>
        <v>124800</v>
      </c>
      <c r="J105" s="19">
        <f t="shared" si="24"/>
        <v>4800</v>
      </c>
      <c r="K105" s="19"/>
      <c r="L105" s="20"/>
      <c r="M105" s="22"/>
      <c r="N105" s="21"/>
      <c r="O105" s="24"/>
      <c r="P105" s="24"/>
      <c r="Q105" s="24"/>
    </row>
    <row r="106" spans="2:17" ht="22.5" customHeight="1" x14ac:dyDescent="0.25">
      <c r="B106" s="13"/>
      <c r="C106" s="25" t="s">
        <v>73</v>
      </c>
      <c r="D106" s="26">
        <v>2031</v>
      </c>
      <c r="E106" s="27" t="s">
        <v>37</v>
      </c>
      <c r="F106" s="63" t="s">
        <v>60</v>
      </c>
      <c r="G106" s="69">
        <f>'[1]DESADUANAJE DESCARGA Y SURVEY'!K94</f>
        <v>0</v>
      </c>
      <c r="H106" s="28">
        <v>9.75</v>
      </c>
      <c r="I106" s="28">
        <f t="shared" si="23"/>
        <v>0</v>
      </c>
      <c r="J106" s="19">
        <f t="shared" si="24"/>
        <v>0</v>
      </c>
      <c r="K106" s="19"/>
      <c r="L106" s="20"/>
      <c r="M106" s="22"/>
      <c r="N106" s="21"/>
      <c r="O106" s="24"/>
      <c r="P106" s="24"/>
      <c r="Q106" s="24"/>
    </row>
    <row r="107" spans="2:17" ht="22.5" customHeight="1" x14ac:dyDescent="0.25">
      <c r="B107" s="13">
        <v>12</v>
      </c>
      <c r="C107" s="29" t="s">
        <v>74</v>
      </c>
      <c r="D107" s="29"/>
      <c r="E107" s="31" t="s">
        <v>37</v>
      </c>
      <c r="F107" s="31"/>
      <c r="G107" s="66" t="s">
        <v>75</v>
      </c>
      <c r="H107" s="32"/>
      <c r="I107" s="32"/>
      <c r="J107" s="33"/>
      <c r="K107" s="33"/>
      <c r="L107" s="34"/>
      <c r="M107" s="36"/>
      <c r="N107" s="35"/>
      <c r="O107" s="24"/>
      <c r="P107" s="24"/>
      <c r="Q107" s="24"/>
    </row>
    <row r="108" spans="2:17" ht="22.5" customHeight="1" x14ac:dyDescent="0.25">
      <c r="B108" s="13"/>
      <c r="C108" s="14" t="s">
        <v>76</v>
      </c>
      <c r="D108" s="15">
        <v>2026</v>
      </c>
      <c r="E108" s="16" t="s">
        <v>37</v>
      </c>
      <c r="F108" s="70"/>
      <c r="G108" s="71">
        <f>'[1]TRANSPORTE NUEVA PROPUESTA '!L25</f>
        <v>26072.226456178556</v>
      </c>
      <c r="H108" s="17">
        <v>11</v>
      </c>
      <c r="I108" s="17">
        <f>G108*H108</f>
        <v>286794.49101796409</v>
      </c>
      <c r="J108" s="18">
        <f t="shared" si="24"/>
        <v>11030.557346844773</v>
      </c>
      <c r="K108" s="19"/>
      <c r="L108" s="20"/>
      <c r="M108" s="22"/>
      <c r="N108" s="21"/>
      <c r="O108" s="24"/>
      <c r="P108" s="24"/>
      <c r="Q108" s="24"/>
    </row>
    <row r="109" spans="2:17" ht="22.5" customHeight="1" x14ac:dyDescent="0.25">
      <c r="B109" s="13"/>
      <c r="C109" s="25" t="s">
        <v>76</v>
      </c>
      <c r="D109" s="26">
        <v>2027</v>
      </c>
      <c r="E109" s="27" t="s">
        <v>37</v>
      </c>
      <c r="F109" s="63" t="s">
        <v>77</v>
      </c>
      <c r="G109" s="69">
        <f>'[1]TRANSPORTE NUEVA PROPUESTA '!L98</f>
        <v>26292.226456178556</v>
      </c>
      <c r="H109" s="28">
        <v>11</v>
      </c>
      <c r="I109" s="28">
        <f>G109*H109</f>
        <v>289214.49101796409</v>
      </c>
      <c r="J109" s="19">
        <f t="shared" si="24"/>
        <v>11123.634269921695</v>
      </c>
      <c r="K109" s="19"/>
      <c r="L109" s="20"/>
      <c r="M109" s="22"/>
      <c r="N109" s="21"/>
      <c r="O109" s="24"/>
      <c r="P109" s="24"/>
      <c r="Q109" s="24"/>
    </row>
    <row r="110" spans="2:17" ht="22.5" customHeight="1" x14ac:dyDescent="0.25">
      <c r="B110" s="13"/>
      <c r="C110" s="25" t="s">
        <v>76</v>
      </c>
      <c r="D110" s="26">
        <v>2028</v>
      </c>
      <c r="E110" s="27" t="s">
        <v>37</v>
      </c>
      <c r="F110" s="63" t="s">
        <v>77</v>
      </c>
      <c r="G110" s="69">
        <f>'[1]TRANSPORTE NUEVA PROPUESTA '!L170</f>
        <v>26292.226456178556</v>
      </c>
      <c r="H110" s="28">
        <v>11</v>
      </c>
      <c r="I110" s="28">
        <f t="shared" ref="I110:I112" si="25">G110*H110</f>
        <v>289214.49101796409</v>
      </c>
      <c r="J110" s="19">
        <f t="shared" si="24"/>
        <v>11123.634269921695</v>
      </c>
      <c r="K110" s="19"/>
      <c r="L110" s="20"/>
      <c r="M110" s="22"/>
      <c r="N110" s="21"/>
      <c r="O110" s="24"/>
      <c r="P110" s="24"/>
      <c r="Q110" s="24"/>
    </row>
    <row r="111" spans="2:17" ht="22.5" customHeight="1" x14ac:dyDescent="0.25">
      <c r="B111" s="13"/>
      <c r="C111" s="25" t="s">
        <v>76</v>
      </c>
      <c r="D111" s="26">
        <v>2029</v>
      </c>
      <c r="E111" s="27" t="s">
        <v>37</v>
      </c>
      <c r="F111" s="63" t="s">
        <v>77</v>
      </c>
      <c r="G111" s="69">
        <f>'[1]TRANSPORTE NUEVA PROPUESTA '!L242</f>
        <v>26512.226456178552</v>
      </c>
      <c r="H111" s="28">
        <v>11</v>
      </c>
      <c r="I111" s="28">
        <f t="shared" si="25"/>
        <v>291634.49101796409</v>
      </c>
      <c r="J111" s="19">
        <f t="shared" si="24"/>
        <v>11216.711192998619</v>
      </c>
      <c r="K111" s="19"/>
      <c r="L111" s="20"/>
      <c r="M111" s="22"/>
      <c r="N111" s="21"/>
      <c r="O111" s="24"/>
      <c r="P111" s="24"/>
      <c r="Q111" s="24"/>
    </row>
    <row r="112" spans="2:17" ht="22.5" customHeight="1" x14ac:dyDescent="0.25">
      <c r="B112" s="13"/>
      <c r="C112" s="25" t="s">
        <v>76</v>
      </c>
      <c r="D112" s="26">
        <v>2030</v>
      </c>
      <c r="E112" s="27" t="s">
        <v>37</v>
      </c>
      <c r="F112" s="63" t="s">
        <v>77</v>
      </c>
      <c r="G112" s="69">
        <f>'[1]TRANSPORTE NUEVA PROPUESTA '!L316</f>
        <v>26512.226456178552</v>
      </c>
      <c r="H112" s="28">
        <v>11</v>
      </c>
      <c r="I112" s="28">
        <f t="shared" si="25"/>
        <v>291634.49101796409</v>
      </c>
      <c r="J112" s="19">
        <f t="shared" si="24"/>
        <v>11216.711192998619</v>
      </c>
      <c r="K112" s="19"/>
      <c r="L112" s="20"/>
      <c r="M112" s="22"/>
      <c r="N112" s="21"/>
      <c r="O112" s="24"/>
      <c r="P112" s="24"/>
      <c r="Q112" s="24"/>
    </row>
    <row r="113" spans="2:17" ht="22.5" customHeight="1" x14ac:dyDescent="0.25">
      <c r="B113" s="13"/>
      <c r="C113" s="25" t="s">
        <v>76</v>
      </c>
      <c r="D113" s="26">
        <v>2031</v>
      </c>
      <c r="E113" s="27" t="s">
        <v>37</v>
      </c>
      <c r="F113" s="63" t="s">
        <v>77</v>
      </c>
      <c r="G113" s="69">
        <f>'[1]TRANSPORTE NUEVA PROPUESTA '!L387</f>
        <v>0</v>
      </c>
      <c r="H113" s="28">
        <v>11</v>
      </c>
      <c r="I113" s="28">
        <f>G113*H113</f>
        <v>0</v>
      </c>
      <c r="J113" s="19">
        <f t="shared" si="24"/>
        <v>0</v>
      </c>
      <c r="K113" s="19"/>
      <c r="L113" s="20"/>
      <c r="M113" s="22"/>
      <c r="N113" s="21"/>
      <c r="O113" s="24"/>
      <c r="P113" s="24"/>
      <c r="Q113" s="24"/>
    </row>
    <row r="114" spans="2:17" ht="35.25" customHeight="1" x14ac:dyDescent="0.25">
      <c r="B114" s="13">
        <v>13</v>
      </c>
      <c r="C114" s="29" t="s">
        <v>78</v>
      </c>
      <c r="D114" s="29"/>
      <c r="E114" s="31" t="s">
        <v>37</v>
      </c>
      <c r="F114" s="31"/>
      <c r="G114" s="66" t="s">
        <v>79</v>
      </c>
      <c r="H114" s="32"/>
      <c r="I114" s="32"/>
      <c r="J114" s="33"/>
      <c r="K114" s="33"/>
      <c r="L114" s="34"/>
      <c r="M114" s="36"/>
      <c r="N114" s="35"/>
      <c r="O114" s="24"/>
      <c r="P114" s="24"/>
      <c r="Q114" s="24"/>
    </row>
    <row r="115" spans="2:17" ht="22.5" customHeight="1" x14ac:dyDescent="0.25">
      <c r="B115" s="13"/>
      <c r="C115" s="14" t="s">
        <v>80</v>
      </c>
      <c r="D115" s="15">
        <v>2026</v>
      </c>
      <c r="E115" s="16" t="s">
        <v>37</v>
      </c>
      <c r="F115" s="16" t="s">
        <v>66</v>
      </c>
      <c r="G115" s="48">
        <f t="shared" ref="G115:G120" si="26">G87</f>
        <v>66</v>
      </c>
      <c r="H115" s="17">
        <v>4500</v>
      </c>
      <c r="I115" s="17">
        <f t="shared" ref="I115:I120" si="27">G115*H115</f>
        <v>297000</v>
      </c>
      <c r="J115" s="18">
        <f>I115/26</f>
        <v>11423.076923076924</v>
      </c>
      <c r="K115" s="19"/>
      <c r="L115" s="21"/>
      <c r="M115" s="22"/>
      <c r="N115" s="21"/>
      <c r="O115" s="24"/>
      <c r="P115" s="24"/>
      <c r="Q115" s="24"/>
    </row>
    <row r="116" spans="2:17" ht="22.5" customHeight="1" x14ac:dyDescent="0.25">
      <c r="B116" s="13"/>
      <c r="C116" s="25" t="s">
        <v>80</v>
      </c>
      <c r="D116" s="26">
        <v>2027</v>
      </c>
      <c r="E116" s="27" t="s">
        <v>37</v>
      </c>
      <c r="F116" s="27" t="s">
        <v>66</v>
      </c>
      <c r="G116" s="65">
        <f t="shared" si="26"/>
        <v>67</v>
      </c>
      <c r="H116" s="28">
        <v>4500</v>
      </c>
      <c r="I116" s="28">
        <f>G116*H116</f>
        <v>301500</v>
      </c>
      <c r="J116" s="19">
        <f t="shared" ref="J116:J117" si="28">I116/26</f>
        <v>11596.153846153846</v>
      </c>
      <c r="K116" s="19"/>
      <c r="L116" s="21"/>
      <c r="M116" s="22"/>
      <c r="N116" s="21"/>
      <c r="O116" s="24"/>
      <c r="P116" s="24"/>
      <c r="Q116" s="24"/>
    </row>
    <row r="117" spans="2:17" ht="22.5" customHeight="1" x14ac:dyDescent="0.25">
      <c r="B117" s="13"/>
      <c r="C117" s="25" t="s">
        <v>80</v>
      </c>
      <c r="D117" s="26">
        <v>2028</v>
      </c>
      <c r="E117" s="27" t="s">
        <v>37</v>
      </c>
      <c r="F117" s="27" t="s">
        <v>66</v>
      </c>
      <c r="G117" s="65">
        <f t="shared" si="26"/>
        <v>67</v>
      </c>
      <c r="H117" s="28">
        <v>4500</v>
      </c>
      <c r="I117" s="28">
        <f t="shared" si="27"/>
        <v>301500</v>
      </c>
      <c r="J117" s="19">
        <f t="shared" si="28"/>
        <v>11596.153846153846</v>
      </c>
      <c r="K117" s="19"/>
      <c r="L117" s="21"/>
      <c r="M117" s="22"/>
      <c r="N117" s="21"/>
      <c r="O117" s="24"/>
      <c r="P117" s="24"/>
      <c r="Q117" s="24"/>
    </row>
    <row r="118" spans="2:17" ht="22.5" customHeight="1" x14ac:dyDescent="0.25">
      <c r="B118" s="13"/>
      <c r="C118" s="25" t="s">
        <v>80</v>
      </c>
      <c r="D118" s="26">
        <v>2029</v>
      </c>
      <c r="E118" s="27" t="s">
        <v>37</v>
      </c>
      <c r="F118" s="27" t="s">
        <v>66</v>
      </c>
      <c r="G118" s="65">
        <f t="shared" si="26"/>
        <v>70</v>
      </c>
      <c r="H118" s="28">
        <v>4500</v>
      </c>
      <c r="I118" s="28">
        <f t="shared" si="27"/>
        <v>315000</v>
      </c>
      <c r="J118" s="19">
        <f>I118/26</f>
        <v>12115.384615384615</v>
      </c>
      <c r="K118" s="19"/>
      <c r="L118" s="21"/>
      <c r="M118" s="22"/>
      <c r="N118" s="21"/>
      <c r="O118" s="24"/>
      <c r="P118" s="24"/>
      <c r="Q118" s="24"/>
    </row>
    <row r="119" spans="2:17" ht="22.5" customHeight="1" x14ac:dyDescent="0.25">
      <c r="B119" s="72"/>
      <c r="C119" s="25" t="s">
        <v>80</v>
      </c>
      <c r="D119" s="26">
        <v>2030</v>
      </c>
      <c r="E119" s="27" t="s">
        <v>37</v>
      </c>
      <c r="F119" s="27" t="s">
        <v>66</v>
      </c>
      <c r="G119" s="65">
        <f t="shared" si="26"/>
        <v>70</v>
      </c>
      <c r="H119" s="28">
        <v>4500</v>
      </c>
      <c r="I119" s="28">
        <f t="shared" si="27"/>
        <v>315000</v>
      </c>
      <c r="J119" s="19">
        <f t="shared" ref="J119:J120" si="29">I119/26</f>
        <v>12115.384615384615</v>
      </c>
      <c r="K119" s="73"/>
      <c r="L119" s="74"/>
      <c r="M119" s="75"/>
      <c r="N119" s="74"/>
      <c r="O119" s="24"/>
      <c r="P119" s="24"/>
      <c r="Q119" s="24"/>
    </row>
    <row r="120" spans="2:17" ht="22.5" customHeight="1" x14ac:dyDescent="0.25">
      <c r="B120" s="72"/>
      <c r="C120" s="25" t="s">
        <v>80</v>
      </c>
      <c r="D120" s="26">
        <v>2031</v>
      </c>
      <c r="E120" s="27" t="s">
        <v>37</v>
      </c>
      <c r="F120" s="27" t="s">
        <v>66</v>
      </c>
      <c r="G120" s="65">
        <f t="shared" si="26"/>
        <v>0</v>
      </c>
      <c r="H120" s="28">
        <v>4500</v>
      </c>
      <c r="I120" s="28">
        <f t="shared" si="27"/>
        <v>0</v>
      </c>
      <c r="J120" s="19">
        <f t="shared" si="29"/>
        <v>0</v>
      </c>
      <c r="K120" s="73"/>
      <c r="L120" s="74"/>
      <c r="M120" s="75"/>
      <c r="N120" s="74"/>
      <c r="O120" s="24"/>
      <c r="P120" s="24"/>
      <c r="Q120" s="24"/>
    </row>
    <row r="121" spans="2:17" ht="22.5" customHeight="1" x14ac:dyDescent="0.25">
      <c r="B121" s="13">
        <v>14</v>
      </c>
      <c r="C121" s="29" t="s">
        <v>81</v>
      </c>
      <c r="D121" s="76"/>
      <c r="E121" s="31" t="s">
        <v>37</v>
      </c>
      <c r="F121" s="31"/>
      <c r="G121" s="66" t="s">
        <v>68</v>
      </c>
      <c r="H121" s="32"/>
      <c r="I121" s="32"/>
      <c r="J121" s="33"/>
      <c r="K121" s="33"/>
      <c r="L121" s="35"/>
      <c r="M121" s="36"/>
      <c r="N121" s="35"/>
      <c r="O121" s="24"/>
      <c r="P121" s="24"/>
      <c r="Q121" s="24"/>
    </row>
    <row r="122" spans="2:17" ht="22.5" customHeight="1" x14ac:dyDescent="0.25">
      <c r="B122" s="37"/>
      <c r="C122" s="38" t="s">
        <v>82</v>
      </c>
      <c r="D122" s="77"/>
      <c r="E122" s="40"/>
      <c r="F122" s="40" t="s">
        <v>83</v>
      </c>
      <c r="G122" s="40"/>
      <c r="H122" s="41"/>
      <c r="I122" s="41">
        <f>SUM(I31:I121)</f>
        <v>12343172.845182359</v>
      </c>
      <c r="J122" s="42">
        <f>I122/26</f>
        <v>474737.41712239844</v>
      </c>
      <c r="K122" s="42"/>
      <c r="L122" s="44"/>
      <c r="M122" s="45"/>
      <c r="N122" s="44"/>
      <c r="O122" s="24"/>
      <c r="P122" s="24"/>
      <c r="Q122" s="24"/>
    </row>
    <row r="123" spans="2:17" ht="22.5" customHeight="1" x14ac:dyDescent="0.25">
      <c r="B123" s="13"/>
      <c r="C123" s="14" t="s">
        <v>84</v>
      </c>
      <c r="D123" s="15">
        <v>2026</v>
      </c>
      <c r="E123" s="16" t="s">
        <v>85</v>
      </c>
      <c r="F123" s="16" t="s">
        <v>77</v>
      </c>
      <c r="G123" s="78">
        <f>'[1]TRANSPORTE NUEVA PROPUESTA '!J25</f>
        <v>14079.002286336421</v>
      </c>
      <c r="H123" s="79">
        <v>90</v>
      </c>
      <c r="I123" s="17">
        <f>G123*H123</f>
        <v>1267110.2057702779</v>
      </c>
      <c r="J123" s="18">
        <f>I123/26</f>
        <v>48735.007914241454</v>
      </c>
      <c r="K123" s="19"/>
      <c r="L123" s="20"/>
      <c r="M123" s="22"/>
      <c r="N123" s="21"/>
      <c r="O123" s="24"/>
      <c r="P123" s="24"/>
      <c r="Q123" s="24"/>
    </row>
    <row r="124" spans="2:17" ht="22.5" customHeight="1" x14ac:dyDescent="0.25">
      <c r="B124" s="13"/>
      <c r="C124" s="14" t="s">
        <v>86</v>
      </c>
      <c r="D124" s="15">
        <v>2026</v>
      </c>
      <c r="E124" s="16" t="s">
        <v>85</v>
      </c>
      <c r="F124" s="16" t="s">
        <v>77</v>
      </c>
      <c r="G124" s="78">
        <f>'[1]TRANSPORTE NUEVA PROPUESTA '!J60</f>
        <v>11993.224169842135</v>
      </c>
      <c r="H124" s="79">
        <v>71</v>
      </c>
      <c r="I124" s="17">
        <f t="shared" ref="I124:I134" si="30">G124*H124</f>
        <v>851518.91605879157</v>
      </c>
      <c r="J124" s="18">
        <f t="shared" ref="J124:J134" si="31">I124/26</f>
        <v>32750.727540722753</v>
      </c>
      <c r="K124" s="19"/>
      <c r="L124" s="20"/>
      <c r="M124" s="22"/>
      <c r="N124" s="21"/>
      <c r="O124" s="24"/>
      <c r="P124" s="24"/>
      <c r="Q124" s="24"/>
    </row>
    <row r="125" spans="2:17" ht="22.5" customHeight="1" x14ac:dyDescent="0.25">
      <c r="B125" s="13"/>
      <c r="C125" s="25" t="s">
        <v>84</v>
      </c>
      <c r="D125" s="26">
        <v>2027</v>
      </c>
      <c r="E125" s="27" t="s">
        <v>85</v>
      </c>
      <c r="F125" s="63" t="s">
        <v>77</v>
      </c>
      <c r="G125" s="80">
        <f>'[1]TRANSPORTE NUEVA PROPUESTA '!J98</f>
        <v>14197.80228633642</v>
      </c>
      <c r="H125" s="81">
        <v>90</v>
      </c>
      <c r="I125" s="28">
        <f t="shared" si="30"/>
        <v>1277802.2057702779</v>
      </c>
      <c r="J125" s="19">
        <f t="shared" si="31"/>
        <v>49146.238683472227</v>
      </c>
      <c r="K125" s="19"/>
      <c r="L125" s="20"/>
      <c r="M125" s="22"/>
      <c r="N125" s="21"/>
      <c r="O125" s="24"/>
      <c r="P125" s="24"/>
      <c r="Q125" s="24"/>
    </row>
    <row r="126" spans="2:17" ht="22.5" customHeight="1" x14ac:dyDescent="0.25">
      <c r="B126" s="13"/>
      <c r="C126" s="25" t="s">
        <v>86</v>
      </c>
      <c r="D126" s="26">
        <v>2027</v>
      </c>
      <c r="E126" s="27" t="s">
        <v>85</v>
      </c>
      <c r="F126" s="63" t="s">
        <v>77</v>
      </c>
      <c r="G126" s="80">
        <f>'[1]TRANSPORTE NUEVA PROPUESTA '!J133</f>
        <v>12094.424169842134</v>
      </c>
      <c r="H126" s="81">
        <v>71</v>
      </c>
      <c r="I126" s="28">
        <f t="shared" si="30"/>
        <v>858704.11605879152</v>
      </c>
      <c r="J126" s="19">
        <f t="shared" si="31"/>
        <v>33027.081386876598</v>
      </c>
      <c r="K126" s="19"/>
      <c r="L126" s="20"/>
      <c r="M126" s="22"/>
      <c r="N126" s="21"/>
      <c r="O126" s="24"/>
      <c r="P126" s="24"/>
      <c r="Q126" s="24"/>
    </row>
    <row r="127" spans="2:17" ht="22.5" customHeight="1" x14ac:dyDescent="0.25">
      <c r="B127" s="13"/>
      <c r="C127" s="25" t="s">
        <v>84</v>
      </c>
      <c r="D127" s="26">
        <v>2028</v>
      </c>
      <c r="E127" s="27" t="s">
        <v>85</v>
      </c>
      <c r="F127" s="63" t="s">
        <v>77</v>
      </c>
      <c r="G127" s="80">
        <f>'[1]TRANSPORTE NUEVA PROPUESTA '!J170</f>
        <v>14197.80228633642</v>
      </c>
      <c r="H127" s="81">
        <v>90</v>
      </c>
      <c r="I127" s="28">
        <f t="shared" si="30"/>
        <v>1277802.2057702779</v>
      </c>
      <c r="J127" s="19">
        <f t="shared" si="31"/>
        <v>49146.238683472227</v>
      </c>
      <c r="K127" s="19"/>
      <c r="L127" s="20"/>
      <c r="M127" s="22"/>
      <c r="N127" s="21"/>
      <c r="O127" s="24"/>
      <c r="P127" s="24"/>
      <c r="Q127" s="24"/>
    </row>
    <row r="128" spans="2:17" ht="22.5" customHeight="1" x14ac:dyDescent="0.25">
      <c r="B128" s="13"/>
      <c r="C128" s="25" t="s">
        <v>86</v>
      </c>
      <c r="D128" s="26">
        <v>2028</v>
      </c>
      <c r="E128" s="27" t="s">
        <v>85</v>
      </c>
      <c r="F128" s="63" t="s">
        <v>77</v>
      </c>
      <c r="G128" s="80">
        <f>'[1]TRANSPORTE NUEVA PROPUESTA '!J205</f>
        <v>12094.424169842134</v>
      </c>
      <c r="H128" s="81">
        <v>71</v>
      </c>
      <c r="I128" s="28">
        <f t="shared" si="30"/>
        <v>858704.11605879152</v>
      </c>
      <c r="J128" s="19">
        <f t="shared" si="31"/>
        <v>33027.081386876598</v>
      </c>
      <c r="K128" s="19"/>
      <c r="L128" s="20"/>
      <c r="M128" s="22"/>
      <c r="N128" s="21"/>
      <c r="O128" s="24"/>
      <c r="P128" s="24"/>
      <c r="Q128" s="24"/>
    </row>
    <row r="129" spans="2:17" ht="22.5" customHeight="1" x14ac:dyDescent="0.25">
      <c r="B129" s="13"/>
      <c r="C129" s="25" t="s">
        <v>84</v>
      </c>
      <c r="D129" s="26">
        <v>2029</v>
      </c>
      <c r="E129" s="27" t="s">
        <v>85</v>
      </c>
      <c r="F129" s="63" t="s">
        <v>77</v>
      </c>
      <c r="G129" s="80">
        <f>'[1]TRANSPORTE NUEVA PROPUESTA '!J242</f>
        <v>14316.60228633642</v>
      </c>
      <c r="H129" s="81">
        <v>90</v>
      </c>
      <c r="I129" s="28">
        <f t="shared" si="30"/>
        <v>1288494.2057702779</v>
      </c>
      <c r="J129" s="19">
        <f t="shared" si="31"/>
        <v>49557.469452702993</v>
      </c>
      <c r="K129" s="19"/>
      <c r="L129" s="20"/>
      <c r="M129" s="22"/>
      <c r="N129" s="21"/>
      <c r="O129" s="24"/>
      <c r="P129" s="24"/>
      <c r="Q129" s="24"/>
    </row>
    <row r="130" spans="2:17" ht="22.5" customHeight="1" x14ac:dyDescent="0.25">
      <c r="B130" s="13"/>
      <c r="C130" s="25" t="s">
        <v>86</v>
      </c>
      <c r="D130" s="26">
        <v>2029</v>
      </c>
      <c r="E130" s="27" t="s">
        <v>85</v>
      </c>
      <c r="F130" s="63" t="s">
        <v>77</v>
      </c>
      <c r="G130" s="80">
        <f>'[1]TRANSPORTE NUEVA PROPUESTA '!J277</f>
        <v>12195.624169842133</v>
      </c>
      <c r="H130" s="81">
        <v>71</v>
      </c>
      <c r="I130" s="28">
        <f t="shared" si="30"/>
        <v>865889.31605879148</v>
      </c>
      <c r="J130" s="19">
        <f t="shared" si="31"/>
        <v>33303.435233030439</v>
      </c>
      <c r="K130" s="19"/>
      <c r="L130" s="20"/>
      <c r="M130" s="22"/>
      <c r="N130" s="21"/>
      <c r="O130" s="24"/>
      <c r="P130" s="24"/>
      <c r="Q130" s="24"/>
    </row>
    <row r="131" spans="2:17" ht="22.5" customHeight="1" x14ac:dyDescent="0.25">
      <c r="B131" s="13"/>
      <c r="C131" s="25" t="s">
        <v>84</v>
      </c>
      <c r="D131" s="26">
        <v>2030</v>
      </c>
      <c r="E131" s="27" t="s">
        <v>85</v>
      </c>
      <c r="F131" s="63" t="s">
        <v>77</v>
      </c>
      <c r="G131" s="80">
        <f>'[1]TRANSPORTE NUEVA PROPUESTA '!J314</f>
        <v>14316.60228633642</v>
      </c>
      <c r="H131" s="81">
        <v>90</v>
      </c>
      <c r="I131" s="28">
        <f t="shared" si="30"/>
        <v>1288494.2057702779</v>
      </c>
      <c r="J131" s="19">
        <f t="shared" si="31"/>
        <v>49557.469452702993</v>
      </c>
      <c r="K131" s="19"/>
      <c r="L131" s="20"/>
      <c r="M131" s="22"/>
      <c r="N131" s="21"/>
      <c r="O131" s="24"/>
      <c r="P131" s="24"/>
      <c r="Q131" s="24"/>
    </row>
    <row r="132" spans="2:17" ht="22.5" customHeight="1" x14ac:dyDescent="0.25">
      <c r="B132" s="13"/>
      <c r="C132" s="25" t="s">
        <v>86</v>
      </c>
      <c r="D132" s="26">
        <v>2030</v>
      </c>
      <c r="E132" s="27" t="s">
        <v>85</v>
      </c>
      <c r="F132" s="63" t="s">
        <v>77</v>
      </c>
      <c r="G132" s="80">
        <f>'[1]TRANSPORTE NUEVA PROPUESTA '!J349</f>
        <v>12195.624169842133</v>
      </c>
      <c r="H132" s="81">
        <v>71</v>
      </c>
      <c r="I132" s="28">
        <f t="shared" si="30"/>
        <v>865889.31605879148</v>
      </c>
      <c r="J132" s="19">
        <f t="shared" si="31"/>
        <v>33303.435233030439</v>
      </c>
      <c r="K132" s="19"/>
      <c r="L132" s="20"/>
      <c r="M132" s="22"/>
      <c r="N132" s="21"/>
      <c r="O132" s="24"/>
      <c r="P132" s="24"/>
      <c r="Q132" s="24"/>
    </row>
    <row r="133" spans="2:17" ht="22.5" customHeight="1" x14ac:dyDescent="0.25">
      <c r="B133" s="13"/>
      <c r="C133" s="25" t="s">
        <v>84</v>
      </c>
      <c r="D133" s="26">
        <v>2031</v>
      </c>
      <c r="E133" s="27" t="s">
        <v>85</v>
      </c>
      <c r="F133" s="63" t="s">
        <v>77</v>
      </c>
      <c r="G133" s="80">
        <f>'[1]TRANSPORTE NUEVA PROPUESTA '!J385</f>
        <v>0</v>
      </c>
      <c r="H133" s="81">
        <v>90</v>
      </c>
      <c r="I133" s="28">
        <f t="shared" si="30"/>
        <v>0</v>
      </c>
      <c r="J133" s="19">
        <f t="shared" si="31"/>
        <v>0</v>
      </c>
      <c r="K133" s="19"/>
      <c r="L133" s="20"/>
      <c r="M133" s="22"/>
      <c r="N133" s="21"/>
      <c r="O133" s="24"/>
      <c r="P133" s="24"/>
      <c r="Q133" s="24"/>
    </row>
    <row r="134" spans="2:17" ht="22.5" customHeight="1" x14ac:dyDescent="0.25">
      <c r="B134" s="13"/>
      <c r="C134" s="25" t="s">
        <v>86</v>
      </c>
      <c r="D134" s="26">
        <v>2031</v>
      </c>
      <c r="E134" s="27" t="s">
        <v>85</v>
      </c>
      <c r="F134" s="63" t="s">
        <v>77</v>
      </c>
      <c r="G134" s="80">
        <f>'[1]TRANSPORTE NUEVA PROPUESTA '!J420</f>
        <v>0</v>
      </c>
      <c r="H134" s="81">
        <v>71</v>
      </c>
      <c r="I134" s="28">
        <f t="shared" si="30"/>
        <v>0</v>
      </c>
      <c r="J134" s="19">
        <f t="shared" si="31"/>
        <v>0</v>
      </c>
      <c r="K134" s="19"/>
      <c r="L134" s="20"/>
      <c r="M134" s="22"/>
      <c r="N134" s="21"/>
      <c r="O134" s="24"/>
      <c r="P134" s="24"/>
      <c r="Q134" s="24"/>
    </row>
    <row r="135" spans="2:17" ht="48.75" customHeight="1" x14ac:dyDescent="0.25">
      <c r="B135" s="13">
        <v>15</v>
      </c>
      <c r="C135" s="29" t="s">
        <v>87</v>
      </c>
      <c r="D135" s="29"/>
      <c r="E135" s="31" t="s">
        <v>85</v>
      </c>
      <c r="F135" s="31"/>
      <c r="G135" s="58" t="s">
        <v>79</v>
      </c>
      <c r="H135" s="82"/>
      <c r="I135" s="32"/>
      <c r="J135" s="33"/>
      <c r="K135" s="33"/>
      <c r="L135" s="34"/>
      <c r="M135" s="36"/>
      <c r="N135" s="35"/>
      <c r="O135" s="24"/>
      <c r="P135" s="24"/>
      <c r="Q135" s="24"/>
    </row>
    <row r="136" spans="2:17" ht="20.25" customHeight="1" thickBot="1" x14ac:dyDescent="0.5">
      <c r="B136" s="37"/>
      <c r="C136" s="38" t="s">
        <v>88</v>
      </c>
      <c r="D136" s="83"/>
      <c r="E136" s="84"/>
      <c r="F136" s="84"/>
      <c r="G136" s="85"/>
      <c r="H136" s="85"/>
      <c r="I136" s="86">
        <f>SUM(I123:I135)</f>
        <v>10700408.809145348</v>
      </c>
      <c r="J136" s="87">
        <f>I136/26</f>
        <v>411554.18496712879</v>
      </c>
      <c r="K136" s="84"/>
      <c r="L136" s="85"/>
      <c r="M136" s="85"/>
      <c r="N136" s="85"/>
      <c r="O136" s="24"/>
      <c r="P136" s="24"/>
      <c r="Q136" s="24"/>
    </row>
    <row r="137" spans="2:17" ht="18.5" thickBot="1" x14ac:dyDescent="0.4">
      <c r="B137" s="24"/>
      <c r="C137" s="88"/>
      <c r="D137" s="88"/>
      <c r="E137" s="24"/>
      <c r="F137" s="24"/>
      <c r="G137" s="89" t="s">
        <v>89</v>
      </c>
      <c r="H137" s="90"/>
      <c r="I137" s="91">
        <f>I11+I30+I122+I136</f>
        <v>31250181.654327706</v>
      </c>
      <c r="J137" s="92">
        <f>J11+J30+J122+J136</f>
        <v>1201930.0636279888</v>
      </c>
      <c r="K137" s="93"/>
      <c r="L137" s="94"/>
      <c r="M137" s="95"/>
      <c r="N137" s="94"/>
      <c r="O137" s="24"/>
      <c r="P137" s="24"/>
      <c r="Q137" s="24"/>
    </row>
    <row r="138" spans="2:17" ht="16" thickBot="1" x14ac:dyDescent="0.4">
      <c r="B138" s="24"/>
      <c r="C138" s="88"/>
      <c r="D138" s="88"/>
      <c r="E138" s="24"/>
      <c r="F138" s="24"/>
      <c r="G138" s="24"/>
      <c r="H138" s="24"/>
      <c r="I138" s="24"/>
      <c r="J138" s="96">
        <f>I137/26</f>
        <v>1201930.0636279886</v>
      </c>
      <c r="K138" s="94"/>
      <c r="L138" s="94"/>
      <c r="M138" s="94"/>
      <c r="N138" s="94"/>
      <c r="O138" s="24"/>
      <c r="P138" s="24"/>
      <c r="Q138" s="24"/>
    </row>
    <row r="139" spans="2:17" ht="15.5" x14ac:dyDescent="0.35">
      <c r="B139" s="24"/>
      <c r="C139" s="88"/>
      <c r="D139" s="88"/>
      <c r="E139" s="24"/>
      <c r="F139" s="24"/>
      <c r="G139" s="24"/>
      <c r="H139" s="24"/>
      <c r="I139" s="24"/>
      <c r="J139" s="94"/>
      <c r="K139" s="94"/>
      <c r="L139" s="94"/>
      <c r="M139" s="94"/>
      <c r="N139" s="94"/>
      <c r="O139" s="24"/>
      <c r="P139" s="24"/>
      <c r="Q139" s="24"/>
    </row>
    <row r="141" spans="2:17" x14ac:dyDescent="0.25">
      <c r="G141" s="1">
        <v>2026</v>
      </c>
      <c r="H141" s="1">
        <v>2027</v>
      </c>
      <c r="I141" s="1">
        <v>2028</v>
      </c>
      <c r="J141" s="1">
        <v>2029</v>
      </c>
      <c r="K141" s="1">
        <v>2030</v>
      </c>
      <c r="L141" s="1">
        <v>2031</v>
      </c>
    </row>
    <row r="142" spans="2:17" ht="16" thickBot="1" x14ac:dyDescent="0.3">
      <c r="C142" s="27" t="s">
        <v>90</v>
      </c>
      <c r="E142" s="97">
        <f>J12+J13+J14+J15+J16+J17+J18+J19+J20+J21+J22+J23+J25+J27+J28</f>
        <v>45638.461538461539</v>
      </c>
      <c r="F142" s="97"/>
      <c r="G142" s="98">
        <f>E143+E144+E151+E158</f>
        <v>275376.29580252082</v>
      </c>
      <c r="H142" s="98">
        <f>E145+E152+E159</f>
        <v>230258.11118713624</v>
      </c>
      <c r="I142" s="98">
        <f>E146+E153+E160</f>
        <v>230258.11118713624</v>
      </c>
      <c r="J142" s="99">
        <f>E147+E154+E161</f>
        <v>233018.77272559775</v>
      </c>
      <c r="K142" s="99">
        <f>E148+E155+E162</f>
        <v>233018.77272559775</v>
      </c>
      <c r="L142" s="99">
        <f>E149+E156+E163</f>
        <v>0</v>
      </c>
    </row>
    <row r="143" spans="2:17" ht="16" thickBot="1" x14ac:dyDescent="0.3">
      <c r="C143" s="27"/>
      <c r="E143" s="100">
        <f>SUM(E142)</f>
        <v>45638.461538461539</v>
      </c>
      <c r="F143" s="101"/>
      <c r="G143" s="102"/>
    </row>
    <row r="144" spans="2:17" ht="15.5" x14ac:dyDescent="0.25">
      <c r="C144" s="27" t="s">
        <v>91</v>
      </c>
      <c r="E144" s="103">
        <f>J31+J37+J43+J50+J56+J63+J69+J74+J80+J87+J94+J101+J108+J115</f>
        <v>94252.0988090951</v>
      </c>
      <c r="F144" s="103"/>
      <c r="G144" s="102"/>
    </row>
    <row r="145" spans="3:7" ht="15.5" x14ac:dyDescent="0.25">
      <c r="C145" s="27" t="s">
        <v>92</v>
      </c>
      <c r="E145" s="103">
        <f>J32+J38+J44+J51+J57+J64+J70+J75+J81+J88+J95+J102+J109+J116</f>
        <v>94084.791116787397</v>
      </c>
      <c r="F145" s="103"/>
      <c r="G145" s="102"/>
    </row>
    <row r="146" spans="3:7" ht="15.5" x14ac:dyDescent="0.25">
      <c r="C146" s="27" t="s">
        <v>93</v>
      </c>
      <c r="E146" s="103">
        <f>J33+J39+J45+J52+J58+J65+J71+J76+J82+J89+J96+J103+J110+J117</f>
        <v>94084.791116787397</v>
      </c>
      <c r="F146" s="103"/>
    </row>
    <row r="147" spans="3:7" ht="15.5" x14ac:dyDescent="0.25">
      <c r="C147" s="27" t="s">
        <v>94</v>
      </c>
      <c r="E147" s="103">
        <f>J34+J40+J46+J53+J59+J66+J72+J77+J83+J90+J97+J104+J111+J118</f>
        <v>96157.868039864319</v>
      </c>
      <c r="F147" s="103"/>
    </row>
    <row r="148" spans="3:7" ht="15.5" x14ac:dyDescent="0.25">
      <c r="C148" s="27" t="s">
        <v>95</v>
      </c>
      <c r="E148" s="103">
        <f>J35+J41+J47+J54+J60+J67+J73+J78+J84+J91+J98+J105+J112+J119</f>
        <v>96157.868039864319</v>
      </c>
      <c r="F148" s="103"/>
    </row>
    <row r="149" spans="3:7" ht="16" thickBot="1" x14ac:dyDescent="0.3">
      <c r="C149" s="27" t="s">
        <v>96</v>
      </c>
      <c r="E149" s="103">
        <f>J36+J42+J48+J55+J61+J68+J85+J92+J99+J106+J113+J120</f>
        <v>0</v>
      </c>
      <c r="F149" s="103"/>
    </row>
    <row r="150" spans="3:7" ht="16" thickBot="1" x14ac:dyDescent="0.3">
      <c r="C150" s="27"/>
      <c r="E150" s="104">
        <f>SUM(E144:E149)</f>
        <v>474737.41712239862</v>
      </c>
      <c r="F150" s="105"/>
    </row>
    <row r="151" spans="3:7" ht="15.5" x14ac:dyDescent="0.25">
      <c r="C151" s="27" t="s">
        <v>97</v>
      </c>
      <c r="E151" s="106">
        <f t="shared" ref="E151:E156" si="32">J4</f>
        <v>54000</v>
      </c>
      <c r="F151" s="106"/>
    </row>
    <row r="152" spans="3:7" ht="15.5" x14ac:dyDescent="0.25">
      <c r="C152" s="27" t="s">
        <v>98</v>
      </c>
      <c r="E152" s="106">
        <f t="shared" si="32"/>
        <v>54000</v>
      </c>
      <c r="F152" s="106"/>
    </row>
    <row r="153" spans="3:7" ht="15.5" x14ac:dyDescent="0.25">
      <c r="C153" s="27" t="s">
        <v>99</v>
      </c>
      <c r="E153" s="106">
        <f t="shared" si="32"/>
        <v>54000</v>
      </c>
      <c r="F153" s="106"/>
    </row>
    <row r="154" spans="3:7" ht="15.5" x14ac:dyDescent="0.25">
      <c r="C154" s="27" t="s">
        <v>100</v>
      </c>
      <c r="E154" s="106">
        <f t="shared" si="32"/>
        <v>54000</v>
      </c>
      <c r="F154" s="106"/>
    </row>
    <row r="155" spans="3:7" ht="15.5" x14ac:dyDescent="0.25">
      <c r="C155" s="27" t="s">
        <v>101</v>
      </c>
      <c r="E155" s="106">
        <f t="shared" si="32"/>
        <v>54000</v>
      </c>
      <c r="F155" s="106"/>
    </row>
    <row r="156" spans="3:7" ht="16" thickBot="1" x14ac:dyDescent="0.3">
      <c r="C156" s="27" t="s">
        <v>102</v>
      </c>
      <c r="E156" s="106">
        <f t="shared" si="32"/>
        <v>0</v>
      </c>
      <c r="F156" s="106"/>
    </row>
    <row r="157" spans="3:7" ht="16" thickBot="1" x14ac:dyDescent="0.3">
      <c r="C157" s="27"/>
      <c r="E157" s="107">
        <f>SUM(E151:E156)</f>
        <v>270000</v>
      </c>
      <c r="F157" s="108"/>
    </row>
    <row r="158" spans="3:7" ht="15.5" x14ac:dyDescent="0.25">
      <c r="C158" s="27" t="s">
        <v>103</v>
      </c>
      <c r="E158" s="109">
        <f>J123+J124</f>
        <v>81485.735454964204</v>
      </c>
      <c r="F158" s="109"/>
    </row>
    <row r="159" spans="3:7" ht="15.5" x14ac:dyDescent="0.25">
      <c r="C159" s="27" t="s">
        <v>104</v>
      </c>
      <c r="E159" s="109">
        <f>J125+J126</f>
        <v>82173.320070348826</v>
      </c>
      <c r="F159" s="109"/>
    </row>
    <row r="160" spans="3:7" ht="15.5" x14ac:dyDescent="0.25">
      <c r="C160" s="27" t="s">
        <v>105</v>
      </c>
      <c r="E160" s="109">
        <f>J127+J128</f>
        <v>82173.320070348826</v>
      </c>
      <c r="F160" s="109"/>
    </row>
    <row r="161" spans="3:6" ht="15.5" x14ac:dyDescent="0.25">
      <c r="C161" s="27" t="s">
        <v>106</v>
      </c>
      <c r="E161" s="109">
        <f>J129+J130</f>
        <v>82860.904685733432</v>
      </c>
      <c r="F161" s="109"/>
    </row>
    <row r="162" spans="3:6" ht="15.5" x14ac:dyDescent="0.25">
      <c r="C162" s="27" t="s">
        <v>107</v>
      </c>
      <c r="E162" s="109">
        <f>J131+J132</f>
        <v>82860.904685733432</v>
      </c>
      <c r="F162" s="109"/>
    </row>
    <row r="163" spans="3:6" ht="16" thickBot="1" x14ac:dyDescent="0.3">
      <c r="C163" s="27" t="s">
        <v>108</v>
      </c>
      <c r="E163" s="109">
        <f>J133+J134</f>
        <v>0</v>
      </c>
      <c r="F163" s="109"/>
    </row>
    <row r="164" spans="3:6" ht="13.5" thickBot="1" x14ac:dyDescent="0.3">
      <c r="E164" s="110">
        <f>SUM(E158:E163)</f>
        <v>411554.18496712873</v>
      </c>
      <c r="F164" s="111"/>
    </row>
    <row r="165" spans="3:6" ht="13" thickBot="1" x14ac:dyDescent="0.3"/>
    <row r="166" spans="3:6" ht="13.5" thickBot="1" x14ac:dyDescent="0.3">
      <c r="E166" s="112">
        <f>E143+E150+E157+E164</f>
        <v>1201930.063627989</v>
      </c>
      <c r="F166" s="113"/>
    </row>
    <row r="169" spans="3:6" x14ac:dyDescent="0.25">
      <c r="E169" s="98">
        <f>J138-E166</f>
        <v>0</v>
      </c>
      <c r="F169" s="98"/>
    </row>
  </sheetData>
  <autoFilter ref="B3:M138" xr:uid="{3A947484-9A77-47B8-B0B8-4B816F7AAC77}">
    <filterColumn colId="0" showButton="0"/>
  </autoFilter>
  <mergeCells count="2">
    <mergeCell ref="B3:C3"/>
    <mergeCell ref="G137:H137"/>
  </mergeCells>
  <dataValidations count="6">
    <dataValidation type="list" allowBlank="1" showInputMessage="1" sqref="C144:C145" xr:uid="{37B6FECC-1AE5-4519-BC05-9A0D03EB6416}">
      <formula1>IF(C141="Administration",INDIRECT(C141),IF(C141="ITSH",INDIRECT(C141),IF(C141="LRP",INDIRECT(C141),INDIRECT("Activities"))))</formula1>
    </dataValidation>
    <dataValidation type="list" allowBlank="1" showInputMessage="1" sqref="E4:F135 N4:N114" xr:uid="{648BCF53-9ED5-4FB1-844E-B202CD211531}">
      <formula1>IF(C4="Administration",INDIRECT(C4),IF(C4="ITSH",INDIRECT(C4),IF(C4="LRP",INDIRECT(C4),INDIRECT("Activities"))))</formula1>
    </dataValidation>
    <dataValidation type="list" allowBlank="1" showInputMessage="1" sqref="C158:C159" xr:uid="{2CB42B1B-5EFE-4E34-87E1-63A3B6B3B692}">
      <formula1>IF(C153="Administration",INDIRECT(C153),IF(C153="ITSH",INDIRECT(C153),IF(C153="LRP",INDIRECT(C153),INDIRECT("Activities"))))</formula1>
    </dataValidation>
    <dataValidation type="list" allowBlank="1" showInputMessage="1" sqref="C160:C163 C146:C150 C142:C143" xr:uid="{E63C4CF0-5E81-4DAC-BF2A-C08AEDAC640E}">
      <formula1>IF(C140="Administration",INDIRECT(C140),IF(C140="ITSH",INDIRECT(C140),IF(C140="LRP",INDIRECT(C140),INDIRECT("Activities"))))</formula1>
    </dataValidation>
    <dataValidation type="list" allowBlank="1" showInputMessage="1" sqref="C151:C157 N115:N122 L115:L122" xr:uid="{6BE0E3AD-8A66-4BA5-8E10-E5219340FE9D}">
      <formula1>IF(#REF!="Administration",INDIRECT(#REF!),IF(#REF!="ITSH",INDIRECT(#REF!),IF(#REF!="LRP",INDIRECT(#REF!),INDIRECT("Activities"))))</formula1>
    </dataValidation>
    <dataValidation type="list" allowBlank="1" showInputMessage="1" sqref="N4:N135 L115:L122" xr:uid="{0DE7B6ED-C775-4207-8D9E-E4474D3C31DB}">
      <formula1>FullAct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CCCACC77-4A5D-4A75-9504-8403CE56295B}"/>
</file>

<file path=customXml/itemProps2.xml><?xml version="1.0" encoding="utf-8"?>
<ds:datastoreItem xmlns:ds="http://schemas.openxmlformats.org/officeDocument/2006/customXml" ds:itemID="{03B8318A-BA16-40F4-9692-942873B7E2D7}"/>
</file>

<file path=customXml/itemProps3.xml><?xml version="1.0" encoding="utf-8"?>
<ds:datastoreItem xmlns:ds="http://schemas.openxmlformats.org/officeDocument/2006/customXml" ds:itemID="{3363343C-7227-4A17-9E81-C3433CE822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 GENERAL ITSH MGD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Irías</dc:creator>
  <cp:lastModifiedBy>Elena Irías</cp:lastModifiedBy>
  <dcterms:created xsi:type="dcterms:W3CDTF">2026-05-28T18:23:55Z</dcterms:created>
  <dcterms:modified xsi:type="dcterms:W3CDTF">2026-05-28T18:31:58Z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