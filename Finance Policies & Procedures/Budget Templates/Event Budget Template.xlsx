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18"/>
  <workbookPr/>
  <mc:AlternateContent xmlns:mc="http://schemas.openxmlformats.org/markup-compatibility/2006">
    <mc:Choice Requires="x15">
      <x15ac:absPath xmlns:x15ac="http://schemas.microsoft.com/office/spreadsheetml/2010/11/ac" url="C:\Users\dmart\Downloads\"/>
    </mc:Choice>
  </mc:AlternateContent>
  <xr:revisionPtr revIDLastSave="0" documentId="8_{86BC0546-AB87-4917-B0A5-4433158DDA2B}" xr6:coauthVersionLast="47" xr6:coauthVersionMax="47" xr10:uidLastSave="{00000000-0000-0000-0000-000000000000}"/>
  <bookViews>
    <workbookView showHorizontalScroll="0" showVerticalScroll="0" showSheetTabs="0" xWindow="-96" yWindow="-96" windowWidth="23232" windowHeight="12552" xr2:uid="{00000000-000D-0000-FFFF-FFFF00000000}"/>
  </bookViews>
  <sheets>
    <sheet name="Budget" sheetId="1" r:id="rId1"/>
  </sheets>
  <definedNames>
    <definedName name="_xlnm._FilterDatabase" localSheetId="0" hidden="1">Budget!$A$38:$E$178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7" i="1" l="1"/>
  <c r="E125" i="1"/>
  <c r="E124" i="1"/>
  <c r="E159" i="1" s="1"/>
  <c r="E154" i="1"/>
  <c r="E156" i="1"/>
  <c r="E155" i="1"/>
  <c r="E151" i="1"/>
  <c r="E150" i="1"/>
  <c r="E149" i="1"/>
  <c r="E146" i="1"/>
  <c r="E145" i="1"/>
  <c r="E144" i="1"/>
  <c r="E143" i="1"/>
  <c r="E142" i="1"/>
  <c r="E141" i="1"/>
  <c r="E140" i="1"/>
  <c r="E137" i="1"/>
  <c r="E136" i="1"/>
  <c r="E133" i="1"/>
  <c r="E132" i="1"/>
  <c r="E131" i="1"/>
  <c r="E130" i="1"/>
  <c r="E129" i="1"/>
  <c r="E128" i="1"/>
  <c r="E163" i="1"/>
  <c r="E164" i="1"/>
  <c r="E162" i="1"/>
  <c r="E113" i="1"/>
  <c r="E114" i="1"/>
  <c r="E115" i="1"/>
  <c r="E116" i="1"/>
  <c r="E120" i="1" s="1"/>
  <c r="E117" i="1"/>
  <c r="E118" i="1"/>
  <c r="E112" i="1"/>
  <c r="E106" i="1"/>
  <c r="E103" i="1"/>
  <c r="E96" i="1"/>
  <c r="E95" i="1"/>
  <c r="E94" i="1"/>
  <c r="E93" i="1"/>
  <c r="E92" i="1"/>
  <c r="E99" i="1"/>
  <c r="E100" i="1"/>
  <c r="E101" i="1"/>
  <c r="E102" i="1"/>
  <c r="E107" i="1"/>
  <c r="E91" i="1"/>
  <c r="E109" i="1" s="1"/>
  <c r="E85" i="1"/>
  <c r="E75" i="1"/>
  <c r="E74" i="1"/>
  <c r="E73" i="1"/>
  <c r="E72" i="1"/>
  <c r="E71" i="1"/>
  <c r="E70" i="1"/>
  <c r="E69" i="1"/>
  <c r="E68" i="1"/>
  <c r="E87" i="1" s="1"/>
  <c r="E79" i="1"/>
  <c r="E80" i="1"/>
  <c r="E81" i="1"/>
  <c r="E82" i="1"/>
  <c r="E83" i="1"/>
  <c r="E84" i="1"/>
  <c r="E78" i="1"/>
  <c r="E29" i="1"/>
  <c r="E31" i="1"/>
  <c r="E30" i="1"/>
  <c r="E23" i="1"/>
  <c r="E24" i="1"/>
  <c r="E22" i="1"/>
  <c r="E26" i="1" s="1"/>
  <c r="E15" i="1"/>
  <c r="F15" i="1"/>
  <c r="F14" i="1"/>
  <c r="E14" i="1"/>
  <c r="E17" i="1"/>
  <c r="E16" i="1"/>
  <c r="F13" i="1"/>
  <c r="E13" i="1"/>
  <c r="F12" i="1"/>
  <c r="E12" i="1"/>
  <c r="E19" i="1" s="1"/>
  <c r="E60" i="1"/>
  <c r="E61" i="1"/>
  <c r="E62" i="1"/>
  <c r="E59" i="1"/>
  <c r="E45" i="1"/>
  <c r="E54" i="1"/>
  <c r="E53" i="1"/>
  <c r="E52" i="1"/>
  <c r="E51" i="1"/>
  <c r="E56" i="1" s="1"/>
  <c r="E50" i="1"/>
  <c r="E41" i="1"/>
  <c r="E43" i="1"/>
  <c r="E40" i="1"/>
  <c r="E47" i="1" s="1"/>
  <c r="E166" i="1"/>
  <c r="E64" i="1"/>
  <c r="E33" i="1"/>
  <c r="E42" i="1"/>
  <c r="F40" i="1"/>
  <c r="F41" i="1"/>
  <c r="E34" i="1" l="1"/>
  <c r="B4" i="1" s="1"/>
  <c r="E167" i="1"/>
  <c r="E170" i="1" l="1"/>
  <c r="E172" i="1" s="1"/>
  <c r="E175" i="1"/>
  <c r="E177" i="1" s="1"/>
  <c r="B5" i="1" s="1"/>
  <c r="B6" i="1" s="1"/>
</calcChain>
</file>

<file path=xl/sharedStrings.xml><?xml version="1.0" encoding="utf-8"?>
<sst xmlns="http://schemas.openxmlformats.org/spreadsheetml/2006/main" count="240" uniqueCount="109">
  <si>
    <t>Event Budget Template</t>
  </si>
  <si>
    <t>Total Revenue</t>
  </si>
  <si>
    <t>Total Expense</t>
  </si>
  <si>
    <t>Net Profit</t>
  </si>
  <si>
    <t>Event Revenue</t>
  </si>
  <si>
    <t>BUDGET ITEM</t>
  </si>
  <si>
    <t>UNIT</t>
  </si>
  <si>
    <t># of Units</t>
  </si>
  <si>
    <t>RATE/ UNIT</t>
  </si>
  <si>
    <t>PROJECT GRAND TOTAL</t>
  </si>
  <si>
    <t>1. Event Income</t>
  </si>
  <si>
    <t>Sponsorships</t>
  </si>
  <si>
    <t>Sponsorship: Name of Sponsor</t>
  </si>
  <si>
    <t>Sponsorship</t>
  </si>
  <si>
    <t>Sub-Total Sponsorships</t>
  </si>
  <si>
    <t>Registrations</t>
  </si>
  <si>
    <t>Registration Revenue: Type of Ticket</t>
  </si>
  <si>
    <t>Ticket</t>
  </si>
  <si>
    <t>Total Registration Revenue</t>
  </si>
  <si>
    <t>Other Event Income</t>
  </si>
  <si>
    <t>Other Event: Description</t>
  </si>
  <si>
    <t>Unit</t>
  </si>
  <si>
    <t>Total Other Event Income</t>
  </si>
  <si>
    <t>Total Event Income</t>
  </si>
  <si>
    <t>Event Expenses</t>
  </si>
  <si>
    <t>1. Direct Labor</t>
  </si>
  <si>
    <t>Key Personnel</t>
  </si>
  <si>
    <t>Staff Member: Name and Level of Effort</t>
  </si>
  <si>
    <t>Month</t>
  </si>
  <si>
    <t>Fringe Benefits for DC Staff</t>
  </si>
  <si>
    <t>Total Direct Labor</t>
  </si>
  <si>
    <t>2. Consultants</t>
  </si>
  <si>
    <t>Consultant: Name of Consultant and Position</t>
  </si>
  <si>
    <t>Total Consultants</t>
  </si>
  <si>
    <t>3. Sub-Grantees and Sub-Contracts</t>
  </si>
  <si>
    <t>Sub-Grant: Name and Description of Service</t>
  </si>
  <si>
    <t>Sub-Contractor: Name and Description of Service</t>
  </si>
  <si>
    <t>Total Sub-Grantees and Sub-Contracts</t>
  </si>
  <si>
    <t>4. Travel</t>
  </si>
  <si>
    <t>Site Visits/Preparation Visits</t>
  </si>
  <si>
    <t>DC Staff - Airfare</t>
  </si>
  <si>
    <t>DC Staff - Lodging</t>
  </si>
  <si>
    <t>DC Staff - Ground Transportation</t>
  </si>
  <si>
    <t>DC Staff - Misc. Staff Travel Related Expenses (Meals, tips, etc.)</t>
  </si>
  <si>
    <t>Consultant - Airfare</t>
  </si>
  <si>
    <t>Consultant - Lodging</t>
  </si>
  <si>
    <t>Consultant - Ground Transportation</t>
  </si>
  <si>
    <t>Consultant - Misc. Staff Travel Related Expenses (Meals, tips, etc.)</t>
  </si>
  <si>
    <t>Travel to Event</t>
  </si>
  <si>
    <t>Total Travel</t>
  </si>
  <si>
    <t>5. Supplies/Equipment/Misc. Event Expenses</t>
  </si>
  <si>
    <t>Supplies and Communication Costs</t>
  </si>
  <si>
    <t>Communication Costs (Telephone, cell phone costs, skype, etc.)</t>
  </si>
  <si>
    <t>Postage</t>
  </si>
  <si>
    <t>Copying &amp; Printing</t>
  </si>
  <si>
    <t>Stationery/Paper/Supplies</t>
  </si>
  <si>
    <t>Cleaning</t>
  </si>
  <si>
    <t>Awards</t>
  </si>
  <si>
    <t>Audiovisual Equipment</t>
  </si>
  <si>
    <t>Equipment: Description</t>
  </si>
  <si>
    <t>Translation/Interpretation</t>
  </si>
  <si>
    <t>Simultaneous Interpretation</t>
  </si>
  <si>
    <t>Translation Costs (Materials, etc.)</t>
  </si>
  <si>
    <t>Total Supplies/Equipment/Misc. Event Expenses</t>
  </si>
  <si>
    <t>6. Promotion/Advertising</t>
  </si>
  <si>
    <t>Publications</t>
  </si>
  <si>
    <t>Advertising Costs</t>
  </si>
  <si>
    <t>Printed Materials for Marketing</t>
  </si>
  <si>
    <t>Printed Materials for the Event (Posters ...)</t>
  </si>
  <si>
    <t>Printed Materials per Participant (Agendas, Flyers, etc.)</t>
  </si>
  <si>
    <t>Press Conference Materials</t>
  </si>
  <si>
    <t>Promotional Marketing</t>
  </si>
  <si>
    <t>Total Promotion/Advertising</t>
  </si>
  <si>
    <t>7. Event Costs: XXX (Duplicate if Multiple Events)</t>
  </si>
  <si>
    <t>Insurance/Security</t>
  </si>
  <si>
    <t>Event Insurance</t>
  </si>
  <si>
    <t>Security Costs</t>
  </si>
  <si>
    <t>Facilities</t>
  </si>
  <si>
    <t>Conference Room: Description</t>
  </si>
  <si>
    <t>Speakers and Agenda Costs</t>
  </si>
  <si>
    <t xml:space="preserve">Speakers Costs </t>
  </si>
  <si>
    <t>Special Guests Costs</t>
  </si>
  <si>
    <t>Food and Drink for Event</t>
  </si>
  <si>
    <t>Coffee Break: Date</t>
  </si>
  <si>
    <t>Lunch: Date</t>
  </si>
  <si>
    <t>Misc. Food Costs</t>
  </si>
  <si>
    <t>VIP Dinner Expenses</t>
  </si>
  <si>
    <t>Food and Incidentals</t>
  </si>
  <si>
    <t>Ground Transportation for Event</t>
  </si>
  <si>
    <t>Transportation for VIP Guests</t>
  </si>
  <si>
    <t>Transportation to and from Events</t>
  </si>
  <si>
    <t>Airport Pickup and Return Transportation for Attendees</t>
  </si>
  <si>
    <t>Misc. Mini Events</t>
  </si>
  <si>
    <t>Opening Gala Expenses</t>
  </si>
  <si>
    <t>Closing Gala Expenses</t>
  </si>
  <si>
    <t>Welcome Cocktail Reception</t>
  </si>
  <si>
    <t>Entertainment Costs (Musician, performers, dancers, etc.)</t>
  </si>
  <si>
    <t>Total Event Costs</t>
  </si>
  <si>
    <t>8. Other Direct Costs</t>
  </si>
  <si>
    <t>Other Direct Costs: Description</t>
  </si>
  <si>
    <t>Total Other Direct Costs</t>
  </si>
  <si>
    <t>Total Direct Costs</t>
  </si>
  <si>
    <t>9. Indirect Costs</t>
  </si>
  <si>
    <t>Indirect Costs</t>
  </si>
  <si>
    <t>Percentage</t>
  </si>
  <si>
    <t>Total Indirect Costs</t>
  </si>
  <si>
    <t>10. Contingency</t>
  </si>
  <si>
    <t>Contingency</t>
  </si>
  <si>
    <t>TOTAL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</si>
</sst>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-* #,##0.00\ _€_-;\-* #,##0.00\ _€_-;_-* &quot;-&quot;??\ _€_-;_-@_-"/>
    <numFmt numFmtId="167" formatCode="_-* #,##0\ _€_-;\-* #,##0\ _€_-;_-* &quot;-&quot;??\ _€_-;_-@_-"/>
    <numFmt numFmtId="168" formatCode="0.0000%"/>
    <numFmt numFmtId="169" formatCode="#,##0.000"/>
  </numFmts>
  <fonts count="13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u/>
      <sz val="8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Calibri"/>
      <family val="2"/>
    </font>
    <font>
      <b/>
      <i/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166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4" fillId="0" borderId="0"/>
    <xf numFmtId="9" fontId="12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wrapText="1"/>
    </xf>
    <xf numFmtId="3" fontId="2" fillId="0" borderId="0" xfId="0" applyNumberFormat="1" applyFont="1"/>
    <xf numFmtId="0" fontId="5" fillId="0" borderId="0" xfId="0" applyFont="1" applyAlignment="1">
      <alignment wrapText="1"/>
    </xf>
    <xf numFmtId="0" fontId="2" fillId="0" borderId="0" xfId="1" applyNumberFormat="1" applyFont="1" applyFill="1" applyAlignment="1">
      <alignment horizontal="right"/>
    </xf>
    <xf numFmtId="167" fontId="2" fillId="0" borderId="0" xfId="0" applyNumberFormat="1" applyFont="1"/>
    <xf numFmtId="168" fontId="2" fillId="0" borderId="0" xfId="0" applyNumberFormat="1" applyFont="1" applyAlignment="1">
      <alignment wrapText="1"/>
    </xf>
    <xf numFmtId="3" fontId="2" fillId="0" borderId="0" xfId="1" applyNumberFormat="1" applyFont="1" applyFill="1" applyAlignment="1">
      <alignment horizontal="right"/>
    </xf>
    <xf numFmtId="165" fontId="2" fillId="0" borderId="0" xfId="0" applyNumberFormat="1" applyFont="1"/>
    <xf numFmtId="43" fontId="2" fillId="0" borderId="0" xfId="1" applyNumberFormat="1" applyFont="1" applyFill="1"/>
    <xf numFmtId="0" fontId="2" fillId="0" borderId="0" xfId="1" applyNumberFormat="1" applyFont="1" applyFill="1"/>
    <xf numFmtId="169" fontId="2" fillId="0" borderId="0" xfId="1" applyNumberFormat="1" applyFont="1" applyFill="1"/>
    <xf numFmtId="3" fontId="2" fillId="0" borderId="0" xfId="1" applyNumberFormat="1" applyFont="1" applyFill="1"/>
    <xf numFmtId="167" fontId="2" fillId="0" borderId="0" xfId="1" applyNumberFormat="1" applyFont="1" applyFill="1"/>
    <xf numFmtId="167" fontId="2" fillId="0" borderId="0" xfId="1" applyNumberFormat="1" applyFont="1" applyFill="1" applyAlignment="1">
      <alignment horizontal="right"/>
    </xf>
    <xf numFmtId="0" fontId="1" fillId="0" borderId="1" xfId="0" applyFont="1" applyBorder="1" applyAlignment="1">
      <alignment wrapText="1"/>
    </xf>
    <xf numFmtId="3" fontId="1" fillId="0" borderId="1" xfId="0" applyNumberFormat="1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3" fontId="10" fillId="0" borderId="0" xfId="0" applyNumberFormat="1" applyFont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3" fontId="1" fillId="0" borderId="2" xfId="0" applyNumberFormat="1" applyFont="1" applyBorder="1" applyAlignment="1">
      <alignment wrapText="1"/>
    </xf>
    <xf numFmtId="0" fontId="8" fillId="0" borderId="0" xfId="0" applyFont="1" applyAlignment="1">
      <alignment vertical="center" shrinkToFit="1"/>
    </xf>
    <xf numFmtId="0" fontId="8" fillId="0" borderId="0" xfId="0" applyFont="1" applyAlignment="1">
      <alignment horizontal="center" vertical="center" wrapText="1"/>
    </xf>
    <xf numFmtId="0" fontId="11" fillId="0" borderId="0" xfId="0" applyFont="1"/>
    <xf numFmtId="0" fontId="8" fillId="0" borderId="1" xfId="0" applyFont="1" applyBorder="1" applyAlignment="1">
      <alignment horizontal="center" wrapText="1"/>
    </xf>
    <xf numFmtId="3" fontId="8" fillId="0" borderId="1" xfId="0" applyNumberFormat="1" applyFont="1" applyBorder="1" applyAlignment="1">
      <alignment horizontal="center" wrapText="1"/>
    </xf>
    <xf numFmtId="0" fontId="8" fillId="0" borderId="1" xfId="0" applyFont="1" applyBorder="1" applyAlignment="1">
      <alignment wrapText="1"/>
    </xf>
    <xf numFmtId="3" fontId="8" fillId="0" borderId="1" xfId="0" applyNumberFormat="1" applyFont="1" applyBorder="1" applyAlignment="1">
      <alignment wrapText="1"/>
    </xf>
    <xf numFmtId="0" fontId="8" fillId="3" borderId="1" xfId="0" applyFont="1" applyFill="1" applyBorder="1" applyAlignment="1">
      <alignment wrapText="1"/>
    </xf>
    <xf numFmtId="9" fontId="2" fillId="0" borderId="1" xfId="4" applyFont="1" applyFill="1" applyBorder="1" applyAlignment="1">
      <alignment wrapText="1"/>
    </xf>
    <xf numFmtId="0" fontId="1" fillId="0" borderId="3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left" wrapText="1"/>
    </xf>
    <xf numFmtId="0" fontId="8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horizontal="left" wrapText="1"/>
    </xf>
    <xf numFmtId="164" fontId="2" fillId="0" borderId="0" xfId="2" applyFont="1" applyFill="1"/>
    <xf numFmtId="164" fontId="8" fillId="0" borderId="1" xfId="2" applyFont="1" applyFill="1" applyBorder="1" applyAlignment="1">
      <alignment horizontal="center" wrapText="1"/>
    </xf>
    <xf numFmtId="164" fontId="11" fillId="0" borderId="1" xfId="2" applyFont="1" applyFill="1" applyBorder="1"/>
    <xf numFmtId="164" fontId="2" fillId="0" borderId="1" xfId="2" applyFont="1" applyFill="1" applyBorder="1"/>
    <xf numFmtId="164" fontId="1" fillId="0" borderId="1" xfId="2" applyFont="1" applyFill="1" applyBorder="1"/>
    <xf numFmtId="164" fontId="1" fillId="0" borderId="2" xfId="2" applyFont="1" applyFill="1" applyBorder="1"/>
    <xf numFmtId="164" fontId="2" fillId="0" borderId="6" xfId="2" applyFont="1" applyFill="1" applyBorder="1"/>
    <xf numFmtId="164" fontId="1" fillId="0" borderId="6" xfId="2" applyFont="1" applyFill="1" applyBorder="1"/>
    <xf numFmtId="164" fontId="2" fillId="0" borderId="6" xfId="2" applyFont="1" applyFill="1" applyBorder="1" applyAlignment="1">
      <alignment horizontal="right" wrapText="1"/>
    </xf>
    <xf numFmtId="164" fontId="1" fillId="0" borderId="6" xfId="2" applyFont="1" applyFill="1" applyBorder="1" applyAlignment="1">
      <alignment horizontal="right" wrapText="1"/>
    </xf>
    <xf numFmtId="164" fontId="1" fillId="0" borderId="5" xfId="2" applyFont="1" applyFill="1" applyBorder="1" applyAlignment="1">
      <alignment horizontal="left" wrapText="1"/>
    </xf>
    <xf numFmtId="164" fontId="1" fillId="0" borderId="7" xfId="2" applyFont="1" applyFill="1" applyBorder="1"/>
    <xf numFmtId="164" fontId="2" fillId="0" borderId="0" xfId="2" applyFont="1"/>
    <xf numFmtId="0" fontId="8" fillId="2" borderId="0" xfId="0" applyFont="1" applyFill="1" applyAlignment="1">
      <alignment horizontal="center" wrapText="1"/>
    </xf>
    <xf numFmtId="44" fontId="8" fillId="2" borderId="1" xfId="2" applyNumberFormat="1" applyFont="1" applyFill="1" applyBorder="1" applyAlignment="1">
      <alignment horizontal="center" wrapText="1"/>
    </xf>
    <xf numFmtId="44" fontId="8" fillId="3" borderId="1" xfId="2" applyNumberFormat="1" applyFont="1" applyFill="1" applyBorder="1" applyAlignment="1">
      <alignment wrapText="1"/>
    </xf>
    <xf numFmtId="0" fontId="9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3" fontId="10" fillId="0" borderId="0" xfId="0" applyNumberFormat="1" applyFont="1" applyAlignment="1">
      <alignment horizontal="center" vertical="center" wrapText="1"/>
    </xf>
  </cellXfs>
  <cellStyles count="5">
    <cellStyle name="Comma" xfId="1" builtinId="3"/>
    <cellStyle name="Currency" xfId="2" builtinId="4"/>
    <cellStyle name="Normal" xfId="0" builtinId="0"/>
    <cellStyle name="Normal 2" xfId="3" xr:uid="{00000000-0005-0000-0000-000003000000}"/>
    <cellStyle name="Percent" xfId="4" builtinId="5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3188970</xdr:colOff>
      <xdr:row>0</xdr:row>
      <xdr:rowOff>651510</xdr:rowOff>
    </xdr:to>
    <xdr:pic>
      <xdr:nvPicPr>
        <xdr:cNvPr id="1054" name="Picture 1">
          <a:extLst>
            <a:ext uri="{FF2B5EF4-FFF2-40B4-BE49-F238E27FC236}">
              <a16:creationId xmlns:a16="http://schemas.microsoft.com/office/drawing/2014/main" id="{12AEEB87-A628-4064-4C91-6F6690F56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88970" cy="651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9:E34" totalsRowShown="0" headerRowDxfId="14" dataDxfId="13" headerRowBorderDxfId="11" tableBorderDxfId="12">
  <tableColumns count="5">
    <tableColumn id="1" xr3:uid="{00000000-0010-0000-0000-000001000000}" name="BUDGET ITEM" dataDxfId="10"/>
    <tableColumn id="2" xr3:uid="{00000000-0010-0000-0000-000002000000}" name="UNIT" dataDxfId="9"/>
    <tableColumn id="3" xr3:uid="{00000000-0010-0000-0000-000003000000}" name="# of Units" dataDxfId="8"/>
    <tableColumn id="4" xr3:uid="{00000000-0010-0000-0000-000004000000}" name="RATE/ UNIT" dataDxfId="7"/>
    <tableColumn id="5" xr3:uid="{00000000-0010-0000-0000-000005000000}" name="PROJECT GRAND TOTAL" dataDxfId="6" dataCellStyle="Currency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able6" displayName="Table6" ref="A37:E177" totalsRowShown="0" headerRowDxfId="5" headerRowBorderDxfId="3" tableBorderDxfId="4" totalsRowBorderDxfId="2">
  <tableColumns count="5">
    <tableColumn id="1" xr3:uid="{00000000-0010-0000-0100-000001000000}" name="BUDGET ITEM"/>
    <tableColumn id="2" xr3:uid="{00000000-0010-0000-0100-000002000000}" name="UNIT" dataDxfId="1"/>
    <tableColumn id="3" xr3:uid="{00000000-0010-0000-0100-000003000000}" name="# of Units" dataDxfId="0"/>
    <tableColumn id="4" xr3:uid="{00000000-0010-0000-0100-000004000000}" name="RATE/ UNIT"/>
    <tableColumn id="5" xr3:uid="{00000000-0010-0000-0100-000005000000}" name="PROJECT GRAND TOTAL" dataCellStyle="Currency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83"/>
  <sheetViews>
    <sheetView showGridLines="0" tabSelected="1" zoomScale="120" zoomScaleNormal="120" workbookViewId="0">
      <selection activeCell="A172" sqref="A172"/>
    </sheetView>
  </sheetViews>
  <sheetFormatPr defaultColWidth="5.85546875" defaultRowHeight="10.15"/>
  <cols>
    <col min="1" max="1" width="52.140625" style="2" customWidth="1"/>
    <col min="2" max="2" width="13.42578125" style="2" customWidth="1"/>
    <col min="3" max="3" width="8.85546875" style="2" customWidth="1"/>
    <col min="4" max="4" width="10.28515625" style="3" customWidth="1"/>
    <col min="5" max="5" width="20" style="54" customWidth="1"/>
    <col min="6" max="6" width="15.42578125" style="1" hidden="1" customWidth="1"/>
    <col min="7" max="8" width="14.42578125" style="1" customWidth="1"/>
    <col min="9" max="237" width="11.42578125" style="1" customWidth="1"/>
    <col min="238" max="238" width="52.140625" style="1" customWidth="1"/>
    <col min="239" max="239" width="7.85546875" style="1" customWidth="1"/>
    <col min="240" max="240" width="6.28515625" style="1" bestFit="1" customWidth="1"/>
    <col min="241" max="241" width="9.28515625" style="1" bestFit="1" customWidth="1"/>
    <col min="242" max="242" width="10" style="1" bestFit="1" customWidth="1"/>
    <col min="243" max="16384" width="5.85546875" style="1"/>
  </cols>
  <sheetData>
    <row r="1" spans="1:14" ht="55.9" customHeight="1">
      <c r="A1" s="59"/>
      <c r="B1" s="59"/>
      <c r="C1" s="59"/>
      <c r="D1" s="59"/>
      <c r="E1" s="59"/>
    </row>
    <row r="2" spans="1:14" ht="17.649999999999999">
      <c r="A2" s="60" t="s">
        <v>0</v>
      </c>
      <c r="B2" s="60"/>
      <c r="C2" s="60"/>
      <c r="D2" s="60"/>
      <c r="E2" s="60"/>
    </row>
    <row r="3" spans="1:14" ht="17.649999999999999">
      <c r="A3" s="22"/>
      <c r="B3" s="22"/>
      <c r="C3" s="22"/>
      <c r="D3" s="22"/>
      <c r="E3" s="22"/>
    </row>
    <row r="4" spans="1:14" ht="17.649999999999999">
      <c r="A4" s="32" t="s">
        <v>1</v>
      </c>
      <c r="B4" s="57">
        <f>E34</f>
        <v>12</v>
      </c>
      <c r="C4" s="22"/>
      <c r="D4" s="22"/>
      <c r="E4" s="22"/>
    </row>
    <row r="5" spans="1:14" ht="17.649999999999999">
      <c r="A5" s="32" t="s">
        <v>2</v>
      </c>
      <c r="B5" s="57">
        <f>E177</f>
        <v>77</v>
      </c>
      <c r="C5" s="22"/>
      <c r="D5" s="22"/>
      <c r="E5" s="22"/>
    </row>
    <row r="6" spans="1:14" ht="17.649999999999999">
      <c r="A6" s="55" t="s">
        <v>3</v>
      </c>
      <c r="B6" s="56">
        <f>B4-B5</f>
        <v>-65</v>
      </c>
      <c r="C6" s="22"/>
      <c r="D6" s="22"/>
      <c r="E6" s="22"/>
    </row>
    <row r="7" spans="1:14">
      <c r="E7" s="42"/>
    </row>
    <row r="8" spans="1:14" ht="15">
      <c r="A8" s="58" t="s">
        <v>4</v>
      </c>
      <c r="B8" s="58"/>
      <c r="C8" s="58"/>
      <c r="D8" s="58"/>
      <c r="E8" s="58"/>
    </row>
    <row r="9" spans="1:14" s="27" customFormat="1" ht="22.9">
      <c r="A9" s="28" t="s">
        <v>5</v>
      </c>
      <c r="B9" s="28" t="s">
        <v>6</v>
      </c>
      <c r="C9" s="28" t="s">
        <v>7</v>
      </c>
      <c r="D9" s="29" t="s">
        <v>8</v>
      </c>
      <c r="E9" s="43" t="s">
        <v>9</v>
      </c>
      <c r="F9" s="25"/>
      <c r="G9" s="26"/>
      <c r="H9" s="26"/>
    </row>
    <row r="10" spans="1:14" s="27" customFormat="1" ht="11.45">
      <c r="A10" s="30" t="s">
        <v>10</v>
      </c>
      <c r="B10" s="30"/>
      <c r="C10" s="30"/>
      <c r="D10" s="31"/>
      <c r="E10" s="44"/>
    </row>
    <row r="11" spans="1:14" ht="10.5">
      <c r="A11" s="19" t="s">
        <v>11</v>
      </c>
      <c r="B11" s="17"/>
      <c r="C11" s="17"/>
      <c r="D11" s="18"/>
      <c r="E11" s="45"/>
      <c r="H11" s="4"/>
      <c r="L11" s="7"/>
      <c r="N11" s="7"/>
    </row>
    <row r="12" spans="1:14">
      <c r="A12" s="20" t="s">
        <v>12</v>
      </c>
      <c r="B12" s="20" t="s">
        <v>13</v>
      </c>
      <c r="C12" s="20">
        <v>1</v>
      </c>
      <c r="D12" s="21">
        <v>1</v>
      </c>
      <c r="E12" s="45">
        <f t="shared" ref="E12:E17" si="0">D12*C12</f>
        <v>1</v>
      </c>
      <c r="F12" s="14" t="e">
        <f>#REF!+#REF!+#REF!+#REF!+#REF!+#REF!+#REF!+#REF!+#REF!+#REF!+#REF!+#REF!+#REF!+#REF!+#REF!+#REF!+#REF!+#REF!+#REF!</f>
        <v>#REF!</v>
      </c>
      <c r="G12" s="11"/>
      <c r="H12" s="10"/>
      <c r="L12" s="7"/>
      <c r="N12" s="7"/>
    </row>
    <row r="13" spans="1:14">
      <c r="A13" s="20" t="s">
        <v>12</v>
      </c>
      <c r="B13" s="20" t="s">
        <v>13</v>
      </c>
      <c r="C13" s="20">
        <v>1</v>
      </c>
      <c r="D13" s="21">
        <v>1</v>
      </c>
      <c r="E13" s="45">
        <f t="shared" si="0"/>
        <v>1</v>
      </c>
      <c r="F13" s="13" t="e">
        <f>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G13" s="11"/>
      <c r="H13" s="10"/>
      <c r="L13" s="7"/>
      <c r="N13" s="7"/>
    </row>
    <row r="14" spans="1:14">
      <c r="A14" s="20" t="s">
        <v>12</v>
      </c>
      <c r="B14" s="20" t="s">
        <v>13</v>
      </c>
      <c r="C14" s="20">
        <v>1</v>
      </c>
      <c r="D14" s="21">
        <v>1</v>
      </c>
      <c r="E14" s="45">
        <f t="shared" si="0"/>
        <v>1</v>
      </c>
      <c r="F14" s="13" t="e">
        <f>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G14" s="11"/>
      <c r="H14" s="10"/>
      <c r="L14" s="7"/>
      <c r="N14" s="7"/>
    </row>
    <row r="15" spans="1:14">
      <c r="A15" s="20" t="s">
        <v>12</v>
      </c>
      <c r="B15" s="20" t="s">
        <v>13</v>
      </c>
      <c r="C15" s="20">
        <v>1</v>
      </c>
      <c r="D15" s="21">
        <v>1</v>
      </c>
      <c r="E15" s="45">
        <f t="shared" si="0"/>
        <v>1</v>
      </c>
      <c r="F15" s="13" t="e">
        <f>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G15" s="11"/>
      <c r="H15" s="10"/>
      <c r="L15" s="7"/>
      <c r="N15" s="7"/>
    </row>
    <row r="16" spans="1:14">
      <c r="A16" s="20" t="s">
        <v>12</v>
      </c>
      <c r="B16" s="20" t="s">
        <v>13</v>
      </c>
      <c r="C16" s="20">
        <v>1</v>
      </c>
      <c r="D16" s="21">
        <v>1</v>
      </c>
      <c r="E16" s="45">
        <f t="shared" si="0"/>
        <v>1</v>
      </c>
      <c r="F16" s="12"/>
      <c r="G16" s="11"/>
      <c r="H16" s="10"/>
      <c r="L16" s="7"/>
      <c r="N16" s="7"/>
    </row>
    <row r="17" spans="1:12">
      <c r="A17" s="20" t="s">
        <v>12</v>
      </c>
      <c r="B17" s="20" t="s">
        <v>13</v>
      </c>
      <c r="C17" s="20">
        <v>1</v>
      </c>
      <c r="D17" s="21">
        <v>1</v>
      </c>
      <c r="E17" s="45">
        <f t="shared" si="0"/>
        <v>1</v>
      </c>
      <c r="F17" s="12"/>
      <c r="G17" s="11"/>
      <c r="H17" s="10"/>
      <c r="L17" s="7"/>
    </row>
    <row r="18" spans="1:12">
      <c r="A18" s="20"/>
      <c r="B18" s="20"/>
      <c r="C18" s="20"/>
      <c r="D18" s="21"/>
      <c r="E18" s="45"/>
      <c r="F18" s="12"/>
      <c r="G18" s="11"/>
    </row>
    <row r="19" spans="1:12" ht="10.5">
      <c r="A19" s="17" t="s">
        <v>14</v>
      </c>
      <c r="B19" s="17"/>
      <c r="C19" s="17"/>
      <c r="D19" s="18"/>
      <c r="E19" s="46">
        <f>SUM(E12:E17)</f>
        <v>6</v>
      </c>
      <c r="F19" s="12"/>
      <c r="G19" s="11"/>
    </row>
    <row r="20" spans="1:12" ht="10.5">
      <c r="A20" s="17"/>
      <c r="B20" s="17"/>
      <c r="C20" s="17"/>
      <c r="D20" s="18"/>
      <c r="E20" s="46"/>
      <c r="F20" s="12"/>
      <c r="G20" s="11"/>
    </row>
    <row r="21" spans="1:12" ht="10.5">
      <c r="A21" s="19" t="s">
        <v>15</v>
      </c>
      <c r="B21" s="17"/>
      <c r="C21" s="17"/>
      <c r="D21" s="18"/>
      <c r="E21" s="46"/>
      <c r="F21" s="12"/>
      <c r="G21" s="11"/>
    </row>
    <row r="22" spans="1:12">
      <c r="A22" s="20" t="s">
        <v>16</v>
      </c>
      <c r="B22" s="20" t="s">
        <v>17</v>
      </c>
      <c r="C22" s="20">
        <v>1</v>
      </c>
      <c r="D22" s="21">
        <v>1</v>
      </c>
      <c r="E22" s="45">
        <f>D22*C22</f>
        <v>1</v>
      </c>
      <c r="F22" s="12"/>
      <c r="G22" s="11"/>
      <c r="H22" s="4"/>
    </row>
    <row r="23" spans="1:12">
      <c r="A23" s="20" t="s">
        <v>16</v>
      </c>
      <c r="B23" s="20" t="s">
        <v>17</v>
      </c>
      <c r="C23" s="20">
        <v>1</v>
      </c>
      <c r="D23" s="21">
        <v>1</v>
      </c>
      <c r="E23" s="45">
        <f>D23*C23</f>
        <v>1</v>
      </c>
      <c r="F23" s="12"/>
      <c r="G23" s="11"/>
      <c r="H23" s="4"/>
    </row>
    <row r="24" spans="1:12">
      <c r="A24" s="20" t="s">
        <v>16</v>
      </c>
      <c r="B24" s="20" t="s">
        <v>17</v>
      </c>
      <c r="C24" s="20">
        <v>1</v>
      </c>
      <c r="D24" s="21">
        <v>1</v>
      </c>
      <c r="E24" s="45">
        <f>D24*C24</f>
        <v>1</v>
      </c>
      <c r="F24" s="12"/>
      <c r="G24" s="11"/>
      <c r="H24" s="4"/>
    </row>
    <row r="25" spans="1:12">
      <c r="A25" s="20"/>
      <c r="B25" s="20"/>
      <c r="C25" s="20"/>
      <c r="D25" s="21"/>
      <c r="E25" s="45"/>
      <c r="F25" s="12"/>
      <c r="G25" s="11"/>
      <c r="H25" s="4"/>
    </row>
    <row r="26" spans="1:12" ht="10.5">
      <c r="A26" s="17" t="s">
        <v>18</v>
      </c>
      <c r="B26" s="17"/>
      <c r="C26" s="17"/>
      <c r="D26" s="18"/>
      <c r="E26" s="46">
        <f>SUM(E22:E24)</f>
        <v>3</v>
      </c>
      <c r="F26" s="15"/>
      <c r="G26" s="11"/>
    </row>
    <row r="27" spans="1:12" ht="10.5">
      <c r="A27" s="17"/>
      <c r="B27" s="17"/>
      <c r="C27" s="17"/>
      <c r="D27" s="18"/>
      <c r="E27" s="46"/>
      <c r="F27" s="15"/>
      <c r="G27" s="11"/>
    </row>
    <row r="28" spans="1:12">
      <c r="A28" s="19" t="s">
        <v>19</v>
      </c>
      <c r="B28" s="20"/>
      <c r="C28" s="20"/>
      <c r="D28" s="21"/>
      <c r="E28" s="45"/>
      <c r="F28" s="12"/>
      <c r="G28" s="11"/>
      <c r="H28" s="4"/>
    </row>
    <row r="29" spans="1:12">
      <c r="A29" s="20" t="s">
        <v>20</v>
      </c>
      <c r="B29" s="20" t="s">
        <v>21</v>
      </c>
      <c r="C29" s="20">
        <v>1</v>
      </c>
      <c r="D29" s="21">
        <v>1</v>
      </c>
      <c r="E29" s="45">
        <f>D29*C29</f>
        <v>1</v>
      </c>
      <c r="F29" s="12"/>
      <c r="G29" s="11"/>
      <c r="H29" s="4"/>
    </row>
    <row r="30" spans="1:12">
      <c r="A30" s="20" t="s">
        <v>20</v>
      </c>
      <c r="B30" s="20" t="s">
        <v>21</v>
      </c>
      <c r="C30" s="20">
        <v>1</v>
      </c>
      <c r="D30" s="21">
        <v>1</v>
      </c>
      <c r="E30" s="45">
        <f>D30*C30</f>
        <v>1</v>
      </c>
      <c r="F30" s="12"/>
      <c r="G30" s="11"/>
      <c r="H30" s="4"/>
    </row>
    <row r="31" spans="1:12">
      <c r="A31" s="20" t="s">
        <v>20</v>
      </c>
      <c r="B31" s="20" t="s">
        <v>21</v>
      </c>
      <c r="C31" s="20">
        <v>1</v>
      </c>
      <c r="D31" s="21">
        <v>1</v>
      </c>
      <c r="E31" s="45">
        <f>D31*C31</f>
        <v>1</v>
      </c>
      <c r="F31" s="12"/>
      <c r="G31" s="11"/>
      <c r="H31" s="4"/>
    </row>
    <row r="32" spans="1:12">
      <c r="A32" s="20"/>
      <c r="B32" s="20"/>
      <c r="C32" s="20"/>
      <c r="D32" s="21"/>
      <c r="E32" s="45"/>
      <c r="F32" s="15"/>
      <c r="G32" s="11"/>
    </row>
    <row r="33" spans="1:14" ht="10.5">
      <c r="A33" s="17" t="s">
        <v>22</v>
      </c>
      <c r="B33" s="17"/>
      <c r="C33" s="17"/>
      <c r="D33" s="18"/>
      <c r="E33" s="46">
        <f>SUM(E29:E31)</f>
        <v>3</v>
      </c>
      <c r="F33" s="15"/>
      <c r="G33" s="11"/>
    </row>
    <row r="34" spans="1:14" ht="10.5">
      <c r="A34" s="23" t="s">
        <v>23</v>
      </c>
      <c r="B34" s="23"/>
      <c r="C34" s="23"/>
      <c r="D34" s="24"/>
      <c r="E34" s="47">
        <f>SUM(E33+E26+E19)</f>
        <v>12</v>
      </c>
      <c r="F34" s="15"/>
      <c r="G34" s="11"/>
    </row>
    <row r="35" spans="1:14" ht="33.950000000000003" customHeight="1">
      <c r="E35" s="42"/>
    </row>
    <row r="36" spans="1:14" ht="15">
      <c r="A36" s="58" t="s">
        <v>24</v>
      </c>
      <c r="B36" s="58"/>
      <c r="C36" s="58"/>
      <c r="D36" s="58"/>
      <c r="E36" s="58"/>
    </row>
    <row r="37" spans="1:14" s="27" customFormat="1" ht="22.9">
      <c r="A37" s="28" t="s">
        <v>5</v>
      </c>
      <c r="B37" s="28" t="s">
        <v>6</v>
      </c>
      <c r="C37" s="28" t="s">
        <v>7</v>
      </c>
      <c r="D37" s="29" t="s">
        <v>8</v>
      </c>
      <c r="E37" s="43" t="s">
        <v>9</v>
      </c>
      <c r="F37" s="25"/>
      <c r="G37" s="26"/>
      <c r="H37" s="26"/>
    </row>
    <row r="38" spans="1:14" ht="10.5">
      <c r="A38" s="34" t="s">
        <v>25</v>
      </c>
      <c r="B38" s="17"/>
      <c r="C38" s="17"/>
      <c r="D38" s="18"/>
      <c r="E38" s="48"/>
    </row>
    <row r="39" spans="1:14" ht="10.5">
      <c r="A39" s="35" t="s">
        <v>26</v>
      </c>
      <c r="B39" s="17"/>
      <c r="C39" s="17"/>
      <c r="D39" s="18"/>
      <c r="E39" s="48"/>
      <c r="H39" s="4"/>
      <c r="L39" s="7"/>
      <c r="N39" s="7"/>
    </row>
    <row r="40" spans="1:14">
      <c r="A40" s="36" t="s">
        <v>27</v>
      </c>
      <c r="B40" s="20" t="s">
        <v>28</v>
      </c>
      <c r="C40" s="20">
        <v>1</v>
      </c>
      <c r="D40" s="21">
        <v>1</v>
      </c>
      <c r="E40" s="48">
        <f>D40*C40</f>
        <v>1</v>
      </c>
      <c r="F40" s="14" t="e">
        <f>#REF!+#REF!+#REF!+#REF!+#REF!+#REF!+#REF!+#REF!+#REF!+#REF!+#REF!+#REF!+#REF!+#REF!+#REF!+#REF!+#REF!+#REF!+#REF!</f>
        <v>#REF!</v>
      </c>
      <c r="G40" s="11"/>
      <c r="H40" s="10"/>
      <c r="L40" s="7"/>
      <c r="N40" s="7"/>
    </row>
    <row r="41" spans="1:14">
      <c r="A41" s="36" t="s">
        <v>27</v>
      </c>
      <c r="B41" s="20" t="s">
        <v>28</v>
      </c>
      <c r="C41" s="20">
        <v>1</v>
      </c>
      <c r="D41" s="21">
        <v>1</v>
      </c>
      <c r="E41" s="48">
        <f>D41*C41</f>
        <v>1</v>
      </c>
      <c r="F41" s="13" t="e">
        <f>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G41" s="11"/>
      <c r="H41" s="10"/>
      <c r="L41" s="7"/>
      <c r="N41" s="7"/>
    </row>
    <row r="42" spans="1:14">
      <c r="A42" s="36" t="s">
        <v>27</v>
      </c>
      <c r="B42" s="20" t="s">
        <v>28</v>
      </c>
      <c r="C42" s="20">
        <v>1</v>
      </c>
      <c r="D42" s="21">
        <v>1</v>
      </c>
      <c r="E42" s="48">
        <f>D42*C42</f>
        <v>1</v>
      </c>
      <c r="F42" s="12"/>
      <c r="G42" s="11"/>
      <c r="H42" s="10"/>
      <c r="L42" s="7"/>
      <c r="N42" s="7"/>
    </row>
    <row r="43" spans="1:14">
      <c r="A43" s="36" t="s">
        <v>27</v>
      </c>
      <c r="B43" s="20" t="s">
        <v>28</v>
      </c>
      <c r="C43" s="20">
        <v>1</v>
      </c>
      <c r="D43" s="21">
        <v>1</v>
      </c>
      <c r="E43" s="48">
        <f>D43*C43</f>
        <v>1</v>
      </c>
      <c r="F43" s="12"/>
      <c r="G43" s="11"/>
      <c r="H43" s="10"/>
      <c r="L43" s="7"/>
    </row>
    <row r="44" spans="1:14">
      <c r="A44" s="36"/>
      <c r="B44" s="20"/>
      <c r="C44" s="20"/>
      <c r="D44" s="21"/>
      <c r="E44" s="48"/>
      <c r="F44" s="12"/>
      <c r="G44" s="11"/>
    </row>
    <row r="45" spans="1:14">
      <c r="A45" s="36" t="s">
        <v>29</v>
      </c>
      <c r="B45" s="20" t="s">
        <v>28</v>
      </c>
      <c r="C45" s="20">
        <v>1</v>
      </c>
      <c r="D45" s="21">
        <v>1</v>
      </c>
      <c r="E45" s="48">
        <f>D45*C45</f>
        <v>1</v>
      </c>
      <c r="F45" s="12"/>
      <c r="G45" s="11"/>
      <c r="H45" s="4"/>
    </row>
    <row r="46" spans="1:14">
      <c r="A46" s="36"/>
      <c r="B46" s="20"/>
      <c r="C46" s="20"/>
      <c r="D46" s="21"/>
      <c r="E46" s="48"/>
      <c r="F46" s="15"/>
      <c r="G46" s="11"/>
    </row>
    <row r="47" spans="1:14" ht="10.5">
      <c r="A47" s="34" t="s">
        <v>30</v>
      </c>
      <c r="B47" s="17"/>
      <c r="C47" s="17"/>
      <c r="D47" s="18"/>
      <c r="E47" s="49">
        <f>SUM(E40:E45)</f>
        <v>5</v>
      </c>
      <c r="F47" s="15"/>
      <c r="G47" s="11"/>
    </row>
    <row r="48" spans="1:14" ht="10.5">
      <c r="A48" s="34"/>
      <c r="B48" s="17"/>
      <c r="C48" s="17"/>
      <c r="D48" s="18"/>
      <c r="E48" s="49"/>
      <c r="F48" s="15"/>
      <c r="G48" s="11"/>
    </row>
    <row r="49" spans="1:14" ht="10.5">
      <c r="A49" s="34" t="s">
        <v>31</v>
      </c>
      <c r="B49" s="17"/>
      <c r="C49" s="17"/>
      <c r="D49" s="18"/>
      <c r="E49" s="48"/>
    </row>
    <row r="50" spans="1:14">
      <c r="A50" s="36" t="s">
        <v>32</v>
      </c>
      <c r="B50" s="20" t="s">
        <v>28</v>
      </c>
      <c r="C50" s="20">
        <v>1</v>
      </c>
      <c r="D50" s="21">
        <v>1</v>
      </c>
      <c r="E50" s="48">
        <f>D50*C50</f>
        <v>1</v>
      </c>
      <c r="F50" s="12"/>
      <c r="G50" s="11"/>
      <c r="H50" s="10"/>
      <c r="L50" s="7"/>
      <c r="N50" s="7"/>
    </row>
    <row r="51" spans="1:14">
      <c r="A51" s="36" t="s">
        <v>32</v>
      </c>
      <c r="B51" s="20" t="s">
        <v>28</v>
      </c>
      <c r="C51" s="20">
        <v>1</v>
      </c>
      <c r="D51" s="21">
        <v>1</v>
      </c>
      <c r="E51" s="48">
        <f>D51*C51</f>
        <v>1</v>
      </c>
      <c r="F51" s="12"/>
      <c r="G51" s="11"/>
      <c r="H51" s="10"/>
      <c r="L51" s="7"/>
      <c r="N51" s="7"/>
    </row>
    <row r="52" spans="1:14">
      <c r="A52" s="36" t="s">
        <v>32</v>
      </c>
      <c r="B52" s="20" t="s">
        <v>28</v>
      </c>
      <c r="C52" s="20">
        <v>1</v>
      </c>
      <c r="D52" s="21">
        <v>1</v>
      </c>
      <c r="E52" s="48">
        <f>D52*C52</f>
        <v>1</v>
      </c>
      <c r="F52" s="12"/>
      <c r="G52" s="11"/>
      <c r="H52" s="10"/>
    </row>
    <row r="53" spans="1:14">
      <c r="A53" s="36" t="s">
        <v>32</v>
      </c>
      <c r="B53" s="20" t="s">
        <v>28</v>
      </c>
      <c r="C53" s="20">
        <v>1</v>
      </c>
      <c r="D53" s="21">
        <v>1</v>
      </c>
      <c r="E53" s="48">
        <f>D53*C53</f>
        <v>1</v>
      </c>
      <c r="F53" s="12"/>
      <c r="G53" s="11"/>
      <c r="H53" s="10"/>
    </row>
    <row r="54" spans="1:14">
      <c r="A54" s="36" t="s">
        <v>32</v>
      </c>
      <c r="B54" s="20" t="s">
        <v>28</v>
      </c>
      <c r="C54" s="20">
        <v>1</v>
      </c>
      <c r="D54" s="21">
        <v>1</v>
      </c>
      <c r="E54" s="48">
        <f>D54*C54</f>
        <v>1</v>
      </c>
      <c r="F54" s="12"/>
      <c r="G54" s="11"/>
      <c r="H54" s="10"/>
    </row>
    <row r="55" spans="1:14">
      <c r="A55" s="36"/>
      <c r="B55" s="20"/>
      <c r="C55" s="20"/>
      <c r="D55" s="21"/>
      <c r="E55" s="48"/>
      <c r="F55" s="12"/>
      <c r="G55" s="11"/>
      <c r="H55" s="10"/>
    </row>
    <row r="56" spans="1:14" ht="10.5">
      <c r="A56" s="34" t="s">
        <v>33</v>
      </c>
      <c r="B56" s="17"/>
      <c r="C56" s="17"/>
      <c r="D56" s="18"/>
      <c r="E56" s="49">
        <f>SUM(E50:E54)</f>
        <v>5</v>
      </c>
      <c r="F56" s="15"/>
      <c r="G56" s="11"/>
    </row>
    <row r="57" spans="1:14" ht="10.5">
      <c r="A57" s="34"/>
      <c r="B57" s="17"/>
      <c r="C57" s="17"/>
      <c r="D57" s="18"/>
      <c r="E57" s="49"/>
      <c r="F57" s="15"/>
      <c r="G57" s="11"/>
    </row>
    <row r="58" spans="1:14" ht="10.5">
      <c r="A58" s="34" t="s">
        <v>34</v>
      </c>
      <c r="B58" s="17"/>
      <c r="C58" s="17"/>
      <c r="D58" s="18"/>
      <c r="E58" s="48"/>
      <c r="G58" s="11"/>
    </row>
    <row r="59" spans="1:14">
      <c r="A59" s="36" t="s">
        <v>35</v>
      </c>
      <c r="B59" s="20" t="s">
        <v>21</v>
      </c>
      <c r="C59" s="20">
        <v>1</v>
      </c>
      <c r="D59" s="21">
        <v>1</v>
      </c>
      <c r="E59" s="48">
        <f>C59*D59</f>
        <v>1</v>
      </c>
      <c r="G59" s="11"/>
    </row>
    <row r="60" spans="1:14">
      <c r="A60" s="36" t="s">
        <v>35</v>
      </c>
      <c r="B60" s="20" t="s">
        <v>21</v>
      </c>
      <c r="C60" s="20">
        <v>1</v>
      </c>
      <c r="D60" s="21">
        <v>1</v>
      </c>
      <c r="E60" s="48">
        <f>C60*D60</f>
        <v>1</v>
      </c>
      <c r="G60" s="11"/>
    </row>
    <row r="61" spans="1:14">
      <c r="A61" s="36" t="s">
        <v>36</v>
      </c>
      <c r="B61" s="20" t="s">
        <v>21</v>
      </c>
      <c r="C61" s="20">
        <v>1</v>
      </c>
      <c r="D61" s="21">
        <v>1</v>
      </c>
      <c r="E61" s="48">
        <f>C61*D61</f>
        <v>1</v>
      </c>
      <c r="G61" s="11"/>
    </row>
    <row r="62" spans="1:14">
      <c r="A62" s="36" t="s">
        <v>36</v>
      </c>
      <c r="B62" s="20" t="s">
        <v>21</v>
      </c>
      <c r="C62" s="20">
        <v>1</v>
      </c>
      <c r="D62" s="21">
        <v>1</v>
      </c>
      <c r="E62" s="48">
        <f>C62*D62</f>
        <v>1</v>
      </c>
      <c r="G62" s="11"/>
    </row>
    <row r="63" spans="1:14">
      <c r="A63" s="36"/>
      <c r="B63" s="20"/>
      <c r="C63" s="20"/>
      <c r="D63" s="21"/>
      <c r="E63" s="48"/>
      <c r="G63" s="11"/>
    </row>
    <row r="64" spans="1:14" ht="10.5">
      <c r="A64" s="34" t="s">
        <v>37</v>
      </c>
      <c r="B64" s="17"/>
      <c r="C64" s="17"/>
      <c r="D64" s="18"/>
      <c r="E64" s="49">
        <f>SUM(E59:E62)</f>
        <v>4</v>
      </c>
      <c r="G64" s="11"/>
    </row>
    <row r="65" spans="1:7" ht="10.5">
      <c r="A65" s="34"/>
      <c r="B65" s="17"/>
      <c r="C65" s="17"/>
      <c r="D65" s="18"/>
      <c r="E65" s="49"/>
      <c r="F65" s="15"/>
      <c r="G65" s="11"/>
    </row>
    <row r="66" spans="1:7" ht="10.5">
      <c r="A66" s="34" t="s">
        <v>38</v>
      </c>
      <c r="B66" s="17"/>
      <c r="C66" s="17"/>
      <c r="D66" s="18"/>
      <c r="E66" s="48"/>
      <c r="G66" s="11"/>
    </row>
    <row r="67" spans="1:7" ht="10.5">
      <c r="A67" s="35" t="s">
        <v>39</v>
      </c>
      <c r="B67" s="17"/>
      <c r="C67" s="17"/>
      <c r="D67" s="18"/>
      <c r="E67" s="48"/>
      <c r="G67" s="11"/>
    </row>
    <row r="68" spans="1:7">
      <c r="A68" s="36" t="s">
        <v>40</v>
      </c>
      <c r="B68" s="20" t="s">
        <v>21</v>
      </c>
      <c r="C68" s="20">
        <v>1</v>
      </c>
      <c r="D68" s="21">
        <v>1</v>
      </c>
      <c r="E68" s="48">
        <f>D68*C68</f>
        <v>1</v>
      </c>
      <c r="G68" s="11"/>
    </row>
    <row r="69" spans="1:7">
      <c r="A69" s="36" t="s">
        <v>41</v>
      </c>
      <c r="B69" s="20" t="s">
        <v>21</v>
      </c>
      <c r="C69" s="20">
        <v>1</v>
      </c>
      <c r="D69" s="21">
        <v>1</v>
      </c>
      <c r="E69" s="48">
        <f t="shared" ref="E69:E75" si="1">D69*C69</f>
        <v>1</v>
      </c>
      <c r="G69" s="11"/>
    </row>
    <row r="70" spans="1:7">
      <c r="A70" s="36" t="s">
        <v>42</v>
      </c>
      <c r="B70" s="20" t="s">
        <v>21</v>
      </c>
      <c r="C70" s="20">
        <v>1</v>
      </c>
      <c r="D70" s="21">
        <v>1</v>
      </c>
      <c r="E70" s="48">
        <f t="shared" si="1"/>
        <v>1</v>
      </c>
      <c r="G70" s="11"/>
    </row>
    <row r="71" spans="1:7">
      <c r="A71" s="36" t="s">
        <v>43</v>
      </c>
      <c r="B71" s="20" t="s">
        <v>21</v>
      </c>
      <c r="C71" s="20">
        <v>1</v>
      </c>
      <c r="D71" s="21">
        <v>1</v>
      </c>
      <c r="E71" s="48">
        <f t="shared" si="1"/>
        <v>1</v>
      </c>
      <c r="G71" s="11"/>
    </row>
    <row r="72" spans="1:7">
      <c r="A72" s="36" t="s">
        <v>44</v>
      </c>
      <c r="B72" s="20" t="s">
        <v>21</v>
      </c>
      <c r="C72" s="20">
        <v>1</v>
      </c>
      <c r="D72" s="21">
        <v>1</v>
      </c>
      <c r="E72" s="48">
        <f t="shared" si="1"/>
        <v>1</v>
      </c>
      <c r="G72" s="11"/>
    </row>
    <row r="73" spans="1:7">
      <c r="A73" s="36" t="s">
        <v>45</v>
      </c>
      <c r="B73" s="20" t="s">
        <v>21</v>
      </c>
      <c r="C73" s="20">
        <v>1</v>
      </c>
      <c r="D73" s="21">
        <v>1</v>
      </c>
      <c r="E73" s="48">
        <f t="shared" si="1"/>
        <v>1</v>
      </c>
      <c r="G73" s="11"/>
    </row>
    <row r="74" spans="1:7">
      <c r="A74" s="36" t="s">
        <v>46</v>
      </c>
      <c r="B74" s="20" t="s">
        <v>21</v>
      </c>
      <c r="C74" s="20">
        <v>1</v>
      </c>
      <c r="D74" s="21">
        <v>1</v>
      </c>
      <c r="E74" s="48">
        <f t="shared" si="1"/>
        <v>1</v>
      </c>
      <c r="G74" s="11"/>
    </row>
    <row r="75" spans="1:7">
      <c r="A75" s="36" t="s">
        <v>47</v>
      </c>
      <c r="B75" s="20" t="s">
        <v>21</v>
      </c>
      <c r="C75" s="20">
        <v>1</v>
      </c>
      <c r="D75" s="21">
        <v>1</v>
      </c>
      <c r="E75" s="48">
        <f t="shared" si="1"/>
        <v>1</v>
      </c>
      <c r="G75" s="11"/>
    </row>
    <row r="76" spans="1:7" ht="10.5">
      <c r="A76" s="34"/>
      <c r="B76" s="17"/>
      <c r="C76" s="17"/>
      <c r="D76" s="18"/>
      <c r="E76" s="48"/>
      <c r="G76" s="11"/>
    </row>
    <row r="77" spans="1:7" ht="10.5">
      <c r="A77" s="35" t="s">
        <v>48</v>
      </c>
      <c r="B77" s="17"/>
      <c r="C77" s="17"/>
      <c r="D77" s="18"/>
      <c r="E77" s="48"/>
      <c r="G77" s="11"/>
    </row>
    <row r="78" spans="1:7">
      <c r="A78" s="36" t="s">
        <v>40</v>
      </c>
      <c r="B78" s="20" t="s">
        <v>21</v>
      </c>
      <c r="C78" s="20">
        <v>1</v>
      </c>
      <c r="D78" s="21">
        <v>1</v>
      </c>
      <c r="E78" s="48">
        <f>D78*C78</f>
        <v>1</v>
      </c>
      <c r="G78" s="11"/>
    </row>
    <row r="79" spans="1:7">
      <c r="A79" s="36" t="s">
        <v>41</v>
      </c>
      <c r="B79" s="20" t="s">
        <v>21</v>
      </c>
      <c r="C79" s="20">
        <v>1</v>
      </c>
      <c r="D79" s="21">
        <v>1</v>
      </c>
      <c r="E79" s="48">
        <f t="shared" ref="E79:E84" si="2">D79*C79</f>
        <v>1</v>
      </c>
      <c r="G79" s="11"/>
    </row>
    <row r="80" spans="1:7">
      <c r="A80" s="36" t="s">
        <v>42</v>
      </c>
      <c r="B80" s="20" t="s">
        <v>21</v>
      </c>
      <c r="C80" s="20">
        <v>1</v>
      </c>
      <c r="D80" s="21">
        <v>1</v>
      </c>
      <c r="E80" s="48">
        <f t="shared" si="2"/>
        <v>1</v>
      </c>
      <c r="G80" s="11"/>
    </row>
    <row r="81" spans="1:7">
      <c r="A81" s="36" t="s">
        <v>43</v>
      </c>
      <c r="B81" s="20" t="s">
        <v>21</v>
      </c>
      <c r="C81" s="20">
        <v>1</v>
      </c>
      <c r="D81" s="21">
        <v>1</v>
      </c>
      <c r="E81" s="48">
        <f t="shared" si="2"/>
        <v>1</v>
      </c>
      <c r="G81" s="11"/>
    </row>
    <row r="82" spans="1:7">
      <c r="A82" s="36" t="s">
        <v>44</v>
      </c>
      <c r="B82" s="20" t="s">
        <v>21</v>
      </c>
      <c r="C82" s="20">
        <v>1</v>
      </c>
      <c r="D82" s="21">
        <v>1</v>
      </c>
      <c r="E82" s="48">
        <f t="shared" si="2"/>
        <v>1</v>
      </c>
      <c r="G82" s="11"/>
    </row>
    <row r="83" spans="1:7">
      <c r="A83" s="36" t="s">
        <v>45</v>
      </c>
      <c r="B83" s="20" t="s">
        <v>21</v>
      </c>
      <c r="C83" s="20">
        <v>1</v>
      </c>
      <c r="D83" s="21">
        <v>1</v>
      </c>
      <c r="E83" s="48">
        <f t="shared" si="2"/>
        <v>1</v>
      </c>
      <c r="G83" s="11"/>
    </row>
    <row r="84" spans="1:7">
      <c r="A84" s="36" t="s">
        <v>46</v>
      </c>
      <c r="B84" s="20" t="s">
        <v>21</v>
      </c>
      <c r="C84" s="20">
        <v>1</v>
      </c>
      <c r="D84" s="21">
        <v>1</v>
      </c>
      <c r="E84" s="48">
        <f t="shared" si="2"/>
        <v>1</v>
      </c>
      <c r="G84" s="11"/>
    </row>
    <row r="85" spans="1:7">
      <c r="A85" s="36" t="s">
        <v>47</v>
      </c>
      <c r="B85" s="20" t="s">
        <v>21</v>
      </c>
      <c r="C85" s="20">
        <v>1</v>
      </c>
      <c r="D85" s="21">
        <v>1</v>
      </c>
      <c r="E85" s="48">
        <f>D85*C85</f>
        <v>1</v>
      </c>
      <c r="G85" s="11"/>
    </row>
    <row r="86" spans="1:7">
      <c r="A86" s="36"/>
      <c r="B86" s="20"/>
      <c r="C86" s="20"/>
      <c r="D86" s="21"/>
      <c r="E86" s="48"/>
      <c r="G86" s="11"/>
    </row>
    <row r="87" spans="1:7" ht="10.5">
      <c r="A87" s="34" t="s">
        <v>49</v>
      </c>
      <c r="B87" s="17"/>
      <c r="C87" s="17"/>
      <c r="D87" s="18"/>
      <c r="E87" s="49">
        <f>SUM(E68:E85)</f>
        <v>16</v>
      </c>
      <c r="G87" s="11"/>
    </row>
    <row r="88" spans="1:7" ht="10.5">
      <c r="A88" s="34"/>
      <c r="B88" s="17"/>
      <c r="C88" s="17"/>
      <c r="D88" s="18"/>
      <c r="E88" s="49"/>
      <c r="G88" s="11"/>
    </row>
    <row r="89" spans="1:7" ht="10.5">
      <c r="A89" s="34" t="s">
        <v>50</v>
      </c>
      <c r="B89" s="17"/>
      <c r="C89" s="17"/>
      <c r="D89" s="18"/>
      <c r="E89" s="48"/>
      <c r="G89" s="11"/>
    </row>
    <row r="90" spans="1:7" ht="10.5">
      <c r="A90" s="35" t="s">
        <v>51</v>
      </c>
      <c r="B90" s="17"/>
      <c r="C90" s="17"/>
      <c r="D90" s="18"/>
      <c r="E90" s="48"/>
      <c r="G90" s="11"/>
    </row>
    <row r="91" spans="1:7">
      <c r="A91" s="36" t="s">
        <v>52</v>
      </c>
      <c r="B91" s="20" t="s">
        <v>21</v>
      </c>
      <c r="C91" s="20">
        <v>1</v>
      </c>
      <c r="D91" s="21">
        <v>1</v>
      </c>
      <c r="E91" s="48">
        <f t="shared" ref="E91:E96" si="3">D91*C91</f>
        <v>1</v>
      </c>
      <c r="G91" s="11"/>
    </row>
    <row r="92" spans="1:7">
      <c r="A92" s="36" t="s">
        <v>53</v>
      </c>
      <c r="B92" s="20" t="s">
        <v>21</v>
      </c>
      <c r="C92" s="20">
        <v>1</v>
      </c>
      <c r="D92" s="21">
        <v>1</v>
      </c>
      <c r="E92" s="48">
        <f t="shared" si="3"/>
        <v>1</v>
      </c>
      <c r="G92" s="11"/>
    </row>
    <row r="93" spans="1:7">
      <c r="A93" s="36" t="s">
        <v>54</v>
      </c>
      <c r="B93" s="20" t="s">
        <v>21</v>
      </c>
      <c r="C93" s="20">
        <v>1</v>
      </c>
      <c r="D93" s="21">
        <v>1</v>
      </c>
      <c r="E93" s="48">
        <f t="shared" si="3"/>
        <v>1</v>
      </c>
      <c r="G93" s="11"/>
    </row>
    <row r="94" spans="1:7">
      <c r="A94" s="36" t="s">
        <v>55</v>
      </c>
      <c r="B94" s="20" t="s">
        <v>21</v>
      </c>
      <c r="C94" s="20">
        <v>1</v>
      </c>
      <c r="D94" s="21">
        <v>1</v>
      </c>
      <c r="E94" s="48">
        <f t="shared" si="3"/>
        <v>1</v>
      </c>
      <c r="G94" s="11"/>
    </row>
    <row r="95" spans="1:7">
      <c r="A95" s="36" t="s">
        <v>56</v>
      </c>
      <c r="B95" s="20" t="s">
        <v>21</v>
      </c>
      <c r="C95" s="20">
        <v>1</v>
      </c>
      <c r="D95" s="21">
        <v>1</v>
      </c>
      <c r="E95" s="48">
        <f t="shared" si="3"/>
        <v>1</v>
      </c>
      <c r="G95" s="11"/>
    </row>
    <row r="96" spans="1:7">
      <c r="A96" s="36" t="s">
        <v>57</v>
      </c>
      <c r="B96" s="20" t="s">
        <v>21</v>
      </c>
      <c r="C96" s="20">
        <v>1</v>
      </c>
      <c r="D96" s="21">
        <v>1</v>
      </c>
      <c r="E96" s="48">
        <f t="shared" si="3"/>
        <v>1</v>
      </c>
      <c r="G96" s="11"/>
    </row>
    <row r="97" spans="1:7">
      <c r="A97" s="36"/>
      <c r="B97" s="20"/>
      <c r="C97" s="20"/>
      <c r="D97" s="21"/>
      <c r="E97" s="48"/>
      <c r="G97" s="11"/>
    </row>
    <row r="98" spans="1:7">
      <c r="A98" s="35" t="s">
        <v>58</v>
      </c>
      <c r="B98" s="20"/>
      <c r="C98" s="20"/>
      <c r="D98" s="21"/>
      <c r="E98" s="48"/>
      <c r="G98" s="11"/>
    </row>
    <row r="99" spans="1:7">
      <c r="A99" s="36" t="s">
        <v>59</v>
      </c>
      <c r="B99" s="20" t="s">
        <v>21</v>
      </c>
      <c r="C99" s="20">
        <v>1</v>
      </c>
      <c r="D99" s="21">
        <v>1</v>
      </c>
      <c r="E99" s="48">
        <f t="shared" ref="E99:E107" si="4">D99*C99</f>
        <v>1</v>
      </c>
      <c r="G99" s="11"/>
    </row>
    <row r="100" spans="1:7">
      <c r="A100" s="36" t="s">
        <v>59</v>
      </c>
      <c r="B100" s="20" t="s">
        <v>21</v>
      </c>
      <c r="C100" s="20">
        <v>1</v>
      </c>
      <c r="D100" s="21">
        <v>1</v>
      </c>
      <c r="E100" s="48">
        <f t="shared" si="4"/>
        <v>1</v>
      </c>
      <c r="G100" s="11"/>
    </row>
    <row r="101" spans="1:7">
      <c r="A101" s="36" t="s">
        <v>59</v>
      </c>
      <c r="B101" s="20" t="s">
        <v>21</v>
      </c>
      <c r="C101" s="20">
        <v>1</v>
      </c>
      <c r="D101" s="21">
        <v>1</v>
      </c>
      <c r="E101" s="48">
        <f t="shared" si="4"/>
        <v>1</v>
      </c>
      <c r="G101" s="11"/>
    </row>
    <row r="102" spans="1:7">
      <c r="A102" s="36" t="s">
        <v>59</v>
      </c>
      <c r="B102" s="20" t="s">
        <v>21</v>
      </c>
      <c r="C102" s="20">
        <v>1</v>
      </c>
      <c r="D102" s="21">
        <v>1</v>
      </c>
      <c r="E102" s="48">
        <f t="shared" si="4"/>
        <v>1</v>
      </c>
      <c r="G102" s="11"/>
    </row>
    <row r="103" spans="1:7">
      <c r="A103" s="36" t="s">
        <v>59</v>
      </c>
      <c r="B103" s="20" t="s">
        <v>21</v>
      </c>
      <c r="C103" s="20">
        <v>1</v>
      </c>
      <c r="D103" s="21">
        <v>1</v>
      </c>
      <c r="E103" s="48">
        <f>D103*C103</f>
        <v>1</v>
      </c>
      <c r="G103" s="11"/>
    </row>
    <row r="104" spans="1:7">
      <c r="A104" s="36"/>
      <c r="B104" s="20"/>
      <c r="C104" s="20"/>
      <c r="D104" s="21"/>
      <c r="E104" s="48"/>
      <c r="G104" s="11"/>
    </row>
    <row r="105" spans="1:7">
      <c r="A105" s="35" t="s">
        <v>60</v>
      </c>
      <c r="B105" s="20"/>
      <c r="C105" s="20"/>
      <c r="D105" s="21"/>
      <c r="E105" s="48"/>
      <c r="G105" s="11"/>
    </row>
    <row r="106" spans="1:7">
      <c r="A106" s="36" t="s">
        <v>61</v>
      </c>
      <c r="B106" s="20" t="s">
        <v>21</v>
      </c>
      <c r="C106" s="20">
        <v>1</v>
      </c>
      <c r="D106" s="21">
        <v>1</v>
      </c>
      <c r="E106" s="48">
        <f>D106*C106</f>
        <v>1</v>
      </c>
      <c r="G106" s="11"/>
    </row>
    <row r="107" spans="1:7">
      <c r="A107" s="36" t="s">
        <v>62</v>
      </c>
      <c r="B107" s="20" t="s">
        <v>21</v>
      </c>
      <c r="C107" s="20">
        <v>1</v>
      </c>
      <c r="D107" s="21">
        <v>1</v>
      </c>
      <c r="E107" s="48">
        <f t="shared" si="4"/>
        <v>1</v>
      </c>
      <c r="G107" s="11"/>
    </row>
    <row r="108" spans="1:7">
      <c r="A108" s="36"/>
      <c r="B108" s="20"/>
      <c r="C108" s="20"/>
      <c r="D108" s="21"/>
      <c r="E108" s="48"/>
      <c r="G108" s="11"/>
    </row>
    <row r="109" spans="1:7" ht="10.5">
      <c r="A109" s="34" t="s">
        <v>63</v>
      </c>
      <c r="B109" s="17"/>
      <c r="C109" s="17"/>
      <c r="D109" s="18"/>
      <c r="E109" s="49">
        <f>SUM(E91:E107)</f>
        <v>13</v>
      </c>
      <c r="G109" s="11"/>
    </row>
    <row r="110" spans="1:7" ht="10.5">
      <c r="A110" s="34"/>
      <c r="B110" s="17"/>
      <c r="C110" s="17"/>
      <c r="D110" s="18"/>
      <c r="E110" s="49"/>
      <c r="G110" s="11"/>
    </row>
    <row r="111" spans="1:7" ht="10.5">
      <c r="A111" s="34" t="s">
        <v>64</v>
      </c>
      <c r="B111" s="17"/>
      <c r="C111" s="17"/>
      <c r="D111" s="18"/>
      <c r="E111" s="48"/>
      <c r="G111" s="11"/>
    </row>
    <row r="112" spans="1:7">
      <c r="A112" s="36" t="s">
        <v>65</v>
      </c>
      <c r="B112" s="20" t="s">
        <v>21</v>
      </c>
      <c r="C112" s="20">
        <v>1</v>
      </c>
      <c r="D112" s="21">
        <v>1</v>
      </c>
      <c r="E112" s="48">
        <f>D112*C112</f>
        <v>1</v>
      </c>
      <c r="G112" s="11"/>
    </row>
    <row r="113" spans="1:7">
      <c r="A113" s="36" t="s">
        <v>66</v>
      </c>
      <c r="B113" s="20" t="s">
        <v>21</v>
      </c>
      <c r="C113" s="20">
        <v>1</v>
      </c>
      <c r="D113" s="21">
        <v>1</v>
      </c>
      <c r="E113" s="48">
        <f t="shared" ref="E113:E118" si="5">D113*C113</f>
        <v>1</v>
      </c>
      <c r="G113" s="11"/>
    </row>
    <row r="114" spans="1:7">
      <c r="A114" s="36" t="s">
        <v>67</v>
      </c>
      <c r="B114" s="20" t="s">
        <v>21</v>
      </c>
      <c r="C114" s="20">
        <v>1</v>
      </c>
      <c r="D114" s="21">
        <v>1</v>
      </c>
      <c r="E114" s="48">
        <f t="shared" si="5"/>
        <v>1</v>
      </c>
      <c r="G114" s="11"/>
    </row>
    <row r="115" spans="1:7">
      <c r="A115" s="36" t="s">
        <v>68</v>
      </c>
      <c r="B115" s="20" t="s">
        <v>21</v>
      </c>
      <c r="C115" s="20">
        <v>1</v>
      </c>
      <c r="D115" s="21">
        <v>1</v>
      </c>
      <c r="E115" s="48">
        <f t="shared" si="5"/>
        <v>1</v>
      </c>
      <c r="G115" s="11"/>
    </row>
    <row r="116" spans="1:7">
      <c r="A116" s="36" t="s">
        <v>69</v>
      </c>
      <c r="B116" s="20" t="s">
        <v>21</v>
      </c>
      <c r="C116" s="20">
        <v>1</v>
      </c>
      <c r="D116" s="21">
        <v>1</v>
      </c>
      <c r="E116" s="48">
        <f t="shared" si="5"/>
        <v>1</v>
      </c>
      <c r="G116" s="11"/>
    </row>
    <row r="117" spans="1:7">
      <c r="A117" s="36" t="s">
        <v>70</v>
      </c>
      <c r="B117" s="20" t="s">
        <v>21</v>
      </c>
      <c r="C117" s="20">
        <v>1</v>
      </c>
      <c r="D117" s="21">
        <v>1</v>
      </c>
      <c r="E117" s="48">
        <f t="shared" si="5"/>
        <v>1</v>
      </c>
      <c r="F117" s="6"/>
      <c r="G117" s="11"/>
    </row>
    <row r="118" spans="1:7">
      <c r="A118" s="36" t="s">
        <v>71</v>
      </c>
      <c r="B118" s="20" t="s">
        <v>21</v>
      </c>
      <c r="C118" s="20">
        <v>1</v>
      </c>
      <c r="D118" s="21">
        <v>1</v>
      </c>
      <c r="E118" s="48">
        <f t="shared" si="5"/>
        <v>1</v>
      </c>
      <c r="F118" s="6"/>
      <c r="G118" s="11"/>
    </row>
    <row r="119" spans="1:7">
      <c r="A119" s="36"/>
      <c r="B119" s="20"/>
      <c r="C119" s="20"/>
      <c r="D119" s="21"/>
      <c r="E119" s="50"/>
      <c r="F119" s="6"/>
      <c r="G119" s="11"/>
    </row>
    <row r="120" spans="1:7" ht="10.5">
      <c r="A120" s="34" t="s">
        <v>72</v>
      </c>
      <c r="B120" s="17"/>
      <c r="C120" s="17"/>
      <c r="D120" s="18"/>
      <c r="E120" s="49">
        <f>SUM(E112:E118)</f>
        <v>7</v>
      </c>
      <c r="G120" s="11"/>
    </row>
    <row r="121" spans="1:7">
      <c r="A121" s="36"/>
      <c r="B121" s="20"/>
      <c r="C121" s="20"/>
      <c r="D121" s="21"/>
      <c r="E121" s="50"/>
      <c r="F121" s="6"/>
      <c r="G121" s="11"/>
    </row>
    <row r="122" spans="1:7" ht="10.5">
      <c r="A122" s="34" t="s">
        <v>73</v>
      </c>
      <c r="B122" s="20"/>
      <c r="C122" s="20"/>
      <c r="D122" s="21"/>
      <c r="E122" s="50"/>
      <c r="F122" s="6"/>
      <c r="G122" s="11"/>
    </row>
    <row r="123" spans="1:7">
      <c r="A123" s="35" t="s">
        <v>74</v>
      </c>
      <c r="B123" s="20"/>
      <c r="C123" s="20"/>
      <c r="D123" s="21"/>
      <c r="E123" s="50"/>
      <c r="F123" s="6"/>
      <c r="G123" s="11"/>
    </row>
    <row r="124" spans="1:7">
      <c r="A124" s="36" t="s">
        <v>75</v>
      </c>
      <c r="B124" s="20" t="s">
        <v>21</v>
      </c>
      <c r="C124" s="20">
        <v>1</v>
      </c>
      <c r="D124" s="21">
        <v>1</v>
      </c>
      <c r="E124" s="48">
        <f>D124*C124</f>
        <v>1</v>
      </c>
      <c r="F124" s="6"/>
      <c r="G124" s="11"/>
    </row>
    <row r="125" spans="1:7">
      <c r="A125" s="36" t="s">
        <v>76</v>
      </c>
      <c r="B125" s="20" t="s">
        <v>21</v>
      </c>
      <c r="C125" s="20">
        <v>1</v>
      </c>
      <c r="D125" s="21">
        <v>1</v>
      </c>
      <c r="E125" s="48">
        <f>D125*C125</f>
        <v>1</v>
      </c>
      <c r="F125" s="6"/>
      <c r="G125" s="11"/>
    </row>
    <row r="126" spans="1:7" ht="10.5">
      <c r="A126" s="34"/>
      <c r="B126" s="20"/>
      <c r="C126" s="20"/>
      <c r="D126" s="21"/>
      <c r="E126" s="50"/>
      <c r="F126" s="6"/>
      <c r="G126" s="11"/>
    </row>
    <row r="127" spans="1:7">
      <c r="A127" s="35" t="s">
        <v>77</v>
      </c>
      <c r="B127" s="20"/>
      <c r="C127" s="20"/>
      <c r="D127" s="21"/>
      <c r="E127" s="50"/>
      <c r="F127" s="6"/>
      <c r="G127" s="11"/>
    </row>
    <row r="128" spans="1:7">
      <c r="A128" s="36" t="s">
        <v>78</v>
      </c>
      <c r="B128" s="20" t="s">
        <v>21</v>
      </c>
      <c r="C128" s="20">
        <v>1</v>
      </c>
      <c r="D128" s="21">
        <v>1</v>
      </c>
      <c r="E128" s="48">
        <f t="shared" ref="E128:E133" si="6">D128*C128</f>
        <v>1</v>
      </c>
      <c r="F128" s="6"/>
      <c r="G128" s="11"/>
    </row>
    <row r="129" spans="1:7">
      <c r="A129" s="36" t="s">
        <v>78</v>
      </c>
      <c r="B129" s="20" t="s">
        <v>21</v>
      </c>
      <c r="C129" s="20">
        <v>1</v>
      </c>
      <c r="D129" s="21">
        <v>1</v>
      </c>
      <c r="E129" s="48">
        <f t="shared" si="6"/>
        <v>1</v>
      </c>
      <c r="F129" s="6"/>
      <c r="G129" s="11"/>
    </row>
    <row r="130" spans="1:7">
      <c r="A130" s="36" t="s">
        <v>78</v>
      </c>
      <c r="B130" s="20" t="s">
        <v>21</v>
      </c>
      <c r="C130" s="20">
        <v>1</v>
      </c>
      <c r="D130" s="21">
        <v>1</v>
      </c>
      <c r="E130" s="48">
        <f t="shared" si="6"/>
        <v>1</v>
      </c>
      <c r="F130" s="6"/>
      <c r="G130" s="11"/>
    </row>
    <row r="131" spans="1:7">
      <c r="A131" s="36" t="s">
        <v>78</v>
      </c>
      <c r="B131" s="20" t="s">
        <v>21</v>
      </c>
      <c r="C131" s="20">
        <v>1</v>
      </c>
      <c r="D131" s="21">
        <v>1</v>
      </c>
      <c r="E131" s="48">
        <f t="shared" si="6"/>
        <v>1</v>
      </c>
      <c r="F131" s="6"/>
      <c r="G131" s="11"/>
    </row>
    <row r="132" spans="1:7">
      <c r="A132" s="36" t="s">
        <v>78</v>
      </c>
      <c r="B132" s="20" t="s">
        <v>21</v>
      </c>
      <c r="C132" s="20">
        <v>1</v>
      </c>
      <c r="D132" s="21">
        <v>1</v>
      </c>
      <c r="E132" s="48">
        <f t="shared" si="6"/>
        <v>1</v>
      </c>
      <c r="F132" s="6"/>
      <c r="G132" s="11"/>
    </row>
    <row r="133" spans="1:7">
      <c r="A133" s="36" t="s">
        <v>78</v>
      </c>
      <c r="B133" s="20" t="s">
        <v>21</v>
      </c>
      <c r="C133" s="20">
        <v>1</v>
      </c>
      <c r="D133" s="21">
        <v>1</v>
      </c>
      <c r="E133" s="48">
        <f t="shared" si="6"/>
        <v>1</v>
      </c>
      <c r="F133" s="6"/>
      <c r="G133" s="11"/>
    </row>
    <row r="134" spans="1:7">
      <c r="A134" s="36"/>
      <c r="B134" s="20"/>
      <c r="C134" s="20"/>
      <c r="D134" s="21"/>
      <c r="E134" s="50"/>
      <c r="F134" s="6"/>
      <c r="G134" s="11"/>
    </row>
    <row r="135" spans="1:7">
      <c r="A135" s="35" t="s">
        <v>79</v>
      </c>
      <c r="B135" s="20"/>
      <c r="C135" s="20"/>
      <c r="D135" s="21"/>
      <c r="E135" s="50"/>
      <c r="F135" s="6"/>
      <c r="G135" s="11"/>
    </row>
    <row r="136" spans="1:7">
      <c r="A136" s="36" t="s">
        <v>80</v>
      </c>
      <c r="B136" s="20" t="s">
        <v>21</v>
      </c>
      <c r="C136" s="20">
        <v>1</v>
      </c>
      <c r="D136" s="21">
        <v>1</v>
      </c>
      <c r="E136" s="48">
        <f>D136*C136</f>
        <v>1</v>
      </c>
      <c r="F136" s="6"/>
      <c r="G136" s="11"/>
    </row>
    <row r="137" spans="1:7">
      <c r="A137" s="36" t="s">
        <v>81</v>
      </c>
      <c r="B137" s="20" t="s">
        <v>21</v>
      </c>
      <c r="C137" s="20">
        <v>1</v>
      </c>
      <c r="D137" s="21">
        <v>1</v>
      </c>
      <c r="E137" s="48">
        <f>D137*C137</f>
        <v>1</v>
      </c>
      <c r="F137" s="6"/>
      <c r="G137" s="11"/>
    </row>
    <row r="138" spans="1:7">
      <c r="A138" s="36"/>
      <c r="B138" s="20"/>
      <c r="C138" s="20"/>
      <c r="D138" s="21"/>
      <c r="E138" s="50"/>
      <c r="F138" s="6"/>
      <c r="G138" s="11"/>
    </row>
    <row r="139" spans="1:7">
      <c r="A139" s="35" t="s">
        <v>82</v>
      </c>
      <c r="B139" s="20"/>
      <c r="C139" s="20"/>
      <c r="D139" s="21"/>
      <c r="E139" s="50"/>
      <c r="F139" s="6"/>
      <c r="G139" s="11"/>
    </row>
    <row r="140" spans="1:7">
      <c r="A140" s="36" t="s">
        <v>83</v>
      </c>
      <c r="B140" s="20" t="s">
        <v>21</v>
      </c>
      <c r="C140" s="20">
        <v>1</v>
      </c>
      <c r="D140" s="21">
        <v>1</v>
      </c>
      <c r="E140" s="48">
        <f t="shared" ref="E140:E146" si="7">D140*C140</f>
        <v>1</v>
      </c>
      <c r="F140" s="6"/>
      <c r="G140" s="11"/>
    </row>
    <row r="141" spans="1:7">
      <c r="A141" s="36" t="s">
        <v>83</v>
      </c>
      <c r="B141" s="20" t="s">
        <v>21</v>
      </c>
      <c r="C141" s="20">
        <v>1</v>
      </c>
      <c r="D141" s="21">
        <v>1</v>
      </c>
      <c r="E141" s="48">
        <f t="shared" si="7"/>
        <v>1</v>
      </c>
      <c r="F141" s="6"/>
      <c r="G141" s="11"/>
    </row>
    <row r="142" spans="1:7">
      <c r="A142" s="36" t="s">
        <v>84</v>
      </c>
      <c r="B142" s="20" t="s">
        <v>21</v>
      </c>
      <c r="C142" s="20">
        <v>1</v>
      </c>
      <c r="D142" s="21">
        <v>1</v>
      </c>
      <c r="E142" s="48">
        <f t="shared" si="7"/>
        <v>1</v>
      </c>
      <c r="F142" s="6"/>
      <c r="G142" s="11"/>
    </row>
    <row r="143" spans="1:7">
      <c r="A143" s="36" t="s">
        <v>84</v>
      </c>
      <c r="B143" s="20" t="s">
        <v>21</v>
      </c>
      <c r="C143" s="20">
        <v>1</v>
      </c>
      <c r="D143" s="21">
        <v>1</v>
      </c>
      <c r="E143" s="48">
        <f t="shared" si="7"/>
        <v>1</v>
      </c>
      <c r="F143" s="6"/>
      <c r="G143" s="11"/>
    </row>
    <row r="144" spans="1:7">
      <c r="A144" s="36" t="s">
        <v>85</v>
      </c>
      <c r="B144" s="20" t="s">
        <v>21</v>
      </c>
      <c r="C144" s="20">
        <v>1</v>
      </c>
      <c r="D144" s="21">
        <v>1</v>
      </c>
      <c r="E144" s="48">
        <f t="shared" si="7"/>
        <v>1</v>
      </c>
      <c r="F144" s="6"/>
      <c r="G144" s="11"/>
    </row>
    <row r="145" spans="1:8">
      <c r="A145" s="36" t="s">
        <v>86</v>
      </c>
      <c r="B145" s="20" t="s">
        <v>21</v>
      </c>
      <c r="C145" s="20">
        <v>1</v>
      </c>
      <c r="D145" s="21">
        <v>1</v>
      </c>
      <c r="E145" s="48">
        <f t="shared" si="7"/>
        <v>1</v>
      </c>
      <c r="F145" s="6"/>
      <c r="G145" s="11"/>
    </row>
    <row r="146" spans="1:8">
      <c r="A146" s="36" t="s">
        <v>87</v>
      </c>
      <c r="B146" s="20" t="s">
        <v>21</v>
      </c>
      <c r="C146" s="20">
        <v>1</v>
      </c>
      <c r="D146" s="21">
        <v>1</v>
      </c>
      <c r="E146" s="48">
        <f t="shared" si="7"/>
        <v>1</v>
      </c>
      <c r="F146" s="6"/>
      <c r="G146" s="11"/>
    </row>
    <row r="147" spans="1:8">
      <c r="A147" s="36"/>
      <c r="B147" s="20"/>
      <c r="C147" s="20"/>
      <c r="D147" s="21"/>
      <c r="E147" s="50"/>
      <c r="F147" s="6"/>
      <c r="G147" s="11"/>
    </row>
    <row r="148" spans="1:8">
      <c r="A148" s="35" t="s">
        <v>88</v>
      </c>
      <c r="B148" s="20"/>
      <c r="C148" s="20"/>
      <c r="D148" s="21"/>
      <c r="E148" s="50"/>
      <c r="F148" s="6"/>
      <c r="G148" s="11"/>
    </row>
    <row r="149" spans="1:8">
      <c r="A149" s="36" t="s">
        <v>89</v>
      </c>
      <c r="B149" s="20" t="s">
        <v>21</v>
      </c>
      <c r="C149" s="20">
        <v>1</v>
      </c>
      <c r="D149" s="21">
        <v>1</v>
      </c>
      <c r="E149" s="48">
        <f>D149*C149</f>
        <v>1</v>
      </c>
      <c r="F149" s="6"/>
      <c r="G149" s="11"/>
    </row>
    <row r="150" spans="1:8">
      <c r="A150" s="36" t="s">
        <v>90</v>
      </c>
      <c r="B150" s="20" t="s">
        <v>21</v>
      </c>
      <c r="C150" s="20">
        <v>1</v>
      </c>
      <c r="D150" s="21">
        <v>1</v>
      </c>
      <c r="E150" s="48">
        <f>D150*C150</f>
        <v>1</v>
      </c>
      <c r="F150" s="6"/>
      <c r="G150" s="11"/>
    </row>
    <row r="151" spans="1:8">
      <c r="A151" s="36" t="s">
        <v>91</v>
      </c>
      <c r="B151" s="20" t="s">
        <v>21</v>
      </c>
      <c r="C151" s="20">
        <v>1</v>
      </c>
      <c r="D151" s="21">
        <v>1</v>
      </c>
      <c r="E151" s="48">
        <f>D151*C151</f>
        <v>1</v>
      </c>
      <c r="F151" s="6"/>
      <c r="G151" s="11"/>
    </row>
    <row r="152" spans="1:8">
      <c r="A152" s="36"/>
      <c r="B152" s="20"/>
      <c r="C152" s="20"/>
      <c r="D152" s="21"/>
      <c r="E152" s="50"/>
      <c r="F152" s="6"/>
      <c r="G152" s="11"/>
    </row>
    <row r="153" spans="1:8">
      <c r="A153" s="35" t="s">
        <v>92</v>
      </c>
      <c r="B153" s="20"/>
      <c r="C153" s="20"/>
      <c r="D153" s="21"/>
      <c r="E153" s="50"/>
      <c r="F153" s="6"/>
      <c r="G153" s="11"/>
    </row>
    <row r="154" spans="1:8">
      <c r="A154" s="36" t="s">
        <v>93</v>
      </c>
      <c r="B154" s="20" t="s">
        <v>21</v>
      </c>
      <c r="C154" s="20">
        <v>1</v>
      </c>
      <c r="D154" s="21">
        <v>1</v>
      </c>
      <c r="E154" s="48">
        <f>D154*C154</f>
        <v>1</v>
      </c>
      <c r="F154" s="9"/>
      <c r="G154" s="11"/>
      <c r="H154" s="4"/>
    </row>
    <row r="155" spans="1:8">
      <c r="A155" s="36" t="s">
        <v>94</v>
      </c>
      <c r="B155" s="20" t="s">
        <v>21</v>
      </c>
      <c r="C155" s="20">
        <v>1</v>
      </c>
      <c r="D155" s="21">
        <v>1</v>
      </c>
      <c r="E155" s="48">
        <f>D155*C155</f>
        <v>1</v>
      </c>
      <c r="F155" s="9"/>
      <c r="G155" s="11"/>
      <c r="H155" s="4"/>
    </row>
    <row r="156" spans="1:8">
      <c r="A156" s="36" t="s">
        <v>95</v>
      </c>
      <c r="B156" s="20" t="s">
        <v>21</v>
      </c>
      <c r="C156" s="20">
        <v>1</v>
      </c>
      <c r="D156" s="21">
        <v>1</v>
      </c>
      <c r="E156" s="48">
        <f>D156*C156</f>
        <v>1</v>
      </c>
      <c r="F156" s="6"/>
      <c r="G156" s="11"/>
    </row>
    <row r="157" spans="1:8">
      <c r="A157" s="36" t="s">
        <v>96</v>
      </c>
      <c r="B157" s="20" t="s">
        <v>21</v>
      </c>
      <c r="C157" s="20">
        <v>1</v>
      </c>
      <c r="D157" s="21">
        <v>1</v>
      </c>
      <c r="E157" s="48">
        <f>D157*C157</f>
        <v>1</v>
      </c>
      <c r="F157" s="6"/>
      <c r="G157" s="11"/>
    </row>
    <row r="158" spans="1:8">
      <c r="A158" s="36"/>
      <c r="B158" s="20"/>
      <c r="C158" s="20"/>
      <c r="D158" s="21"/>
      <c r="E158" s="50"/>
      <c r="F158" s="6"/>
      <c r="G158" s="11"/>
    </row>
    <row r="159" spans="1:8" ht="10.5">
      <c r="A159" s="34" t="s">
        <v>97</v>
      </c>
      <c r="B159" s="17"/>
      <c r="C159" s="17"/>
      <c r="D159" s="18"/>
      <c r="E159" s="49">
        <f>SUM(E124:E157)</f>
        <v>24</v>
      </c>
      <c r="F159" s="16"/>
      <c r="G159" s="11"/>
    </row>
    <row r="160" spans="1:8" ht="10.5">
      <c r="A160" s="34"/>
      <c r="B160" s="17"/>
      <c r="C160" s="17"/>
      <c r="D160" s="18"/>
      <c r="E160" s="51"/>
      <c r="G160" s="11"/>
    </row>
    <row r="161" spans="1:7" ht="10.5">
      <c r="A161" s="41" t="s">
        <v>98</v>
      </c>
      <c r="B161" s="41"/>
      <c r="C161" s="41"/>
      <c r="D161" s="41"/>
      <c r="E161" s="52"/>
      <c r="G161" s="11"/>
    </row>
    <row r="162" spans="1:7">
      <c r="A162" s="37" t="s">
        <v>99</v>
      </c>
      <c r="B162" s="20" t="s">
        <v>21</v>
      </c>
      <c r="C162" s="20">
        <v>1</v>
      </c>
      <c r="D162" s="21">
        <v>1</v>
      </c>
      <c r="E162" s="50">
        <f>D162*C162</f>
        <v>1</v>
      </c>
      <c r="G162" s="11"/>
    </row>
    <row r="163" spans="1:7">
      <c r="A163" s="37" t="s">
        <v>99</v>
      </c>
      <c r="B163" s="20" t="s">
        <v>21</v>
      </c>
      <c r="C163" s="20">
        <v>1</v>
      </c>
      <c r="D163" s="21">
        <v>1</v>
      </c>
      <c r="E163" s="50">
        <f>D163*C163</f>
        <v>1</v>
      </c>
      <c r="G163" s="11"/>
    </row>
    <row r="164" spans="1:7">
      <c r="A164" s="37" t="s">
        <v>99</v>
      </c>
      <c r="B164" s="20" t="s">
        <v>21</v>
      </c>
      <c r="C164" s="20">
        <v>1</v>
      </c>
      <c r="D164" s="21">
        <v>1</v>
      </c>
      <c r="E164" s="50">
        <f>D164*C164</f>
        <v>1</v>
      </c>
      <c r="G164" s="11"/>
    </row>
    <row r="165" spans="1:7">
      <c r="A165" s="36"/>
      <c r="B165" s="20" t="s">
        <v>21</v>
      </c>
      <c r="C165" s="20">
        <v>1</v>
      </c>
      <c r="D165" s="21">
        <v>1</v>
      </c>
      <c r="E165" s="48"/>
      <c r="G165" s="11"/>
    </row>
    <row r="166" spans="1:7" ht="10.5">
      <c r="A166" s="34" t="s">
        <v>100</v>
      </c>
      <c r="B166" s="17"/>
      <c r="C166" s="17"/>
      <c r="D166" s="18"/>
      <c r="E166" s="49">
        <f>SUM(E162:E165)</f>
        <v>3</v>
      </c>
      <c r="G166" s="11"/>
    </row>
    <row r="167" spans="1:7" ht="11.45">
      <c r="A167" s="38" t="s">
        <v>101</v>
      </c>
      <c r="B167" s="17"/>
      <c r="C167" s="17"/>
      <c r="D167" s="18"/>
      <c r="E167" s="49">
        <f>E47+E56+E64+E87+E109+E120+E159+E166</f>
        <v>77</v>
      </c>
      <c r="G167" s="11"/>
    </row>
    <row r="168" spans="1:7" ht="10.5">
      <c r="A168" s="41"/>
      <c r="B168" s="41"/>
      <c r="C168" s="41"/>
      <c r="D168" s="41"/>
      <c r="E168" s="52"/>
      <c r="G168" s="11"/>
    </row>
    <row r="169" spans="1:7" ht="10.5">
      <c r="A169" s="41" t="s">
        <v>102</v>
      </c>
      <c r="B169" s="41"/>
      <c r="C169" s="41"/>
      <c r="D169" s="41"/>
      <c r="E169" s="52"/>
      <c r="G169" s="11"/>
    </row>
    <row r="170" spans="1:7">
      <c r="A170" s="37" t="s">
        <v>103</v>
      </c>
      <c r="B170" s="20" t="s">
        <v>104</v>
      </c>
      <c r="C170" s="20">
        <v>1</v>
      </c>
      <c r="D170" s="33">
        <v>0</v>
      </c>
      <c r="E170" s="50">
        <f>E167*D170</f>
        <v>0</v>
      </c>
      <c r="G170" s="11"/>
    </row>
    <row r="171" spans="1:7">
      <c r="A171" s="36"/>
      <c r="B171" s="20"/>
      <c r="C171" s="20"/>
      <c r="D171" s="21"/>
      <c r="E171" s="48"/>
      <c r="G171" s="11"/>
    </row>
    <row r="172" spans="1:7" ht="10.5">
      <c r="A172" s="34" t="s">
        <v>105</v>
      </c>
      <c r="B172" s="17"/>
      <c r="C172" s="17"/>
      <c r="D172" s="18"/>
      <c r="E172" s="49">
        <f>SUM(E170:E171)</f>
        <v>0</v>
      </c>
      <c r="G172" s="11"/>
    </row>
    <row r="173" spans="1:7">
      <c r="A173" s="39"/>
      <c r="B173" s="20"/>
      <c r="C173" s="20"/>
      <c r="D173" s="21"/>
      <c r="E173" s="48"/>
      <c r="G173" s="11"/>
    </row>
    <row r="174" spans="1:7" ht="10.5">
      <c r="A174" s="41" t="s">
        <v>106</v>
      </c>
      <c r="B174" s="41"/>
      <c r="C174" s="41"/>
      <c r="D174" s="41"/>
      <c r="E174" s="52"/>
      <c r="G174" s="11"/>
    </row>
    <row r="175" spans="1:7">
      <c r="A175" s="37" t="s">
        <v>107</v>
      </c>
      <c r="B175" s="20" t="s">
        <v>104</v>
      </c>
      <c r="C175" s="20">
        <v>1</v>
      </c>
      <c r="D175" s="33">
        <v>0</v>
      </c>
      <c r="E175" s="50">
        <f>E167*D175</f>
        <v>0</v>
      </c>
      <c r="G175" s="11"/>
    </row>
    <row r="176" spans="1:7">
      <c r="A176" s="36"/>
      <c r="B176" s="20"/>
      <c r="C176" s="20"/>
      <c r="D176" s="21"/>
      <c r="E176" s="48"/>
      <c r="G176" s="11"/>
    </row>
    <row r="177" spans="1:7" ht="10.5">
      <c r="A177" s="40" t="s">
        <v>108</v>
      </c>
      <c r="B177" s="23"/>
      <c r="C177" s="23"/>
      <c r="D177" s="24"/>
      <c r="E177" s="53">
        <f>E175+E172+E167</f>
        <v>77</v>
      </c>
      <c r="G177" s="4"/>
    </row>
    <row r="178" spans="1:7">
      <c r="E178" s="42"/>
      <c r="F178" s="7"/>
    </row>
    <row r="179" spans="1:7">
      <c r="E179" s="42"/>
    </row>
    <row r="180" spans="1:7">
      <c r="E180" s="42"/>
      <c r="F180" s="4"/>
    </row>
    <row r="181" spans="1:7">
      <c r="E181" s="42"/>
      <c r="F181" s="7"/>
    </row>
    <row r="182" spans="1:7">
      <c r="A182" s="5"/>
      <c r="B182" s="8"/>
    </row>
    <row r="183" spans="1:7">
      <c r="A183" s="5"/>
      <c r="B183" s="1"/>
      <c r="C183" s="1"/>
      <c r="D183" s="1"/>
    </row>
  </sheetData>
  <mergeCells count="4">
    <mergeCell ref="A8:E8"/>
    <mergeCell ref="A36:E36"/>
    <mergeCell ref="A1:E1"/>
    <mergeCell ref="A2:E2"/>
  </mergeCells>
  <phoneticPr fontId="6" type="noConversion"/>
  <pageMargins left="0.7" right="0.7" top="0.75" bottom="0.75" header="0.3" footer="0.3"/>
  <pageSetup scale="63" fitToWidth="2" fitToHeight="3" orientation="landscape"/>
  <headerFooter alignWithMargins="0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C81B22-C611-4710-8E81-9371EC36BE86}"/>
</file>

<file path=customXml/itemProps2.xml><?xml version="1.0" encoding="utf-8"?>
<ds:datastoreItem xmlns:ds="http://schemas.openxmlformats.org/officeDocument/2006/customXml" ds:itemID="{6247F07A-C535-472F-AD7A-47A70D1E30EE}"/>
</file>

<file path=customXml/itemProps3.xml><?xml version="1.0" encoding="utf-8"?>
<ds:datastoreItem xmlns:ds="http://schemas.openxmlformats.org/officeDocument/2006/customXml" ds:itemID="{72F9BA40-F461-4417-9771-7A89BBE4054D}"/>
</file>

<file path=customXml/itemProps4.xml><?xml version="1.0" encoding="utf-8"?>
<ds:datastoreItem xmlns:ds="http://schemas.openxmlformats.org/officeDocument/2006/customXml" ds:itemID="{4F43F849-8802-4FF1-93E0-1B369E6CF9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Pena</dc:creator>
  <cp:keywords/>
  <dc:description/>
  <cp:lastModifiedBy>Danielle Martin</cp:lastModifiedBy>
  <cp:revision/>
  <dcterms:created xsi:type="dcterms:W3CDTF">2014-03-18T22:44:56Z</dcterms:created>
  <dcterms:modified xsi:type="dcterms:W3CDTF">2023-10-24T16:34:04Z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11200.0000000000</vt:lpwstr>
  </property>
  <property fmtid="{D5CDD505-2E9C-101B-9397-08002B2CF9AE}" pid="3" name="ContentTypeId">
    <vt:lpwstr>0x0101003206C8355D678A459F2EF8957171B231</vt:lpwstr>
  </property>
  <property fmtid="{D5CDD505-2E9C-101B-9397-08002B2CF9AE}" pid="4" name="MediaServiceImageTags">
    <vt:lpwstr/>
  </property>
</Properties>
</file>