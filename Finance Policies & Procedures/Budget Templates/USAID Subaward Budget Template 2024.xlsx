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Budget Templates/"/>
    </mc:Choice>
  </mc:AlternateContent>
  <xr:revisionPtr revIDLastSave="634" documentId="13_ncr:1_{A2E09689-3EB7-485B-A974-BDB3D2E5A0AD}" xr6:coauthVersionLast="47" xr6:coauthVersionMax="47" xr10:uidLastSave="{AA8BB87D-DAA5-4CEE-8AC6-7B6D6B847F7A}"/>
  <bookViews>
    <workbookView xWindow="-96" yWindow="-96" windowWidth="23232" windowHeight="12552" tabRatio="895" activeTab="1" xr2:uid="{00000000-000D-0000-FFFF-FFFF00000000}"/>
  </bookViews>
  <sheets>
    <sheet name="Budget Summary" sheetId="19" r:id="rId1"/>
    <sheet name="Budget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pd1">[1]Rates!$J$24</definedName>
    <definedName name="__pd6">[1]Rates!$J$30</definedName>
    <definedName name="__tix1">[1]Rates!$J$40</definedName>
    <definedName name="__tix2">[1]Rates!$J$41</definedName>
    <definedName name="__tix6">[1]Rates!$J$47</definedName>
    <definedName name="ANP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ANPDH">'[2]Salary &amp; PR Tax'!#REF!</definedName>
    <definedName name="Board">'[3]Schedule E - Other'!$F$102</definedName>
    <definedName name="CEE_Consult">#REF!</definedName>
    <definedName name="CENIDH">#REF!</definedName>
    <definedName name="Consultants">#REF!</definedName>
    <definedName name="CPDH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Equipment">'[4]Schedule D - Equipment'!$E$26</definedName>
    <definedName name="fg">#REF!</definedName>
    <definedName name="FOPEA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undamedios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Housing">'[2]Salary &amp; PR Tax'!#REF!</definedName>
    <definedName name="inf">[5]Assumptions!$C$75</definedName>
    <definedName name="Inflation">'[6]Detail-1'!$J$2</definedName>
    <definedName name="Interns">#REF!</definedName>
    <definedName name="ipys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jenn">#REF!</definedName>
    <definedName name="Local_Hire">#REF!</definedName>
    <definedName name="Local_Hires">#REF!</definedName>
    <definedName name="Merit">'[6]Detail-1'!$J$1</definedName>
    <definedName name="padf01">'[7]Level of Effort'!$C$14</definedName>
    <definedName name="padf02">'[7]Level of Effort'!$C$15</definedName>
    <definedName name="padf03">'[7]Level of Effort'!$C$16</definedName>
    <definedName name="padf04">'[7]Level of Effort'!$C$17</definedName>
    <definedName name="padf05">[7]Rates!$J$23</definedName>
    <definedName name="post.difo3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05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dif01">[7]Rates!$J$34</definedName>
    <definedName name="postdif02">[7]Rates!$J$65</definedName>
    <definedName name="_xlnm.Print_Area" localSheetId="1">Budget!$A$8:$AI$144</definedName>
    <definedName name="_xlnm.Print_Area" localSheetId="0">'Budget Summary'!$A$1:$S$23</definedName>
    <definedName name="Print_Titles_MI">#REF!</definedName>
    <definedName name="sdf">#REF!</definedName>
    <definedName name="Travel_Regional">#REF!</definedName>
    <definedName name="Travel_WDC">#REF!</definedName>
    <definedName name="warm.mali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rn.mali.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" i="1" l="1"/>
  <c r="AB120" i="1"/>
  <c r="AB121" i="1"/>
  <c r="AB122" i="1"/>
  <c r="AB123" i="1"/>
  <c r="AB124" i="1"/>
  <c r="AB125" i="1"/>
  <c r="AB126" i="1"/>
  <c r="AB127" i="1"/>
  <c r="AB129" i="1"/>
  <c r="AB130" i="1"/>
  <c r="AB132" i="1"/>
  <c r="AB133" i="1"/>
  <c r="AB135" i="1"/>
  <c r="AB136" i="1"/>
  <c r="AB137" i="1"/>
  <c r="AB119" i="1"/>
  <c r="AB112" i="1"/>
  <c r="AB113" i="1"/>
  <c r="AB114" i="1"/>
  <c r="AB115" i="1"/>
  <c r="AB111" i="1"/>
  <c r="V120" i="1"/>
  <c r="V121" i="1"/>
  <c r="V122" i="1"/>
  <c r="V123" i="1"/>
  <c r="V124" i="1"/>
  <c r="V125" i="1"/>
  <c r="V126" i="1"/>
  <c r="V127" i="1"/>
  <c r="V129" i="1"/>
  <c r="V130" i="1"/>
  <c r="V132" i="1"/>
  <c r="V133" i="1"/>
  <c r="V135" i="1"/>
  <c r="V136" i="1"/>
  <c r="V137" i="1"/>
  <c r="V119" i="1"/>
  <c r="V112" i="1"/>
  <c r="V113" i="1"/>
  <c r="V114" i="1"/>
  <c r="V115" i="1"/>
  <c r="V111" i="1"/>
  <c r="P120" i="1"/>
  <c r="P121" i="1"/>
  <c r="P122" i="1"/>
  <c r="P123" i="1"/>
  <c r="P124" i="1"/>
  <c r="P125" i="1"/>
  <c r="P126" i="1"/>
  <c r="P127" i="1"/>
  <c r="P129" i="1"/>
  <c r="P130" i="1"/>
  <c r="P132" i="1"/>
  <c r="P133" i="1"/>
  <c r="P135" i="1"/>
  <c r="P136" i="1"/>
  <c r="P137" i="1"/>
  <c r="P119" i="1"/>
  <c r="P112" i="1"/>
  <c r="P113" i="1"/>
  <c r="P114" i="1"/>
  <c r="P115" i="1"/>
  <c r="P111" i="1"/>
  <c r="J111" i="1"/>
  <c r="J112" i="1"/>
  <c r="J113" i="1"/>
  <c r="J114" i="1"/>
  <c r="J115" i="1"/>
  <c r="J120" i="1"/>
  <c r="J121" i="1"/>
  <c r="J122" i="1"/>
  <c r="J123" i="1"/>
  <c r="J124" i="1"/>
  <c r="J125" i="1"/>
  <c r="J126" i="1"/>
  <c r="J127" i="1"/>
  <c r="J129" i="1"/>
  <c r="L129" i="1" s="1"/>
  <c r="J130" i="1"/>
  <c r="J132" i="1"/>
  <c r="J133" i="1"/>
  <c r="J135" i="1"/>
  <c r="J136" i="1"/>
  <c r="J137" i="1"/>
  <c r="J119" i="1"/>
  <c r="AH129" i="1"/>
  <c r="F129" i="1"/>
  <c r="N129" i="1" l="1"/>
  <c r="O129" i="1" s="1"/>
  <c r="R129" i="1" s="1"/>
  <c r="H129" i="1"/>
  <c r="AB22" i="1"/>
  <c r="AB23" i="1"/>
  <c r="AB24" i="1"/>
  <c r="AB25" i="1"/>
  <c r="AB21" i="1"/>
  <c r="V22" i="1"/>
  <c r="V23" i="1"/>
  <c r="V24" i="1"/>
  <c r="V25" i="1"/>
  <c r="V21" i="1"/>
  <c r="P22" i="1"/>
  <c r="P23" i="1"/>
  <c r="P24" i="1"/>
  <c r="P25" i="1"/>
  <c r="P21" i="1"/>
  <c r="J21" i="1"/>
  <c r="J22" i="1"/>
  <c r="J23" i="1"/>
  <c r="J24" i="1"/>
  <c r="J25" i="1"/>
  <c r="T129" i="1" l="1"/>
  <c r="U129" i="1" s="1"/>
  <c r="X129" i="1" s="1"/>
  <c r="AB101" i="1"/>
  <c r="AB102" i="1"/>
  <c r="AB103" i="1"/>
  <c r="V101" i="1"/>
  <c r="V102" i="1"/>
  <c r="V103" i="1"/>
  <c r="P101" i="1"/>
  <c r="P102" i="1"/>
  <c r="P103" i="1"/>
  <c r="J101" i="1"/>
  <c r="J102" i="1"/>
  <c r="J103" i="1"/>
  <c r="AB40" i="1"/>
  <c r="AB41" i="1"/>
  <c r="AB42" i="1"/>
  <c r="AB43" i="1"/>
  <c r="AB44" i="1"/>
  <c r="AB39" i="1"/>
  <c r="V40" i="1"/>
  <c r="V41" i="1"/>
  <c r="V42" i="1"/>
  <c r="V43" i="1"/>
  <c r="V44" i="1"/>
  <c r="V39" i="1"/>
  <c r="P41" i="1"/>
  <c r="P40" i="1"/>
  <c r="P42" i="1"/>
  <c r="P43" i="1"/>
  <c r="P44" i="1"/>
  <c r="P39" i="1"/>
  <c r="J40" i="1"/>
  <c r="J41" i="1"/>
  <c r="J42" i="1"/>
  <c r="J43" i="1"/>
  <c r="J39" i="1"/>
  <c r="J16" i="1"/>
  <c r="F16" i="1"/>
  <c r="AE34" i="1"/>
  <c r="Y34" i="1"/>
  <c r="S34" i="1"/>
  <c r="M34" i="1"/>
  <c r="G34" i="1"/>
  <c r="AE57" i="1"/>
  <c r="Y57" i="1"/>
  <c r="S57" i="1"/>
  <c r="M57" i="1"/>
  <c r="G57" i="1"/>
  <c r="AE44" i="1"/>
  <c r="Y44" i="1"/>
  <c r="S44" i="1"/>
  <c r="M44" i="1"/>
  <c r="G44" i="1"/>
  <c r="AE66" i="1"/>
  <c r="Y66" i="1"/>
  <c r="S66" i="1"/>
  <c r="M66" i="1"/>
  <c r="G66" i="1"/>
  <c r="AH63" i="1"/>
  <c r="AB63" i="1"/>
  <c r="AD63" i="1" s="1"/>
  <c r="AF63" i="1" s="1"/>
  <c r="V63" i="1"/>
  <c r="X63" i="1" s="1"/>
  <c r="Z63" i="1" s="1"/>
  <c r="P63" i="1"/>
  <c r="R63" i="1" s="1"/>
  <c r="T63" i="1" s="1"/>
  <c r="J63" i="1"/>
  <c r="L63" i="1" s="1"/>
  <c r="F63" i="1"/>
  <c r="AH51" i="1"/>
  <c r="AB51" i="1"/>
  <c r="AD51" i="1" s="1"/>
  <c r="AF51" i="1" s="1"/>
  <c r="V51" i="1"/>
  <c r="X51" i="1" s="1"/>
  <c r="Z51" i="1" s="1"/>
  <c r="P51" i="1"/>
  <c r="R51" i="1" s="1"/>
  <c r="T51" i="1" s="1"/>
  <c r="J51" i="1"/>
  <c r="L51" i="1" s="1"/>
  <c r="N51" i="1" s="1"/>
  <c r="F51" i="1"/>
  <c r="AH50" i="1"/>
  <c r="AB50" i="1"/>
  <c r="AA50" i="1"/>
  <c r="V50" i="1"/>
  <c r="U50" i="1"/>
  <c r="P50" i="1"/>
  <c r="R50" i="1" s="1"/>
  <c r="T50" i="1" s="1"/>
  <c r="J50" i="1"/>
  <c r="B50" i="1"/>
  <c r="F50" i="1" s="1"/>
  <c r="AH49" i="1"/>
  <c r="AB49" i="1"/>
  <c r="AA49" i="1"/>
  <c r="V49" i="1"/>
  <c r="U49" i="1"/>
  <c r="P49" i="1"/>
  <c r="J49" i="1"/>
  <c r="L49" i="1" s="1"/>
  <c r="N49" i="1" s="1"/>
  <c r="B49" i="1"/>
  <c r="F49" i="1" s="1"/>
  <c r="AH48" i="1"/>
  <c r="AB48" i="1"/>
  <c r="AA48" i="1"/>
  <c r="V48" i="1"/>
  <c r="U48" i="1"/>
  <c r="P48" i="1"/>
  <c r="O48" i="1"/>
  <c r="J48" i="1"/>
  <c r="L48" i="1" s="1"/>
  <c r="N48" i="1" s="1"/>
  <c r="B48" i="1"/>
  <c r="F48" i="1" s="1"/>
  <c r="H48" i="1" s="1"/>
  <c r="AH47" i="1"/>
  <c r="AB47" i="1"/>
  <c r="AA47" i="1"/>
  <c r="V47" i="1"/>
  <c r="U47" i="1"/>
  <c r="P47" i="1"/>
  <c r="O47" i="1"/>
  <c r="J47" i="1"/>
  <c r="L47" i="1" s="1"/>
  <c r="N47" i="1" s="1"/>
  <c r="B47" i="1"/>
  <c r="F47" i="1" s="1"/>
  <c r="Z129" i="1" l="1"/>
  <c r="AA129" i="1" s="1"/>
  <c r="AD129" i="1" s="1"/>
  <c r="AD50" i="1"/>
  <c r="AF50" i="1" s="1"/>
  <c r="H63" i="1"/>
  <c r="AE59" i="1"/>
  <c r="S59" i="1"/>
  <c r="G59" i="1"/>
  <c r="M59" i="1"/>
  <c r="Y59" i="1"/>
  <c r="N63" i="1"/>
  <c r="R48" i="1"/>
  <c r="T48" i="1" s="1"/>
  <c r="X48" i="1"/>
  <c r="Z48" i="1" s="1"/>
  <c r="AD48" i="1"/>
  <c r="AF48" i="1" s="1"/>
  <c r="AD47" i="1"/>
  <c r="AD49" i="1"/>
  <c r="AF49" i="1" s="1"/>
  <c r="R47" i="1"/>
  <c r="X47" i="1"/>
  <c r="AG63" i="1"/>
  <c r="X49" i="1"/>
  <c r="Z49" i="1" s="1"/>
  <c r="X50" i="1"/>
  <c r="Z50" i="1" s="1"/>
  <c r="R49" i="1"/>
  <c r="T49" i="1" s="1"/>
  <c r="L50" i="1"/>
  <c r="N50" i="1" s="1"/>
  <c r="H47" i="1"/>
  <c r="H49" i="1"/>
  <c r="AG51" i="1"/>
  <c r="AI51" i="1" s="1"/>
  <c r="H51" i="1"/>
  <c r="H50" i="1"/>
  <c r="J53" i="1"/>
  <c r="J54" i="1"/>
  <c r="J55" i="1"/>
  <c r="J56" i="1"/>
  <c r="J52" i="1"/>
  <c r="P53" i="1"/>
  <c r="P54" i="1"/>
  <c r="P55" i="1"/>
  <c r="P56" i="1"/>
  <c r="P52" i="1"/>
  <c r="V53" i="1"/>
  <c r="V54" i="1"/>
  <c r="V55" i="1"/>
  <c r="V56" i="1"/>
  <c r="V52" i="1"/>
  <c r="AB52" i="1"/>
  <c r="AB53" i="1"/>
  <c r="AB54" i="1"/>
  <c r="AB55" i="1"/>
  <c r="AB56" i="1"/>
  <c r="F25" i="1"/>
  <c r="F24" i="1"/>
  <c r="F23" i="1"/>
  <c r="F22" i="1"/>
  <c r="F21" i="1"/>
  <c r="AF129" i="1" l="1"/>
  <c r="AG129" i="1"/>
  <c r="AI129" i="1" s="1"/>
  <c r="F26" i="1"/>
  <c r="F32" i="1" s="1"/>
  <c r="AG47" i="1"/>
  <c r="AI47" i="1" s="1"/>
  <c r="AG48" i="1"/>
  <c r="AI48" i="1" s="1"/>
  <c r="AI63" i="1"/>
  <c r="Z47" i="1"/>
  <c r="T47" i="1"/>
  <c r="AF47" i="1"/>
  <c r="AG49" i="1"/>
  <c r="AI49" i="1" s="1"/>
  <c r="AG50" i="1"/>
  <c r="AI50" i="1" s="1"/>
  <c r="AH24" i="1"/>
  <c r="J17" i="1"/>
  <c r="P16" i="1"/>
  <c r="P17" i="1" l="1"/>
  <c r="AB17" i="1"/>
  <c r="V16" i="1"/>
  <c r="V17" i="1"/>
  <c r="AB16" i="1"/>
  <c r="R24" i="1"/>
  <c r="T24" i="1" s="1"/>
  <c r="L24" i="1"/>
  <c r="H24" i="1"/>
  <c r="AH32" i="1"/>
  <c r="AE97" i="1"/>
  <c r="Y97" i="1"/>
  <c r="S97" i="1"/>
  <c r="M97" i="1"/>
  <c r="F93" i="1"/>
  <c r="N24" i="1" l="1"/>
  <c r="AD24" i="1"/>
  <c r="AF24" i="1" s="1"/>
  <c r="X24" i="1"/>
  <c r="Z24" i="1" s="1"/>
  <c r="AH56" i="1"/>
  <c r="F56" i="1"/>
  <c r="AH55" i="1"/>
  <c r="AA55" i="1"/>
  <c r="U55" i="1"/>
  <c r="B55" i="1"/>
  <c r="F55" i="1" s="1"/>
  <c r="AH54" i="1"/>
  <c r="AA54" i="1"/>
  <c r="U54" i="1"/>
  <c r="I54" i="1"/>
  <c r="B54" i="1"/>
  <c r="F54" i="1" s="1"/>
  <c r="AH53" i="1"/>
  <c r="AA53" i="1"/>
  <c r="U53" i="1"/>
  <c r="B53" i="1"/>
  <c r="F53" i="1" s="1"/>
  <c r="AH52" i="1"/>
  <c r="AA52" i="1"/>
  <c r="U52" i="1"/>
  <c r="B52" i="1"/>
  <c r="F52" i="1" s="1"/>
  <c r="F57" i="1" l="1"/>
  <c r="AH57" i="1"/>
  <c r="AG24" i="1"/>
  <c r="AI24" i="1" s="1"/>
  <c r="L54" i="1"/>
  <c r="N54" i="1" s="1"/>
  <c r="L55" i="1"/>
  <c r="N55" i="1" s="1"/>
  <c r="AD53" i="1"/>
  <c r="AF53" i="1" s="1"/>
  <c r="L56" i="1"/>
  <c r="N56" i="1" s="1"/>
  <c r="L52" i="1"/>
  <c r="X52" i="1"/>
  <c r="R53" i="1"/>
  <c r="T53" i="1" s="1"/>
  <c r="L53" i="1"/>
  <c r="N53" i="1" s="1"/>
  <c r="H55" i="1"/>
  <c r="H54" i="1"/>
  <c r="R54" i="1"/>
  <c r="T54" i="1" s="1"/>
  <c r="AD54" i="1"/>
  <c r="AF54" i="1" s="1"/>
  <c r="R55" i="1"/>
  <c r="T55" i="1" s="1"/>
  <c r="H52" i="1"/>
  <c r="H56" i="1"/>
  <c r="R56" i="1"/>
  <c r="T56" i="1" s="1"/>
  <c r="X55" i="1"/>
  <c r="Z55" i="1" s="1"/>
  <c r="AD55" i="1"/>
  <c r="AF55" i="1" s="1"/>
  <c r="X53" i="1"/>
  <c r="Z53" i="1" s="1"/>
  <c r="H53" i="1"/>
  <c r="H57" i="1" l="1"/>
  <c r="N52" i="1"/>
  <c r="N57" i="1" s="1"/>
  <c r="L57" i="1"/>
  <c r="AD52" i="1"/>
  <c r="R52" i="1"/>
  <c r="R57" i="1" s="1"/>
  <c r="X54" i="1"/>
  <c r="Z54" i="1" s="1"/>
  <c r="AG53" i="1"/>
  <c r="AI53" i="1" s="1"/>
  <c r="Z52" i="1"/>
  <c r="AG55" i="1"/>
  <c r="AI55" i="1" s="1"/>
  <c r="AD56" i="1"/>
  <c r="AF56" i="1" s="1"/>
  <c r="X56" i="1"/>
  <c r="Z56" i="1" s="1"/>
  <c r="AH93" i="1"/>
  <c r="AB93" i="1"/>
  <c r="AD93" i="1" s="1"/>
  <c r="V93" i="1"/>
  <c r="X93" i="1" s="1"/>
  <c r="P93" i="1"/>
  <c r="J93" i="1"/>
  <c r="L93" i="1" s="1"/>
  <c r="AH94" i="1"/>
  <c r="AB94" i="1"/>
  <c r="AD94" i="1" s="1"/>
  <c r="AF94" i="1" s="1"/>
  <c r="V94" i="1"/>
  <c r="X94" i="1" s="1"/>
  <c r="Z94" i="1" s="1"/>
  <c r="P94" i="1"/>
  <c r="R94" i="1" s="1"/>
  <c r="J94" i="1"/>
  <c r="L94" i="1" s="1"/>
  <c r="N94" i="1" s="1"/>
  <c r="F94" i="1"/>
  <c r="Z57" i="1" l="1"/>
  <c r="AF52" i="1"/>
  <c r="AF57" i="1" s="1"/>
  <c r="AD57" i="1"/>
  <c r="X57" i="1"/>
  <c r="H94" i="1"/>
  <c r="AF93" i="1"/>
  <c r="R93" i="1"/>
  <c r="T93" i="1" s="1"/>
  <c r="T94" i="1"/>
  <c r="N93" i="1"/>
  <c r="AG54" i="1"/>
  <c r="AI54" i="1" s="1"/>
  <c r="T52" i="1"/>
  <c r="T57" i="1" s="1"/>
  <c r="AG52" i="1"/>
  <c r="AG56" i="1"/>
  <c r="AI56" i="1" s="1"/>
  <c r="Z93" i="1"/>
  <c r="H93" i="1"/>
  <c r="AG94" i="1"/>
  <c r="AI94" i="1" s="1"/>
  <c r="AG57" i="1" l="1"/>
  <c r="AG93" i="1"/>
  <c r="AI93" i="1" s="1"/>
  <c r="AI52" i="1"/>
  <c r="AI57" i="1" s="1"/>
  <c r="AH101" i="1" l="1"/>
  <c r="AD101" i="1"/>
  <c r="AF101" i="1" s="1"/>
  <c r="X101" i="1"/>
  <c r="Z101" i="1" s="1"/>
  <c r="R101" i="1"/>
  <c r="T101" i="1" s="1"/>
  <c r="L101" i="1"/>
  <c r="N101" i="1" s="1"/>
  <c r="F101" i="1"/>
  <c r="F102" i="1"/>
  <c r="O85" i="1"/>
  <c r="F85" i="1"/>
  <c r="I85" i="1"/>
  <c r="AB85" i="1"/>
  <c r="AD85" i="1" s="1"/>
  <c r="V85" i="1"/>
  <c r="X85" i="1" s="1"/>
  <c r="P85" i="1"/>
  <c r="J85" i="1"/>
  <c r="AB96" i="1"/>
  <c r="V96" i="1"/>
  <c r="P96" i="1"/>
  <c r="J96" i="1"/>
  <c r="L85" i="1" l="1"/>
  <c r="AG101" i="1"/>
  <c r="AI101" i="1" s="1"/>
  <c r="H101" i="1"/>
  <c r="R85" i="1"/>
  <c r="P82" i="1" l="1"/>
  <c r="M26" i="1" l="1"/>
  <c r="F95" i="1" l="1"/>
  <c r="AB95" i="1"/>
  <c r="AD95" i="1" s="1"/>
  <c r="V95" i="1"/>
  <c r="X95" i="1" s="1"/>
  <c r="P95" i="1"/>
  <c r="R95" i="1" s="1"/>
  <c r="J95" i="1"/>
  <c r="L95" i="1" s="1"/>
  <c r="F100" i="1" l="1"/>
  <c r="J100" i="1"/>
  <c r="L100" i="1" s="1"/>
  <c r="P100" i="1"/>
  <c r="R100" i="1" s="1"/>
  <c r="V100" i="1"/>
  <c r="X100" i="1" s="1"/>
  <c r="AB100" i="1"/>
  <c r="AD100" i="1" s="1"/>
  <c r="H102" i="1"/>
  <c r="L102" i="1"/>
  <c r="R102" i="1"/>
  <c r="T102" i="1" s="1"/>
  <c r="X102" i="1"/>
  <c r="Z102" i="1" s="1"/>
  <c r="AD102" i="1"/>
  <c r="AF102" i="1" s="1"/>
  <c r="F103" i="1"/>
  <c r="H103" i="1" s="1"/>
  <c r="L103" i="1"/>
  <c r="R103" i="1"/>
  <c r="T103" i="1" s="1"/>
  <c r="X103" i="1"/>
  <c r="Z103" i="1" s="1"/>
  <c r="AD103" i="1"/>
  <c r="AF103" i="1" s="1"/>
  <c r="Z95" i="1"/>
  <c r="F96" i="1"/>
  <c r="F97" i="1" s="1"/>
  <c r="L96" i="1"/>
  <c r="L97" i="1" s="1"/>
  <c r="R96" i="1"/>
  <c r="R97" i="1" s="1"/>
  <c r="X96" i="1"/>
  <c r="Z96" i="1" s="1"/>
  <c r="AD96" i="1"/>
  <c r="AD97" i="1" s="1"/>
  <c r="AH100" i="1"/>
  <c r="AH102" i="1"/>
  <c r="AH103" i="1"/>
  <c r="AH95" i="1"/>
  <c r="AH96" i="1"/>
  <c r="AE104" i="1"/>
  <c r="AE106" i="1" s="1"/>
  <c r="AF95" i="1"/>
  <c r="Y104" i="1"/>
  <c r="Y106" i="1" s="1"/>
  <c r="S104" i="1"/>
  <c r="S106" i="1" s="1"/>
  <c r="T95" i="1"/>
  <c r="M104" i="1"/>
  <c r="M106" i="1" s="1"/>
  <c r="N95" i="1"/>
  <c r="G104" i="1"/>
  <c r="G97" i="1"/>
  <c r="F64" i="1"/>
  <c r="F66" i="1" s="1"/>
  <c r="H16" i="1"/>
  <c r="F17" i="1"/>
  <c r="F18" i="1" s="1"/>
  <c r="F31" i="1" s="1"/>
  <c r="H23" i="1"/>
  <c r="H25" i="1"/>
  <c r="AB77" i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H85" i="1"/>
  <c r="AB64" i="1"/>
  <c r="AD64" i="1" s="1"/>
  <c r="L127" i="1"/>
  <c r="L119" i="1"/>
  <c r="N119" i="1" s="1"/>
  <c r="L120" i="1"/>
  <c r="N120" i="1" s="1"/>
  <c r="L121" i="1"/>
  <c r="N121" i="1" s="1"/>
  <c r="L122" i="1"/>
  <c r="N122" i="1" s="1"/>
  <c r="L123" i="1"/>
  <c r="N123" i="1" s="1"/>
  <c r="L124" i="1"/>
  <c r="N124" i="1" s="1"/>
  <c r="L125" i="1"/>
  <c r="N125" i="1" s="1"/>
  <c r="L126" i="1"/>
  <c r="N126" i="1" s="1"/>
  <c r="L130" i="1"/>
  <c r="N130" i="1" s="1"/>
  <c r="L132" i="1"/>
  <c r="N132" i="1" s="1"/>
  <c r="L133" i="1"/>
  <c r="N133" i="1" s="1"/>
  <c r="L135" i="1"/>
  <c r="N135" i="1" s="1"/>
  <c r="L136" i="1"/>
  <c r="N136" i="1" s="1"/>
  <c r="L137" i="1"/>
  <c r="N137" i="1" s="1"/>
  <c r="F127" i="1"/>
  <c r="H127" i="1" s="1"/>
  <c r="F119" i="1"/>
  <c r="F120" i="1"/>
  <c r="F121" i="1"/>
  <c r="H121" i="1" s="1"/>
  <c r="F122" i="1"/>
  <c r="H122" i="1" s="1"/>
  <c r="F123" i="1"/>
  <c r="H123" i="1" s="1"/>
  <c r="F124" i="1"/>
  <c r="H124" i="1" s="1"/>
  <c r="F125" i="1"/>
  <c r="H125" i="1" s="1"/>
  <c r="F126" i="1"/>
  <c r="H126" i="1" s="1"/>
  <c r="F130" i="1"/>
  <c r="H130" i="1" s="1"/>
  <c r="F132" i="1"/>
  <c r="H132" i="1" s="1"/>
  <c r="F133" i="1"/>
  <c r="H133" i="1" s="1"/>
  <c r="F135" i="1"/>
  <c r="H135" i="1" s="1"/>
  <c r="F136" i="1"/>
  <c r="H136" i="1" s="1"/>
  <c r="F137" i="1"/>
  <c r="AH127" i="1"/>
  <c r="AB84" i="1"/>
  <c r="AD84" i="1" s="1"/>
  <c r="AF84" i="1" s="1"/>
  <c r="V84" i="1"/>
  <c r="X84" i="1" s="1"/>
  <c r="Z84" i="1" s="1"/>
  <c r="P84" i="1"/>
  <c r="R84" i="1" s="1"/>
  <c r="T84" i="1" s="1"/>
  <c r="J84" i="1"/>
  <c r="L84" i="1" s="1"/>
  <c r="S26" i="1"/>
  <c r="S18" i="1"/>
  <c r="S86" i="1"/>
  <c r="S74" i="1"/>
  <c r="I13" i="19"/>
  <c r="S138" i="1"/>
  <c r="S116" i="1"/>
  <c r="I9" i="19"/>
  <c r="AH84" i="1"/>
  <c r="O16" i="1"/>
  <c r="R16" i="1" s="1"/>
  <c r="I16" i="1"/>
  <c r="L16" i="1" s="1"/>
  <c r="I17" i="1"/>
  <c r="AH31" i="1"/>
  <c r="AH34" i="1" s="1"/>
  <c r="L22" i="1"/>
  <c r="L23" i="1"/>
  <c r="L25" i="1"/>
  <c r="L21" i="1"/>
  <c r="AH23" i="1"/>
  <c r="G26" i="1"/>
  <c r="Y26" i="1"/>
  <c r="AE26" i="1"/>
  <c r="AH16" i="1"/>
  <c r="AH17" i="1"/>
  <c r="F43" i="1"/>
  <c r="H43" i="1" s="1"/>
  <c r="F41" i="1"/>
  <c r="H41" i="1" s="1"/>
  <c r="F39" i="1"/>
  <c r="AF85" i="1"/>
  <c r="AB82" i="1"/>
  <c r="V82" i="1"/>
  <c r="J82" i="1"/>
  <c r="L82" i="1" s="1"/>
  <c r="P73" i="1"/>
  <c r="AB72" i="1"/>
  <c r="Z85" i="1"/>
  <c r="U41" i="1"/>
  <c r="R130" i="1"/>
  <c r="T130" i="1" s="1"/>
  <c r="G116" i="1"/>
  <c r="M116" i="1"/>
  <c r="AE116" i="1"/>
  <c r="Y116" i="1"/>
  <c r="AH82" i="1"/>
  <c r="F114" i="1"/>
  <c r="H114" i="1" s="1"/>
  <c r="AH41" i="1"/>
  <c r="AH40" i="1"/>
  <c r="AE138" i="1"/>
  <c r="Y138" i="1"/>
  <c r="M138" i="1"/>
  <c r="G138" i="1"/>
  <c r="R122" i="1"/>
  <c r="R125" i="1"/>
  <c r="AD126" i="1"/>
  <c r="AF126" i="1" s="1"/>
  <c r="X135" i="1"/>
  <c r="Z135" i="1" s="1"/>
  <c r="AH137" i="1"/>
  <c r="AH124" i="1"/>
  <c r="AH126" i="1"/>
  <c r="AH83" i="1"/>
  <c r="AB83" i="1"/>
  <c r="AD83" i="1" s="1"/>
  <c r="AF83" i="1" s="1"/>
  <c r="V83" i="1"/>
  <c r="X83" i="1" s="1"/>
  <c r="Z83" i="1" s="1"/>
  <c r="P83" i="1"/>
  <c r="R83" i="1" s="1"/>
  <c r="T83" i="1" s="1"/>
  <c r="J83" i="1"/>
  <c r="L83" i="1" s="1"/>
  <c r="N83" i="1" s="1"/>
  <c r="AH81" i="1"/>
  <c r="AB81" i="1"/>
  <c r="AD81" i="1" s="1"/>
  <c r="AF81" i="1" s="1"/>
  <c r="V81" i="1"/>
  <c r="X81" i="1" s="1"/>
  <c r="Z81" i="1" s="1"/>
  <c r="P81" i="1"/>
  <c r="R81" i="1" s="1"/>
  <c r="T81" i="1" s="1"/>
  <c r="J81" i="1"/>
  <c r="L81" i="1" s="1"/>
  <c r="AH80" i="1"/>
  <c r="AB80" i="1"/>
  <c r="J80" i="1"/>
  <c r="L80" i="1" s="1"/>
  <c r="P80" i="1"/>
  <c r="V80" i="1"/>
  <c r="AH136" i="1"/>
  <c r="AH123" i="1"/>
  <c r="AH122" i="1"/>
  <c r="AH120" i="1"/>
  <c r="AH121" i="1"/>
  <c r="AH125" i="1"/>
  <c r="AH119" i="1"/>
  <c r="AD114" i="1"/>
  <c r="L115" i="1"/>
  <c r="N115" i="1" s="1"/>
  <c r="AD113" i="1"/>
  <c r="AF113" i="1" s="1"/>
  <c r="L112" i="1"/>
  <c r="N112" i="1" s="1"/>
  <c r="O13" i="19"/>
  <c r="L13" i="19"/>
  <c r="F13" i="19"/>
  <c r="C13" i="19"/>
  <c r="V64" i="1"/>
  <c r="X64" i="1" s="1"/>
  <c r="X66" i="1" s="1"/>
  <c r="P64" i="1"/>
  <c r="R64" i="1" s="1"/>
  <c r="R66" i="1" s="1"/>
  <c r="J64" i="1"/>
  <c r="L64" i="1" s="1"/>
  <c r="L66" i="1" s="1"/>
  <c r="AE86" i="1"/>
  <c r="Y86" i="1"/>
  <c r="M86" i="1"/>
  <c r="G86" i="1"/>
  <c r="AE74" i="1"/>
  <c r="Y74" i="1"/>
  <c r="M74" i="1"/>
  <c r="G74" i="1"/>
  <c r="L111" i="1"/>
  <c r="N111" i="1" s="1"/>
  <c r="AH111" i="1"/>
  <c r="F111" i="1"/>
  <c r="O9" i="19"/>
  <c r="L9" i="19"/>
  <c r="F9" i="19"/>
  <c r="C9" i="19"/>
  <c r="AH85" i="1"/>
  <c r="N85" i="1"/>
  <c r="AH71" i="1"/>
  <c r="AH72" i="1"/>
  <c r="AH73" i="1"/>
  <c r="AH77" i="1"/>
  <c r="AH78" i="1"/>
  <c r="AH79" i="1"/>
  <c r="F113" i="1"/>
  <c r="H113" i="1" s="1"/>
  <c r="F115" i="1"/>
  <c r="H115" i="1" s="1"/>
  <c r="AH114" i="1"/>
  <c r="AH113" i="1"/>
  <c r="AH25" i="1"/>
  <c r="AE18" i="1"/>
  <c r="Y18" i="1"/>
  <c r="M18" i="1"/>
  <c r="M28" i="1" s="1"/>
  <c r="G18" i="1"/>
  <c r="AH130" i="1"/>
  <c r="F112" i="1"/>
  <c r="H112" i="1" s="1"/>
  <c r="AH21" i="1"/>
  <c r="AH43" i="1"/>
  <c r="AH42" i="1"/>
  <c r="AH39" i="1"/>
  <c r="H21" i="1"/>
  <c r="AH143" i="1"/>
  <c r="R22" i="19" s="1"/>
  <c r="O22" i="19"/>
  <c r="L22" i="19"/>
  <c r="I22" i="19"/>
  <c r="F22" i="19"/>
  <c r="C22" i="19"/>
  <c r="AH64" i="1"/>
  <c r="AH66" i="1" s="1"/>
  <c r="AH22" i="1"/>
  <c r="AH112" i="1"/>
  <c r="AH115" i="1"/>
  <c r="AH132" i="1"/>
  <c r="AH133" i="1"/>
  <c r="AH135" i="1"/>
  <c r="H119" i="1" l="1"/>
  <c r="F138" i="1"/>
  <c r="F116" i="1"/>
  <c r="F104" i="1"/>
  <c r="F106" i="1" s="1"/>
  <c r="H137" i="1"/>
  <c r="G106" i="1"/>
  <c r="C17" i="19" s="1"/>
  <c r="AH44" i="1"/>
  <c r="AH59" i="1" s="1"/>
  <c r="AF64" i="1"/>
  <c r="AF66" i="1" s="1"/>
  <c r="P13" i="19" s="1"/>
  <c r="AD66" i="1"/>
  <c r="H64" i="1"/>
  <c r="H66" i="1" s="1"/>
  <c r="B13" i="19"/>
  <c r="F34" i="1"/>
  <c r="F28" i="1"/>
  <c r="L17" i="19"/>
  <c r="N21" i="1"/>
  <c r="N25" i="1"/>
  <c r="N23" i="1"/>
  <c r="AH97" i="1"/>
  <c r="Z97" i="1"/>
  <c r="F17" i="19"/>
  <c r="O17" i="19"/>
  <c r="X97" i="1"/>
  <c r="AF96" i="1"/>
  <c r="AF97" i="1" s="1"/>
  <c r="S28" i="1"/>
  <c r="AE28" i="1"/>
  <c r="Y28" i="1"/>
  <c r="G28" i="1"/>
  <c r="G140" i="1"/>
  <c r="C19" i="19" s="1"/>
  <c r="X125" i="1"/>
  <c r="Z125" i="1" s="1"/>
  <c r="L41" i="1"/>
  <c r="N41" i="1" s="1"/>
  <c r="AD21" i="1"/>
  <c r="R39" i="1"/>
  <c r="X113" i="1"/>
  <c r="Z113" i="1" s="1"/>
  <c r="N22" i="1"/>
  <c r="H22" i="1"/>
  <c r="L113" i="1"/>
  <c r="N113" i="1" s="1"/>
  <c r="H100" i="1"/>
  <c r="H104" i="1" s="1"/>
  <c r="U16" i="1"/>
  <c r="AA16" i="1" s="1"/>
  <c r="X114" i="1"/>
  <c r="Z114" i="1" s="1"/>
  <c r="X115" i="1"/>
  <c r="Z115" i="1" s="1"/>
  <c r="H120" i="1"/>
  <c r="R111" i="1"/>
  <c r="T111" i="1" s="1"/>
  <c r="H111" i="1"/>
  <c r="S140" i="1"/>
  <c r="I19" i="19" s="1"/>
  <c r="V71" i="1"/>
  <c r="F71" i="1"/>
  <c r="H71" i="1" s="1"/>
  <c r="F77" i="1"/>
  <c r="M88" i="1"/>
  <c r="F15" i="19" s="1"/>
  <c r="X122" i="1"/>
  <c r="Z122" i="1" s="1"/>
  <c r="R121" i="1"/>
  <c r="T121" i="1" s="1"/>
  <c r="AE140" i="1"/>
  <c r="O19" i="19" s="1"/>
  <c r="O11" i="19"/>
  <c r="AH18" i="1"/>
  <c r="S88" i="1"/>
  <c r="I15" i="19" s="1"/>
  <c r="H17" i="1"/>
  <c r="H18" i="1" s="1"/>
  <c r="N39" i="1"/>
  <c r="AD135" i="1"/>
  <c r="AF135" i="1" s="1"/>
  <c r="L11" i="19"/>
  <c r="R135" i="1"/>
  <c r="T135" i="1" s="1"/>
  <c r="R132" i="1"/>
  <c r="T132" i="1" s="1"/>
  <c r="AH116" i="1"/>
  <c r="R42" i="1"/>
  <c r="T42" i="1" s="1"/>
  <c r="H39" i="1"/>
  <c r="AD112" i="1"/>
  <c r="AF112" i="1" s="1"/>
  <c r="C11" i="19"/>
  <c r="F40" i="1"/>
  <c r="H40" i="1" s="1"/>
  <c r="AG64" i="1"/>
  <c r="O17" i="1"/>
  <c r="U17" i="1" s="1"/>
  <c r="AA17" i="1" s="1"/>
  <c r="AD17" i="1" s="1"/>
  <c r="AF17" i="1" s="1"/>
  <c r="L17" i="1"/>
  <c r="R120" i="1"/>
  <c r="T120" i="1" s="1"/>
  <c r="L114" i="1"/>
  <c r="N114" i="1" s="1"/>
  <c r="AG85" i="1"/>
  <c r="AI85" i="1" s="1"/>
  <c r="D13" i="19"/>
  <c r="N96" i="1"/>
  <c r="N97" i="1" s="1"/>
  <c r="J78" i="1"/>
  <c r="L78" i="1" s="1"/>
  <c r="N78" i="1" s="1"/>
  <c r="O78" i="1" s="1"/>
  <c r="E13" i="19"/>
  <c r="N64" i="1"/>
  <c r="N66" i="1" s="1"/>
  <c r="T85" i="1"/>
  <c r="M140" i="1"/>
  <c r="F19" i="19" s="1"/>
  <c r="R9" i="19"/>
  <c r="R13" i="19"/>
  <c r="R113" i="1"/>
  <c r="AD43" i="1"/>
  <c r="AF43" i="1" s="1"/>
  <c r="R114" i="1"/>
  <c r="T114" i="1" s="1"/>
  <c r="AE88" i="1"/>
  <c r="O15" i="19" s="1"/>
  <c r="T96" i="1"/>
  <c r="T97" i="1" s="1"/>
  <c r="I17" i="19"/>
  <c r="AG96" i="1"/>
  <c r="AI96" i="1" s="1"/>
  <c r="X126" i="1"/>
  <c r="Z126" i="1" s="1"/>
  <c r="AH26" i="1"/>
  <c r="P79" i="1"/>
  <c r="R25" i="1"/>
  <c r="AH138" i="1"/>
  <c r="T122" i="1"/>
  <c r="T16" i="1"/>
  <c r="AH74" i="1"/>
  <c r="G88" i="1"/>
  <c r="C15" i="19" s="1"/>
  <c r="Y88" i="1"/>
  <c r="L15" i="19" s="1"/>
  <c r="AG83" i="1"/>
  <c r="AI83" i="1" s="1"/>
  <c r="Y140" i="1"/>
  <c r="L19" i="19" s="1"/>
  <c r="R41" i="1"/>
  <c r="T41" i="1" s="1"/>
  <c r="X130" i="1"/>
  <c r="Z130" i="1" s="1"/>
  <c r="L40" i="1"/>
  <c r="N40" i="1" s="1"/>
  <c r="R40" i="1"/>
  <c r="T40" i="1" s="1"/>
  <c r="V73" i="1"/>
  <c r="H13" i="19"/>
  <c r="AH104" i="1"/>
  <c r="AH106" i="1" s="1"/>
  <c r="AG95" i="1"/>
  <c r="H95" i="1"/>
  <c r="K13" i="19"/>
  <c r="Z64" i="1"/>
  <c r="T64" i="1"/>
  <c r="V79" i="1"/>
  <c r="J79" i="1"/>
  <c r="L79" i="1" s="1"/>
  <c r="N79" i="1" s="1"/>
  <c r="O79" i="1" s="1"/>
  <c r="P71" i="1"/>
  <c r="AB79" i="1"/>
  <c r="P77" i="1"/>
  <c r="V77" i="1"/>
  <c r="J72" i="1"/>
  <c r="L72" i="1" s="1"/>
  <c r="N72" i="1" s="1"/>
  <c r="O72" i="1" s="1"/>
  <c r="AB71" i="1"/>
  <c r="J77" i="1"/>
  <c r="L77" i="1" s="1"/>
  <c r="N77" i="1" s="1"/>
  <c r="O77" i="1" s="1"/>
  <c r="F72" i="1"/>
  <c r="H72" i="1" s="1"/>
  <c r="P72" i="1"/>
  <c r="AB73" i="1"/>
  <c r="J73" i="1"/>
  <c r="L73" i="1" s="1"/>
  <c r="N73" i="1" s="1"/>
  <c r="O73" i="1" s="1"/>
  <c r="R73" i="1" s="1"/>
  <c r="J71" i="1"/>
  <c r="L71" i="1" s="1"/>
  <c r="N71" i="1" s="1"/>
  <c r="O71" i="1" s="1"/>
  <c r="V72" i="1"/>
  <c r="P78" i="1"/>
  <c r="F73" i="1"/>
  <c r="H73" i="1" s="1"/>
  <c r="V78" i="1"/>
  <c r="AB78" i="1"/>
  <c r="R43" i="1"/>
  <c r="AF114" i="1"/>
  <c r="T125" i="1"/>
  <c r="N80" i="1"/>
  <c r="O80" i="1" s="1"/>
  <c r="R80" i="1" s="1"/>
  <c r="R123" i="1"/>
  <c r="AD40" i="1"/>
  <c r="X40" i="1"/>
  <c r="N82" i="1"/>
  <c r="O82" i="1" s="1"/>
  <c r="R82" i="1" s="1"/>
  <c r="L42" i="1"/>
  <c r="N42" i="1" s="1"/>
  <c r="AH86" i="1"/>
  <c r="N81" i="1"/>
  <c r="AG81" i="1"/>
  <c r="AI81" i="1" s="1"/>
  <c r="N102" i="1"/>
  <c r="AG102" i="1"/>
  <c r="AI102" i="1" s="1"/>
  <c r="X43" i="1"/>
  <c r="Z43" i="1" s="1"/>
  <c r="F42" i="1"/>
  <c r="N13" i="19"/>
  <c r="AD104" i="1"/>
  <c r="AD106" i="1" s="1"/>
  <c r="AF100" i="1"/>
  <c r="AF104" i="1" s="1"/>
  <c r="AG103" i="1"/>
  <c r="AI103" i="1" s="1"/>
  <c r="N103" i="1"/>
  <c r="Z100" i="1"/>
  <c r="Z104" i="1" s="1"/>
  <c r="X104" i="1"/>
  <c r="R126" i="1"/>
  <c r="L138" i="1"/>
  <c r="R104" i="1"/>
  <c r="R106" i="1" s="1"/>
  <c r="T100" i="1"/>
  <c r="T104" i="1" s="1"/>
  <c r="N100" i="1"/>
  <c r="L104" i="1"/>
  <c r="L106" i="1" s="1"/>
  <c r="N127" i="1"/>
  <c r="N138" i="1" s="1"/>
  <c r="AG100" i="1"/>
  <c r="N84" i="1"/>
  <c r="AG84" i="1"/>
  <c r="AI84" i="1" s="1"/>
  <c r="H96" i="1"/>
  <c r="H138" i="1" l="1"/>
  <c r="F140" i="1"/>
  <c r="F86" i="1"/>
  <c r="T106" i="1"/>
  <c r="J17" i="19" s="1"/>
  <c r="AF106" i="1"/>
  <c r="P17" i="19" s="1"/>
  <c r="X106" i="1"/>
  <c r="K17" i="19" s="1"/>
  <c r="Z106" i="1"/>
  <c r="M17" i="19" s="1"/>
  <c r="F44" i="1"/>
  <c r="F59" i="1" s="1"/>
  <c r="AI64" i="1"/>
  <c r="AI66" i="1" s="1"/>
  <c r="AG66" i="1"/>
  <c r="T66" i="1"/>
  <c r="J13" i="19" s="1"/>
  <c r="Z66" i="1"/>
  <c r="M13" i="19" s="1"/>
  <c r="R44" i="1"/>
  <c r="R59" i="1" s="1"/>
  <c r="R21" i="1"/>
  <c r="T21" i="1" s="1"/>
  <c r="N16" i="1"/>
  <c r="N26" i="1"/>
  <c r="N17" i="19"/>
  <c r="E17" i="19"/>
  <c r="H17" i="19"/>
  <c r="R17" i="19"/>
  <c r="B17" i="19"/>
  <c r="H32" i="1"/>
  <c r="AG97" i="1"/>
  <c r="T39" i="1"/>
  <c r="X111" i="1"/>
  <c r="B7" i="19"/>
  <c r="AD115" i="1"/>
  <c r="AF115" i="1" s="1"/>
  <c r="F11" i="19"/>
  <c r="AD125" i="1"/>
  <c r="AF125" i="1" s="1"/>
  <c r="AH28" i="1"/>
  <c r="H31" i="1"/>
  <c r="R115" i="1"/>
  <c r="T115" i="1" s="1"/>
  <c r="I11" i="19"/>
  <c r="H26" i="1"/>
  <c r="H28" i="1" s="1"/>
  <c r="X121" i="1"/>
  <c r="R22" i="1"/>
  <c r="X132" i="1"/>
  <c r="AD130" i="1"/>
  <c r="AG130" i="1" s="1"/>
  <c r="AI130" i="1" s="1"/>
  <c r="X120" i="1"/>
  <c r="Z120" i="1" s="1"/>
  <c r="AH140" i="1"/>
  <c r="R19" i="19" s="1"/>
  <c r="R17" i="1"/>
  <c r="T17" i="1" s="1"/>
  <c r="R79" i="1"/>
  <c r="T79" i="1" s="1"/>
  <c r="U79" i="1" s="1"/>
  <c r="X79" i="1" s="1"/>
  <c r="H77" i="1"/>
  <c r="X25" i="1"/>
  <c r="L18" i="1"/>
  <c r="L31" i="1" s="1"/>
  <c r="N31" i="1" s="1"/>
  <c r="AI95" i="1"/>
  <c r="AI97" i="1" s="1"/>
  <c r="AD122" i="1"/>
  <c r="R23" i="1"/>
  <c r="R136" i="1"/>
  <c r="T136" i="1" s="1"/>
  <c r="X21" i="1"/>
  <c r="AG135" i="1"/>
  <c r="AI135" i="1" s="1"/>
  <c r="X112" i="1"/>
  <c r="Z112" i="1" s="1"/>
  <c r="R112" i="1"/>
  <c r="T112" i="1" s="1"/>
  <c r="X17" i="1"/>
  <c r="R72" i="1"/>
  <c r="T72" i="1" s="1"/>
  <c r="U72" i="1" s="1"/>
  <c r="X72" i="1" s="1"/>
  <c r="R11" i="19"/>
  <c r="L26" i="1"/>
  <c r="L32" i="1" s="1"/>
  <c r="AD41" i="1"/>
  <c r="AF41" i="1" s="1"/>
  <c r="AG114" i="1"/>
  <c r="AI114" i="1" s="1"/>
  <c r="N116" i="1"/>
  <c r="N140" i="1" s="1"/>
  <c r="G19" i="19" s="1"/>
  <c r="L116" i="1"/>
  <c r="L140" i="1" s="1"/>
  <c r="E19" i="19" s="1"/>
  <c r="R124" i="1"/>
  <c r="R119" i="1"/>
  <c r="AH88" i="1"/>
  <c r="R15" i="19" s="1"/>
  <c r="R133" i="1"/>
  <c r="R137" i="1"/>
  <c r="T113" i="1"/>
  <c r="AG113" i="1"/>
  <c r="AI113" i="1" s="1"/>
  <c r="G13" i="19"/>
  <c r="R78" i="1"/>
  <c r="T78" i="1" s="1"/>
  <c r="U78" i="1" s="1"/>
  <c r="X78" i="1" s="1"/>
  <c r="Z78" i="1" s="1"/>
  <c r="AA78" i="1" s="1"/>
  <c r="AD78" i="1" s="1"/>
  <c r="N104" i="1"/>
  <c r="N106" i="1" s="1"/>
  <c r="R71" i="1"/>
  <c r="T71" i="1" s="1"/>
  <c r="X16" i="1"/>
  <c r="AD16" i="1"/>
  <c r="AF16" i="1" s="1"/>
  <c r="H97" i="1"/>
  <c r="H106" i="1" s="1"/>
  <c r="R77" i="1"/>
  <c r="T77" i="1" s="1"/>
  <c r="L86" i="1"/>
  <c r="T73" i="1"/>
  <c r="U73" i="1" s="1"/>
  <c r="X73" i="1" s="1"/>
  <c r="T82" i="1"/>
  <c r="U82" i="1" s="1"/>
  <c r="X82" i="1" s="1"/>
  <c r="T80" i="1"/>
  <c r="U80" i="1" s="1"/>
  <c r="X80" i="1" s="1"/>
  <c r="Z40" i="1"/>
  <c r="T43" i="1"/>
  <c r="AF21" i="1"/>
  <c r="AD42" i="1"/>
  <c r="AF42" i="1" s="1"/>
  <c r="T123" i="1"/>
  <c r="AD123" i="1"/>
  <c r="X123" i="1"/>
  <c r="X42" i="1"/>
  <c r="Z42" i="1" s="1"/>
  <c r="N17" i="1"/>
  <c r="AF40" i="1"/>
  <c r="AG40" i="1"/>
  <c r="H42" i="1"/>
  <c r="H44" i="1" s="1"/>
  <c r="H59" i="1" s="1"/>
  <c r="R127" i="1"/>
  <c r="AG104" i="1"/>
  <c r="AI100" i="1"/>
  <c r="AI104" i="1" s="1"/>
  <c r="N74" i="1"/>
  <c r="L74" i="1"/>
  <c r="L43" i="1"/>
  <c r="L44" i="1" s="1"/>
  <c r="L59" i="1" s="1"/>
  <c r="T126" i="1"/>
  <c r="AG126" i="1"/>
  <c r="AI126" i="1" s="1"/>
  <c r="T25" i="1"/>
  <c r="N86" i="1"/>
  <c r="H34" i="1" l="1"/>
  <c r="AI106" i="1"/>
  <c r="S17" i="19" s="1"/>
  <c r="AG106" i="1"/>
  <c r="Q17" i="19" s="1"/>
  <c r="T44" i="1"/>
  <c r="T59" i="1" s="1"/>
  <c r="L34" i="1"/>
  <c r="E9" i="19" s="1"/>
  <c r="N32" i="1"/>
  <c r="N34" i="1" s="1"/>
  <c r="G9" i="19" s="1"/>
  <c r="N18" i="1"/>
  <c r="N28" i="1" s="1"/>
  <c r="AG16" i="1"/>
  <c r="AI16" i="1" s="1"/>
  <c r="T23" i="1"/>
  <c r="AG21" i="1"/>
  <c r="AI21" i="1" s="1"/>
  <c r="AG17" i="1"/>
  <c r="AI17" i="1" s="1"/>
  <c r="G17" i="19"/>
  <c r="D17" i="19"/>
  <c r="D9" i="19"/>
  <c r="T22" i="1"/>
  <c r="L28" i="1"/>
  <c r="E7" i="19" s="1"/>
  <c r="AD132" i="1"/>
  <c r="AF132" i="1" s="1"/>
  <c r="AD111" i="1"/>
  <c r="AF111" i="1" s="1"/>
  <c r="AF116" i="1" s="1"/>
  <c r="AD121" i="1"/>
  <c r="AF121" i="1" s="1"/>
  <c r="X41" i="1"/>
  <c r="Z41" i="1" s="1"/>
  <c r="AG125" i="1"/>
  <c r="AI125" i="1" s="1"/>
  <c r="R116" i="1"/>
  <c r="B9" i="19"/>
  <c r="AG115" i="1"/>
  <c r="AI115" i="1" s="1"/>
  <c r="R18" i="1"/>
  <c r="R31" i="1" s="1"/>
  <c r="X39" i="1"/>
  <c r="AD39" i="1"/>
  <c r="AD44" i="1" s="1"/>
  <c r="AD59" i="1" s="1"/>
  <c r="AD120" i="1"/>
  <c r="AF120" i="1" s="1"/>
  <c r="AD22" i="1"/>
  <c r="X22" i="1"/>
  <c r="AF130" i="1"/>
  <c r="R138" i="1"/>
  <c r="H86" i="1"/>
  <c r="AD25" i="1"/>
  <c r="AF25" i="1" s="1"/>
  <c r="X116" i="1"/>
  <c r="AG112" i="1"/>
  <c r="AI112" i="1" s="1"/>
  <c r="AF122" i="1"/>
  <c r="AG122" i="1"/>
  <c r="AI122" i="1" s="1"/>
  <c r="AD136" i="1"/>
  <c r="AF136" i="1" s="1"/>
  <c r="X136" i="1"/>
  <c r="X23" i="1"/>
  <c r="AD23" i="1"/>
  <c r="AF23" i="1" s="1"/>
  <c r="Z21" i="1"/>
  <c r="Z17" i="1"/>
  <c r="R26" i="1"/>
  <c r="R32" i="1" s="1"/>
  <c r="T116" i="1"/>
  <c r="L88" i="1"/>
  <c r="E15" i="19" s="1"/>
  <c r="T137" i="1"/>
  <c r="X133" i="1"/>
  <c r="Z133" i="1" s="1"/>
  <c r="AD133" i="1"/>
  <c r="AF133" i="1" s="1"/>
  <c r="AD124" i="1"/>
  <c r="AF124" i="1" s="1"/>
  <c r="X124" i="1"/>
  <c r="Z124" i="1" s="1"/>
  <c r="Z132" i="1"/>
  <c r="T119" i="1"/>
  <c r="AG42" i="1"/>
  <c r="AI42" i="1" s="1"/>
  <c r="T133" i="1"/>
  <c r="Z121" i="1"/>
  <c r="T124" i="1"/>
  <c r="X137" i="1"/>
  <c r="Z137" i="1" s="1"/>
  <c r="AD137" i="1"/>
  <c r="AF137" i="1" s="1"/>
  <c r="AD119" i="1"/>
  <c r="AF119" i="1" s="1"/>
  <c r="X119" i="1"/>
  <c r="Z119" i="1" s="1"/>
  <c r="R74" i="1"/>
  <c r="Z16" i="1"/>
  <c r="Z111" i="1"/>
  <c r="Z116" i="1" s="1"/>
  <c r="Z79" i="1"/>
  <c r="AA79" i="1" s="1"/>
  <c r="AD79" i="1" s="1"/>
  <c r="AF78" i="1"/>
  <c r="AG78" i="1"/>
  <c r="AI78" i="1" s="1"/>
  <c r="Z80" i="1"/>
  <c r="AA80" i="1" s="1"/>
  <c r="AD80" i="1" s="1"/>
  <c r="AF80" i="1" s="1"/>
  <c r="Z82" i="1"/>
  <c r="AA82" i="1" s="1"/>
  <c r="AD82" i="1" s="1"/>
  <c r="Z73" i="1"/>
  <c r="AA73" i="1" s="1"/>
  <c r="AD73" i="1" s="1"/>
  <c r="AF73" i="1" s="1"/>
  <c r="T18" i="1"/>
  <c r="S13" i="19"/>
  <c r="Q13" i="19"/>
  <c r="F74" i="1"/>
  <c r="F88" i="1" s="1"/>
  <c r="T86" i="1"/>
  <c r="N43" i="1"/>
  <c r="N44" i="1" s="1"/>
  <c r="N59" i="1" s="1"/>
  <c r="AG43" i="1"/>
  <c r="AI43" i="1" s="1"/>
  <c r="AD127" i="1"/>
  <c r="AF127" i="1" s="1"/>
  <c r="X127" i="1"/>
  <c r="Z127" i="1" s="1"/>
  <c r="AI40" i="1"/>
  <c r="Z123" i="1"/>
  <c r="AG123" i="1"/>
  <c r="T74" i="1"/>
  <c r="T127" i="1"/>
  <c r="Z72" i="1"/>
  <c r="AA72" i="1" s="1"/>
  <c r="AD72" i="1" s="1"/>
  <c r="AF72" i="1" s="1"/>
  <c r="AF123" i="1"/>
  <c r="U71" i="1"/>
  <c r="X71" i="1" s="1"/>
  <c r="U77" i="1"/>
  <c r="X77" i="1" s="1"/>
  <c r="N88" i="1"/>
  <c r="G15" i="19" s="1"/>
  <c r="Z25" i="1"/>
  <c r="R86" i="1"/>
  <c r="X44" i="1" l="1"/>
  <c r="X59" i="1" s="1"/>
  <c r="R34" i="1"/>
  <c r="H9" i="19" s="1"/>
  <c r="T26" i="1"/>
  <c r="T28" i="1" s="1"/>
  <c r="AG23" i="1"/>
  <c r="AI23" i="1" s="1"/>
  <c r="AG22" i="1"/>
  <c r="AI22" i="1" s="1"/>
  <c r="AG111" i="1"/>
  <c r="AG116" i="1" s="1"/>
  <c r="F142" i="1"/>
  <c r="F143" i="1" s="1"/>
  <c r="AD116" i="1"/>
  <c r="AG25" i="1"/>
  <c r="AI25" i="1" s="1"/>
  <c r="AG132" i="1"/>
  <c r="AI132" i="1" s="1"/>
  <c r="AF22" i="1"/>
  <c r="T32" i="1"/>
  <c r="AG41" i="1"/>
  <c r="AI41" i="1" s="1"/>
  <c r="AG121" i="1"/>
  <c r="AI121" i="1" s="1"/>
  <c r="R28" i="1"/>
  <c r="H7" i="19" s="1"/>
  <c r="R140" i="1"/>
  <c r="H19" i="19" s="1"/>
  <c r="AG120" i="1"/>
  <c r="AI120" i="1" s="1"/>
  <c r="Z39" i="1"/>
  <c r="Z44" i="1" s="1"/>
  <c r="Z59" i="1" s="1"/>
  <c r="AG39" i="1"/>
  <c r="AF39" i="1"/>
  <c r="AF44" i="1" s="1"/>
  <c r="AF59" i="1" s="1"/>
  <c r="Z22" i="1"/>
  <c r="AG124" i="1"/>
  <c r="AI124" i="1" s="1"/>
  <c r="T138" i="1"/>
  <c r="T140" i="1" s="1"/>
  <c r="J19" i="19" s="1"/>
  <c r="Z23" i="1"/>
  <c r="Z136" i="1"/>
  <c r="Z138" i="1" s="1"/>
  <c r="Z140" i="1" s="1"/>
  <c r="AG136" i="1"/>
  <c r="AI136" i="1" s="1"/>
  <c r="X26" i="1"/>
  <c r="X32" i="1" s="1"/>
  <c r="G11" i="19"/>
  <c r="J11" i="19"/>
  <c r="H11" i="19"/>
  <c r="AD26" i="1"/>
  <c r="AD32" i="1" s="1"/>
  <c r="R88" i="1"/>
  <c r="H15" i="19" s="1"/>
  <c r="AG119" i="1"/>
  <c r="AI119" i="1" s="1"/>
  <c r="AG137" i="1"/>
  <c r="AI137" i="1" s="1"/>
  <c r="AG133" i="1"/>
  <c r="AI133" i="1" s="1"/>
  <c r="T88" i="1"/>
  <c r="J15" i="19" s="1"/>
  <c r="AG73" i="1"/>
  <c r="AI73" i="1" s="1"/>
  <c r="AF79" i="1"/>
  <c r="AG79" i="1"/>
  <c r="AI79" i="1" s="1"/>
  <c r="AF82" i="1"/>
  <c r="AG82" i="1"/>
  <c r="AI82" i="1" s="1"/>
  <c r="H116" i="1"/>
  <c r="H140" i="1" s="1"/>
  <c r="D19" i="19" s="1"/>
  <c r="AI123" i="1"/>
  <c r="AF18" i="1"/>
  <c r="AD18" i="1"/>
  <c r="AD31" i="1" s="1"/>
  <c r="Z77" i="1"/>
  <c r="AA77" i="1" s="1"/>
  <c r="AD77" i="1" s="1"/>
  <c r="AG77" i="1" s="1"/>
  <c r="AD138" i="1"/>
  <c r="AG72" i="1"/>
  <c r="AI72" i="1" s="1"/>
  <c r="Z18" i="1"/>
  <c r="X18" i="1"/>
  <c r="X31" i="1" s="1"/>
  <c r="AF138" i="1"/>
  <c r="AF140" i="1" s="1"/>
  <c r="AG18" i="1"/>
  <c r="AG80" i="1"/>
  <c r="AI80" i="1" s="1"/>
  <c r="X138" i="1"/>
  <c r="X140" i="1" s="1"/>
  <c r="H74" i="1"/>
  <c r="H88" i="1" s="1"/>
  <c r="D15" i="19" s="1"/>
  <c r="T31" i="1"/>
  <c r="X74" i="1"/>
  <c r="Z71" i="1"/>
  <c r="Z74" i="1" s="1"/>
  <c r="AG127" i="1"/>
  <c r="AI127" i="1" s="1"/>
  <c r="AI111" i="1" l="1"/>
  <c r="AI116" i="1" s="1"/>
  <c r="AD140" i="1"/>
  <c r="N19" i="19" s="1"/>
  <c r="AG44" i="1"/>
  <c r="AG59" i="1" s="1"/>
  <c r="AD34" i="1"/>
  <c r="N9" i="19" s="1"/>
  <c r="AF32" i="1"/>
  <c r="X34" i="1"/>
  <c r="K9" i="19" s="1"/>
  <c r="Z32" i="1"/>
  <c r="T34" i="1"/>
  <c r="J9" i="19" s="1"/>
  <c r="AF26" i="1"/>
  <c r="AF28" i="1" s="1"/>
  <c r="AG32" i="1"/>
  <c r="AI32" i="1" s="1"/>
  <c r="AI39" i="1"/>
  <c r="AI44" i="1" s="1"/>
  <c r="AI59" i="1" s="1"/>
  <c r="X28" i="1"/>
  <c r="K7" i="19" s="1"/>
  <c r="AD28" i="1"/>
  <c r="N7" i="19" s="1"/>
  <c r="Z26" i="1"/>
  <c r="Z28" i="1" s="1"/>
  <c r="Y142" i="1"/>
  <c r="L7" i="19"/>
  <c r="O7" i="19"/>
  <c r="AE142" i="1"/>
  <c r="F7" i="19"/>
  <c r="G7" i="19" s="1"/>
  <c r="M142" i="1"/>
  <c r="I7" i="19"/>
  <c r="J7" i="19" s="1"/>
  <c r="S142" i="1"/>
  <c r="N11" i="19"/>
  <c r="P11" i="19"/>
  <c r="AG26" i="1"/>
  <c r="AG28" i="1" s="1"/>
  <c r="AG31" i="1"/>
  <c r="E11" i="19"/>
  <c r="L142" i="1"/>
  <c r="L143" i="1" s="1"/>
  <c r="R142" i="1"/>
  <c r="X86" i="1"/>
  <c r="X88" i="1" s="1"/>
  <c r="K15" i="19" s="1"/>
  <c r="AF77" i="1"/>
  <c r="K11" i="19"/>
  <c r="AI138" i="1"/>
  <c r="AI18" i="1"/>
  <c r="M11" i="19"/>
  <c r="B19" i="19"/>
  <c r="Z31" i="1"/>
  <c r="AF31" i="1"/>
  <c r="M19" i="19"/>
  <c r="AA71" i="1"/>
  <c r="AD71" i="1" s="1"/>
  <c r="AI77" i="1"/>
  <c r="B15" i="19"/>
  <c r="K19" i="19"/>
  <c r="P19" i="19"/>
  <c r="AG138" i="1"/>
  <c r="AG140" i="1" s="1"/>
  <c r="AF34" i="1" l="1"/>
  <c r="P9" i="19" s="1"/>
  <c r="Z34" i="1"/>
  <c r="M9" i="19" s="1"/>
  <c r="AG34" i="1"/>
  <c r="Q9" i="19" s="1"/>
  <c r="H21" i="19"/>
  <c r="R143" i="1"/>
  <c r="R144" i="1" s="1"/>
  <c r="H23" i="19" s="1"/>
  <c r="T142" i="1"/>
  <c r="J21" i="19" s="1"/>
  <c r="AI26" i="1"/>
  <c r="AI28" i="1" s="1"/>
  <c r="M7" i="19"/>
  <c r="I21" i="19"/>
  <c r="S144" i="1"/>
  <c r="I23" i="19" s="1"/>
  <c r="AE144" i="1"/>
  <c r="O21" i="19"/>
  <c r="D11" i="19"/>
  <c r="F21" i="19"/>
  <c r="M144" i="1"/>
  <c r="F23" i="19" s="1"/>
  <c r="P7" i="19"/>
  <c r="L21" i="19"/>
  <c r="Y144" i="1"/>
  <c r="L23" i="19" s="1"/>
  <c r="Q7" i="19"/>
  <c r="AI31" i="1"/>
  <c r="E21" i="19"/>
  <c r="N142" i="1"/>
  <c r="G21" i="19" s="1"/>
  <c r="Q19" i="19"/>
  <c r="AF86" i="1"/>
  <c r="AD86" i="1"/>
  <c r="AG86" i="1"/>
  <c r="Z86" i="1"/>
  <c r="Z88" i="1" s="1"/>
  <c r="X142" i="1"/>
  <c r="X143" i="1" s="1"/>
  <c r="AI140" i="1"/>
  <c r="S19" i="19" s="1"/>
  <c r="AD74" i="1"/>
  <c r="AF71" i="1"/>
  <c r="AF74" i="1" s="1"/>
  <c r="AG71" i="1"/>
  <c r="AI71" i="1" s="1"/>
  <c r="AI34" i="1" l="1"/>
  <c r="S9" i="19" s="1"/>
  <c r="M15" i="19"/>
  <c r="Z142" i="1"/>
  <c r="M21" i="19" s="1"/>
  <c r="Q11" i="19"/>
  <c r="O23" i="19"/>
  <c r="C7" i="19"/>
  <c r="D7" i="19" s="1"/>
  <c r="G142" i="1"/>
  <c r="R7" i="19"/>
  <c r="B22" i="19"/>
  <c r="B11" i="19"/>
  <c r="AI86" i="1"/>
  <c r="AG74" i="1"/>
  <c r="AI74" i="1" s="1"/>
  <c r="H22" i="19"/>
  <c r="T143" i="1"/>
  <c r="J22" i="19" s="1"/>
  <c r="L144" i="1"/>
  <c r="E23" i="19" s="1"/>
  <c r="E22" i="19"/>
  <c r="N143" i="1"/>
  <c r="G22" i="19" s="1"/>
  <c r="AF88" i="1"/>
  <c r="AF142" i="1" s="1"/>
  <c r="AD88" i="1"/>
  <c r="K21" i="19"/>
  <c r="AG88" i="1" l="1"/>
  <c r="Q15" i="19" s="1"/>
  <c r="AD142" i="1"/>
  <c r="AD143" i="1" s="1"/>
  <c r="AG143" i="1" s="1"/>
  <c r="S11" i="19"/>
  <c r="S7" i="19"/>
  <c r="G144" i="1"/>
  <c r="C21" i="19"/>
  <c r="AH142" i="1"/>
  <c r="R21" i="19" s="1"/>
  <c r="H143" i="1"/>
  <c r="D22" i="19" s="1"/>
  <c r="H142" i="1"/>
  <c r="D21" i="19" s="1"/>
  <c r="B21" i="19"/>
  <c r="F144" i="1"/>
  <c r="B23" i="19" s="1"/>
  <c r="AI88" i="1"/>
  <c r="S15" i="19" s="1"/>
  <c r="T144" i="1"/>
  <c r="J23" i="19" s="1"/>
  <c r="P15" i="19"/>
  <c r="N144" i="1"/>
  <c r="G23" i="19" s="1"/>
  <c r="K22" i="19"/>
  <c r="Z143" i="1"/>
  <c r="P21" i="19"/>
  <c r="N15" i="19"/>
  <c r="X144" i="1"/>
  <c r="K23" i="19" s="1"/>
  <c r="C23" i="19" l="1"/>
  <c r="AH144" i="1"/>
  <c r="R23" i="19" s="1"/>
  <c r="H144" i="1"/>
  <c r="D23" i="19" s="1"/>
  <c r="AD144" i="1"/>
  <c r="AG144" i="1" s="1"/>
  <c r="AG142" i="1"/>
  <c r="N21" i="19"/>
  <c r="M22" i="19"/>
  <c r="Z144" i="1"/>
  <c r="M23" i="19" s="1"/>
  <c r="N23" i="19" l="1"/>
  <c r="Q21" i="19"/>
  <c r="AI142" i="1"/>
  <c r="S21" i="19" s="1"/>
  <c r="AF143" i="1"/>
  <c r="N22" i="19"/>
  <c r="Q22" i="19" l="1"/>
  <c r="AI143" i="1"/>
  <c r="S22" i="19" s="1"/>
  <c r="P22" i="19"/>
  <c r="AF144" i="1"/>
  <c r="P23" i="19" s="1"/>
  <c r="Q23" i="19"/>
  <c r="AI144" i="1"/>
  <c r="S23" i="19" s="1"/>
</calcChain>
</file>

<file path=xl/sharedStrings.xml><?xml version="1.0" encoding="utf-8"?>
<sst xmlns="http://schemas.openxmlformats.org/spreadsheetml/2006/main" count="265" uniqueCount="129">
  <si>
    <t>Name of Subawardee:</t>
  </si>
  <si>
    <t>Line Items</t>
  </si>
  <si>
    <t>Year 1</t>
  </si>
  <si>
    <t>Year 2</t>
  </si>
  <si>
    <t>Year 3</t>
  </si>
  <si>
    <t>Year 4</t>
  </si>
  <si>
    <t>Year 5</t>
  </si>
  <si>
    <t>Total</t>
  </si>
  <si>
    <t xml:space="preserve">Total </t>
  </si>
  <si>
    <t xml:space="preserve">Grand </t>
  </si>
  <si>
    <t>USAID</t>
  </si>
  <si>
    <t>Leverage</t>
  </si>
  <si>
    <t>Personnel</t>
  </si>
  <si>
    <t>Fringe Benefits</t>
  </si>
  <si>
    <t>Travel</t>
  </si>
  <si>
    <t>Equipment</t>
  </si>
  <si>
    <t>Supplies</t>
  </si>
  <si>
    <t>Contractual</t>
  </si>
  <si>
    <t>Other Direct Costs</t>
  </si>
  <si>
    <t>Total Direct Costs</t>
  </si>
  <si>
    <t>Indirect Costs</t>
  </si>
  <si>
    <t>Name of Project:</t>
  </si>
  <si>
    <t>Subaward Budget</t>
  </si>
  <si>
    <t>Budget Assumptions</t>
  </si>
  <si>
    <t>Inflation - Locally Purchased Goods/Services - XXXX%</t>
  </si>
  <si>
    <t>Unit</t>
  </si>
  <si>
    <t>Cost</t>
  </si>
  <si>
    <t>Duration</t>
  </si>
  <si>
    <t>Type</t>
  </si>
  <si>
    <t>Headquarters Personnel (include Level of Effort)</t>
  </si>
  <si>
    <t>LOE</t>
  </si>
  <si>
    <t>Position 1</t>
  </si>
  <si>
    <t>/months</t>
  </si>
  <si>
    <t>Position 2</t>
  </si>
  <si>
    <t>Subtotal HQ Personnel</t>
  </si>
  <si>
    <t>*Key Personnel</t>
  </si>
  <si>
    <t>Field Personnel (include Level of Effort)</t>
  </si>
  <si>
    <t>Field Position 1</t>
  </si>
  <si>
    <t>Field Position 2</t>
  </si>
  <si>
    <t>Field Position 3</t>
  </si>
  <si>
    <t>Field Position 4</t>
  </si>
  <si>
    <t>Field Position 5</t>
  </si>
  <si>
    <t>Subtotal Field Personnel</t>
  </si>
  <si>
    <t>Personnel Total</t>
  </si>
  <si>
    <t>Fringe Benefits - Headquarters</t>
  </si>
  <si>
    <t xml:space="preserve">Fringe Benefits CCN </t>
  </si>
  <si>
    <t>Fringe Benefits Total</t>
  </si>
  <si>
    <t xml:space="preserve">Travel </t>
  </si>
  <si>
    <t>HQ Staff Travel</t>
  </si>
  <si>
    <t>HQ Staff - Airfare</t>
  </si>
  <si>
    <t>/RT</t>
  </si>
  <si>
    <t>HQ Staff - Lodging</t>
  </si>
  <si>
    <t>/day</t>
  </si>
  <si>
    <t>HQ Staff - Ground Transportation</t>
  </si>
  <si>
    <t xml:space="preserve">HQ Staff - Misc. Staff Travel Related Expenses </t>
  </si>
  <si>
    <t>/trip</t>
  </si>
  <si>
    <t>HQ Staff - M&amp;IE</t>
  </si>
  <si>
    <t>Total HQ Staff Travel</t>
  </si>
  <si>
    <t>Local Staff Travel</t>
  </si>
  <si>
    <t>Airfare for: XXX</t>
  </si>
  <si>
    <t>Lodging for: XXX</t>
  </si>
  <si>
    <t>Ground Transportation for: XXX</t>
  </si>
  <si>
    <t>Misc. Staff Travel Related Expenses for:  XXX</t>
  </si>
  <si>
    <t>M&amp;IE for: XXX</t>
  </si>
  <si>
    <t>Total Local Staff Travel</t>
  </si>
  <si>
    <t>Travel Total</t>
  </si>
  <si>
    <t>Equipment  - Over $5,000 USD</t>
  </si>
  <si>
    <t>Equipment 1</t>
  </si>
  <si>
    <t>/unit</t>
  </si>
  <si>
    <t>Equipment 2</t>
  </si>
  <si>
    <t>Equipment Total</t>
  </si>
  <si>
    <t>Supplies - Under $5,000 USD</t>
  </si>
  <si>
    <t>HQ Office Supplies</t>
  </si>
  <si>
    <t>Other Supplies 1</t>
  </si>
  <si>
    <t>/XXX</t>
  </si>
  <si>
    <t>Other Supplies 2</t>
  </si>
  <si>
    <t>Other Supplies 3</t>
  </si>
  <si>
    <t>Total HQ Office Supplies</t>
  </si>
  <si>
    <t>Field Office Supplies</t>
  </si>
  <si>
    <t>Desktop computers, laptops and software</t>
  </si>
  <si>
    <t xml:space="preserve">Phones </t>
  </si>
  <si>
    <t>Stationary/Printing Materials</t>
  </si>
  <si>
    <t>Misc. Office Supplies</t>
  </si>
  <si>
    <t>Other Supplies 4</t>
  </si>
  <si>
    <t>Other Supplies 5</t>
  </si>
  <si>
    <t>Total Field Office Supplies</t>
  </si>
  <si>
    <t>Supplies Total</t>
  </si>
  <si>
    <t>Subawards</t>
  </si>
  <si>
    <t>Subaward to XXXX for XXXX</t>
  </si>
  <si>
    <t>Contractual to XXXX for XXXX</t>
  </si>
  <si>
    <t>Total Subawards</t>
  </si>
  <si>
    <t>Consultants</t>
  </si>
  <si>
    <t>Consultant 1</t>
  </si>
  <si>
    <t>/month</t>
  </si>
  <si>
    <t>Consultant 2</t>
  </si>
  <si>
    <t>Consultant 3</t>
  </si>
  <si>
    <t>Consultant 4</t>
  </si>
  <si>
    <t>Total Consultants</t>
  </si>
  <si>
    <t>Contractual Total</t>
  </si>
  <si>
    <t>HQ - Other Direct Costs</t>
  </si>
  <si>
    <t xml:space="preserve">Other Direct Expenses 1: </t>
  </si>
  <si>
    <t xml:space="preserve">Other Direct Expenses 2: </t>
  </si>
  <si>
    <t xml:space="preserve">Other Direct Expenses 3: </t>
  </si>
  <si>
    <t xml:space="preserve">Other Direct Expenses 4: </t>
  </si>
  <si>
    <t xml:space="preserve">Other Direct Expenses 5: </t>
  </si>
  <si>
    <t>Subtotal HQ Other Direct Costs</t>
  </si>
  <si>
    <t>Field Office (FO) - Other Direct Costs</t>
  </si>
  <si>
    <t>Audit Costs</t>
  </si>
  <si>
    <t>/year</t>
  </si>
  <si>
    <t xml:space="preserve">Banking and cash handling fees </t>
  </si>
  <si>
    <t>Courier fees/services/postage</t>
  </si>
  <si>
    <t>Recruitment/Procurement Advertising</t>
  </si>
  <si>
    <t xml:space="preserve">Email/Internet </t>
  </si>
  <si>
    <t>Phones</t>
  </si>
  <si>
    <t>Office Rent</t>
  </si>
  <si>
    <t xml:space="preserve">Equipment and office repairs and maintenance </t>
  </si>
  <si>
    <t>Insurance</t>
  </si>
  <si>
    <t>Objective 1: Improved quality of education for children and youth in receptor communities</t>
  </si>
  <si>
    <t xml:space="preserve">Meeting Expenses </t>
  </si>
  <si>
    <t>Translation Costs</t>
  </si>
  <si>
    <t>Objective 2: Increased access to quality education for children and youth in receptor communities</t>
  </si>
  <si>
    <t>Objective 3: Strengthened community engagement in educational opportunities</t>
  </si>
  <si>
    <t>Subtotal Field Office Other Direct Costs</t>
  </si>
  <si>
    <t>Other Direct Costs Total</t>
  </si>
  <si>
    <t xml:space="preserve">Total Indirect Costs (NICRA or De Minimis) </t>
  </si>
  <si>
    <t xml:space="preserve"> </t>
  </si>
  <si>
    <t>USAID RFA No. XXXXX</t>
  </si>
  <si>
    <t>Country: XXX</t>
  </si>
  <si>
    <t>Merit Based Increases for Staff - XXXX%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</si>
</sst>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000"/>
    <numFmt numFmtId="167" formatCode="#,##0.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i/>
      <sz val="12"/>
      <name val="Times New Roman"/>
      <family val="1"/>
    </font>
    <font>
      <i/>
      <sz val="10"/>
      <name val="Times New Roman"/>
      <family val="1"/>
    </font>
    <font>
      <b/>
      <i/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color theme="0"/>
      <name val="Times New Roman"/>
      <family val="1"/>
    </font>
    <font>
      <b/>
      <sz val="12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D7E5F5"/>
        <bgColor indexed="64"/>
      </patternFill>
    </fill>
    <fill>
      <patternFill patternType="solid">
        <fgColor rgb="FFE7F0F9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5" fillId="0" borderId="0"/>
    <xf numFmtId="0" fontId="6" fillId="0" borderId="0"/>
    <xf numFmtId="43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6">
    <xf numFmtId="0" fontId="0" fillId="0" borderId="0" xfId="0"/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9" fontId="8" fillId="0" borderId="1" xfId="2" applyFont="1" applyBorder="1" applyAlignment="1">
      <alignment horizontal="center" wrapText="1"/>
    </xf>
    <xf numFmtId="0" fontId="8" fillId="0" borderId="0" xfId="0" applyFont="1" applyAlignment="1">
      <alignment wrapText="1"/>
    </xf>
    <xf numFmtId="3" fontId="8" fillId="0" borderId="0" xfId="0" applyNumberFormat="1" applyFont="1" applyAlignment="1">
      <alignment wrapText="1"/>
    </xf>
    <xf numFmtId="3" fontId="8" fillId="0" borderId="0" xfId="0" applyNumberFormat="1" applyFont="1"/>
    <xf numFmtId="3" fontId="8" fillId="0" borderId="0" xfId="0" applyNumberFormat="1" applyFont="1" applyAlignment="1">
      <alignment horizontal="center"/>
    </xf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167" fontId="8" fillId="0" borderId="0" xfId="0" applyNumberFormat="1" applyFont="1" applyAlignment="1">
      <alignment horizontal="center"/>
    </xf>
    <xf numFmtId="38" fontId="12" fillId="0" borderId="0" xfId="0" applyNumberFormat="1" applyFont="1" applyAlignment="1">
      <alignment horizontal="left"/>
    </xf>
    <xf numFmtId="38" fontId="8" fillId="0" borderId="0" xfId="0" applyNumberFormat="1" applyFont="1"/>
    <xf numFmtId="164" fontId="8" fillId="0" borderId="0" xfId="0" applyNumberFormat="1" applyFont="1"/>
    <xf numFmtId="165" fontId="8" fillId="0" borderId="0" xfId="1" applyNumberFormat="1" applyFont="1"/>
    <xf numFmtId="0" fontId="13" fillId="3" borderId="24" xfId="0" applyFont="1" applyFill="1" applyBorder="1" applyAlignment="1">
      <alignment horizontal="right"/>
    </xf>
    <xf numFmtId="0" fontId="13" fillId="3" borderId="33" xfId="0" applyFont="1" applyFill="1" applyBorder="1"/>
    <xf numFmtId="0" fontId="13" fillId="3" borderId="34" xfId="0" applyFont="1" applyFill="1" applyBorder="1"/>
    <xf numFmtId="0" fontId="13" fillId="3" borderId="23" xfId="0" applyFont="1" applyFill="1" applyBorder="1" applyAlignment="1">
      <alignment horizontal="center"/>
    </xf>
    <xf numFmtId="0" fontId="13" fillId="0" borderId="25" xfId="0" applyFont="1" applyBorder="1" applyAlignment="1">
      <alignment horizontal="right"/>
    </xf>
    <xf numFmtId="0" fontId="13" fillId="0" borderId="18" xfId="0" applyFont="1" applyBorder="1" applyAlignment="1">
      <alignment horizontal="right"/>
    </xf>
    <xf numFmtId="0" fontId="13" fillId="0" borderId="12" xfId="0" applyFont="1" applyBorder="1" applyAlignment="1">
      <alignment horizontal="right"/>
    </xf>
    <xf numFmtId="0" fontId="13" fillId="0" borderId="14" xfId="0" applyFont="1" applyBorder="1" applyAlignment="1">
      <alignment horizontal="right"/>
    </xf>
    <xf numFmtId="0" fontId="13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44" fontId="10" fillId="4" borderId="24" xfId="0" applyNumberFormat="1" applyFont="1" applyFill="1" applyBorder="1"/>
    <xf numFmtId="0" fontId="8" fillId="4" borderId="2" xfId="0" applyFont="1" applyFill="1" applyBorder="1"/>
    <xf numFmtId="0" fontId="8" fillId="4" borderId="13" xfId="0" applyFont="1" applyFill="1" applyBorder="1"/>
    <xf numFmtId="0" fontId="8" fillId="4" borderId="17" xfId="0" applyFont="1" applyFill="1" applyBorder="1"/>
    <xf numFmtId="0" fontId="8" fillId="4" borderId="24" xfId="0" applyFont="1" applyFill="1" applyBorder="1"/>
    <xf numFmtId="43" fontId="10" fillId="0" borderId="25" xfId="0" applyNumberFormat="1" applyFont="1" applyBorder="1"/>
    <xf numFmtId="0" fontId="8" fillId="0" borderId="18" xfId="0" applyFont="1" applyBorder="1"/>
    <xf numFmtId="0" fontId="8" fillId="0" borderId="12" xfId="0" applyFont="1" applyBorder="1"/>
    <xf numFmtId="0" fontId="8" fillId="0" borderId="14" xfId="0" applyFont="1" applyBorder="1"/>
    <xf numFmtId="0" fontId="8" fillId="0" borderId="25" xfId="0" applyFont="1" applyBorder="1"/>
    <xf numFmtId="43" fontId="8" fillId="0" borderId="10" xfId="0" applyNumberFormat="1" applyFont="1" applyBorder="1" applyAlignment="1">
      <alignment horizontal="left" indent="1"/>
    </xf>
    <xf numFmtId="3" fontId="8" fillId="0" borderId="0" xfId="3" applyNumberFormat="1" applyFont="1"/>
    <xf numFmtId="0" fontId="8" fillId="0" borderId="0" xfId="3" applyFont="1"/>
    <xf numFmtId="3" fontId="8" fillId="0" borderId="6" xfId="0" applyNumberFormat="1" applyFont="1" applyBorder="1"/>
    <xf numFmtId="3" fontId="8" fillId="0" borderId="15" xfId="0" applyNumberFormat="1" applyFont="1" applyBorder="1"/>
    <xf numFmtId="3" fontId="8" fillId="0" borderId="10" xfId="0" applyNumberFormat="1" applyFont="1" applyBorder="1"/>
    <xf numFmtId="43" fontId="9" fillId="0" borderId="10" xfId="0" applyNumberFormat="1" applyFont="1" applyBorder="1" applyAlignment="1">
      <alignment horizontal="right"/>
    </xf>
    <xf numFmtId="3" fontId="9" fillId="0" borderId="6" xfId="0" applyNumberFormat="1" applyFont="1" applyBorder="1"/>
    <xf numFmtId="3" fontId="9" fillId="0" borderId="0" xfId="0" applyNumberFormat="1" applyFont="1"/>
    <xf numFmtId="3" fontId="9" fillId="0" borderId="15" xfId="0" applyNumberFormat="1" applyFont="1" applyBorder="1"/>
    <xf numFmtId="3" fontId="9" fillId="0" borderId="10" xfId="0" applyNumberFormat="1" applyFont="1" applyBorder="1"/>
    <xf numFmtId="43" fontId="12" fillId="0" borderId="10" xfId="0" applyNumberFormat="1" applyFont="1" applyBorder="1" applyAlignment="1">
      <alignment horizontal="left"/>
    </xf>
    <xf numFmtId="43" fontId="10" fillId="0" borderId="10" xfId="0" applyNumberFormat="1" applyFont="1" applyBorder="1"/>
    <xf numFmtId="43" fontId="9" fillId="0" borderId="10" xfId="0" applyNumberFormat="1" applyFont="1" applyBorder="1" applyAlignment="1">
      <alignment horizontal="left"/>
    </xf>
    <xf numFmtId="43" fontId="10" fillId="5" borderId="24" xfId="0" applyNumberFormat="1" applyFont="1" applyFill="1" applyBorder="1" applyAlignment="1">
      <alignment horizontal="right"/>
    </xf>
    <xf numFmtId="3" fontId="10" fillId="5" borderId="2" xfId="0" applyNumberFormat="1" applyFont="1" applyFill="1" applyBorder="1"/>
    <xf numFmtId="43" fontId="10" fillId="0" borderId="24" xfId="0" applyNumberFormat="1" applyFont="1" applyBorder="1"/>
    <xf numFmtId="3" fontId="8" fillId="0" borderId="2" xfId="0" applyNumberFormat="1" applyFont="1" applyBorder="1"/>
    <xf numFmtId="3" fontId="8" fillId="0" borderId="13" xfId="0" applyNumberFormat="1" applyFont="1" applyBorder="1"/>
    <xf numFmtId="3" fontId="8" fillId="0" borderId="17" xfId="0" applyNumberFormat="1" applyFont="1" applyBorder="1"/>
    <xf numFmtId="3" fontId="8" fillId="0" borderId="24" xfId="0" applyNumberFormat="1" applyFont="1" applyBorder="1"/>
    <xf numFmtId="43" fontId="10" fillId="4" borderId="24" xfId="0" applyNumberFormat="1" applyFont="1" applyFill="1" applyBorder="1"/>
    <xf numFmtId="3" fontId="8" fillId="4" borderId="2" xfId="0" applyNumberFormat="1" applyFont="1" applyFill="1" applyBorder="1"/>
    <xf numFmtId="3" fontId="8" fillId="4" borderId="13" xfId="0" applyNumberFormat="1" applyFont="1" applyFill="1" applyBorder="1"/>
    <xf numFmtId="3" fontId="8" fillId="4" borderId="17" xfId="0" applyNumberFormat="1" applyFont="1" applyFill="1" applyBorder="1"/>
    <xf numFmtId="3" fontId="8" fillId="4" borderId="24" xfId="0" applyNumberFormat="1" applyFont="1" applyFill="1" applyBorder="1"/>
    <xf numFmtId="43" fontId="8" fillId="0" borderId="25" xfId="0" applyNumberFormat="1" applyFont="1" applyBorder="1"/>
    <xf numFmtId="3" fontId="8" fillId="0" borderId="18" xfId="0" applyNumberFormat="1" applyFont="1" applyBorder="1"/>
    <xf numFmtId="3" fontId="8" fillId="0" borderId="12" xfId="0" applyNumberFormat="1" applyFont="1" applyBorder="1"/>
    <xf numFmtId="3" fontId="8" fillId="0" borderId="25" xfId="0" applyNumberFormat="1" applyFont="1" applyBorder="1"/>
    <xf numFmtId="43" fontId="8" fillId="0" borderId="10" xfId="0" applyNumberFormat="1" applyFont="1" applyBorder="1"/>
    <xf numFmtId="0" fontId="8" fillId="0" borderId="9" xfId="0" applyFont="1" applyBorder="1"/>
    <xf numFmtId="0" fontId="8" fillId="0" borderId="26" xfId="0" applyFont="1" applyBorder="1"/>
    <xf numFmtId="0" fontId="8" fillId="0" borderId="8" xfId="0" applyFont="1" applyBorder="1"/>
    <xf numFmtId="0" fontId="8" fillId="0" borderId="19" xfId="0" applyFont="1" applyBorder="1"/>
    <xf numFmtId="0" fontId="8" fillId="0" borderId="22" xfId="0" applyFont="1" applyBorder="1"/>
    <xf numFmtId="3" fontId="10" fillId="5" borderId="24" xfId="0" applyNumberFormat="1" applyFont="1" applyFill="1" applyBorder="1"/>
    <xf numFmtId="3" fontId="8" fillId="0" borderId="14" xfId="0" applyNumberFormat="1" applyFont="1" applyBorder="1"/>
    <xf numFmtId="0" fontId="10" fillId="0" borderId="10" xfId="0" applyFont="1" applyBorder="1"/>
    <xf numFmtId="0" fontId="8" fillId="0" borderId="10" xfId="0" applyFont="1" applyBorder="1" applyAlignment="1">
      <alignment horizontal="left" indent="1"/>
    </xf>
    <xf numFmtId="0" fontId="9" fillId="0" borderId="10" xfId="0" applyFont="1" applyBorder="1" applyAlignment="1">
      <alignment horizontal="right"/>
    </xf>
    <xf numFmtId="0" fontId="12" fillId="0" borderId="10" xfId="0" applyFont="1" applyBorder="1" applyAlignment="1">
      <alignment horizontal="right"/>
    </xf>
    <xf numFmtId="3" fontId="12" fillId="0" borderId="6" xfId="0" applyNumberFormat="1" applyFont="1" applyBorder="1"/>
    <xf numFmtId="3" fontId="12" fillId="0" borderId="0" xfId="0" applyNumberFormat="1" applyFont="1"/>
    <xf numFmtId="3" fontId="12" fillId="0" borderId="15" xfId="0" applyNumberFormat="1" applyFont="1" applyBorder="1"/>
    <xf numFmtId="3" fontId="12" fillId="0" borderId="10" xfId="0" applyNumberFormat="1" applyFont="1" applyBorder="1"/>
    <xf numFmtId="0" fontId="12" fillId="0" borderId="0" xfId="0" applyFont="1"/>
    <xf numFmtId="0" fontId="8" fillId="0" borderId="10" xfId="0" applyFont="1" applyBorder="1"/>
    <xf numFmtId="43" fontId="8" fillId="0" borderId="24" xfId="0" applyNumberFormat="1" applyFont="1" applyBorder="1"/>
    <xf numFmtId="43" fontId="8" fillId="0" borderId="9" xfId="0" applyNumberFormat="1" applyFont="1" applyBorder="1"/>
    <xf numFmtId="3" fontId="8" fillId="0" borderId="19" xfId="0" applyNumberFormat="1" applyFont="1" applyBorder="1"/>
    <xf numFmtId="3" fontId="8" fillId="0" borderId="8" xfId="0" applyNumberFormat="1" applyFont="1" applyBorder="1"/>
    <xf numFmtId="3" fontId="8" fillId="0" borderId="22" xfId="0" applyNumberFormat="1" applyFont="1" applyBorder="1"/>
    <xf numFmtId="3" fontId="8" fillId="0" borderId="9" xfId="0" applyNumberFormat="1" applyFont="1" applyBorder="1"/>
    <xf numFmtId="43" fontId="9" fillId="0" borderId="24" xfId="0" applyNumberFormat="1" applyFont="1" applyBorder="1" applyAlignment="1">
      <alignment horizontal="right"/>
    </xf>
    <xf numFmtId="44" fontId="8" fillId="0" borderId="0" xfId="1" applyFont="1" applyFill="1"/>
    <xf numFmtId="9" fontId="8" fillId="0" borderId="0" xfId="2" applyFont="1" applyFill="1"/>
    <xf numFmtId="44" fontId="8" fillId="0" borderId="0" xfId="0" applyNumberFormat="1" applyFont="1"/>
    <xf numFmtId="9" fontId="8" fillId="0" borderId="0" xfId="0" applyNumberFormat="1" applyFont="1"/>
    <xf numFmtId="0" fontId="10" fillId="5" borderId="24" xfId="0" applyFont="1" applyFill="1" applyBorder="1" applyAlignment="1">
      <alignment horizontal="right"/>
    </xf>
    <xf numFmtId="0" fontId="10" fillId="0" borderId="24" xfId="0" applyFont="1" applyBorder="1" applyAlignment="1">
      <alignment horizontal="right"/>
    </xf>
    <xf numFmtId="3" fontId="10" fillId="0" borderId="2" xfId="0" applyNumberFormat="1" applyFont="1" applyBorder="1"/>
    <xf numFmtId="3" fontId="10" fillId="0" borderId="13" xfId="0" applyNumberFormat="1" applyFont="1" applyBorder="1"/>
    <xf numFmtId="3" fontId="10" fillId="0" borderId="17" xfId="0" applyNumberFormat="1" applyFont="1" applyBorder="1"/>
    <xf numFmtId="3" fontId="10" fillId="0" borderId="24" xfId="0" applyNumberFormat="1" applyFont="1" applyBorder="1"/>
    <xf numFmtId="0" fontId="10" fillId="4" borderId="24" xfId="0" applyFont="1" applyFill="1" applyBorder="1"/>
    <xf numFmtId="43" fontId="9" fillId="5" borderId="10" xfId="0" applyNumberFormat="1" applyFont="1" applyFill="1" applyBorder="1" applyAlignment="1">
      <alignment horizontal="right"/>
    </xf>
    <xf numFmtId="3" fontId="10" fillId="5" borderId="6" xfId="0" applyNumberFormat="1" applyFont="1" applyFill="1" applyBorder="1"/>
    <xf numFmtId="3" fontId="10" fillId="5" borderId="10" xfId="0" applyNumberFormat="1" applyFont="1" applyFill="1" applyBorder="1"/>
    <xf numFmtId="165" fontId="8" fillId="0" borderId="0" xfId="1" applyNumberFormat="1" applyFont="1" applyFill="1" applyBorder="1"/>
    <xf numFmtId="0" fontId="10" fillId="2" borderId="24" xfId="0" applyFont="1" applyFill="1" applyBorder="1"/>
    <xf numFmtId="41" fontId="10" fillId="2" borderId="2" xfId="0" applyNumberFormat="1" applyFont="1" applyFill="1" applyBorder="1" applyAlignment="1">
      <alignment horizontal="right"/>
    </xf>
    <xf numFmtId="41" fontId="10" fillId="2" borderId="13" xfId="0" applyNumberFormat="1" applyFont="1" applyFill="1" applyBorder="1"/>
    <xf numFmtId="41" fontId="10" fillId="2" borderId="17" xfId="0" applyNumberFormat="1" applyFont="1" applyFill="1" applyBorder="1"/>
    <xf numFmtId="41" fontId="10" fillId="2" borderId="2" xfId="0" applyNumberFormat="1" applyFont="1" applyFill="1" applyBorder="1"/>
    <xf numFmtId="3" fontId="10" fillId="2" borderId="2" xfId="0" applyNumberFormat="1" applyFont="1" applyFill="1" applyBorder="1"/>
    <xf numFmtId="3" fontId="10" fillId="2" borderId="13" xfId="0" applyNumberFormat="1" applyFont="1" applyFill="1" applyBorder="1"/>
    <xf numFmtId="3" fontId="10" fillId="2" borderId="17" xfId="0" applyNumberFormat="1" applyFont="1" applyFill="1" applyBorder="1"/>
    <xf numFmtId="3" fontId="10" fillId="2" borderId="24" xfId="0" applyNumberFormat="1" applyFont="1" applyFill="1" applyBorder="1"/>
    <xf numFmtId="165" fontId="10" fillId="0" borderId="0" xfId="1" applyNumberFormat="1" applyFont="1"/>
    <xf numFmtId="3" fontId="8" fillId="2" borderId="2" xfId="0" applyNumberFormat="1" applyFont="1" applyFill="1" applyBorder="1"/>
    <xf numFmtId="3" fontId="8" fillId="2" borderId="13" xfId="0" applyNumberFormat="1" applyFont="1" applyFill="1" applyBorder="1"/>
    <xf numFmtId="3" fontId="8" fillId="2" borderId="17" xfId="0" applyNumberFormat="1" applyFont="1" applyFill="1" applyBorder="1"/>
    <xf numFmtId="3" fontId="8" fillId="2" borderId="24" xfId="0" applyNumberFormat="1" applyFont="1" applyFill="1" applyBorder="1"/>
    <xf numFmtId="10" fontId="10" fillId="0" borderId="0" xfId="2" applyNumberFormat="1" applyFont="1" applyFill="1" applyBorder="1"/>
    <xf numFmtId="3" fontId="10" fillId="2" borderId="31" xfId="0" applyNumberFormat="1" applyFont="1" applyFill="1" applyBorder="1"/>
    <xf numFmtId="3" fontId="10" fillId="2" borderId="35" xfId="0" applyNumberFormat="1" applyFont="1" applyFill="1" applyBorder="1"/>
    <xf numFmtId="3" fontId="10" fillId="2" borderId="37" xfId="0" applyNumberFormat="1" applyFont="1" applyFill="1" applyBorder="1"/>
    <xf numFmtId="3" fontId="10" fillId="2" borderId="3" xfId="0" applyNumberFormat="1" applyFont="1" applyFill="1" applyBorder="1"/>
    <xf numFmtId="166" fontId="8" fillId="0" borderId="0" xfId="2" applyNumberFormat="1" applyFont="1"/>
    <xf numFmtId="166" fontId="8" fillId="0" borderId="0" xfId="0" applyNumberFormat="1" applyFont="1"/>
    <xf numFmtId="0" fontId="8" fillId="0" borderId="0" xfId="0" applyFont="1" applyAlignment="1">
      <alignment horizontal="left"/>
    </xf>
    <xf numFmtId="0" fontId="13" fillId="3" borderId="32" xfId="0" applyFont="1" applyFill="1" applyBorder="1" applyAlignment="1">
      <alignment horizontal="right"/>
    </xf>
    <xf numFmtId="0" fontId="13" fillId="3" borderId="33" xfId="0" applyFont="1" applyFill="1" applyBorder="1" applyAlignment="1">
      <alignment horizontal="right"/>
    </xf>
    <xf numFmtId="0" fontId="13" fillId="3" borderId="25" xfId="0" applyFont="1" applyFill="1" applyBorder="1" applyAlignment="1">
      <alignment horizontal="right"/>
    </xf>
    <xf numFmtId="0" fontId="13" fillId="3" borderId="27" xfId="0" applyFont="1" applyFill="1" applyBorder="1" applyAlignment="1">
      <alignment horizontal="right"/>
    </xf>
    <xf numFmtId="0" fontId="13" fillId="3" borderId="12" xfId="0" applyFont="1" applyFill="1" applyBorder="1" applyAlignment="1">
      <alignment horizontal="right"/>
    </xf>
    <xf numFmtId="0" fontId="13" fillId="3" borderId="18" xfId="0" applyFont="1" applyFill="1" applyBorder="1" applyAlignment="1">
      <alignment horizontal="right"/>
    </xf>
    <xf numFmtId="0" fontId="13" fillId="3" borderId="14" xfId="0" applyFont="1" applyFill="1" applyBorder="1" applyAlignment="1">
      <alignment horizontal="right"/>
    </xf>
    <xf numFmtId="0" fontId="13" fillId="3" borderId="10" xfId="0" applyFont="1" applyFill="1" applyBorder="1" applyAlignment="1">
      <alignment horizontal="center"/>
    </xf>
    <xf numFmtId="0" fontId="13" fillId="0" borderId="27" xfId="0" applyFont="1" applyBorder="1" applyAlignment="1">
      <alignment horizontal="right"/>
    </xf>
    <xf numFmtId="44" fontId="10" fillId="4" borderId="16" xfId="0" applyNumberFormat="1" applyFont="1" applyFill="1" applyBorder="1"/>
    <xf numFmtId="44" fontId="10" fillId="4" borderId="13" xfId="0" applyNumberFormat="1" applyFont="1" applyFill="1" applyBorder="1"/>
    <xf numFmtId="43" fontId="10" fillId="0" borderId="21" xfId="0" applyNumberFormat="1" applyFont="1" applyBorder="1"/>
    <xf numFmtId="10" fontId="8" fillId="0" borderId="12" xfId="0" applyNumberFormat="1" applyFont="1" applyBorder="1"/>
    <xf numFmtId="10" fontId="8" fillId="0" borderId="27" xfId="0" applyNumberFormat="1" applyFont="1" applyBorder="1"/>
    <xf numFmtId="9" fontId="8" fillId="0" borderId="27" xfId="2" applyFont="1" applyFill="1" applyBorder="1" applyAlignment="1"/>
    <xf numFmtId="9" fontId="8" fillId="0" borderId="21" xfId="2" applyFont="1" applyFill="1" applyBorder="1" applyAlignment="1"/>
    <xf numFmtId="43" fontId="9" fillId="0" borderId="21" xfId="0" applyNumberFormat="1" applyFont="1" applyBorder="1"/>
    <xf numFmtId="43" fontId="9" fillId="0" borderId="0" xfId="0" applyNumberFormat="1" applyFont="1"/>
    <xf numFmtId="43" fontId="8" fillId="0" borderId="21" xfId="0" applyNumberFormat="1" applyFont="1" applyBorder="1"/>
    <xf numFmtId="43" fontId="8" fillId="0" borderId="0" xfId="0" applyNumberFormat="1" applyFont="1"/>
    <xf numFmtId="43" fontId="10" fillId="0" borderId="0" xfId="0" applyNumberFormat="1" applyFont="1"/>
    <xf numFmtId="43" fontId="10" fillId="5" borderId="16" xfId="0" applyNumberFormat="1" applyFont="1" applyFill="1" applyBorder="1"/>
    <xf numFmtId="43" fontId="10" fillId="5" borderId="13" xfId="0" applyNumberFormat="1" applyFont="1" applyFill="1" applyBorder="1"/>
    <xf numFmtId="43" fontId="10" fillId="0" borderId="16" xfId="0" applyNumberFormat="1" applyFont="1" applyBorder="1"/>
    <xf numFmtId="43" fontId="10" fillId="0" borderId="13" xfId="0" applyNumberFormat="1" applyFont="1" applyBorder="1"/>
    <xf numFmtId="43" fontId="10" fillId="4" borderId="16" xfId="0" applyNumberFormat="1" applyFont="1" applyFill="1" applyBorder="1"/>
    <xf numFmtId="43" fontId="10" fillId="4" borderId="13" xfId="0" applyNumberFormat="1" applyFont="1" applyFill="1" applyBorder="1"/>
    <xf numFmtId="10" fontId="8" fillId="0" borderId="21" xfId="0" applyNumberFormat="1" applyFont="1" applyBorder="1"/>
    <xf numFmtId="0" fontId="8" fillId="0" borderId="21" xfId="0" applyFont="1" applyBorder="1"/>
    <xf numFmtId="1" fontId="8" fillId="0" borderId="21" xfId="0" applyNumberFormat="1" applyFont="1" applyBorder="1"/>
    <xf numFmtId="43" fontId="8" fillId="0" borderId="27" xfId="0" applyNumberFormat="1" applyFont="1" applyBorder="1"/>
    <xf numFmtId="43" fontId="8" fillId="0" borderId="12" xfId="0" applyNumberFormat="1" applyFont="1" applyBorder="1"/>
    <xf numFmtId="164" fontId="9" fillId="0" borderId="21" xfId="0" applyNumberFormat="1" applyFont="1" applyBorder="1"/>
    <xf numFmtId="164" fontId="9" fillId="0" borderId="0" xfId="0" applyNumberFormat="1" applyFont="1"/>
    <xf numFmtId="164" fontId="12" fillId="0" borderId="21" xfId="0" applyNumberFormat="1" applyFont="1" applyBorder="1"/>
    <xf numFmtId="43" fontId="12" fillId="0" borderId="0" xfId="0" applyNumberFormat="1" applyFont="1"/>
    <xf numFmtId="164" fontId="12" fillId="0" borderId="0" xfId="0" applyNumberFormat="1" applyFont="1"/>
    <xf numFmtId="164" fontId="8" fillId="0" borderId="21" xfId="0" applyNumberFormat="1" applyFont="1" applyBorder="1"/>
    <xf numFmtId="43" fontId="8" fillId="0" borderId="16" xfId="0" applyNumberFormat="1" applyFont="1" applyBorder="1"/>
    <xf numFmtId="43" fontId="8" fillId="0" borderId="13" xfId="0" applyNumberFormat="1" applyFont="1" applyBorder="1"/>
    <xf numFmtId="43" fontId="10" fillId="0" borderId="12" xfId="0" applyNumberFormat="1" applyFont="1" applyBorder="1"/>
    <xf numFmtId="43" fontId="10" fillId="0" borderId="27" xfId="0" applyNumberFormat="1" applyFont="1" applyBorder="1"/>
    <xf numFmtId="43" fontId="10" fillId="0" borderId="26" xfId="0" applyNumberFormat="1" applyFont="1" applyBorder="1"/>
    <xf numFmtId="43" fontId="10" fillId="0" borderId="8" xfId="0" applyNumberFormat="1" applyFont="1" applyBorder="1"/>
    <xf numFmtId="0" fontId="10" fillId="5" borderId="16" xfId="0" applyFont="1" applyFill="1" applyBorder="1"/>
    <xf numFmtId="0" fontId="10" fillId="5" borderId="13" xfId="0" applyFont="1" applyFill="1" applyBorder="1"/>
    <xf numFmtId="0" fontId="10" fillId="0" borderId="16" xfId="0" applyFont="1" applyBorder="1"/>
    <xf numFmtId="0" fontId="10" fillId="0" borderId="13" xfId="0" applyFont="1" applyBorder="1"/>
    <xf numFmtId="0" fontId="10" fillId="4" borderId="16" xfId="0" applyFont="1" applyFill="1" applyBorder="1"/>
    <xf numFmtId="0" fontId="10" fillId="4" borderId="13" xfId="0" applyFont="1" applyFill="1" applyBorder="1"/>
    <xf numFmtId="0" fontId="10" fillId="5" borderId="21" xfId="0" applyFont="1" applyFill="1" applyBorder="1"/>
    <xf numFmtId="0" fontId="10" fillId="5" borderId="0" xfId="0" applyFont="1" applyFill="1"/>
    <xf numFmtId="43" fontId="10" fillId="2" borderId="16" xfId="0" applyNumberFormat="1" applyFont="1" applyFill="1" applyBorder="1"/>
    <xf numFmtId="43" fontId="10" fillId="2" borderId="13" xfId="0" applyNumberFormat="1" applyFont="1" applyFill="1" applyBorder="1"/>
    <xf numFmtId="43" fontId="10" fillId="2" borderId="4" xfId="0" applyNumberFormat="1" applyFont="1" applyFill="1" applyBorder="1"/>
    <xf numFmtId="10" fontId="8" fillId="2" borderId="16" xfId="0" applyNumberFormat="1" applyFont="1" applyFill="1" applyBorder="1"/>
    <xf numFmtId="10" fontId="8" fillId="2" borderId="13" xfId="0" applyNumberFormat="1" applyFont="1" applyFill="1" applyBorder="1"/>
    <xf numFmtId="10" fontId="8" fillId="2" borderId="4" xfId="0" applyNumberFormat="1" applyFont="1" applyFill="1" applyBorder="1"/>
    <xf numFmtId="0" fontId="8" fillId="2" borderId="30" xfId="0" applyFont="1" applyFill="1" applyBorder="1"/>
    <xf numFmtId="0" fontId="8" fillId="2" borderId="35" xfId="0" applyFont="1" applyFill="1" applyBorder="1"/>
    <xf numFmtId="0" fontId="8" fillId="2" borderId="36" xfId="0" applyFont="1" applyFill="1" applyBorder="1"/>
    <xf numFmtId="0" fontId="15" fillId="0" borderId="0" xfId="0" applyFont="1"/>
    <xf numFmtId="0" fontId="16" fillId="0" borderId="0" xfId="0" applyFont="1"/>
    <xf numFmtId="0" fontId="17" fillId="3" borderId="1" xfId="0" applyFont="1" applyFill="1" applyBorder="1" applyAlignment="1">
      <alignment horizontal="right"/>
    </xf>
    <xf numFmtId="0" fontId="17" fillId="3" borderId="1" xfId="0" applyFont="1" applyFill="1" applyBorder="1" applyAlignment="1">
      <alignment horizontal="center"/>
    </xf>
    <xf numFmtId="0" fontId="17" fillId="3" borderId="28" xfId="0" applyFont="1" applyFill="1" applyBorder="1" applyAlignment="1">
      <alignment horizontal="center"/>
    </xf>
    <xf numFmtId="0" fontId="17" fillId="3" borderId="2" xfId="0" applyFont="1" applyFill="1" applyBorder="1" applyAlignment="1">
      <alignment horizontal="right"/>
    </xf>
    <xf numFmtId="0" fontId="17" fillId="3" borderId="13" xfId="0" applyFont="1" applyFill="1" applyBorder="1" applyAlignment="1">
      <alignment horizontal="right"/>
    </xf>
    <xf numFmtId="0" fontId="17" fillId="3" borderId="4" xfId="0" applyFont="1" applyFill="1" applyBorder="1" applyAlignment="1">
      <alignment horizontal="right"/>
    </xf>
    <xf numFmtId="0" fontId="17" fillId="3" borderId="38" xfId="0" applyFont="1" applyFill="1" applyBorder="1" applyAlignment="1">
      <alignment horizontal="center"/>
    </xf>
    <xf numFmtId="0" fontId="17" fillId="3" borderId="39" xfId="0" applyFont="1" applyFill="1" applyBorder="1" applyAlignment="1">
      <alignment horizontal="center"/>
    </xf>
    <xf numFmtId="0" fontId="17" fillId="0" borderId="28" xfId="0" applyFont="1" applyBorder="1" applyAlignment="1">
      <alignment horizontal="right"/>
    </xf>
    <xf numFmtId="0" fontId="17" fillId="0" borderId="6" xfId="0" applyFont="1" applyBorder="1" applyAlignment="1">
      <alignment horizontal="right"/>
    </xf>
    <xf numFmtId="0" fontId="17" fillId="0" borderId="0" xfId="0" applyFont="1" applyAlignment="1">
      <alignment horizontal="right"/>
    </xf>
    <xf numFmtId="0" fontId="17" fillId="0" borderId="11" xfId="0" applyFont="1" applyBorder="1" applyAlignment="1">
      <alignment horizontal="right"/>
    </xf>
    <xf numFmtId="0" fontId="17" fillId="0" borderId="18" xfId="0" applyFont="1" applyBorder="1" applyAlignment="1">
      <alignment horizontal="right"/>
    </xf>
    <xf numFmtId="0" fontId="17" fillId="0" borderId="12" xfId="0" applyFont="1" applyBorder="1" applyAlignment="1">
      <alignment horizontal="right"/>
    </xf>
    <xf numFmtId="0" fontId="17" fillId="0" borderId="7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44" fontId="15" fillId="4" borderId="1" xfId="0" applyNumberFormat="1" applyFont="1" applyFill="1" applyBorder="1"/>
    <xf numFmtId="3" fontId="16" fillId="4" borderId="2" xfId="0" applyNumberFormat="1" applyFont="1" applyFill="1" applyBorder="1"/>
    <xf numFmtId="3" fontId="16" fillId="4" borderId="13" xfId="0" applyNumberFormat="1" applyFont="1" applyFill="1" applyBorder="1"/>
    <xf numFmtId="3" fontId="16" fillId="4" borderId="4" xfId="0" applyNumberFormat="1" applyFont="1" applyFill="1" applyBorder="1"/>
    <xf numFmtId="3" fontId="16" fillId="4" borderId="1" xfId="0" applyNumberFormat="1" applyFont="1" applyFill="1" applyBorder="1"/>
    <xf numFmtId="43" fontId="15" fillId="0" borderId="7" xfId="0" applyNumberFormat="1" applyFont="1" applyBorder="1"/>
    <xf numFmtId="3" fontId="16" fillId="0" borderId="6" xfId="0" applyNumberFormat="1" applyFont="1" applyBorder="1"/>
    <xf numFmtId="3" fontId="16" fillId="0" borderId="0" xfId="0" applyNumberFormat="1" applyFont="1"/>
    <xf numFmtId="3" fontId="16" fillId="0" borderId="5" xfId="0" applyNumberFormat="1" applyFont="1" applyBorder="1"/>
    <xf numFmtId="3" fontId="16" fillId="0" borderId="7" xfId="0" applyNumberFormat="1" applyFont="1" applyBorder="1"/>
    <xf numFmtId="43" fontId="15" fillId="4" borderId="1" xfId="0" applyNumberFormat="1" applyFont="1" applyFill="1" applyBorder="1"/>
    <xf numFmtId="43" fontId="16" fillId="0" borderId="7" xfId="0" applyNumberFormat="1" applyFont="1" applyBorder="1"/>
    <xf numFmtId="43" fontId="11" fillId="0" borderId="7" xfId="0" applyNumberFormat="1" applyFont="1" applyBorder="1" applyAlignment="1">
      <alignment horizontal="right"/>
    </xf>
    <xf numFmtId="0" fontId="15" fillId="4" borderId="1" xfId="0" applyFont="1" applyFill="1" applyBorder="1"/>
    <xf numFmtId="0" fontId="16" fillId="0" borderId="29" xfId="0" applyFont="1" applyBorder="1"/>
    <xf numFmtId="3" fontId="16" fillId="0" borderId="19" xfId="0" applyNumberFormat="1" applyFont="1" applyBorder="1"/>
    <xf numFmtId="3" fontId="16" fillId="0" borderId="8" xfId="0" applyNumberFormat="1" applyFont="1" applyBorder="1"/>
    <xf numFmtId="3" fontId="16" fillId="0" borderId="20" xfId="0" applyNumberFormat="1" applyFont="1" applyBorder="1"/>
    <xf numFmtId="0" fontId="15" fillId="5" borderId="1" xfId="0" applyFont="1" applyFill="1" applyBorder="1"/>
    <xf numFmtId="41" fontId="15" fillId="5" borderId="1" xfId="0" applyNumberFormat="1" applyFont="1" applyFill="1" applyBorder="1"/>
    <xf numFmtId="0" fontId="15" fillId="0" borderId="1" xfId="0" applyFont="1" applyBorder="1"/>
    <xf numFmtId="3" fontId="15" fillId="0" borderId="1" xfId="0" applyNumberFormat="1" applyFont="1" applyBorder="1"/>
    <xf numFmtId="3" fontId="15" fillId="5" borderId="1" xfId="0" applyNumberFormat="1" applyFont="1" applyFill="1" applyBorder="1"/>
    <xf numFmtId="0" fontId="16" fillId="0" borderId="1" xfId="0" applyFont="1" applyBorder="1"/>
    <xf numFmtId="0" fontId="16" fillId="0" borderId="12" xfId="0" applyFont="1" applyBorder="1"/>
    <xf numFmtId="3" fontId="16" fillId="0" borderId="12" xfId="0" applyNumberFormat="1" applyFont="1" applyBorder="1"/>
    <xf numFmtId="38" fontId="16" fillId="0" borderId="0" xfId="0" applyNumberFormat="1" applyFont="1"/>
    <xf numFmtId="9" fontId="16" fillId="0" borderId="0" xfId="2" applyFont="1" applyBorder="1"/>
    <xf numFmtId="43" fontId="10" fillId="6" borderId="10" xfId="0" applyNumberFormat="1" applyFont="1" applyFill="1" applyBorder="1" applyAlignment="1">
      <alignment wrapText="1"/>
    </xf>
    <xf numFmtId="1" fontId="8" fillId="6" borderId="21" xfId="0" applyNumberFormat="1" applyFont="1" applyFill="1" applyBorder="1"/>
    <xf numFmtId="164" fontId="8" fillId="6" borderId="0" xfId="0" applyNumberFormat="1" applyFont="1" applyFill="1"/>
    <xf numFmtId="43" fontId="8" fillId="6" borderId="0" xfId="0" applyNumberFormat="1" applyFont="1" applyFill="1"/>
    <xf numFmtId="3" fontId="8" fillId="6" borderId="6" xfId="0" applyNumberFormat="1" applyFont="1" applyFill="1" applyBorder="1"/>
    <xf numFmtId="3" fontId="8" fillId="6" borderId="0" xfId="0" applyNumberFormat="1" applyFont="1" applyFill="1"/>
    <xf numFmtId="3" fontId="8" fillId="6" borderId="15" xfId="0" applyNumberFormat="1" applyFont="1" applyFill="1" applyBorder="1"/>
    <xf numFmtId="1" fontId="8" fillId="6" borderId="0" xfId="0" applyNumberFormat="1" applyFont="1" applyFill="1"/>
    <xf numFmtId="3" fontId="8" fillId="6" borderId="10" xfId="0" applyNumberFormat="1" applyFont="1" applyFill="1" applyBorder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3" borderId="2" xfId="0" applyFont="1" applyFill="1" applyBorder="1" applyAlignment="1">
      <alignment horizontal="center"/>
    </xf>
    <xf numFmtId="0" fontId="17" fillId="3" borderId="13" xfId="0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0" fontId="10" fillId="0" borderId="0" xfId="0" applyFont="1"/>
    <xf numFmtId="0" fontId="13" fillId="3" borderId="32" xfId="0" applyFont="1" applyFill="1" applyBorder="1" applyAlignment="1">
      <alignment horizontal="center"/>
    </xf>
    <xf numFmtId="0" fontId="13" fillId="3" borderId="33" xfId="0" applyFont="1" applyFill="1" applyBorder="1" applyAlignment="1">
      <alignment horizontal="center"/>
    </xf>
    <xf numFmtId="0" fontId="13" fillId="3" borderId="34" xfId="0" applyFont="1" applyFill="1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14">
    <cellStyle name="Comma 2" xfId="6" xr:uid="{00000000-0005-0000-0000-000001000000}"/>
    <cellStyle name="Comma 3" xfId="13" xr:uid="{E99ADC2E-6FA1-4B13-8417-DAE81CC08645}"/>
    <cellStyle name="Currency" xfId="1" builtinId="4"/>
    <cellStyle name="Currency 2" xfId="8" xr:uid="{00000000-0005-0000-0000-000003000000}"/>
    <cellStyle name="Currency 3" xfId="10" xr:uid="{2B1F91B3-1D40-4C31-BE3E-C69FD655EC44}"/>
    <cellStyle name="Normal" xfId="0" builtinId="0"/>
    <cellStyle name="Normal 2" xfId="3" xr:uid="{00000000-0005-0000-0000-000005000000}"/>
    <cellStyle name="Normal 2 2" xfId="7" xr:uid="{00000000-0005-0000-0000-000006000000}"/>
    <cellStyle name="Normal 3" xfId="4" xr:uid="{00000000-0005-0000-0000-000007000000}"/>
    <cellStyle name="Normal 4" xfId="5" xr:uid="{00000000-0005-0000-0000-000008000000}"/>
    <cellStyle name="Normal 5" xfId="9" xr:uid="{696106F2-B9F1-4F15-81A3-E3443F17835A}"/>
    <cellStyle name="Percent" xfId="2" builtinId="5"/>
    <cellStyle name="Percent 2" xfId="11" xr:uid="{5DA92C78-84E0-4A77-96BF-0469385156F7}"/>
    <cellStyle name="Percent 34" xfId="12" xr:uid="{6B505889-CADA-4AFE-9B4E-B8BE429E708C}"/>
  </cellStyles>
  <dxfs count="0"/>
  <tableStyles count="0" defaultTableStyle="TableStyleMedium2" defaultPivotStyle="PivotStyleLight16"/>
  <colors>
    <mruColors>
      <color rgb="FFE7F0F9"/>
      <color rgb="FFD7E5F5"/>
      <color rgb="FFFFFF61"/>
      <color rgb="FFFFFFAF"/>
      <color rgb="FFFEF1E6"/>
      <color rgb="FFFEF4EC"/>
      <color rgb="FFFDDF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Nicaragua_Budget_10_01_22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dget%20Deta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ODCs%20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Equipment%2020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IP%20START%2014%20month%20Budget%20ver%2021Dec06%207%2055%20a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08%2008%2012%20%20Pact%20Proposal%20Budget-%20ICN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DF_SF_424_Final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24 Cover"/>
      <sheetName val="424 A"/>
      <sheetName val="424 A Page 2"/>
      <sheetName val="PADF Master"/>
      <sheetName val="Component I"/>
      <sheetName val="Component II"/>
      <sheetName val="IFES_Component_III"/>
      <sheetName val="Summary"/>
      <sheetName val="Cost Share"/>
      <sheetName val="Rates"/>
      <sheetName val="Level of Effort"/>
      <sheetName val="Sheet1"/>
      <sheetName val="Sheet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4">
          <cell r="J24">
            <v>206</v>
          </cell>
        </row>
        <row r="30">
          <cell r="J30">
            <v>102</v>
          </cell>
        </row>
        <row r="40">
          <cell r="J40">
            <v>900</v>
          </cell>
        </row>
        <row r="41">
          <cell r="J41">
            <v>350</v>
          </cell>
        </row>
        <row r="47">
          <cell r="J47">
            <v>141.66666666666666</v>
          </cell>
        </row>
      </sheetData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"/>
      <sheetName val="DRAFT BUDGET"/>
      <sheetName val="Salary &amp; PR Tax"/>
      <sheetName val="Fringe Benefits"/>
      <sheetName val="PR Taxes Prior Year"/>
      <sheetName val="Prior Year Indirect"/>
      <sheetName val="Communication Prior Year"/>
      <sheetName val="Consultants 2005"/>
      <sheetName val="UNUM LTD &amp; STD Costs"/>
      <sheetName val="MAMSI 2003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E - Other"/>
    </sheetNames>
    <sheetDataSet>
      <sheetData sheetId="0">
        <row r="102">
          <cell r="F102">
            <v>12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D - Equipment"/>
    </sheetNames>
    <sheetDataSet>
      <sheetData sheetId="0">
        <row r="26">
          <cell r="E26">
            <v>17750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Details"/>
    </sheetNames>
    <sheetDataSet>
      <sheetData sheetId="0">
        <row r="75">
          <cell r="C75">
            <v>1.03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-1"/>
      <sheetName val="IFLT Budget"/>
      <sheetName val="CCC Budget"/>
      <sheetName val="Institute Justification"/>
      <sheetName val="Travel"/>
      <sheetName val="Workshops"/>
      <sheetName val="Links"/>
      <sheetName val="SF424"/>
      <sheetName val="SF424A1"/>
      <sheetName val="SF424A2"/>
    </sheetNames>
    <sheetDataSet>
      <sheetData sheetId="0"/>
      <sheetData sheetId="1">
        <row r="1">
          <cell r="J1">
            <v>1.05</v>
          </cell>
        </row>
        <row r="2">
          <cell r="J2">
            <v>1.04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24 Cover"/>
      <sheetName val="424 A"/>
      <sheetName val="424 A Page 2"/>
      <sheetName val="PADF Master"/>
      <sheetName val="Component I"/>
      <sheetName val="Component II"/>
      <sheetName val="IFES_Component_III"/>
      <sheetName val="Summary"/>
      <sheetName val="DLDP Activity Plan"/>
      <sheetName val="Rates"/>
      <sheetName val="Level of Eff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3">
          <cell r="J23">
            <v>265</v>
          </cell>
        </row>
        <row r="34">
          <cell r="J34">
            <v>0.15</v>
          </cell>
        </row>
        <row r="65">
          <cell r="J65">
            <v>50</v>
          </cell>
        </row>
      </sheetData>
      <sheetData sheetId="10">
        <row r="14">
          <cell r="C14" t="str">
            <v>Regional Director</v>
          </cell>
        </row>
        <row r="15">
          <cell r="C15" t="str">
            <v>Grants/Contract Dir.</v>
          </cell>
        </row>
        <row r="16">
          <cell r="C16" t="str">
            <v>Program Support Officer</v>
          </cell>
        </row>
        <row r="17">
          <cell r="C17" t="str">
            <v>Financial/Acct./Audit Supp.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X257"/>
  <sheetViews>
    <sheetView zoomScale="90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9.1640625" defaultRowHeight="15" customHeight="1" x14ac:dyDescent="0.55000000000000004"/>
  <cols>
    <col min="1" max="1" width="23.44140625" style="191" bestFit="1" customWidth="1"/>
    <col min="2" max="2" width="12.27734375" style="191" bestFit="1" customWidth="1"/>
    <col min="3" max="3" width="9.5546875" style="191" bestFit="1" customWidth="1"/>
    <col min="4" max="4" width="12.27734375" style="191" bestFit="1" customWidth="1"/>
    <col min="5" max="5" width="11.1640625" style="191" bestFit="1" customWidth="1"/>
    <col min="6" max="6" width="10.44140625" style="191" bestFit="1" customWidth="1"/>
    <col min="7" max="8" width="11.1640625" style="191" bestFit="1" customWidth="1"/>
    <col min="9" max="9" width="9.5546875" style="191" bestFit="1" customWidth="1"/>
    <col min="10" max="11" width="11.1640625" style="191" bestFit="1" customWidth="1"/>
    <col min="12" max="12" width="9.5546875" style="191" bestFit="1" customWidth="1"/>
    <col min="13" max="14" width="11.1640625" style="191" bestFit="1" customWidth="1"/>
    <col min="15" max="15" width="9.5546875" style="191" bestFit="1" customWidth="1"/>
    <col min="16" max="16" width="11.1640625" style="191" bestFit="1" customWidth="1"/>
    <col min="17" max="17" width="12.27734375" style="191" bestFit="1" customWidth="1"/>
    <col min="18" max="18" width="10.44140625" style="191" bestFit="1" customWidth="1"/>
    <col min="19" max="19" width="12.27734375" style="191" bestFit="1" customWidth="1"/>
    <col min="20" max="16384" width="9.1640625" style="191"/>
  </cols>
  <sheetData>
    <row r="1" spans="1:19" ht="15" customHeight="1" x14ac:dyDescent="0.55000000000000004">
      <c r="A1" s="190"/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</row>
    <row r="2" spans="1:19" ht="15" customHeight="1" x14ac:dyDescent="0.55000000000000004">
      <c r="B2" s="246" t="s">
        <v>126</v>
      </c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</row>
    <row r="4" spans="1:19" ht="15" customHeight="1" x14ac:dyDescent="0.55000000000000004">
      <c r="A4" s="192" t="s">
        <v>1</v>
      </c>
      <c r="B4" s="247" t="s">
        <v>2</v>
      </c>
      <c r="C4" s="248"/>
      <c r="D4" s="249"/>
      <c r="E4" s="247" t="s">
        <v>3</v>
      </c>
      <c r="F4" s="248"/>
      <c r="G4" s="249"/>
      <c r="H4" s="247" t="s">
        <v>4</v>
      </c>
      <c r="I4" s="248"/>
      <c r="J4" s="249"/>
      <c r="K4" s="247" t="s">
        <v>5</v>
      </c>
      <c r="L4" s="248"/>
      <c r="M4" s="249"/>
      <c r="N4" s="247" t="s">
        <v>6</v>
      </c>
      <c r="O4" s="248"/>
      <c r="P4" s="249"/>
      <c r="Q4" s="193" t="s">
        <v>7</v>
      </c>
      <c r="R4" s="194" t="s">
        <v>8</v>
      </c>
      <c r="S4" s="194" t="s">
        <v>9</v>
      </c>
    </row>
    <row r="5" spans="1:19" ht="15" customHeight="1" thickBot="1" x14ac:dyDescent="0.6">
      <c r="A5" s="192"/>
      <c r="B5" s="195" t="s">
        <v>10</v>
      </c>
      <c r="C5" s="196" t="s">
        <v>11</v>
      </c>
      <c r="D5" s="197" t="s">
        <v>8</v>
      </c>
      <c r="E5" s="192" t="s">
        <v>10</v>
      </c>
      <c r="F5" s="192" t="s">
        <v>11</v>
      </c>
      <c r="G5" s="192" t="s">
        <v>8</v>
      </c>
      <c r="H5" s="197" t="s">
        <v>10</v>
      </c>
      <c r="I5" s="192" t="s">
        <v>11</v>
      </c>
      <c r="J5" s="192" t="s">
        <v>8</v>
      </c>
      <c r="K5" s="192" t="s">
        <v>10</v>
      </c>
      <c r="L5" s="192" t="s">
        <v>11</v>
      </c>
      <c r="M5" s="192" t="s">
        <v>8</v>
      </c>
      <c r="N5" s="192" t="s">
        <v>10</v>
      </c>
      <c r="O5" s="192" t="s">
        <v>11</v>
      </c>
      <c r="P5" s="192" t="s">
        <v>8</v>
      </c>
      <c r="Q5" s="198" t="s">
        <v>10</v>
      </c>
      <c r="R5" s="192" t="s">
        <v>11</v>
      </c>
      <c r="S5" s="199" t="s">
        <v>7</v>
      </c>
    </row>
    <row r="6" spans="1:19" ht="15" customHeight="1" x14ac:dyDescent="0.55000000000000004">
      <c r="A6" s="200"/>
      <c r="B6" s="201"/>
      <c r="C6" s="202"/>
      <c r="D6" s="203"/>
      <c r="E6" s="204"/>
      <c r="F6" s="205"/>
      <c r="G6" s="203"/>
      <c r="H6" s="205"/>
      <c r="I6" s="205"/>
      <c r="J6" s="203"/>
      <c r="K6" s="204"/>
      <c r="L6" s="205"/>
      <c r="M6" s="203"/>
      <c r="N6" s="204"/>
      <c r="O6" s="205"/>
      <c r="P6" s="203"/>
      <c r="Q6" s="206"/>
      <c r="R6" s="207"/>
      <c r="S6" s="206"/>
    </row>
    <row r="7" spans="1:19" ht="15" customHeight="1" x14ac:dyDescent="0.55000000000000004">
      <c r="A7" s="208" t="s">
        <v>12</v>
      </c>
      <c r="B7" s="209">
        <f>Budget!F28</f>
        <v>0</v>
      </c>
      <c r="C7" s="210">
        <f>Budget!G28</f>
        <v>0</v>
      </c>
      <c r="D7" s="211">
        <f>SUM(B7:C7)</f>
        <v>0</v>
      </c>
      <c r="E7" s="209">
        <f>Budget!L28</f>
        <v>0</v>
      </c>
      <c r="F7" s="210">
        <f>Budget!M28</f>
        <v>0</v>
      </c>
      <c r="G7" s="211">
        <f>SUM(E7:F7)</f>
        <v>0</v>
      </c>
      <c r="H7" s="209">
        <f>Budget!R28</f>
        <v>0</v>
      </c>
      <c r="I7" s="210">
        <f>Budget!S28</f>
        <v>0</v>
      </c>
      <c r="J7" s="211">
        <f>SUM(H7:I7)</f>
        <v>0</v>
      </c>
      <c r="K7" s="209">
        <f>Budget!X28</f>
        <v>0</v>
      </c>
      <c r="L7" s="210">
        <f>Budget!Y28</f>
        <v>0</v>
      </c>
      <c r="M7" s="211">
        <f>SUM(K7:L7)</f>
        <v>0</v>
      </c>
      <c r="N7" s="209">
        <f>Budget!AD28</f>
        <v>0</v>
      </c>
      <c r="O7" s="210">
        <f>Budget!AE28</f>
        <v>0</v>
      </c>
      <c r="P7" s="211">
        <f>SUM(N7:O7)</f>
        <v>0</v>
      </c>
      <c r="Q7" s="212">
        <f>Budget!AG28</f>
        <v>0</v>
      </c>
      <c r="R7" s="212">
        <f>Budget!AH28</f>
        <v>0</v>
      </c>
      <c r="S7" s="212">
        <f>Budget!AI28</f>
        <v>0</v>
      </c>
    </row>
    <row r="8" spans="1:19" ht="15" customHeight="1" x14ac:dyDescent="0.55000000000000004">
      <c r="A8" s="213"/>
      <c r="B8" s="214"/>
      <c r="C8" s="215"/>
      <c r="D8" s="216"/>
      <c r="E8" s="214"/>
      <c r="F8" s="215"/>
      <c r="G8" s="216"/>
      <c r="H8" s="214"/>
      <c r="I8" s="215"/>
      <c r="J8" s="216"/>
      <c r="K8" s="214"/>
      <c r="L8" s="215"/>
      <c r="M8" s="216"/>
      <c r="N8" s="214"/>
      <c r="O8" s="215"/>
      <c r="P8" s="216"/>
      <c r="Q8" s="217"/>
      <c r="R8" s="217"/>
      <c r="S8" s="217"/>
    </row>
    <row r="9" spans="1:19" ht="15" customHeight="1" x14ac:dyDescent="0.55000000000000004">
      <c r="A9" s="218" t="s">
        <v>13</v>
      </c>
      <c r="B9" s="209">
        <f>Budget!F34</f>
        <v>0</v>
      </c>
      <c r="C9" s="210">
        <f>Budget!G34</f>
        <v>0</v>
      </c>
      <c r="D9" s="211">
        <f>Budget!H34</f>
        <v>0</v>
      </c>
      <c r="E9" s="209">
        <f>Budget!L34</f>
        <v>0</v>
      </c>
      <c r="F9" s="210">
        <f>Budget!M34</f>
        <v>0</v>
      </c>
      <c r="G9" s="211">
        <f>Budget!N34</f>
        <v>0</v>
      </c>
      <c r="H9" s="209">
        <f>Budget!R34</f>
        <v>0</v>
      </c>
      <c r="I9" s="210">
        <f>Budget!S34</f>
        <v>0</v>
      </c>
      <c r="J9" s="211">
        <f>Budget!T34</f>
        <v>0</v>
      </c>
      <c r="K9" s="209">
        <f>Budget!X34</f>
        <v>0</v>
      </c>
      <c r="L9" s="210">
        <f>Budget!Y34</f>
        <v>0</v>
      </c>
      <c r="M9" s="211">
        <f>Budget!Z34</f>
        <v>0</v>
      </c>
      <c r="N9" s="209">
        <f>Budget!AD34</f>
        <v>0</v>
      </c>
      <c r="O9" s="210">
        <f>Budget!AE34</f>
        <v>0</v>
      </c>
      <c r="P9" s="211">
        <f>Budget!AF34</f>
        <v>0</v>
      </c>
      <c r="Q9" s="212">
        <f>Budget!AG34</f>
        <v>0</v>
      </c>
      <c r="R9" s="212">
        <f>Budget!AH34</f>
        <v>0</v>
      </c>
      <c r="S9" s="212">
        <f>Budget!AI34</f>
        <v>0</v>
      </c>
    </row>
    <row r="10" spans="1:19" ht="15" customHeight="1" x14ac:dyDescent="0.55000000000000004">
      <c r="A10" s="213"/>
      <c r="B10" s="214"/>
      <c r="C10" s="215"/>
      <c r="D10" s="216"/>
      <c r="E10" s="214"/>
      <c r="F10" s="215"/>
      <c r="G10" s="216"/>
      <c r="H10" s="214"/>
      <c r="I10" s="215"/>
      <c r="J10" s="216"/>
      <c r="K10" s="214"/>
      <c r="L10" s="215"/>
      <c r="M10" s="216"/>
      <c r="N10" s="214"/>
      <c r="O10" s="215"/>
      <c r="P10" s="216"/>
      <c r="Q10" s="217"/>
      <c r="R10" s="217"/>
      <c r="S10" s="217"/>
    </row>
    <row r="11" spans="1:19" ht="15" customHeight="1" x14ac:dyDescent="0.55000000000000004">
      <c r="A11" s="218" t="s">
        <v>14</v>
      </c>
      <c r="B11" s="209">
        <f>Budget!F59</f>
        <v>0</v>
      </c>
      <c r="C11" s="210">
        <f>Budget!G59</f>
        <v>0</v>
      </c>
      <c r="D11" s="211">
        <f>Budget!H59</f>
        <v>0</v>
      </c>
      <c r="E11" s="209">
        <f>Budget!L59</f>
        <v>0</v>
      </c>
      <c r="F11" s="210">
        <f>Budget!M59</f>
        <v>0</v>
      </c>
      <c r="G11" s="211">
        <f>Budget!N59</f>
        <v>0</v>
      </c>
      <c r="H11" s="209">
        <f>Budget!R59</f>
        <v>0</v>
      </c>
      <c r="I11" s="210">
        <f>Budget!S59</f>
        <v>0</v>
      </c>
      <c r="J11" s="211">
        <f>Budget!T59</f>
        <v>0</v>
      </c>
      <c r="K11" s="209">
        <f>Budget!X59</f>
        <v>0</v>
      </c>
      <c r="L11" s="210">
        <f>Budget!Y59</f>
        <v>0</v>
      </c>
      <c r="M11" s="211">
        <f>Budget!Z59</f>
        <v>0</v>
      </c>
      <c r="N11" s="209">
        <f>Budget!AD59</f>
        <v>0</v>
      </c>
      <c r="O11" s="210">
        <f>Budget!AE59</f>
        <v>0</v>
      </c>
      <c r="P11" s="211">
        <f>Budget!AF59</f>
        <v>0</v>
      </c>
      <c r="Q11" s="212">
        <f>Budget!AG59</f>
        <v>0</v>
      </c>
      <c r="R11" s="212">
        <f>Budget!AH59</f>
        <v>0</v>
      </c>
      <c r="S11" s="212">
        <f>Budget!AI59</f>
        <v>0</v>
      </c>
    </row>
    <row r="12" spans="1:19" ht="15" customHeight="1" x14ac:dyDescent="0.55000000000000004">
      <c r="A12" s="219"/>
      <c r="B12" s="214"/>
      <c r="C12" s="215"/>
      <c r="D12" s="216"/>
      <c r="E12" s="214"/>
      <c r="F12" s="215"/>
      <c r="G12" s="216"/>
      <c r="H12" s="214"/>
      <c r="I12" s="215"/>
      <c r="J12" s="216"/>
      <c r="K12" s="214"/>
      <c r="L12" s="215"/>
      <c r="M12" s="216"/>
      <c r="N12" s="214"/>
      <c r="O12" s="215"/>
      <c r="P12" s="216"/>
      <c r="Q12" s="217"/>
      <c r="R12" s="217"/>
      <c r="S12" s="217"/>
    </row>
    <row r="13" spans="1:19" ht="15" customHeight="1" x14ac:dyDescent="0.55000000000000004">
      <c r="A13" s="218" t="s">
        <v>15</v>
      </c>
      <c r="B13" s="209">
        <f>Budget!F66</f>
        <v>0</v>
      </c>
      <c r="C13" s="210">
        <f>Budget!G66</f>
        <v>0</v>
      </c>
      <c r="D13" s="211">
        <f>Budget!H66</f>
        <v>0</v>
      </c>
      <c r="E13" s="209">
        <f>Budget!L66</f>
        <v>0</v>
      </c>
      <c r="F13" s="210">
        <f>Budget!M66</f>
        <v>0</v>
      </c>
      <c r="G13" s="211">
        <f>Budget!N66</f>
        <v>0</v>
      </c>
      <c r="H13" s="209">
        <f>Budget!R66</f>
        <v>0</v>
      </c>
      <c r="I13" s="210">
        <f>Budget!S66</f>
        <v>0</v>
      </c>
      <c r="J13" s="211">
        <f>Budget!T66</f>
        <v>0</v>
      </c>
      <c r="K13" s="209">
        <f>Budget!X66</f>
        <v>0</v>
      </c>
      <c r="L13" s="210">
        <f>Budget!Y66</f>
        <v>0</v>
      </c>
      <c r="M13" s="211">
        <f>Budget!Z66</f>
        <v>0</v>
      </c>
      <c r="N13" s="209">
        <f>Budget!AD66</f>
        <v>0</v>
      </c>
      <c r="O13" s="210">
        <f>Budget!AE66</f>
        <v>0</v>
      </c>
      <c r="P13" s="211">
        <f>Budget!AF66</f>
        <v>0</v>
      </c>
      <c r="Q13" s="212">
        <f>Budget!AG66</f>
        <v>0</v>
      </c>
      <c r="R13" s="212">
        <f>Budget!AH66</f>
        <v>0</v>
      </c>
      <c r="S13" s="212">
        <f>Budget!AI66</f>
        <v>0</v>
      </c>
    </row>
    <row r="14" spans="1:19" ht="15" customHeight="1" x14ac:dyDescent="0.55000000000000004">
      <c r="A14" s="220"/>
      <c r="B14" s="214"/>
      <c r="C14" s="215"/>
      <c r="D14" s="216"/>
      <c r="E14" s="214"/>
      <c r="F14" s="215"/>
      <c r="G14" s="216"/>
      <c r="H14" s="214"/>
      <c r="I14" s="215"/>
      <c r="J14" s="216"/>
      <c r="K14" s="214"/>
      <c r="L14" s="215"/>
      <c r="M14" s="216"/>
      <c r="N14" s="214"/>
      <c r="O14" s="215"/>
      <c r="P14" s="216"/>
      <c r="Q14" s="217"/>
      <c r="R14" s="217"/>
      <c r="S14" s="217"/>
    </row>
    <row r="15" spans="1:19" ht="15" customHeight="1" x14ac:dyDescent="0.55000000000000004">
      <c r="A15" s="218" t="s">
        <v>16</v>
      </c>
      <c r="B15" s="209">
        <f>Budget!F88</f>
        <v>0</v>
      </c>
      <c r="C15" s="210">
        <f>Budget!G88</f>
        <v>0</v>
      </c>
      <c r="D15" s="211">
        <f>Budget!H88</f>
        <v>0</v>
      </c>
      <c r="E15" s="209">
        <f>Budget!L88</f>
        <v>0</v>
      </c>
      <c r="F15" s="210">
        <f>Budget!M88</f>
        <v>0</v>
      </c>
      <c r="G15" s="211">
        <f>Budget!N88</f>
        <v>0</v>
      </c>
      <c r="H15" s="209">
        <f>Budget!R88</f>
        <v>0</v>
      </c>
      <c r="I15" s="210">
        <f>Budget!S88</f>
        <v>0</v>
      </c>
      <c r="J15" s="211">
        <f>Budget!T88</f>
        <v>0</v>
      </c>
      <c r="K15" s="209">
        <f>Budget!X88</f>
        <v>0</v>
      </c>
      <c r="L15" s="210">
        <f>Budget!Y88</f>
        <v>0</v>
      </c>
      <c r="M15" s="211">
        <f>Budget!Z88</f>
        <v>0</v>
      </c>
      <c r="N15" s="209">
        <f>Budget!AD88</f>
        <v>0</v>
      </c>
      <c r="O15" s="210">
        <f>Budget!AE88</f>
        <v>0</v>
      </c>
      <c r="P15" s="211">
        <f>Budget!AF88</f>
        <v>0</v>
      </c>
      <c r="Q15" s="212">
        <f>Budget!AG88</f>
        <v>0</v>
      </c>
      <c r="R15" s="212">
        <f>Budget!AH88</f>
        <v>0</v>
      </c>
      <c r="S15" s="212">
        <f>Budget!AI88</f>
        <v>0</v>
      </c>
    </row>
    <row r="16" spans="1:19" ht="15" customHeight="1" x14ac:dyDescent="0.55000000000000004">
      <c r="A16" s="220"/>
      <c r="B16" s="214"/>
      <c r="C16" s="215"/>
      <c r="D16" s="216"/>
      <c r="E16" s="214"/>
      <c r="F16" s="215"/>
      <c r="G16" s="216"/>
      <c r="H16" s="214"/>
      <c r="I16" s="215"/>
      <c r="J16" s="216"/>
      <c r="K16" s="214"/>
      <c r="L16" s="215"/>
      <c r="M16" s="216"/>
      <c r="N16" s="214"/>
      <c r="O16" s="215"/>
      <c r="P16" s="216"/>
      <c r="Q16" s="217"/>
      <c r="R16" s="217"/>
      <c r="S16" s="217"/>
    </row>
    <row r="17" spans="1:128" ht="15" customHeight="1" x14ac:dyDescent="0.55000000000000004">
      <c r="A17" s="218" t="s">
        <v>17</v>
      </c>
      <c r="B17" s="209">
        <f>Budget!F106</f>
        <v>0</v>
      </c>
      <c r="C17" s="210">
        <f>Budget!G106</f>
        <v>0</v>
      </c>
      <c r="D17" s="211">
        <f>Budget!H106</f>
        <v>0</v>
      </c>
      <c r="E17" s="209">
        <f>Budget!L106</f>
        <v>0</v>
      </c>
      <c r="F17" s="210">
        <f>Budget!M106</f>
        <v>0</v>
      </c>
      <c r="G17" s="211">
        <f>Budget!N106</f>
        <v>0</v>
      </c>
      <c r="H17" s="209">
        <f>Budget!R106</f>
        <v>0</v>
      </c>
      <c r="I17" s="210">
        <f>Budget!S106</f>
        <v>0</v>
      </c>
      <c r="J17" s="211">
        <f>Budget!T106</f>
        <v>0</v>
      </c>
      <c r="K17" s="209">
        <f>Budget!X106</f>
        <v>0</v>
      </c>
      <c r="L17" s="210">
        <f>Budget!Y106</f>
        <v>0</v>
      </c>
      <c r="M17" s="211">
        <f>Budget!Z106</f>
        <v>0</v>
      </c>
      <c r="N17" s="209">
        <f>Budget!AD106</f>
        <v>0</v>
      </c>
      <c r="O17" s="210">
        <f>Budget!AE106</f>
        <v>0</v>
      </c>
      <c r="P17" s="211">
        <f>Budget!AF106</f>
        <v>0</v>
      </c>
      <c r="Q17" s="212">
        <f>Budget!AG106</f>
        <v>0</v>
      </c>
      <c r="R17" s="212">
        <f>Budget!AH106</f>
        <v>0</v>
      </c>
      <c r="S17" s="212">
        <f>Budget!AI106</f>
        <v>0</v>
      </c>
    </row>
    <row r="18" spans="1:128" ht="15" customHeight="1" x14ac:dyDescent="0.55000000000000004">
      <c r="A18" s="213"/>
      <c r="B18" s="214"/>
      <c r="C18" s="215"/>
      <c r="D18" s="216"/>
      <c r="E18" s="214"/>
      <c r="F18" s="215"/>
      <c r="G18" s="216"/>
      <c r="H18" s="214"/>
      <c r="I18" s="215"/>
      <c r="J18" s="216"/>
      <c r="K18" s="214"/>
      <c r="L18" s="215"/>
      <c r="M18" s="216"/>
      <c r="N18" s="214"/>
      <c r="O18" s="215"/>
      <c r="P18" s="216"/>
      <c r="Q18" s="217"/>
      <c r="R18" s="217"/>
      <c r="S18" s="217"/>
    </row>
    <row r="19" spans="1:128" ht="15" customHeight="1" x14ac:dyDescent="0.55000000000000004">
      <c r="A19" s="221" t="s">
        <v>18</v>
      </c>
      <c r="B19" s="209">
        <f>Budget!F140</f>
        <v>0</v>
      </c>
      <c r="C19" s="210">
        <f>Budget!G140</f>
        <v>0</v>
      </c>
      <c r="D19" s="211">
        <f>Budget!H140</f>
        <v>0</v>
      </c>
      <c r="E19" s="209">
        <f>Budget!L140</f>
        <v>0</v>
      </c>
      <c r="F19" s="210">
        <f>Budget!M140</f>
        <v>0</v>
      </c>
      <c r="G19" s="211">
        <f>Budget!N140</f>
        <v>0</v>
      </c>
      <c r="H19" s="209">
        <f>Budget!R140</f>
        <v>0</v>
      </c>
      <c r="I19" s="210">
        <f>Budget!S140</f>
        <v>0</v>
      </c>
      <c r="J19" s="211">
        <f>Budget!T140</f>
        <v>0</v>
      </c>
      <c r="K19" s="209">
        <f>Budget!X140</f>
        <v>0</v>
      </c>
      <c r="L19" s="210">
        <f>Budget!Y140</f>
        <v>0</v>
      </c>
      <c r="M19" s="211">
        <f>Budget!Z140</f>
        <v>0</v>
      </c>
      <c r="N19" s="209">
        <f>Budget!AD140</f>
        <v>0</v>
      </c>
      <c r="O19" s="210">
        <f>Budget!AE140</f>
        <v>0</v>
      </c>
      <c r="P19" s="211">
        <f>Budget!AF140</f>
        <v>0</v>
      </c>
      <c r="Q19" s="212">
        <f>Budget!AG140</f>
        <v>0</v>
      </c>
      <c r="R19" s="212">
        <f>Budget!AH140</f>
        <v>0</v>
      </c>
      <c r="S19" s="212">
        <f>Budget!AI140</f>
        <v>0</v>
      </c>
    </row>
    <row r="20" spans="1:128" ht="15" customHeight="1" x14ac:dyDescent="0.55000000000000004">
      <c r="A20" s="222"/>
      <c r="B20" s="223"/>
      <c r="C20" s="224"/>
      <c r="D20" s="225"/>
      <c r="E20" s="223"/>
      <c r="F20" s="224"/>
      <c r="G20" s="225"/>
      <c r="H20" s="223"/>
      <c r="I20" s="224"/>
      <c r="J20" s="225"/>
      <c r="K20" s="223"/>
      <c r="L20" s="224"/>
      <c r="M20" s="225"/>
      <c r="N20" s="214"/>
      <c r="O20" s="215"/>
      <c r="P20" s="216"/>
      <c r="Q20" s="217"/>
      <c r="R20" s="217"/>
      <c r="S20" s="217"/>
    </row>
    <row r="21" spans="1:128" s="228" customFormat="1" ht="15" customHeight="1" x14ac:dyDescent="0.5">
      <c r="A21" s="226" t="s">
        <v>19</v>
      </c>
      <c r="B21" s="227">
        <f>Budget!F142</f>
        <v>0</v>
      </c>
      <c r="C21" s="227">
        <f>Budget!G142</f>
        <v>0</v>
      </c>
      <c r="D21" s="227">
        <f>Budget!H142</f>
        <v>0</v>
      </c>
      <c r="E21" s="227">
        <f>Budget!L142</f>
        <v>0</v>
      </c>
      <c r="F21" s="227">
        <f>Budget!M142</f>
        <v>0</v>
      </c>
      <c r="G21" s="227">
        <f>Budget!N142</f>
        <v>0</v>
      </c>
      <c r="H21" s="227">
        <f>Budget!R142</f>
        <v>0</v>
      </c>
      <c r="I21" s="227">
        <f>Budget!S142</f>
        <v>0</v>
      </c>
      <c r="J21" s="227">
        <f>Budget!T142</f>
        <v>0</v>
      </c>
      <c r="K21" s="227">
        <f>Budget!X142</f>
        <v>0</v>
      </c>
      <c r="L21" s="227">
        <f>Budget!Y142</f>
        <v>0</v>
      </c>
      <c r="M21" s="227">
        <f>Budget!Z142</f>
        <v>0</v>
      </c>
      <c r="N21" s="227">
        <f>Budget!AD142</f>
        <v>0</v>
      </c>
      <c r="O21" s="227">
        <f>Budget!AE142</f>
        <v>0</v>
      </c>
      <c r="P21" s="227">
        <f>Budget!AF142</f>
        <v>0</v>
      </c>
      <c r="Q21" s="227">
        <f>Budget!AG142</f>
        <v>0</v>
      </c>
      <c r="R21" s="227">
        <f>Budget!AH142</f>
        <v>0</v>
      </c>
      <c r="S21" s="227">
        <f>Budget!AI142</f>
        <v>0</v>
      </c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</row>
    <row r="22" spans="1:128" s="228" customFormat="1" ht="15" customHeight="1" x14ac:dyDescent="0.5">
      <c r="A22" s="228" t="s">
        <v>20</v>
      </c>
      <c r="B22" s="229">
        <f>Budget!F143</f>
        <v>0</v>
      </c>
      <c r="C22" s="229">
        <f>Budget!G143</f>
        <v>0</v>
      </c>
      <c r="D22" s="229">
        <f>Budget!H143</f>
        <v>0</v>
      </c>
      <c r="E22" s="229">
        <f>Budget!L143</f>
        <v>0</v>
      </c>
      <c r="F22" s="229">
        <f>Budget!M143</f>
        <v>0</v>
      </c>
      <c r="G22" s="229">
        <f>Budget!N143</f>
        <v>0</v>
      </c>
      <c r="H22" s="229">
        <f>Budget!R143</f>
        <v>0</v>
      </c>
      <c r="I22" s="229">
        <f>Budget!S143</f>
        <v>0</v>
      </c>
      <c r="J22" s="229">
        <f>Budget!T143</f>
        <v>0</v>
      </c>
      <c r="K22" s="229">
        <f>Budget!X143</f>
        <v>0</v>
      </c>
      <c r="L22" s="229">
        <f>Budget!Y143</f>
        <v>0</v>
      </c>
      <c r="M22" s="229">
        <f>Budget!Z143</f>
        <v>0</v>
      </c>
      <c r="N22" s="229">
        <f>Budget!AD143</f>
        <v>0</v>
      </c>
      <c r="O22" s="229">
        <f>Budget!AE143</f>
        <v>0</v>
      </c>
      <c r="P22" s="229">
        <f>Budget!AF143</f>
        <v>0</v>
      </c>
      <c r="Q22" s="229">
        <f>Budget!AG143</f>
        <v>0</v>
      </c>
      <c r="R22" s="229">
        <f>Budget!AH143</f>
        <v>0</v>
      </c>
      <c r="S22" s="229">
        <f>Budget!AI143</f>
        <v>0</v>
      </c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</row>
    <row r="23" spans="1:128" s="231" customFormat="1" ht="15" customHeight="1" x14ac:dyDescent="0.55000000000000004">
      <c r="A23" s="226" t="s">
        <v>7</v>
      </c>
      <c r="B23" s="230">
        <f>Budget!F144</f>
        <v>0</v>
      </c>
      <c r="C23" s="230">
        <f>Budget!G144</f>
        <v>0</v>
      </c>
      <c r="D23" s="230">
        <f>Budget!H144</f>
        <v>0</v>
      </c>
      <c r="E23" s="230">
        <f>Budget!L144</f>
        <v>0</v>
      </c>
      <c r="F23" s="230">
        <f>Budget!M144</f>
        <v>0</v>
      </c>
      <c r="G23" s="230">
        <f>Budget!N144</f>
        <v>0</v>
      </c>
      <c r="H23" s="230">
        <f>Budget!R144</f>
        <v>0</v>
      </c>
      <c r="I23" s="230">
        <f>Budget!S144</f>
        <v>0</v>
      </c>
      <c r="J23" s="230">
        <f>Budget!T144</f>
        <v>0</v>
      </c>
      <c r="K23" s="230">
        <f>Budget!X144</f>
        <v>0</v>
      </c>
      <c r="L23" s="230">
        <f>Budget!Y144</f>
        <v>0</v>
      </c>
      <c r="M23" s="230">
        <f>Budget!Z144</f>
        <v>0</v>
      </c>
      <c r="N23" s="230">
        <f>Budget!AD144</f>
        <v>0</v>
      </c>
      <c r="O23" s="230">
        <f>Budget!AE144</f>
        <v>0</v>
      </c>
      <c r="P23" s="230">
        <f>Budget!AF144</f>
        <v>0</v>
      </c>
      <c r="Q23" s="230">
        <f>Budget!AG144</f>
        <v>0</v>
      </c>
      <c r="R23" s="230">
        <f>Budget!AH144</f>
        <v>0</v>
      </c>
      <c r="S23" s="230">
        <f>Budget!AI144</f>
        <v>0</v>
      </c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91"/>
      <c r="AO23" s="191"/>
      <c r="AP23" s="191"/>
      <c r="AQ23" s="191"/>
      <c r="AR23" s="191"/>
      <c r="AS23" s="191"/>
      <c r="AT23" s="191"/>
      <c r="AU23" s="191"/>
      <c r="AV23" s="191"/>
      <c r="AW23" s="191"/>
      <c r="AX23" s="191"/>
      <c r="AY23" s="191"/>
      <c r="AZ23" s="191"/>
      <c r="BA23" s="191"/>
      <c r="BB23" s="191"/>
      <c r="BC23" s="191"/>
      <c r="BD23" s="191"/>
      <c r="BE23" s="191"/>
      <c r="BF23" s="191"/>
      <c r="BG23" s="191"/>
      <c r="BH23" s="191"/>
      <c r="BI23" s="191"/>
      <c r="BJ23" s="191"/>
      <c r="BK23" s="191"/>
      <c r="BL23" s="191"/>
      <c r="BM23" s="191"/>
      <c r="BN23" s="191"/>
      <c r="BO23" s="191"/>
      <c r="BP23" s="191"/>
      <c r="BQ23" s="191"/>
      <c r="BR23" s="191"/>
      <c r="BS23" s="191"/>
      <c r="BT23" s="191"/>
      <c r="BU23" s="191"/>
      <c r="BV23" s="191"/>
      <c r="BW23" s="191"/>
      <c r="BX23" s="191"/>
      <c r="BY23" s="191"/>
      <c r="BZ23" s="191"/>
      <c r="CA23" s="191"/>
      <c r="CB23" s="191"/>
      <c r="CC23" s="191"/>
      <c r="CD23" s="191"/>
      <c r="CE23" s="191"/>
      <c r="CF23" s="191"/>
      <c r="CG23" s="191"/>
      <c r="CH23" s="191"/>
      <c r="CI23" s="191"/>
      <c r="CJ23" s="191"/>
      <c r="CK23" s="191"/>
      <c r="CL23" s="191"/>
      <c r="CM23" s="191"/>
      <c r="CN23" s="191"/>
      <c r="CO23" s="191"/>
      <c r="CP23" s="191"/>
      <c r="CQ23" s="191"/>
      <c r="CR23" s="191"/>
      <c r="CS23" s="191"/>
      <c r="CT23" s="191"/>
      <c r="CU23" s="191"/>
      <c r="CV23" s="191"/>
      <c r="CW23" s="191"/>
      <c r="CX23" s="191"/>
      <c r="CY23" s="191"/>
      <c r="CZ23" s="191"/>
      <c r="DA23" s="191"/>
      <c r="DB23" s="191"/>
      <c r="DC23" s="191"/>
      <c r="DD23" s="191"/>
      <c r="DE23" s="191"/>
      <c r="DF23" s="191"/>
      <c r="DG23" s="191"/>
      <c r="DH23" s="191"/>
      <c r="DI23" s="191"/>
      <c r="DJ23" s="191"/>
      <c r="DK23" s="191"/>
      <c r="DL23" s="191"/>
      <c r="DM23" s="191"/>
      <c r="DN23" s="191"/>
      <c r="DO23" s="191"/>
      <c r="DP23" s="191"/>
      <c r="DQ23" s="191"/>
      <c r="DR23" s="191"/>
      <c r="DS23" s="191"/>
      <c r="DT23" s="191"/>
      <c r="DU23" s="191"/>
      <c r="DV23" s="191"/>
      <c r="DW23" s="191"/>
      <c r="DX23" s="191"/>
    </row>
    <row r="24" spans="1:128" s="232" customFormat="1" ht="15" customHeight="1" x14ac:dyDescent="0.55000000000000004">
      <c r="B24" s="233"/>
      <c r="C24" s="233"/>
      <c r="D24" s="233"/>
      <c r="E24" s="233"/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91"/>
      <c r="AU24" s="191"/>
      <c r="AV24" s="191"/>
      <c r="AW24" s="191"/>
      <c r="AX24" s="191"/>
      <c r="AY24" s="191"/>
      <c r="AZ24" s="191"/>
      <c r="BA24" s="191"/>
      <c r="BB24" s="191"/>
      <c r="BC24" s="191"/>
      <c r="BD24" s="191"/>
      <c r="BE24" s="191"/>
      <c r="BF24" s="191"/>
      <c r="BG24" s="191"/>
      <c r="BH24" s="191"/>
      <c r="BI24" s="191"/>
      <c r="BJ24" s="191"/>
      <c r="BK24" s="191"/>
      <c r="BL24" s="191"/>
      <c r="BM24" s="191"/>
      <c r="BN24" s="191"/>
      <c r="BO24" s="191"/>
      <c r="BP24" s="191"/>
      <c r="BQ24" s="191"/>
      <c r="BR24" s="191"/>
      <c r="BS24" s="191"/>
      <c r="BT24" s="191"/>
      <c r="BU24" s="191"/>
      <c r="BV24" s="191"/>
      <c r="BW24" s="191"/>
      <c r="BX24" s="191"/>
      <c r="BY24" s="191"/>
      <c r="BZ24" s="191"/>
      <c r="CA24" s="191"/>
      <c r="CB24" s="191"/>
      <c r="CC24" s="191"/>
      <c r="CD24" s="191"/>
      <c r="CE24" s="191"/>
      <c r="CF24" s="191"/>
      <c r="CG24" s="191"/>
      <c r="CH24" s="191"/>
      <c r="CI24" s="191"/>
      <c r="CJ24" s="191"/>
      <c r="CK24" s="191"/>
      <c r="CL24" s="191"/>
      <c r="CM24" s="191"/>
      <c r="CN24" s="191"/>
      <c r="CO24" s="191"/>
      <c r="CP24" s="191"/>
      <c r="CQ24" s="191"/>
      <c r="CR24" s="191"/>
      <c r="CS24" s="191"/>
      <c r="CT24" s="191"/>
      <c r="CU24" s="191"/>
      <c r="CV24" s="191"/>
      <c r="CW24" s="191"/>
      <c r="CX24" s="191"/>
      <c r="CY24" s="191"/>
      <c r="CZ24" s="191"/>
      <c r="DA24" s="191"/>
      <c r="DB24" s="191"/>
      <c r="DC24" s="191"/>
      <c r="DD24" s="191"/>
      <c r="DE24" s="191"/>
      <c r="DF24" s="191"/>
      <c r="DG24" s="191"/>
      <c r="DH24" s="191"/>
      <c r="DI24" s="191"/>
      <c r="DJ24" s="191"/>
      <c r="DK24" s="191"/>
      <c r="DL24" s="191"/>
      <c r="DM24" s="191"/>
      <c r="DN24" s="191"/>
      <c r="DO24" s="191"/>
      <c r="DP24" s="191"/>
      <c r="DQ24" s="191"/>
      <c r="DR24" s="191"/>
      <c r="DS24" s="191"/>
      <c r="DT24" s="191"/>
      <c r="DU24" s="191"/>
      <c r="DV24" s="191"/>
      <c r="DW24" s="191"/>
      <c r="DX24" s="191"/>
    </row>
    <row r="25" spans="1:128" ht="15" customHeight="1" x14ac:dyDescent="0.55000000000000004">
      <c r="B25" s="215"/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</row>
    <row r="26" spans="1:128" ht="15" customHeight="1" x14ac:dyDescent="0.55000000000000004">
      <c r="B26" s="215"/>
      <c r="C26" s="215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34"/>
      <c r="R26" s="215"/>
    </row>
    <row r="27" spans="1:128" ht="15" customHeight="1" x14ac:dyDescent="0.55000000000000004">
      <c r="B27" s="215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35"/>
      <c r="P27" s="215"/>
      <c r="Q27" s="215"/>
      <c r="R27" s="215"/>
      <c r="S27" s="215"/>
    </row>
    <row r="28" spans="1:128" ht="15" customHeight="1" x14ac:dyDescent="0.55000000000000004">
      <c r="B28" s="215"/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35"/>
      <c r="O28" s="215"/>
      <c r="P28" s="215"/>
      <c r="Q28" s="215"/>
      <c r="R28" s="215"/>
      <c r="S28" s="215"/>
    </row>
    <row r="29" spans="1:128" ht="15" customHeight="1" x14ac:dyDescent="0.55000000000000004">
      <c r="B29" s="215"/>
      <c r="C29" s="215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</row>
    <row r="30" spans="1:128" ht="15" customHeight="1" x14ac:dyDescent="0.55000000000000004">
      <c r="B30" s="215"/>
      <c r="C30" s="215"/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15"/>
    </row>
    <row r="31" spans="1:128" ht="15" customHeight="1" x14ac:dyDescent="0.55000000000000004">
      <c r="B31" s="215"/>
      <c r="C31" s="215"/>
      <c r="D31" s="215"/>
      <c r="E31" s="215"/>
      <c r="F31" s="215"/>
      <c r="G31" s="215"/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R31" s="215"/>
      <c r="S31" s="215"/>
    </row>
    <row r="32" spans="1:128" ht="15" customHeight="1" x14ac:dyDescent="0.55000000000000004">
      <c r="B32" s="215"/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</row>
    <row r="33" spans="2:19" ht="15" customHeight="1" x14ac:dyDescent="0.55000000000000004">
      <c r="B33" s="215"/>
      <c r="C33" s="215"/>
      <c r="D33" s="215"/>
      <c r="E33" s="215"/>
      <c r="F33" s="215"/>
      <c r="G33" s="215"/>
      <c r="H33" s="215"/>
      <c r="I33" s="215"/>
      <c r="J33" s="215"/>
      <c r="K33" s="215"/>
      <c r="L33" s="215"/>
      <c r="M33" s="215"/>
      <c r="N33" s="215"/>
      <c r="O33" s="215"/>
      <c r="P33" s="215"/>
      <c r="Q33" s="215"/>
      <c r="R33" s="215"/>
      <c r="S33" s="215"/>
    </row>
    <row r="34" spans="2:19" ht="15" customHeight="1" x14ac:dyDescent="0.55000000000000004"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</row>
    <row r="35" spans="2:19" ht="15" customHeight="1" x14ac:dyDescent="0.55000000000000004"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</row>
    <row r="36" spans="2:19" ht="15" customHeight="1" x14ac:dyDescent="0.55000000000000004"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</row>
    <row r="37" spans="2:19" ht="15" customHeight="1" x14ac:dyDescent="0.55000000000000004">
      <c r="B37" s="215"/>
      <c r="C37" s="215"/>
      <c r="D37" s="215"/>
      <c r="E37" s="215"/>
      <c r="F37" s="215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</row>
    <row r="38" spans="2:19" ht="15" customHeight="1" x14ac:dyDescent="0.55000000000000004"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</row>
    <row r="39" spans="2:19" ht="15" customHeight="1" x14ac:dyDescent="0.55000000000000004"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</row>
    <row r="40" spans="2:19" ht="15" customHeight="1" x14ac:dyDescent="0.55000000000000004">
      <c r="B40" s="215"/>
      <c r="C40" s="215"/>
      <c r="D40" s="215"/>
      <c r="E40" s="215"/>
      <c r="F40" s="215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</row>
    <row r="41" spans="2:19" ht="15" customHeight="1" x14ac:dyDescent="0.55000000000000004">
      <c r="B41" s="215"/>
      <c r="C41" s="215"/>
      <c r="D41" s="215"/>
      <c r="E41" s="215"/>
      <c r="F41" s="215"/>
      <c r="G41" s="21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</row>
    <row r="49" s="191" customFormat="1" ht="15" customHeight="1" x14ac:dyDescent="0.55000000000000004"/>
    <row r="50" s="191" customFormat="1" ht="15" customHeight="1" x14ac:dyDescent="0.55000000000000004"/>
    <row r="51" s="191" customFormat="1" ht="15" customHeight="1" x14ac:dyDescent="0.55000000000000004"/>
    <row r="52" s="191" customFormat="1" ht="15" customHeight="1" x14ac:dyDescent="0.55000000000000004"/>
    <row r="53" s="191" customFormat="1" ht="15" customHeight="1" x14ac:dyDescent="0.55000000000000004"/>
    <row r="54" s="191" customFormat="1" ht="15" customHeight="1" x14ac:dyDescent="0.55000000000000004"/>
    <row r="55" s="191" customFormat="1" ht="15" customHeight="1" x14ac:dyDescent="0.55000000000000004"/>
    <row r="56" s="191" customFormat="1" ht="15" customHeight="1" x14ac:dyDescent="0.55000000000000004"/>
    <row r="57" s="191" customFormat="1" ht="15" customHeight="1" x14ac:dyDescent="0.55000000000000004"/>
    <row r="58" s="191" customFormat="1" ht="15" customHeight="1" x14ac:dyDescent="0.55000000000000004"/>
    <row r="59" s="191" customFormat="1" ht="15" customHeight="1" x14ac:dyDescent="0.55000000000000004"/>
    <row r="60" s="191" customFormat="1" ht="15" customHeight="1" x14ac:dyDescent="0.55000000000000004"/>
    <row r="61" s="191" customFormat="1" ht="15" customHeight="1" x14ac:dyDescent="0.55000000000000004"/>
    <row r="62" s="191" customFormat="1" ht="15" customHeight="1" x14ac:dyDescent="0.55000000000000004"/>
    <row r="63" s="191" customFormat="1" ht="15" customHeight="1" x14ac:dyDescent="0.55000000000000004"/>
    <row r="64" s="191" customFormat="1" ht="15" customHeight="1" x14ac:dyDescent="0.55000000000000004"/>
    <row r="65" s="191" customFormat="1" ht="15" customHeight="1" x14ac:dyDescent="0.55000000000000004"/>
    <row r="66" s="191" customFormat="1" ht="15" customHeight="1" x14ac:dyDescent="0.55000000000000004"/>
    <row r="67" s="191" customFormat="1" ht="15" customHeight="1" x14ac:dyDescent="0.55000000000000004"/>
    <row r="68" s="191" customFormat="1" ht="15" customHeight="1" x14ac:dyDescent="0.55000000000000004"/>
    <row r="69" s="191" customFormat="1" ht="15" customHeight="1" x14ac:dyDescent="0.55000000000000004"/>
    <row r="70" s="191" customFormat="1" ht="15" customHeight="1" x14ac:dyDescent="0.55000000000000004"/>
    <row r="71" s="191" customFormat="1" ht="15" customHeight="1" x14ac:dyDescent="0.55000000000000004"/>
    <row r="72" s="191" customFormat="1" ht="15" customHeight="1" x14ac:dyDescent="0.55000000000000004"/>
    <row r="73" s="191" customFormat="1" ht="15" customHeight="1" x14ac:dyDescent="0.55000000000000004"/>
    <row r="74" s="191" customFormat="1" ht="15" customHeight="1" x14ac:dyDescent="0.55000000000000004"/>
    <row r="75" s="191" customFormat="1" ht="15" customHeight="1" x14ac:dyDescent="0.55000000000000004"/>
    <row r="76" s="191" customFormat="1" ht="15" customHeight="1" x14ac:dyDescent="0.55000000000000004"/>
    <row r="77" s="191" customFormat="1" ht="15" customHeight="1" x14ac:dyDescent="0.55000000000000004"/>
    <row r="78" s="191" customFormat="1" ht="15" customHeight="1" x14ac:dyDescent="0.55000000000000004"/>
    <row r="79" s="191" customFormat="1" ht="15" customHeight="1" x14ac:dyDescent="0.55000000000000004"/>
    <row r="80" s="191" customFormat="1" ht="15" customHeight="1" x14ac:dyDescent="0.55000000000000004"/>
    <row r="81" s="191" customFormat="1" ht="15" customHeight="1" x14ac:dyDescent="0.55000000000000004"/>
    <row r="82" s="191" customFormat="1" ht="15" customHeight="1" x14ac:dyDescent="0.55000000000000004"/>
    <row r="83" s="191" customFormat="1" ht="15" customHeight="1" x14ac:dyDescent="0.55000000000000004"/>
    <row r="84" s="191" customFormat="1" ht="15" customHeight="1" x14ac:dyDescent="0.55000000000000004"/>
    <row r="85" s="191" customFormat="1" ht="15" customHeight="1" x14ac:dyDescent="0.55000000000000004"/>
    <row r="86" s="191" customFormat="1" ht="15" customHeight="1" x14ac:dyDescent="0.55000000000000004"/>
    <row r="87" s="191" customFormat="1" ht="15" customHeight="1" x14ac:dyDescent="0.55000000000000004"/>
    <row r="88" s="191" customFormat="1" ht="15" customHeight="1" x14ac:dyDescent="0.55000000000000004"/>
    <row r="89" s="191" customFormat="1" ht="15" customHeight="1" x14ac:dyDescent="0.55000000000000004"/>
    <row r="90" s="191" customFormat="1" ht="15" customHeight="1" x14ac:dyDescent="0.55000000000000004"/>
    <row r="91" s="191" customFormat="1" ht="15" customHeight="1" x14ac:dyDescent="0.55000000000000004"/>
    <row r="92" s="191" customFormat="1" ht="15" customHeight="1" x14ac:dyDescent="0.55000000000000004"/>
    <row r="93" s="191" customFormat="1" ht="15" customHeight="1" x14ac:dyDescent="0.55000000000000004"/>
    <row r="94" s="191" customFormat="1" ht="15" customHeight="1" x14ac:dyDescent="0.55000000000000004"/>
    <row r="95" s="191" customFormat="1" ht="15" customHeight="1" x14ac:dyDescent="0.55000000000000004"/>
    <row r="96" s="191" customFormat="1" ht="15" customHeight="1" x14ac:dyDescent="0.55000000000000004"/>
    <row r="97" s="191" customFormat="1" ht="15" customHeight="1" x14ac:dyDescent="0.55000000000000004"/>
    <row r="98" s="191" customFormat="1" ht="15" customHeight="1" x14ac:dyDescent="0.55000000000000004"/>
    <row r="99" s="191" customFormat="1" ht="15" customHeight="1" x14ac:dyDescent="0.55000000000000004"/>
    <row r="100" s="191" customFormat="1" ht="15" customHeight="1" x14ac:dyDescent="0.55000000000000004"/>
    <row r="101" s="191" customFormat="1" ht="15" customHeight="1" x14ac:dyDescent="0.55000000000000004"/>
    <row r="102" s="191" customFormat="1" ht="15" customHeight="1" x14ac:dyDescent="0.55000000000000004"/>
    <row r="103" s="191" customFormat="1" ht="15" customHeight="1" x14ac:dyDescent="0.55000000000000004"/>
    <row r="104" s="191" customFormat="1" ht="15" customHeight="1" x14ac:dyDescent="0.55000000000000004"/>
    <row r="105" s="191" customFormat="1" ht="15" customHeight="1" x14ac:dyDescent="0.55000000000000004"/>
    <row r="106" s="191" customFormat="1" ht="15" customHeight="1" x14ac:dyDescent="0.55000000000000004"/>
    <row r="107" s="191" customFormat="1" ht="15" customHeight="1" x14ac:dyDescent="0.55000000000000004"/>
    <row r="108" s="191" customFormat="1" ht="15" customHeight="1" x14ac:dyDescent="0.55000000000000004"/>
    <row r="109" s="191" customFormat="1" ht="15" customHeight="1" x14ac:dyDescent="0.55000000000000004"/>
    <row r="110" s="191" customFormat="1" ht="15" customHeight="1" x14ac:dyDescent="0.55000000000000004"/>
    <row r="111" s="191" customFormat="1" ht="15" customHeight="1" x14ac:dyDescent="0.55000000000000004"/>
    <row r="112" s="191" customFormat="1" ht="15" customHeight="1" x14ac:dyDescent="0.55000000000000004"/>
    <row r="113" s="191" customFormat="1" ht="15" customHeight="1" x14ac:dyDescent="0.55000000000000004"/>
    <row r="114" s="191" customFormat="1" ht="15" customHeight="1" x14ac:dyDescent="0.55000000000000004"/>
    <row r="115" s="191" customFormat="1" ht="15" customHeight="1" x14ac:dyDescent="0.55000000000000004"/>
    <row r="116" s="191" customFormat="1" ht="15" customHeight="1" x14ac:dyDescent="0.55000000000000004"/>
    <row r="117" s="191" customFormat="1" ht="15" customHeight="1" x14ac:dyDescent="0.55000000000000004"/>
    <row r="118" s="191" customFormat="1" ht="15" customHeight="1" x14ac:dyDescent="0.55000000000000004"/>
    <row r="119" s="191" customFormat="1" ht="15" customHeight="1" x14ac:dyDescent="0.55000000000000004"/>
    <row r="120" s="191" customFormat="1" ht="15" customHeight="1" x14ac:dyDescent="0.55000000000000004"/>
    <row r="121" s="191" customFormat="1" ht="15" customHeight="1" x14ac:dyDescent="0.55000000000000004"/>
    <row r="122" s="191" customFormat="1" ht="15" customHeight="1" x14ac:dyDescent="0.55000000000000004"/>
    <row r="123" s="191" customFormat="1" ht="15" customHeight="1" x14ac:dyDescent="0.55000000000000004"/>
    <row r="124" s="191" customFormat="1" ht="15" customHeight="1" x14ac:dyDescent="0.55000000000000004"/>
    <row r="125" s="191" customFormat="1" ht="15" customHeight="1" x14ac:dyDescent="0.55000000000000004"/>
    <row r="126" s="191" customFormat="1" ht="15" customHeight="1" x14ac:dyDescent="0.55000000000000004"/>
    <row r="127" s="191" customFormat="1" ht="15" customHeight="1" x14ac:dyDescent="0.55000000000000004"/>
    <row r="128" s="191" customFormat="1" ht="15" customHeight="1" x14ac:dyDescent="0.55000000000000004"/>
    <row r="129" s="191" customFormat="1" ht="15" customHeight="1" x14ac:dyDescent="0.55000000000000004"/>
    <row r="130" s="191" customFormat="1" ht="15" customHeight="1" x14ac:dyDescent="0.55000000000000004"/>
    <row r="131" s="191" customFormat="1" ht="15" customHeight="1" x14ac:dyDescent="0.55000000000000004"/>
    <row r="132" s="191" customFormat="1" ht="15" customHeight="1" x14ac:dyDescent="0.55000000000000004"/>
    <row r="133" s="191" customFormat="1" ht="15" customHeight="1" x14ac:dyDescent="0.55000000000000004"/>
    <row r="134" s="191" customFormat="1" ht="15" customHeight="1" x14ac:dyDescent="0.55000000000000004"/>
    <row r="135" s="191" customFormat="1" ht="15" customHeight="1" x14ac:dyDescent="0.55000000000000004"/>
    <row r="136" s="191" customFormat="1" ht="15" customHeight="1" x14ac:dyDescent="0.55000000000000004"/>
    <row r="137" s="191" customFormat="1" ht="15" customHeight="1" x14ac:dyDescent="0.55000000000000004"/>
    <row r="138" s="191" customFormat="1" ht="15" customHeight="1" x14ac:dyDescent="0.55000000000000004"/>
    <row r="139" s="191" customFormat="1" ht="15" customHeight="1" x14ac:dyDescent="0.55000000000000004"/>
    <row r="140" s="191" customFormat="1" ht="15" customHeight="1" x14ac:dyDescent="0.55000000000000004"/>
    <row r="141" s="191" customFormat="1" ht="15" customHeight="1" x14ac:dyDescent="0.55000000000000004"/>
    <row r="142" s="191" customFormat="1" ht="15" customHeight="1" x14ac:dyDescent="0.55000000000000004"/>
    <row r="143" s="191" customFormat="1" ht="15" customHeight="1" x14ac:dyDescent="0.55000000000000004"/>
    <row r="144" s="191" customFormat="1" ht="15" customHeight="1" x14ac:dyDescent="0.55000000000000004"/>
    <row r="145" s="191" customFormat="1" ht="15" customHeight="1" x14ac:dyDescent="0.55000000000000004"/>
    <row r="146" s="191" customFormat="1" ht="15" customHeight="1" x14ac:dyDescent="0.55000000000000004"/>
    <row r="147" s="191" customFormat="1" ht="15" customHeight="1" x14ac:dyDescent="0.55000000000000004"/>
    <row r="148" s="191" customFormat="1" ht="15" customHeight="1" x14ac:dyDescent="0.55000000000000004"/>
    <row r="149" s="191" customFormat="1" ht="15" customHeight="1" x14ac:dyDescent="0.55000000000000004"/>
    <row r="150" s="191" customFormat="1" ht="15" customHeight="1" x14ac:dyDescent="0.55000000000000004"/>
    <row r="151" s="191" customFormat="1" ht="15" customHeight="1" x14ac:dyDescent="0.55000000000000004"/>
    <row r="152" s="191" customFormat="1" ht="15" customHeight="1" x14ac:dyDescent="0.55000000000000004"/>
    <row r="153" s="191" customFormat="1" ht="15" customHeight="1" x14ac:dyDescent="0.55000000000000004"/>
    <row r="154" s="191" customFormat="1" ht="15" customHeight="1" x14ac:dyDescent="0.55000000000000004"/>
    <row r="155" s="191" customFormat="1" ht="15" customHeight="1" x14ac:dyDescent="0.55000000000000004"/>
    <row r="156" s="191" customFormat="1" ht="15" customHeight="1" x14ac:dyDescent="0.55000000000000004"/>
    <row r="157" s="191" customFormat="1" ht="15" customHeight="1" x14ac:dyDescent="0.55000000000000004"/>
    <row r="158" s="191" customFormat="1" ht="15" customHeight="1" x14ac:dyDescent="0.55000000000000004"/>
    <row r="159" s="191" customFormat="1" ht="15" customHeight="1" x14ac:dyDescent="0.55000000000000004"/>
    <row r="160" s="191" customFormat="1" ht="15" customHeight="1" x14ac:dyDescent="0.55000000000000004"/>
    <row r="161" s="191" customFormat="1" ht="15" customHeight="1" x14ac:dyDescent="0.55000000000000004"/>
    <row r="162" s="191" customFormat="1" ht="15" customHeight="1" x14ac:dyDescent="0.55000000000000004"/>
    <row r="163" s="191" customFormat="1" ht="15" customHeight="1" x14ac:dyDescent="0.55000000000000004"/>
    <row r="164" s="191" customFormat="1" ht="15" customHeight="1" x14ac:dyDescent="0.55000000000000004"/>
    <row r="165" s="191" customFormat="1" ht="15" customHeight="1" x14ac:dyDescent="0.55000000000000004"/>
    <row r="166" s="191" customFormat="1" ht="15" customHeight="1" x14ac:dyDescent="0.55000000000000004"/>
    <row r="167" s="191" customFormat="1" ht="15" customHeight="1" x14ac:dyDescent="0.55000000000000004"/>
    <row r="168" s="191" customFormat="1" ht="15" customHeight="1" x14ac:dyDescent="0.55000000000000004"/>
    <row r="169" s="191" customFormat="1" ht="15" customHeight="1" x14ac:dyDescent="0.55000000000000004"/>
    <row r="170" s="191" customFormat="1" ht="15" customHeight="1" x14ac:dyDescent="0.55000000000000004"/>
    <row r="171" s="191" customFormat="1" ht="15" customHeight="1" x14ac:dyDescent="0.55000000000000004"/>
    <row r="172" s="191" customFormat="1" ht="15" customHeight="1" x14ac:dyDescent="0.55000000000000004"/>
    <row r="173" s="191" customFormat="1" ht="15" customHeight="1" x14ac:dyDescent="0.55000000000000004"/>
    <row r="174" s="191" customFormat="1" ht="15" customHeight="1" x14ac:dyDescent="0.55000000000000004"/>
    <row r="175" s="191" customFormat="1" ht="15" customHeight="1" x14ac:dyDescent="0.55000000000000004"/>
    <row r="176" s="191" customFormat="1" ht="15" customHeight="1" x14ac:dyDescent="0.55000000000000004"/>
    <row r="177" s="191" customFormat="1" ht="15" customHeight="1" x14ac:dyDescent="0.55000000000000004"/>
    <row r="178" s="191" customFormat="1" ht="15" customHeight="1" x14ac:dyDescent="0.55000000000000004"/>
    <row r="179" s="191" customFormat="1" ht="15" customHeight="1" x14ac:dyDescent="0.55000000000000004"/>
    <row r="180" s="191" customFormat="1" ht="15" customHeight="1" x14ac:dyDescent="0.55000000000000004"/>
    <row r="181" s="191" customFormat="1" ht="15" customHeight="1" x14ac:dyDescent="0.55000000000000004"/>
    <row r="182" s="191" customFormat="1" ht="15" customHeight="1" x14ac:dyDescent="0.55000000000000004"/>
    <row r="183" s="191" customFormat="1" ht="15" customHeight="1" x14ac:dyDescent="0.55000000000000004"/>
    <row r="184" s="191" customFormat="1" ht="15" customHeight="1" x14ac:dyDescent="0.55000000000000004"/>
    <row r="185" s="191" customFormat="1" ht="15" customHeight="1" x14ac:dyDescent="0.55000000000000004"/>
    <row r="186" s="191" customFormat="1" ht="15" customHeight="1" x14ac:dyDescent="0.55000000000000004"/>
    <row r="187" s="191" customFormat="1" ht="15" customHeight="1" x14ac:dyDescent="0.55000000000000004"/>
    <row r="188" s="191" customFormat="1" ht="15" customHeight="1" x14ac:dyDescent="0.55000000000000004"/>
    <row r="189" s="191" customFormat="1" ht="15" customHeight="1" x14ac:dyDescent="0.55000000000000004"/>
    <row r="190" s="191" customFormat="1" ht="15" customHeight="1" x14ac:dyDescent="0.55000000000000004"/>
    <row r="191" s="191" customFormat="1" ht="15" customHeight="1" x14ac:dyDescent="0.55000000000000004"/>
    <row r="192" s="191" customFormat="1" ht="15" customHeight="1" x14ac:dyDescent="0.55000000000000004"/>
    <row r="193" s="191" customFormat="1" ht="15" customHeight="1" x14ac:dyDescent="0.55000000000000004"/>
    <row r="194" s="191" customFormat="1" ht="15" customHeight="1" x14ac:dyDescent="0.55000000000000004"/>
    <row r="195" s="191" customFormat="1" ht="15" customHeight="1" x14ac:dyDescent="0.55000000000000004"/>
    <row r="196" s="191" customFormat="1" ht="15" customHeight="1" x14ac:dyDescent="0.55000000000000004"/>
    <row r="197" s="191" customFormat="1" ht="15" customHeight="1" x14ac:dyDescent="0.55000000000000004"/>
    <row r="198" s="191" customFormat="1" ht="15" customHeight="1" x14ac:dyDescent="0.55000000000000004"/>
    <row r="199" s="191" customFormat="1" ht="15" customHeight="1" x14ac:dyDescent="0.55000000000000004"/>
    <row r="200" s="191" customFormat="1" ht="15" customHeight="1" x14ac:dyDescent="0.55000000000000004"/>
    <row r="201" s="191" customFormat="1" ht="15" customHeight="1" x14ac:dyDescent="0.55000000000000004"/>
    <row r="202" s="191" customFormat="1" ht="15" customHeight="1" x14ac:dyDescent="0.55000000000000004"/>
    <row r="203" s="191" customFormat="1" ht="15" customHeight="1" x14ac:dyDescent="0.55000000000000004"/>
    <row r="204" s="191" customFormat="1" ht="15" customHeight="1" x14ac:dyDescent="0.55000000000000004"/>
    <row r="205" s="191" customFormat="1" ht="15" customHeight="1" x14ac:dyDescent="0.55000000000000004"/>
    <row r="206" s="191" customFormat="1" ht="15" customHeight="1" x14ac:dyDescent="0.55000000000000004"/>
    <row r="207" s="191" customFormat="1" ht="15" customHeight="1" x14ac:dyDescent="0.55000000000000004"/>
    <row r="208" s="191" customFormat="1" ht="15" customHeight="1" x14ac:dyDescent="0.55000000000000004"/>
    <row r="209" s="191" customFormat="1" ht="15" customHeight="1" x14ac:dyDescent="0.55000000000000004"/>
    <row r="210" s="191" customFormat="1" ht="15" customHeight="1" x14ac:dyDescent="0.55000000000000004"/>
    <row r="211" s="191" customFormat="1" ht="15" customHeight="1" x14ac:dyDescent="0.55000000000000004"/>
    <row r="212" s="191" customFormat="1" ht="15" customHeight="1" x14ac:dyDescent="0.55000000000000004"/>
    <row r="213" s="191" customFormat="1" ht="15" customHeight="1" x14ac:dyDescent="0.55000000000000004"/>
    <row r="214" s="191" customFormat="1" ht="15" customHeight="1" x14ac:dyDescent="0.55000000000000004"/>
    <row r="215" s="191" customFormat="1" ht="15" customHeight="1" x14ac:dyDescent="0.55000000000000004"/>
    <row r="216" s="191" customFormat="1" ht="15" customHeight="1" x14ac:dyDescent="0.55000000000000004"/>
    <row r="217" s="191" customFormat="1" ht="15" customHeight="1" x14ac:dyDescent="0.55000000000000004"/>
    <row r="218" s="191" customFormat="1" ht="15" customHeight="1" x14ac:dyDescent="0.55000000000000004"/>
    <row r="219" s="191" customFormat="1" ht="15" customHeight="1" x14ac:dyDescent="0.55000000000000004"/>
    <row r="220" s="191" customFormat="1" ht="15" customHeight="1" x14ac:dyDescent="0.55000000000000004"/>
    <row r="221" s="191" customFormat="1" ht="15" customHeight="1" x14ac:dyDescent="0.55000000000000004"/>
    <row r="222" s="191" customFormat="1" ht="15" customHeight="1" x14ac:dyDescent="0.55000000000000004"/>
    <row r="223" s="191" customFormat="1" ht="15" customHeight="1" x14ac:dyDescent="0.55000000000000004"/>
    <row r="224" s="191" customFormat="1" ht="15" customHeight="1" x14ac:dyDescent="0.55000000000000004"/>
    <row r="225" s="191" customFormat="1" ht="15" customHeight="1" x14ac:dyDescent="0.55000000000000004"/>
    <row r="226" s="191" customFormat="1" ht="15" customHeight="1" x14ac:dyDescent="0.55000000000000004"/>
    <row r="227" s="191" customFormat="1" ht="15" customHeight="1" x14ac:dyDescent="0.55000000000000004"/>
    <row r="228" s="191" customFormat="1" ht="15" customHeight="1" x14ac:dyDescent="0.55000000000000004"/>
    <row r="229" s="191" customFormat="1" ht="15" customHeight="1" x14ac:dyDescent="0.55000000000000004"/>
    <row r="230" s="191" customFormat="1" ht="15" customHeight="1" x14ac:dyDescent="0.55000000000000004"/>
    <row r="231" s="191" customFormat="1" ht="15" customHeight="1" x14ac:dyDescent="0.55000000000000004"/>
    <row r="232" s="191" customFormat="1" ht="15" customHeight="1" x14ac:dyDescent="0.55000000000000004"/>
    <row r="233" s="191" customFormat="1" ht="15" customHeight="1" x14ac:dyDescent="0.55000000000000004"/>
    <row r="234" s="191" customFormat="1" ht="15" customHeight="1" x14ac:dyDescent="0.55000000000000004"/>
    <row r="235" s="191" customFormat="1" ht="15" customHeight="1" x14ac:dyDescent="0.55000000000000004"/>
    <row r="236" s="191" customFormat="1" ht="15" customHeight="1" x14ac:dyDescent="0.55000000000000004"/>
    <row r="237" s="191" customFormat="1" ht="15" customHeight="1" x14ac:dyDescent="0.55000000000000004"/>
    <row r="238" s="191" customFormat="1" ht="15" customHeight="1" x14ac:dyDescent="0.55000000000000004"/>
    <row r="239" s="191" customFormat="1" ht="15" customHeight="1" x14ac:dyDescent="0.55000000000000004"/>
    <row r="240" s="191" customFormat="1" ht="15" customHeight="1" x14ac:dyDescent="0.55000000000000004"/>
    <row r="241" s="191" customFormat="1" ht="15" customHeight="1" x14ac:dyDescent="0.55000000000000004"/>
    <row r="242" s="191" customFormat="1" ht="15" customHeight="1" x14ac:dyDescent="0.55000000000000004"/>
    <row r="243" s="191" customFormat="1" ht="15" customHeight="1" x14ac:dyDescent="0.55000000000000004"/>
    <row r="244" s="191" customFormat="1" ht="15" customHeight="1" x14ac:dyDescent="0.55000000000000004"/>
    <row r="245" s="191" customFormat="1" ht="15" customHeight="1" x14ac:dyDescent="0.55000000000000004"/>
    <row r="246" s="191" customFormat="1" ht="15" customHeight="1" x14ac:dyDescent="0.55000000000000004"/>
    <row r="247" s="191" customFormat="1" ht="15" customHeight="1" x14ac:dyDescent="0.55000000000000004"/>
    <row r="248" s="191" customFormat="1" ht="15" customHeight="1" x14ac:dyDescent="0.55000000000000004"/>
    <row r="249" s="191" customFormat="1" ht="15" customHeight="1" x14ac:dyDescent="0.55000000000000004"/>
    <row r="250" s="191" customFormat="1" ht="15" customHeight="1" x14ac:dyDescent="0.55000000000000004"/>
    <row r="251" s="191" customFormat="1" ht="15" customHeight="1" x14ac:dyDescent="0.55000000000000004"/>
    <row r="252" s="191" customFormat="1" ht="15" customHeight="1" x14ac:dyDescent="0.55000000000000004"/>
    <row r="253" s="191" customFormat="1" ht="15" customHeight="1" x14ac:dyDescent="0.55000000000000004"/>
    <row r="254" s="191" customFormat="1" ht="15" customHeight="1" x14ac:dyDescent="0.55000000000000004"/>
    <row r="255" s="191" customFormat="1" ht="15" customHeight="1" x14ac:dyDescent="0.55000000000000004"/>
    <row r="256" s="191" customFormat="1" ht="15" customHeight="1" x14ac:dyDescent="0.55000000000000004"/>
    <row r="257" s="191" customFormat="1" ht="15" customHeight="1" x14ac:dyDescent="0.55000000000000004"/>
  </sheetData>
  <mergeCells count="7">
    <mergeCell ref="B1:S1"/>
    <mergeCell ref="B2:S2"/>
    <mergeCell ref="K4:M4"/>
    <mergeCell ref="N4:P4"/>
    <mergeCell ref="B4:D4"/>
    <mergeCell ref="E4:G4"/>
    <mergeCell ref="H4:J4"/>
  </mergeCells>
  <phoneticPr fontId="4" type="noConversion"/>
  <pageMargins left="0.25" right="0.25" top="0.75" bottom="0.75" header="0.3" footer="0.3"/>
  <pageSetup paperSize="5" scale="86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152"/>
  <sheetViews>
    <sheetView tabSelected="1" zoomScale="65" zoomScaleNormal="90" workbookViewId="0">
      <pane xSplit="1" ySplit="12" topLeftCell="B134" activePane="bottomRight" state="frozen"/>
      <selection pane="topRight" activeCell="B1" sqref="B1"/>
      <selection pane="bottomLeft" activeCell="A5" sqref="A5"/>
      <selection pane="bottomRight" activeCell="A8" sqref="A8:N8"/>
    </sheetView>
  </sheetViews>
  <sheetFormatPr defaultColWidth="9.1640625" defaultRowHeight="12.6" outlineLevelCol="1" x14ac:dyDescent="0.45"/>
  <cols>
    <col min="1" max="1" width="55.5546875" style="1" customWidth="1"/>
    <col min="2" max="2" width="6.71875" style="1" bestFit="1" customWidth="1" outlineLevel="1"/>
    <col min="3" max="3" width="9.1640625" style="1" bestFit="1" customWidth="1" outlineLevel="1"/>
    <col min="4" max="4" width="7.44140625" style="1" bestFit="1" customWidth="1" outlineLevel="1"/>
    <col min="5" max="5" width="11" style="1" bestFit="1" customWidth="1" outlineLevel="1"/>
    <col min="6" max="6" width="11.5546875" style="1" bestFit="1" customWidth="1" outlineLevel="1"/>
    <col min="7" max="7" width="7.83203125" style="1" bestFit="1" customWidth="1" outlineLevel="1"/>
    <col min="8" max="8" width="11.5546875" style="1" bestFit="1" customWidth="1" outlineLevel="1"/>
    <col min="9" max="9" width="5.1640625" style="1" bestFit="1" customWidth="1"/>
    <col min="10" max="10" width="9.1640625" style="1" bestFit="1" customWidth="1"/>
    <col min="11" max="11" width="7.5546875" style="1" bestFit="1" customWidth="1"/>
    <col min="12" max="12" width="10.44140625" style="1" bestFit="1" customWidth="1"/>
    <col min="13" max="13" width="7.83203125" style="1" bestFit="1" customWidth="1"/>
    <col min="14" max="14" width="10.44140625" style="1" bestFit="1" customWidth="1"/>
    <col min="15" max="15" width="5.1640625" style="1" bestFit="1" customWidth="1"/>
    <col min="16" max="16" width="9.1640625" style="1" bestFit="1" customWidth="1"/>
    <col min="17" max="17" width="7.5546875" style="1" bestFit="1" customWidth="1"/>
    <col min="18" max="18" width="9.1640625" style="1" bestFit="1" customWidth="1"/>
    <col min="19" max="19" width="7.83203125" style="1" bestFit="1" customWidth="1"/>
    <col min="20" max="20" width="9.1640625" style="1" bestFit="1" customWidth="1"/>
    <col min="21" max="21" width="5.1640625" style="1" bestFit="1" customWidth="1"/>
    <col min="22" max="22" width="9.1640625" style="1" bestFit="1" customWidth="1"/>
    <col min="23" max="23" width="7.5546875" style="1" bestFit="1" customWidth="1"/>
    <col min="24" max="24" width="9.1640625" style="1" bestFit="1" customWidth="1"/>
    <col min="25" max="25" width="7.83203125" style="1" bestFit="1" customWidth="1"/>
    <col min="26" max="26" width="9.1640625" style="1" bestFit="1" customWidth="1"/>
    <col min="27" max="27" width="5.1640625" style="1" bestFit="1" customWidth="1"/>
    <col min="28" max="28" width="9.1640625" style="1" bestFit="1" customWidth="1"/>
    <col min="29" max="29" width="7.5546875" style="1" bestFit="1" customWidth="1"/>
    <col min="30" max="30" width="9.1640625" style="1" bestFit="1" customWidth="1"/>
    <col min="31" max="31" width="7.83203125" style="1" customWidth="1"/>
    <col min="32" max="32" width="9.1640625" style="1" bestFit="1" customWidth="1"/>
    <col min="33" max="33" width="10.83203125" style="1" bestFit="1" customWidth="1"/>
    <col min="34" max="34" width="9.1640625" style="1" bestFit="1" customWidth="1"/>
    <col min="35" max="35" width="12.27734375" style="1" customWidth="1"/>
    <col min="36" max="36" width="14.1640625" style="1" bestFit="1" customWidth="1"/>
    <col min="37" max="37" width="17.44140625" style="1" bestFit="1" customWidth="1"/>
    <col min="38" max="16384" width="9.1640625" style="1"/>
  </cols>
  <sheetData>
    <row r="1" spans="1:35" ht="15" x14ac:dyDescent="0.45">
      <c r="B1" s="254" t="s">
        <v>21</v>
      </c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</row>
    <row r="2" spans="1:35" ht="15" x14ac:dyDescent="0.45">
      <c r="B2" s="254" t="s">
        <v>0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</row>
    <row r="3" spans="1:35" ht="15" x14ac:dyDescent="0.45">
      <c r="B3" s="254" t="s">
        <v>22</v>
      </c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</row>
    <row r="4" spans="1:35" ht="15" x14ac:dyDescent="0.45">
      <c r="B4" s="254" t="s">
        <v>127</v>
      </c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</row>
    <row r="5" spans="1:35" x14ac:dyDescent="0.45">
      <c r="A5" s="11" t="s">
        <v>23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35" x14ac:dyDescent="0.45">
      <c r="A6" s="3" t="s">
        <v>24</v>
      </c>
      <c r="B6" s="4">
        <v>1</v>
      </c>
      <c r="C6" s="5"/>
      <c r="D6" s="5"/>
      <c r="E6" s="5"/>
      <c r="F6" s="6"/>
      <c r="G6" s="7"/>
      <c r="H6" s="8"/>
      <c r="I6" s="7"/>
      <c r="J6" s="7"/>
      <c r="K6" s="8"/>
      <c r="L6" s="7"/>
      <c r="M6" s="7"/>
      <c r="N6" s="8"/>
      <c r="O6" s="7"/>
      <c r="P6" s="7"/>
      <c r="Q6" s="8"/>
      <c r="R6" s="7"/>
      <c r="S6" s="7"/>
      <c r="T6" s="7"/>
      <c r="U6" s="7"/>
      <c r="V6" s="7"/>
    </row>
    <row r="7" spans="1:35" x14ac:dyDescent="0.45">
      <c r="A7" s="3" t="s">
        <v>128</v>
      </c>
      <c r="B7" s="4">
        <v>1</v>
      </c>
      <c r="C7" s="5"/>
      <c r="D7" s="5"/>
      <c r="E7" s="5"/>
      <c r="F7" s="6"/>
      <c r="G7" s="7"/>
      <c r="H7" s="12"/>
      <c r="I7" s="7"/>
      <c r="J7" s="7"/>
      <c r="K7" s="8"/>
      <c r="L7" s="7"/>
      <c r="M7" s="7"/>
      <c r="N7" s="8"/>
      <c r="O7" s="7"/>
      <c r="P7" s="7"/>
      <c r="Q7" s="8"/>
      <c r="R7" s="7"/>
      <c r="S7" s="7"/>
      <c r="T7" s="7"/>
      <c r="U7" s="7"/>
      <c r="V7" s="7"/>
    </row>
    <row r="8" spans="1:35" x14ac:dyDescent="0.45">
      <c r="A8" s="250"/>
      <c r="B8" s="250"/>
      <c r="C8" s="250"/>
      <c r="D8" s="250"/>
      <c r="E8" s="250"/>
      <c r="F8" s="250"/>
      <c r="G8" s="250"/>
      <c r="H8" s="250"/>
      <c r="I8" s="250"/>
      <c r="J8" s="250"/>
      <c r="K8" s="250"/>
      <c r="L8" s="250"/>
      <c r="M8" s="250"/>
      <c r="N8" s="250"/>
      <c r="O8" s="9"/>
      <c r="P8" s="9"/>
      <c r="Q8" s="9"/>
      <c r="R8" s="9"/>
      <c r="U8" s="9"/>
      <c r="V8" s="9"/>
      <c r="W8" s="9"/>
      <c r="AA8" s="9"/>
      <c r="AB8" s="9"/>
      <c r="AC8" s="9"/>
    </row>
    <row r="9" spans="1:35" x14ac:dyDescent="0.45">
      <c r="A9" s="13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</row>
    <row r="10" spans="1:35" ht="12.9" thickBot="1" x14ac:dyDescent="0.5">
      <c r="A10" s="7"/>
      <c r="B10" s="7"/>
      <c r="D10" s="14"/>
      <c r="E10" s="15"/>
      <c r="G10" s="16"/>
    </row>
    <row r="11" spans="1:35" ht="12.9" thickBot="1" x14ac:dyDescent="0.5">
      <c r="A11" s="17" t="s">
        <v>1</v>
      </c>
      <c r="B11" s="129"/>
      <c r="C11" s="130"/>
      <c r="D11" s="130"/>
      <c r="E11" s="130"/>
      <c r="F11" s="18" t="s">
        <v>2</v>
      </c>
      <c r="G11" s="18"/>
      <c r="H11" s="19"/>
      <c r="I11" s="129"/>
      <c r="J11" s="130"/>
      <c r="K11" s="130"/>
      <c r="L11" s="18" t="s">
        <v>3</v>
      </c>
      <c r="M11" s="18"/>
      <c r="N11" s="19"/>
      <c r="O11" s="251" t="s">
        <v>4</v>
      </c>
      <c r="P11" s="252"/>
      <c r="Q11" s="252"/>
      <c r="R11" s="252"/>
      <c r="S11" s="252"/>
      <c r="T11" s="253"/>
      <c r="U11" s="129"/>
      <c r="V11" s="130"/>
      <c r="W11" s="130"/>
      <c r="X11" s="18" t="s">
        <v>5</v>
      </c>
      <c r="Y11" s="18"/>
      <c r="Z11" s="19"/>
      <c r="AA11" s="129"/>
      <c r="AB11" s="130"/>
      <c r="AC11" s="130"/>
      <c r="AD11" s="18" t="s">
        <v>6</v>
      </c>
      <c r="AE11" s="18"/>
      <c r="AF11" s="19"/>
      <c r="AG11" s="20" t="s">
        <v>7</v>
      </c>
      <c r="AH11" s="20" t="s">
        <v>8</v>
      </c>
      <c r="AI11" s="20" t="s">
        <v>9</v>
      </c>
    </row>
    <row r="12" spans="1:35" x14ac:dyDescent="0.45">
      <c r="A12" s="131"/>
      <c r="B12" s="132" t="s">
        <v>25</v>
      </c>
      <c r="C12" s="133" t="s">
        <v>26</v>
      </c>
      <c r="D12" s="133" t="s">
        <v>27</v>
      </c>
      <c r="E12" s="133" t="s">
        <v>28</v>
      </c>
      <c r="F12" s="134" t="s">
        <v>10</v>
      </c>
      <c r="G12" s="133" t="s">
        <v>11</v>
      </c>
      <c r="H12" s="135" t="s">
        <v>8</v>
      </c>
      <c r="I12" s="132" t="s">
        <v>25</v>
      </c>
      <c r="J12" s="133" t="s">
        <v>26</v>
      </c>
      <c r="K12" s="133" t="s">
        <v>27</v>
      </c>
      <c r="L12" s="134" t="s">
        <v>10</v>
      </c>
      <c r="M12" s="133" t="s">
        <v>11</v>
      </c>
      <c r="N12" s="135" t="s">
        <v>8</v>
      </c>
      <c r="O12" s="132" t="s">
        <v>25</v>
      </c>
      <c r="P12" s="133" t="s">
        <v>26</v>
      </c>
      <c r="Q12" s="133" t="s">
        <v>27</v>
      </c>
      <c r="R12" s="134" t="s">
        <v>10</v>
      </c>
      <c r="S12" s="133" t="s">
        <v>11</v>
      </c>
      <c r="T12" s="135" t="s">
        <v>8</v>
      </c>
      <c r="U12" s="132" t="s">
        <v>25</v>
      </c>
      <c r="V12" s="133" t="s">
        <v>26</v>
      </c>
      <c r="W12" s="133" t="s">
        <v>27</v>
      </c>
      <c r="X12" s="134" t="s">
        <v>10</v>
      </c>
      <c r="Y12" s="133" t="s">
        <v>11</v>
      </c>
      <c r="Z12" s="135" t="s">
        <v>8</v>
      </c>
      <c r="AA12" s="132" t="s">
        <v>25</v>
      </c>
      <c r="AB12" s="133" t="s">
        <v>26</v>
      </c>
      <c r="AC12" s="133" t="s">
        <v>27</v>
      </c>
      <c r="AD12" s="134" t="s">
        <v>10</v>
      </c>
      <c r="AE12" s="133" t="s">
        <v>11</v>
      </c>
      <c r="AF12" s="135" t="s">
        <v>8</v>
      </c>
      <c r="AG12" s="136" t="s">
        <v>10</v>
      </c>
      <c r="AH12" s="131" t="s">
        <v>11</v>
      </c>
      <c r="AI12" s="136" t="s">
        <v>7</v>
      </c>
    </row>
    <row r="13" spans="1:35" x14ac:dyDescent="0.45">
      <c r="A13" s="21"/>
      <c r="B13" s="137"/>
      <c r="C13" s="23"/>
      <c r="D13" s="23"/>
      <c r="E13" s="23"/>
      <c r="F13" s="22"/>
      <c r="G13" s="23"/>
      <c r="H13" s="24"/>
      <c r="I13" s="137"/>
      <c r="J13" s="23"/>
      <c r="K13" s="23"/>
      <c r="L13" s="22"/>
      <c r="M13" s="23"/>
      <c r="N13" s="24"/>
      <c r="O13" s="137"/>
      <c r="P13" s="23"/>
      <c r="Q13" s="23"/>
      <c r="R13" s="22"/>
      <c r="S13" s="23"/>
      <c r="T13" s="24"/>
      <c r="U13" s="137"/>
      <c r="V13" s="23"/>
      <c r="W13" s="23"/>
      <c r="X13" s="22"/>
      <c r="Y13" s="23"/>
      <c r="Z13" s="24"/>
      <c r="AA13" s="137"/>
      <c r="AB13" s="23"/>
      <c r="AC13" s="23"/>
      <c r="AD13" s="22"/>
      <c r="AE13" s="23"/>
      <c r="AF13" s="24"/>
      <c r="AG13" s="25"/>
      <c r="AH13" s="26"/>
      <c r="AI13" s="25"/>
    </row>
    <row r="14" spans="1:35" x14ac:dyDescent="0.45">
      <c r="A14" s="27" t="s">
        <v>12</v>
      </c>
      <c r="B14" s="138"/>
      <c r="C14" s="139"/>
      <c r="D14" s="139"/>
      <c r="E14" s="139"/>
      <c r="F14" s="28"/>
      <c r="G14" s="29"/>
      <c r="H14" s="30"/>
      <c r="I14" s="138"/>
      <c r="J14" s="139"/>
      <c r="K14" s="139"/>
      <c r="L14" s="28"/>
      <c r="M14" s="29"/>
      <c r="N14" s="30"/>
      <c r="O14" s="138"/>
      <c r="P14" s="139"/>
      <c r="Q14" s="139"/>
      <c r="R14" s="28"/>
      <c r="S14" s="29"/>
      <c r="T14" s="30"/>
      <c r="U14" s="138"/>
      <c r="V14" s="139"/>
      <c r="W14" s="139"/>
      <c r="X14" s="28"/>
      <c r="Y14" s="29"/>
      <c r="Z14" s="30"/>
      <c r="AA14" s="138"/>
      <c r="AB14" s="139"/>
      <c r="AC14" s="139"/>
      <c r="AD14" s="28"/>
      <c r="AE14" s="29"/>
      <c r="AF14" s="30"/>
      <c r="AG14" s="31"/>
      <c r="AH14" s="31"/>
      <c r="AI14" s="31"/>
    </row>
    <row r="15" spans="1:35" x14ac:dyDescent="0.45">
      <c r="A15" s="32" t="s">
        <v>29</v>
      </c>
      <c r="B15" s="140" t="s">
        <v>30</v>
      </c>
      <c r="C15" s="141"/>
      <c r="D15" s="141"/>
      <c r="E15" s="141"/>
      <c r="F15" s="33"/>
      <c r="G15" s="34"/>
      <c r="H15" s="35"/>
      <c r="I15" s="142"/>
      <c r="J15" s="141"/>
      <c r="K15" s="141"/>
      <c r="L15" s="33"/>
      <c r="M15" s="34"/>
      <c r="N15" s="35"/>
      <c r="O15" s="143"/>
      <c r="P15" s="141"/>
      <c r="Q15" s="141"/>
      <c r="R15" s="33"/>
      <c r="S15" s="34"/>
      <c r="T15" s="35"/>
      <c r="U15" s="142"/>
      <c r="V15" s="141"/>
      <c r="W15" s="141"/>
      <c r="X15" s="33"/>
      <c r="Y15" s="34"/>
      <c r="Z15" s="35"/>
      <c r="AA15" s="142"/>
      <c r="AB15" s="141"/>
      <c r="AC15" s="141"/>
      <c r="AD15" s="33"/>
      <c r="AE15" s="34"/>
      <c r="AF15" s="35"/>
      <c r="AG15" s="36"/>
      <c r="AH15" s="36"/>
      <c r="AI15" s="36"/>
    </row>
    <row r="16" spans="1:35" x14ac:dyDescent="0.45">
      <c r="A16" s="37" t="s">
        <v>31</v>
      </c>
      <c r="B16" s="144">
        <v>0</v>
      </c>
      <c r="C16" s="38">
        <v>0</v>
      </c>
      <c r="D16" s="39">
        <v>0</v>
      </c>
      <c r="E16" s="1" t="s">
        <v>32</v>
      </c>
      <c r="F16" s="40">
        <f>D16*C16*B16</f>
        <v>0</v>
      </c>
      <c r="G16" s="7">
        <v>0</v>
      </c>
      <c r="H16" s="41">
        <f>SUM(F16:G16)</f>
        <v>0</v>
      </c>
      <c r="I16" s="144">
        <f>B16</f>
        <v>0</v>
      </c>
      <c r="J16" s="7">
        <f>C16*$B$7</f>
        <v>0</v>
      </c>
      <c r="K16" s="1">
        <v>0</v>
      </c>
      <c r="L16" s="40">
        <f>I16*J16*K16</f>
        <v>0</v>
      </c>
      <c r="M16" s="7">
        <v>0</v>
      </c>
      <c r="N16" s="41">
        <f>SUM(L16:M16)</f>
        <v>0</v>
      </c>
      <c r="O16" s="144">
        <f>B16</f>
        <v>0</v>
      </c>
      <c r="P16" s="7">
        <f>C16*$B$7*$B$7</f>
        <v>0</v>
      </c>
      <c r="Q16" s="1">
        <v>0</v>
      </c>
      <c r="R16" s="40">
        <f>O16*P16*Q16</f>
        <v>0</v>
      </c>
      <c r="S16" s="7">
        <v>0</v>
      </c>
      <c r="T16" s="41">
        <f>SUM(R16:S16)</f>
        <v>0</v>
      </c>
      <c r="U16" s="144">
        <f>O16</f>
        <v>0</v>
      </c>
      <c r="V16" s="7">
        <f>C16*$B$7*$B$7*$B$7</f>
        <v>0</v>
      </c>
      <c r="W16" s="1">
        <v>0</v>
      </c>
      <c r="X16" s="40">
        <f>U16*V16*W16</f>
        <v>0</v>
      </c>
      <c r="Y16" s="7">
        <v>0</v>
      </c>
      <c r="Z16" s="41">
        <f>SUM(X16:Y16)</f>
        <v>0</v>
      </c>
      <c r="AA16" s="144">
        <f>U16</f>
        <v>0</v>
      </c>
      <c r="AB16" s="7">
        <f>C16*$B$7*$B$7*$B$7*$B$7</f>
        <v>0</v>
      </c>
      <c r="AC16" s="1">
        <v>0</v>
      </c>
      <c r="AD16" s="40">
        <f>AA16*AB16*AC16</f>
        <v>0</v>
      </c>
      <c r="AE16" s="7">
        <v>0</v>
      </c>
      <c r="AF16" s="41">
        <f>SUM(AD16:AE16)</f>
        <v>0</v>
      </c>
      <c r="AG16" s="42">
        <f>F16+L16+R16+X16+AD16</f>
        <v>0</v>
      </c>
      <c r="AH16" s="42">
        <f t="shared" ref="AH16" si="0">G16+M16+S16+Y16+AE16</f>
        <v>0</v>
      </c>
      <c r="AI16" s="42">
        <f>SUM(AG16:AH16)</f>
        <v>0</v>
      </c>
    </row>
    <row r="17" spans="1:35" x14ac:dyDescent="0.45">
      <c r="A17" s="37" t="s">
        <v>33</v>
      </c>
      <c r="B17" s="144">
        <v>0</v>
      </c>
      <c r="C17" s="7">
        <v>0</v>
      </c>
      <c r="D17" s="1">
        <v>0</v>
      </c>
      <c r="E17" s="1" t="s">
        <v>32</v>
      </c>
      <c r="F17" s="40">
        <f>D17*C17*B17</f>
        <v>0</v>
      </c>
      <c r="G17" s="7">
        <v>0</v>
      </c>
      <c r="H17" s="41">
        <f>SUM(F17:G17)</f>
        <v>0</v>
      </c>
      <c r="I17" s="144">
        <f t="shared" ref="I17" si="1">B17</f>
        <v>0</v>
      </c>
      <c r="J17" s="7">
        <f t="shared" ref="J17" si="2">C17*$B$7</f>
        <v>0</v>
      </c>
      <c r="K17" s="1">
        <v>0</v>
      </c>
      <c r="L17" s="40">
        <f>I17*J17*K17</f>
        <v>0</v>
      </c>
      <c r="M17" s="7">
        <v>0</v>
      </c>
      <c r="N17" s="41">
        <f>SUM(L17:M17)</f>
        <v>0</v>
      </c>
      <c r="O17" s="144">
        <f t="shared" ref="O17" si="3">I17</f>
        <v>0</v>
      </c>
      <c r="P17" s="7">
        <f t="shared" ref="P17" si="4">C17*$B$7*$B$7</f>
        <v>0</v>
      </c>
      <c r="Q17" s="1">
        <v>0</v>
      </c>
      <c r="R17" s="40">
        <f>O17*P17*Q17</f>
        <v>0</v>
      </c>
      <c r="S17" s="7">
        <v>0</v>
      </c>
      <c r="T17" s="41">
        <f>SUM(R17:S17)</f>
        <v>0</v>
      </c>
      <c r="U17" s="144">
        <f t="shared" ref="U17" si="5">O17</f>
        <v>0</v>
      </c>
      <c r="V17" s="7">
        <f t="shared" ref="V17" si="6">C17*$B$7*$B$7*$B$7</f>
        <v>0</v>
      </c>
      <c r="W17" s="1">
        <v>0</v>
      </c>
      <c r="X17" s="40">
        <f>U17*V17*W17</f>
        <v>0</v>
      </c>
      <c r="Y17" s="7">
        <v>0</v>
      </c>
      <c r="Z17" s="41">
        <f>SUM(X17:Y17)</f>
        <v>0</v>
      </c>
      <c r="AA17" s="144">
        <f t="shared" ref="AA17" si="7">U17</f>
        <v>0</v>
      </c>
      <c r="AB17" s="7">
        <f t="shared" ref="AB17" si="8">C17*$B$7*$B$7*$B$7*$B$7</f>
        <v>0</v>
      </c>
      <c r="AC17" s="1">
        <v>0</v>
      </c>
      <c r="AD17" s="40">
        <f>AA17*AB17*AC17</f>
        <v>0</v>
      </c>
      <c r="AE17" s="7">
        <v>0</v>
      </c>
      <c r="AF17" s="41">
        <f>SUM(AD17:AE17)</f>
        <v>0</v>
      </c>
      <c r="AG17" s="42">
        <f t="shared" ref="AG17" si="9">F17+L17+R17+X17+AD17</f>
        <v>0</v>
      </c>
      <c r="AH17" s="42">
        <f t="shared" ref="AH17" si="10">G17+M17+S17+Y17+AE17</f>
        <v>0</v>
      </c>
      <c r="AI17" s="42">
        <f>SUM(AG17:AH17)</f>
        <v>0</v>
      </c>
    </row>
    <row r="18" spans="1:35" s="10" customFormat="1" ht="12.3" x14ac:dyDescent="0.4">
      <c r="A18" s="43" t="s">
        <v>34</v>
      </c>
      <c r="B18" s="145"/>
      <c r="C18" s="146"/>
      <c r="D18" s="146"/>
      <c r="E18" s="146"/>
      <c r="F18" s="44">
        <f>SUM(F16:F17)</f>
        <v>0</v>
      </c>
      <c r="G18" s="45">
        <f>SUM(G16:G17)</f>
        <v>0</v>
      </c>
      <c r="H18" s="46">
        <f>SUM(H16:H17)</f>
        <v>0</v>
      </c>
      <c r="I18" s="145"/>
      <c r="J18" s="146"/>
      <c r="K18" s="146"/>
      <c r="L18" s="44">
        <f>SUM(L16:L17)</f>
        <v>0</v>
      </c>
      <c r="M18" s="45">
        <f>SUM(M16:M17)</f>
        <v>0</v>
      </c>
      <c r="N18" s="46">
        <f>SUM(N16:N17)</f>
        <v>0</v>
      </c>
      <c r="O18" s="145"/>
      <c r="P18" s="146"/>
      <c r="Q18" s="146"/>
      <c r="R18" s="44">
        <f>SUM(R16:R17)</f>
        <v>0</v>
      </c>
      <c r="S18" s="45">
        <f>SUM(S16:S17)</f>
        <v>0</v>
      </c>
      <c r="T18" s="46">
        <f>SUM(T16:T17)</f>
        <v>0</v>
      </c>
      <c r="U18" s="145"/>
      <c r="V18" s="146"/>
      <c r="W18" s="146"/>
      <c r="X18" s="44">
        <f>SUM(X16:X17)</f>
        <v>0</v>
      </c>
      <c r="Y18" s="45">
        <f>SUM(Y16:Y17)</f>
        <v>0</v>
      </c>
      <c r="Z18" s="46">
        <f>SUM(Z16:Z17)</f>
        <v>0</v>
      </c>
      <c r="AA18" s="145"/>
      <c r="AB18" s="146"/>
      <c r="AC18" s="146"/>
      <c r="AD18" s="44">
        <f t="shared" ref="AD18:AI18" si="11">SUM(AD16:AD17)</f>
        <v>0</v>
      </c>
      <c r="AE18" s="45">
        <f t="shared" si="11"/>
        <v>0</v>
      </c>
      <c r="AF18" s="46">
        <f t="shared" si="11"/>
        <v>0</v>
      </c>
      <c r="AG18" s="47">
        <f t="shared" si="11"/>
        <v>0</v>
      </c>
      <c r="AH18" s="47">
        <f t="shared" si="11"/>
        <v>0</v>
      </c>
      <c r="AI18" s="47">
        <f t="shared" si="11"/>
        <v>0</v>
      </c>
    </row>
    <row r="19" spans="1:35" x14ac:dyDescent="0.45">
      <c r="A19" s="48" t="s">
        <v>35</v>
      </c>
      <c r="B19" s="147"/>
      <c r="C19" s="148"/>
      <c r="D19" s="148"/>
      <c r="E19" s="148"/>
      <c r="F19" s="40"/>
      <c r="G19" s="7"/>
      <c r="H19" s="41"/>
      <c r="I19" s="147"/>
      <c r="J19" s="148"/>
      <c r="K19" s="148"/>
      <c r="L19" s="40"/>
      <c r="M19" s="7"/>
      <c r="N19" s="41"/>
      <c r="O19" s="147"/>
      <c r="P19" s="148"/>
      <c r="Q19" s="148"/>
      <c r="R19" s="40"/>
      <c r="S19" s="7"/>
      <c r="T19" s="41"/>
      <c r="U19" s="147"/>
      <c r="V19" s="148"/>
      <c r="W19" s="148"/>
      <c r="X19" s="40"/>
      <c r="Y19" s="7"/>
      <c r="Z19" s="41"/>
      <c r="AA19" s="147"/>
      <c r="AB19" s="148"/>
      <c r="AC19" s="148"/>
      <c r="AD19" s="40"/>
      <c r="AE19" s="7"/>
      <c r="AF19" s="41"/>
      <c r="AG19" s="42"/>
      <c r="AH19" s="42"/>
      <c r="AI19" s="42"/>
    </row>
    <row r="20" spans="1:35" x14ac:dyDescent="0.45">
      <c r="A20" s="49" t="s">
        <v>36</v>
      </c>
      <c r="B20" s="140" t="s">
        <v>30</v>
      </c>
      <c r="C20" s="149"/>
      <c r="D20" s="149"/>
      <c r="E20" s="149"/>
      <c r="F20" s="40"/>
      <c r="G20" s="7"/>
      <c r="H20" s="41"/>
      <c r="I20" s="140"/>
      <c r="J20" s="149"/>
      <c r="K20" s="149"/>
      <c r="L20" s="40"/>
      <c r="M20" s="7"/>
      <c r="N20" s="41"/>
      <c r="O20" s="140"/>
      <c r="P20" s="149"/>
      <c r="Q20" s="149"/>
      <c r="R20" s="40"/>
      <c r="S20" s="7"/>
      <c r="T20" s="41"/>
      <c r="U20" s="140"/>
      <c r="V20" s="149"/>
      <c r="W20" s="149"/>
      <c r="X20" s="40"/>
      <c r="Y20" s="7"/>
      <c r="Z20" s="41"/>
      <c r="AA20" s="140"/>
      <c r="AB20" s="149"/>
      <c r="AC20" s="149"/>
      <c r="AD20" s="40"/>
      <c r="AE20" s="7"/>
      <c r="AF20" s="41"/>
      <c r="AG20" s="42"/>
      <c r="AH20" s="42"/>
      <c r="AI20" s="42"/>
    </row>
    <row r="21" spans="1:35" x14ac:dyDescent="0.45">
      <c r="A21" s="37" t="s">
        <v>37</v>
      </c>
      <c r="B21" s="144">
        <v>0</v>
      </c>
      <c r="C21" s="40">
        <v>0</v>
      </c>
      <c r="D21" s="1">
        <v>0</v>
      </c>
      <c r="E21" s="1" t="s">
        <v>32</v>
      </c>
      <c r="F21" s="40">
        <f>D21*C21*B21</f>
        <v>0</v>
      </c>
      <c r="G21" s="7">
        <v>0</v>
      </c>
      <c r="H21" s="41">
        <f t="shared" ref="H21" si="12">SUM(F21:G21)</f>
        <v>0</v>
      </c>
      <c r="I21" s="144">
        <v>0</v>
      </c>
      <c r="J21" s="7">
        <f>C21*$B$7</f>
        <v>0</v>
      </c>
      <c r="K21" s="1">
        <v>0</v>
      </c>
      <c r="L21" s="40">
        <f>J21*K21*I21</f>
        <v>0</v>
      </c>
      <c r="M21" s="7">
        <v>0</v>
      </c>
      <c r="N21" s="41">
        <f t="shared" ref="N21" si="13">SUM(L21:M21)</f>
        <v>0</v>
      </c>
      <c r="O21" s="144">
        <v>0</v>
      </c>
      <c r="P21" s="7">
        <f>C21*$B$7*$B$7</f>
        <v>0</v>
      </c>
      <c r="Q21" s="1">
        <v>0</v>
      </c>
      <c r="R21" s="40">
        <f>Q21*P21*O21</f>
        <v>0</v>
      </c>
      <c r="S21" s="7">
        <v>0</v>
      </c>
      <c r="T21" s="41">
        <f t="shared" ref="T21" si="14">SUM(R21:S21)</f>
        <v>0</v>
      </c>
      <c r="U21" s="144">
        <v>0</v>
      </c>
      <c r="V21" s="7">
        <f>C21*$B$7*$B$7*$B$7</f>
        <v>0</v>
      </c>
      <c r="W21" s="1">
        <v>0</v>
      </c>
      <c r="X21" s="40">
        <f>W21*V21*U21</f>
        <v>0</v>
      </c>
      <c r="Y21" s="7">
        <v>0</v>
      </c>
      <c r="Z21" s="41">
        <f t="shared" ref="Z21" si="15">SUM(X21:Y21)</f>
        <v>0</v>
      </c>
      <c r="AA21" s="144">
        <v>0</v>
      </c>
      <c r="AB21" s="7">
        <f>C21*$B$7*$B$7*$B$7*$B$7</f>
        <v>0</v>
      </c>
      <c r="AC21" s="1">
        <v>0</v>
      </c>
      <c r="AD21" s="40">
        <f>AC21*AB21*AA21</f>
        <v>0</v>
      </c>
      <c r="AE21" s="7">
        <v>0</v>
      </c>
      <c r="AF21" s="41">
        <f t="shared" ref="AF21" si="16">SUM(AD21:AE21)</f>
        <v>0</v>
      </c>
      <c r="AG21" s="42">
        <f>F21+L21+R21+X21+AD21</f>
        <v>0</v>
      </c>
      <c r="AH21" s="42">
        <f t="shared" ref="AH21" si="17">G21+M21+S21+Y21+AE21</f>
        <v>0</v>
      </c>
      <c r="AI21" s="42">
        <f t="shared" ref="AI21" si="18">SUM(AG21:AH21)</f>
        <v>0</v>
      </c>
    </row>
    <row r="22" spans="1:35" x14ac:dyDescent="0.45">
      <c r="A22" s="37" t="s">
        <v>38</v>
      </c>
      <c r="B22" s="144">
        <v>0</v>
      </c>
      <c r="C22" s="40">
        <v>0</v>
      </c>
      <c r="D22" s="1">
        <v>0</v>
      </c>
      <c r="E22" s="1" t="s">
        <v>32</v>
      </c>
      <c r="F22" s="40">
        <f t="shared" ref="F22:F25" si="19">D22*C22*B22</f>
        <v>0</v>
      </c>
      <c r="G22" s="7">
        <v>0</v>
      </c>
      <c r="H22" s="41">
        <f t="shared" ref="H22" si="20">SUM(F22:G22)</f>
        <v>0</v>
      </c>
      <c r="I22" s="144">
        <v>0</v>
      </c>
      <c r="J22" s="7">
        <f t="shared" ref="J22:J25" si="21">C22*$B$7</f>
        <v>0</v>
      </c>
      <c r="K22" s="1">
        <v>0</v>
      </c>
      <c r="L22" s="40">
        <f t="shared" ref="L22:L25" si="22">J22*K22*I22</f>
        <v>0</v>
      </c>
      <c r="M22" s="7">
        <v>0</v>
      </c>
      <c r="N22" s="41">
        <f t="shared" ref="N22:N23" si="23">SUM(L22:M22)</f>
        <v>0</v>
      </c>
      <c r="O22" s="144">
        <v>0</v>
      </c>
      <c r="P22" s="7">
        <f t="shared" ref="P22:P25" si="24">C22*$B$7*$B$7</f>
        <v>0</v>
      </c>
      <c r="Q22" s="1">
        <v>0</v>
      </c>
      <c r="R22" s="40">
        <f t="shared" ref="R22:R25" si="25">Q22*P22*O22</f>
        <v>0</v>
      </c>
      <c r="S22" s="7">
        <v>0</v>
      </c>
      <c r="T22" s="41">
        <f t="shared" ref="T22:T23" si="26">SUM(R22:S22)</f>
        <v>0</v>
      </c>
      <c r="U22" s="144">
        <v>0</v>
      </c>
      <c r="V22" s="7">
        <f t="shared" ref="V22:V25" si="27">C22*$B$7*$B$7*$B$7</f>
        <v>0</v>
      </c>
      <c r="W22" s="1">
        <v>0</v>
      </c>
      <c r="X22" s="40">
        <f t="shared" ref="X22:X25" si="28">W22*V22*U22</f>
        <v>0</v>
      </c>
      <c r="Y22" s="7">
        <v>0</v>
      </c>
      <c r="Z22" s="41">
        <f t="shared" ref="Z22:Z23" si="29">SUM(X22:Y22)</f>
        <v>0</v>
      </c>
      <c r="AA22" s="144">
        <v>0</v>
      </c>
      <c r="AB22" s="7">
        <f t="shared" ref="AB22:AB25" si="30">C22*$B$7*$B$7*$B$7*$B$7</f>
        <v>0</v>
      </c>
      <c r="AC22" s="1">
        <v>0</v>
      </c>
      <c r="AD22" s="40">
        <f>AC22*AB22*AA22</f>
        <v>0</v>
      </c>
      <c r="AE22" s="7">
        <v>0</v>
      </c>
      <c r="AF22" s="41">
        <f t="shared" ref="AF22:AF23" si="31">SUM(AD22:AE22)</f>
        <v>0</v>
      </c>
      <c r="AG22" s="42">
        <f t="shared" ref="AG22:AG25" si="32">F22+L22+R22+X22+AD22</f>
        <v>0</v>
      </c>
      <c r="AH22" s="42">
        <f t="shared" ref="AH22:AH23" si="33">G22+M22+S22+Y22+AE22</f>
        <v>0</v>
      </c>
      <c r="AI22" s="42">
        <f t="shared" ref="AI22:AI23" si="34">SUM(AG22:AH22)</f>
        <v>0</v>
      </c>
    </row>
    <row r="23" spans="1:35" x14ac:dyDescent="0.45">
      <c r="A23" s="37" t="s">
        <v>39</v>
      </c>
      <c r="B23" s="144">
        <v>0</v>
      </c>
      <c r="C23" s="40">
        <v>0</v>
      </c>
      <c r="D23" s="1">
        <v>0</v>
      </c>
      <c r="E23" s="1" t="s">
        <v>32</v>
      </c>
      <c r="F23" s="40">
        <f t="shared" si="19"/>
        <v>0</v>
      </c>
      <c r="G23" s="7">
        <v>0</v>
      </c>
      <c r="H23" s="41">
        <f t="shared" ref="H23" si="35">SUM(F23:G23)</f>
        <v>0</v>
      </c>
      <c r="I23" s="144">
        <v>0</v>
      </c>
      <c r="J23" s="7">
        <f t="shared" si="21"/>
        <v>0</v>
      </c>
      <c r="K23" s="1">
        <v>0</v>
      </c>
      <c r="L23" s="40">
        <f t="shared" ref="L23" si="36">J23*K23*I23</f>
        <v>0</v>
      </c>
      <c r="M23" s="7">
        <v>0</v>
      </c>
      <c r="N23" s="41">
        <f t="shared" si="23"/>
        <v>0</v>
      </c>
      <c r="O23" s="144">
        <v>0</v>
      </c>
      <c r="P23" s="7">
        <f t="shared" si="24"/>
        <v>0</v>
      </c>
      <c r="Q23" s="1">
        <v>0</v>
      </c>
      <c r="R23" s="40">
        <f t="shared" ref="R23" si="37">Q23*P23*O23</f>
        <v>0</v>
      </c>
      <c r="S23" s="7">
        <v>0</v>
      </c>
      <c r="T23" s="41">
        <f t="shared" si="26"/>
        <v>0</v>
      </c>
      <c r="U23" s="144">
        <v>0</v>
      </c>
      <c r="V23" s="7">
        <f t="shared" si="27"/>
        <v>0</v>
      </c>
      <c r="W23" s="1">
        <v>0</v>
      </c>
      <c r="X23" s="40">
        <f t="shared" ref="X23" si="38">W23*V23*U23</f>
        <v>0</v>
      </c>
      <c r="Y23" s="7">
        <v>0</v>
      </c>
      <c r="Z23" s="41">
        <f t="shared" si="29"/>
        <v>0</v>
      </c>
      <c r="AA23" s="144">
        <v>0</v>
      </c>
      <c r="AB23" s="7">
        <f t="shared" si="30"/>
        <v>0</v>
      </c>
      <c r="AC23" s="1">
        <v>0</v>
      </c>
      <c r="AD23" s="40">
        <f t="shared" ref="AD23" si="39">AC23*AB23*AA23</f>
        <v>0</v>
      </c>
      <c r="AE23" s="7">
        <v>0</v>
      </c>
      <c r="AF23" s="41">
        <f t="shared" si="31"/>
        <v>0</v>
      </c>
      <c r="AG23" s="42">
        <f t="shared" si="32"/>
        <v>0</v>
      </c>
      <c r="AH23" s="42">
        <f t="shared" si="33"/>
        <v>0</v>
      </c>
      <c r="AI23" s="42">
        <f t="shared" si="34"/>
        <v>0</v>
      </c>
    </row>
    <row r="24" spans="1:35" x14ac:dyDescent="0.45">
      <c r="A24" s="37" t="s">
        <v>40</v>
      </c>
      <c r="B24" s="144">
        <v>0</v>
      </c>
      <c r="C24" s="40">
        <v>0</v>
      </c>
      <c r="D24" s="1">
        <v>0</v>
      </c>
      <c r="E24" s="1" t="s">
        <v>32</v>
      </c>
      <c r="F24" s="40">
        <f t="shared" si="19"/>
        <v>0</v>
      </c>
      <c r="G24" s="7">
        <v>0</v>
      </c>
      <c r="H24" s="41">
        <f t="shared" ref="H24" si="40">SUM(F24:G24)</f>
        <v>0</v>
      </c>
      <c r="I24" s="144">
        <v>0</v>
      </c>
      <c r="J24" s="7">
        <f t="shared" si="21"/>
        <v>0</v>
      </c>
      <c r="K24" s="1">
        <v>0</v>
      </c>
      <c r="L24" s="40">
        <f t="shared" ref="L24" si="41">J24*K24*I24</f>
        <v>0</v>
      </c>
      <c r="M24" s="7">
        <v>0</v>
      </c>
      <c r="N24" s="41">
        <f t="shared" ref="N24" si="42">SUM(L24:M24)</f>
        <v>0</v>
      </c>
      <c r="O24" s="144">
        <v>0</v>
      </c>
      <c r="P24" s="7">
        <f t="shared" si="24"/>
        <v>0</v>
      </c>
      <c r="Q24" s="1">
        <v>0</v>
      </c>
      <c r="R24" s="40">
        <f t="shared" ref="R24" si="43">Q24*P24*O24</f>
        <v>0</v>
      </c>
      <c r="S24" s="7">
        <v>0</v>
      </c>
      <c r="T24" s="41">
        <f t="shared" ref="T24" si="44">SUM(R24:S24)</f>
        <v>0</v>
      </c>
      <c r="U24" s="144">
        <v>0</v>
      </c>
      <c r="V24" s="7">
        <f t="shared" si="27"/>
        <v>0</v>
      </c>
      <c r="W24" s="1">
        <v>0</v>
      </c>
      <c r="X24" s="40">
        <f t="shared" ref="X24" si="45">W24*V24*U24</f>
        <v>0</v>
      </c>
      <c r="Y24" s="7">
        <v>0</v>
      </c>
      <c r="Z24" s="41">
        <f t="shared" ref="Z24" si="46">SUM(X24:Y24)</f>
        <v>0</v>
      </c>
      <c r="AA24" s="144">
        <v>0</v>
      </c>
      <c r="AB24" s="7">
        <f t="shared" si="30"/>
        <v>0</v>
      </c>
      <c r="AC24" s="1">
        <v>0</v>
      </c>
      <c r="AD24" s="40">
        <f t="shared" ref="AD24" si="47">AC24*AB24*AA24</f>
        <v>0</v>
      </c>
      <c r="AE24" s="7">
        <v>0</v>
      </c>
      <c r="AF24" s="41">
        <f t="shared" ref="AF24" si="48">SUM(AD24:AE24)</f>
        <v>0</v>
      </c>
      <c r="AG24" s="42">
        <f t="shared" si="32"/>
        <v>0</v>
      </c>
      <c r="AH24" s="42">
        <f t="shared" ref="AH24" si="49">G24+M24+S24+Y24+AE24</f>
        <v>0</v>
      </c>
      <c r="AI24" s="42">
        <f t="shared" ref="AI24" si="50">SUM(AG24:AH24)</f>
        <v>0</v>
      </c>
    </row>
    <row r="25" spans="1:35" x14ac:dyDescent="0.45">
      <c r="A25" s="37" t="s">
        <v>41</v>
      </c>
      <c r="B25" s="144">
        <v>0</v>
      </c>
      <c r="C25" s="40">
        <v>0</v>
      </c>
      <c r="D25" s="1">
        <v>0</v>
      </c>
      <c r="E25" s="1" t="s">
        <v>32</v>
      </c>
      <c r="F25" s="40">
        <f t="shared" si="19"/>
        <v>0</v>
      </c>
      <c r="G25" s="7">
        <v>0</v>
      </c>
      <c r="H25" s="41">
        <f t="shared" ref="H25" si="51">SUM(F25:G25)</f>
        <v>0</v>
      </c>
      <c r="I25" s="144">
        <v>0</v>
      </c>
      <c r="J25" s="7">
        <f t="shared" si="21"/>
        <v>0</v>
      </c>
      <c r="K25" s="1">
        <v>0</v>
      </c>
      <c r="L25" s="40">
        <f t="shared" si="22"/>
        <v>0</v>
      </c>
      <c r="M25" s="7">
        <v>0</v>
      </c>
      <c r="N25" s="41">
        <f t="shared" ref="N25" si="52">SUM(L25:M25)</f>
        <v>0</v>
      </c>
      <c r="O25" s="144">
        <v>0</v>
      </c>
      <c r="P25" s="7">
        <f t="shared" si="24"/>
        <v>0</v>
      </c>
      <c r="Q25" s="1">
        <v>0</v>
      </c>
      <c r="R25" s="40">
        <f t="shared" si="25"/>
        <v>0</v>
      </c>
      <c r="S25" s="7">
        <v>0</v>
      </c>
      <c r="T25" s="41">
        <f t="shared" ref="T25" si="53">SUM(R25:S25)</f>
        <v>0</v>
      </c>
      <c r="U25" s="144">
        <v>0</v>
      </c>
      <c r="V25" s="7">
        <f t="shared" si="27"/>
        <v>0</v>
      </c>
      <c r="W25" s="1">
        <v>0</v>
      </c>
      <c r="X25" s="40">
        <f t="shared" si="28"/>
        <v>0</v>
      </c>
      <c r="Y25" s="7">
        <v>0</v>
      </c>
      <c r="Z25" s="41">
        <f t="shared" ref="Z25" si="54">SUM(X25:Y25)</f>
        <v>0</v>
      </c>
      <c r="AA25" s="144">
        <v>0</v>
      </c>
      <c r="AB25" s="7">
        <f t="shared" si="30"/>
        <v>0</v>
      </c>
      <c r="AC25" s="1">
        <v>0</v>
      </c>
      <c r="AD25" s="40">
        <f t="shared" ref="AD25" si="55">AC25*AB25*AA25</f>
        <v>0</v>
      </c>
      <c r="AE25" s="7">
        <v>0</v>
      </c>
      <c r="AF25" s="41">
        <f t="shared" ref="AF25" si="56">SUM(AD25:AE25)</f>
        <v>0</v>
      </c>
      <c r="AG25" s="42">
        <f t="shared" si="32"/>
        <v>0</v>
      </c>
      <c r="AH25" s="42">
        <f t="shared" ref="AH25" si="57">G25+M25+S25+Y25+AE25</f>
        <v>0</v>
      </c>
      <c r="AI25" s="42">
        <f t="shared" ref="AI25" si="58">SUM(AG25:AH25)</f>
        <v>0</v>
      </c>
    </row>
    <row r="26" spans="1:35" s="10" customFormat="1" x14ac:dyDescent="0.45">
      <c r="A26" s="43" t="s">
        <v>42</v>
      </c>
      <c r="B26" s="145"/>
      <c r="C26" s="146"/>
      <c r="D26" s="1"/>
      <c r="E26" s="146"/>
      <c r="F26" s="44">
        <f>SUM(F21:F25)</f>
        <v>0</v>
      </c>
      <c r="G26" s="45">
        <f>SUM(G21:G25)</f>
        <v>0</v>
      </c>
      <c r="H26" s="46">
        <f>SUM(H21:H25)</f>
        <v>0</v>
      </c>
      <c r="I26" s="145"/>
      <c r="J26" s="146"/>
      <c r="K26" s="146"/>
      <c r="L26" s="44">
        <f>SUM(L21:L25)</f>
        <v>0</v>
      </c>
      <c r="M26" s="44">
        <f>SUM(M21:M25)</f>
        <v>0</v>
      </c>
      <c r="N26" s="44">
        <f>SUM(N21:N25)</f>
        <v>0</v>
      </c>
      <c r="O26" s="145"/>
      <c r="P26" s="146"/>
      <c r="Q26" s="146"/>
      <c r="R26" s="44">
        <f>SUM(R21:R25)</f>
        <v>0</v>
      </c>
      <c r="S26" s="45">
        <f>SUM(S21:S25)</f>
        <v>0</v>
      </c>
      <c r="T26" s="46">
        <f>SUM(T21:T25)</f>
        <v>0</v>
      </c>
      <c r="U26" s="145"/>
      <c r="V26" s="146"/>
      <c r="W26" s="146"/>
      <c r="X26" s="44">
        <f>SUM(X21:X25)</f>
        <v>0</v>
      </c>
      <c r="Y26" s="45">
        <f>SUM(Y21:Y25)</f>
        <v>0</v>
      </c>
      <c r="Z26" s="46">
        <f>SUM(Z21:Z25)</f>
        <v>0</v>
      </c>
      <c r="AA26" s="145"/>
      <c r="AB26" s="146"/>
      <c r="AC26" s="146"/>
      <c r="AD26" s="44">
        <f>SUM(AD21:AD25)</f>
        <v>0</v>
      </c>
      <c r="AE26" s="45">
        <f>SUM(AE21:AE25)</f>
        <v>0</v>
      </c>
      <c r="AF26" s="46">
        <f>SUM(AF21:AF25)</f>
        <v>0</v>
      </c>
      <c r="AG26" s="47">
        <f>F26+L26+R26+X26+AD26</f>
        <v>0</v>
      </c>
      <c r="AH26" s="47">
        <f>G26+M26+S26+Y26+AE26</f>
        <v>0</v>
      </c>
      <c r="AI26" s="47">
        <f>SUM(AG26:AH26)</f>
        <v>0</v>
      </c>
    </row>
    <row r="27" spans="1:35" x14ac:dyDescent="0.45">
      <c r="A27" s="50"/>
      <c r="B27" s="140"/>
      <c r="C27" s="149"/>
      <c r="D27" s="149"/>
      <c r="E27" s="149"/>
      <c r="F27" s="40"/>
      <c r="G27" s="7"/>
      <c r="H27" s="41"/>
      <c r="I27" s="140"/>
      <c r="J27" s="149"/>
      <c r="K27" s="149"/>
      <c r="L27" s="40"/>
      <c r="M27" s="7"/>
      <c r="N27" s="41"/>
      <c r="O27" s="140"/>
      <c r="P27" s="149"/>
      <c r="Q27" s="149"/>
      <c r="R27" s="40"/>
      <c r="S27" s="7"/>
      <c r="T27" s="41"/>
      <c r="U27" s="140"/>
      <c r="V27" s="149"/>
      <c r="W27" s="149"/>
      <c r="X27" s="40"/>
      <c r="Y27" s="7"/>
      <c r="Z27" s="41"/>
      <c r="AA27" s="140"/>
      <c r="AB27" s="149"/>
      <c r="AC27" s="149"/>
      <c r="AD27" s="40"/>
      <c r="AE27" s="7"/>
      <c r="AF27" s="41"/>
      <c r="AG27" s="42"/>
      <c r="AH27" s="42"/>
      <c r="AI27" s="42"/>
    </row>
    <row r="28" spans="1:35" x14ac:dyDescent="0.45">
      <c r="A28" s="51" t="s">
        <v>43</v>
      </c>
      <c r="B28" s="150"/>
      <c r="C28" s="151"/>
      <c r="D28" s="151"/>
      <c r="E28" s="151"/>
      <c r="F28" s="52">
        <f>F26+F18</f>
        <v>0</v>
      </c>
      <c r="G28" s="52">
        <f>G26+G18</f>
        <v>0</v>
      </c>
      <c r="H28" s="52">
        <f>H26+H18</f>
        <v>0</v>
      </c>
      <c r="I28" s="150"/>
      <c r="J28" s="151"/>
      <c r="K28" s="151"/>
      <c r="L28" s="52">
        <f>L26+L18</f>
        <v>0</v>
      </c>
      <c r="M28" s="52">
        <f>M26+M18</f>
        <v>0</v>
      </c>
      <c r="N28" s="52">
        <f>N26+N18</f>
        <v>0</v>
      </c>
      <c r="O28" s="150"/>
      <c r="P28" s="151"/>
      <c r="Q28" s="151"/>
      <c r="R28" s="52">
        <f>R26+R18</f>
        <v>0</v>
      </c>
      <c r="S28" s="52">
        <f>S26+S18</f>
        <v>0</v>
      </c>
      <c r="T28" s="52">
        <f>T26+T18</f>
        <v>0</v>
      </c>
      <c r="U28" s="150"/>
      <c r="V28" s="151"/>
      <c r="W28" s="151"/>
      <c r="X28" s="52">
        <f>X26+X18</f>
        <v>0</v>
      </c>
      <c r="Y28" s="52">
        <f>Y26+Y18</f>
        <v>0</v>
      </c>
      <c r="Z28" s="52">
        <f>Z26+Z18</f>
        <v>0</v>
      </c>
      <c r="AA28" s="52"/>
      <c r="AB28" s="151"/>
      <c r="AC28" s="151"/>
      <c r="AD28" s="52">
        <f t="shared" ref="AD28:AI28" si="59">AD26+AD18</f>
        <v>0</v>
      </c>
      <c r="AE28" s="52">
        <f t="shared" si="59"/>
        <v>0</v>
      </c>
      <c r="AF28" s="52">
        <f t="shared" si="59"/>
        <v>0</v>
      </c>
      <c r="AG28" s="52">
        <f t="shared" si="59"/>
        <v>0</v>
      </c>
      <c r="AH28" s="52">
        <f t="shared" si="59"/>
        <v>0</v>
      </c>
      <c r="AI28" s="52">
        <f t="shared" si="59"/>
        <v>0</v>
      </c>
    </row>
    <row r="29" spans="1:35" x14ac:dyDescent="0.45">
      <c r="A29" s="53"/>
      <c r="B29" s="152"/>
      <c r="C29" s="153"/>
      <c r="D29" s="153"/>
      <c r="E29" s="153"/>
      <c r="F29" s="54"/>
      <c r="G29" s="55"/>
      <c r="H29" s="56"/>
      <c r="I29" s="152"/>
      <c r="J29" s="153"/>
      <c r="K29" s="153"/>
      <c r="L29" s="54"/>
      <c r="M29" s="55"/>
      <c r="N29" s="56"/>
      <c r="O29" s="152"/>
      <c r="P29" s="153"/>
      <c r="Q29" s="153"/>
      <c r="R29" s="54"/>
      <c r="S29" s="55"/>
      <c r="T29" s="56"/>
      <c r="U29" s="152"/>
      <c r="V29" s="153"/>
      <c r="W29" s="153"/>
      <c r="X29" s="54"/>
      <c r="Y29" s="55"/>
      <c r="Z29" s="56"/>
      <c r="AA29" s="152"/>
      <c r="AB29" s="153"/>
      <c r="AC29" s="153"/>
      <c r="AD29" s="54"/>
      <c r="AE29" s="55"/>
      <c r="AF29" s="56"/>
      <c r="AG29" s="57"/>
      <c r="AH29" s="57"/>
      <c r="AI29" s="57"/>
    </row>
    <row r="30" spans="1:35" x14ac:dyDescent="0.45">
      <c r="A30" s="58" t="s">
        <v>13</v>
      </c>
      <c r="B30" s="154"/>
      <c r="C30" s="155"/>
      <c r="D30" s="155"/>
      <c r="E30" s="155"/>
      <c r="F30" s="59"/>
      <c r="G30" s="60"/>
      <c r="H30" s="61"/>
      <c r="I30" s="154"/>
      <c r="J30" s="155"/>
      <c r="K30" s="155"/>
      <c r="L30" s="59"/>
      <c r="M30" s="60"/>
      <c r="N30" s="61"/>
      <c r="O30" s="154"/>
      <c r="P30" s="155"/>
      <c r="Q30" s="155"/>
      <c r="R30" s="59"/>
      <c r="S30" s="60"/>
      <c r="T30" s="61"/>
      <c r="U30" s="154"/>
      <c r="V30" s="155"/>
      <c r="W30" s="155"/>
      <c r="X30" s="59"/>
      <c r="Y30" s="60"/>
      <c r="Z30" s="61"/>
      <c r="AA30" s="154"/>
      <c r="AB30" s="155"/>
      <c r="AC30" s="155"/>
      <c r="AD30" s="59"/>
      <c r="AE30" s="60"/>
      <c r="AF30" s="61"/>
      <c r="AG30" s="62"/>
      <c r="AH30" s="62"/>
      <c r="AI30" s="62"/>
    </row>
    <row r="31" spans="1:35" x14ac:dyDescent="0.45">
      <c r="A31" s="63" t="s">
        <v>44</v>
      </c>
      <c r="B31" s="156">
        <v>0</v>
      </c>
      <c r="C31" s="65"/>
      <c r="F31" s="64">
        <f>F18*B31</f>
        <v>0</v>
      </c>
      <c r="G31" s="65">
        <v>0</v>
      </c>
      <c r="H31" s="41">
        <f t="shared" ref="H31" si="60">SUM(F31:G31)</f>
        <v>0</v>
      </c>
      <c r="I31" s="142"/>
      <c r="J31" s="65"/>
      <c r="L31" s="64">
        <f>L18*$B$31</f>
        <v>0</v>
      </c>
      <c r="M31" s="65">
        <v>0</v>
      </c>
      <c r="N31" s="41">
        <f t="shared" ref="N31" si="61">SUM(L31:M31)</f>
        <v>0</v>
      </c>
      <c r="O31" s="142"/>
      <c r="P31" s="65"/>
      <c r="R31" s="64">
        <f>R18*$B$31</f>
        <v>0</v>
      </c>
      <c r="S31" s="65">
        <v>0</v>
      </c>
      <c r="T31" s="41">
        <f t="shared" ref="T31" si="62">SUM(R31:S31)</f>
        <v>0</v>
      </c>
      <c r="U31" s="142"/>
      <c r="V31" s="65"/>
      <c r="X31" s="64">
        <f>X18*$B$31</f>
        <v>0</v>
      </c>
      <c r="Y31" s="65">
        <v>0</v>
      </c>
      <c r="Z31" s="41">
        <f t="shared" ref="Z31" si="63">SUM(X31:Y31)</f>
        <v>0</v>
      </c>
      <c r="AA31" s="142"/>
      <c r="AB31" s="65"/>
      <c r="AD31" s="64">
        <f>AD18*$B$31</f>
        <v>0</v>
      </c>
      <c r="AE31" s="65">
        <v>0</v>
      </c>
      <c r="AF31" s="41">
        <f t="shared" ref="AF31" si="64">SUM(AD31:AE31)</f>
        <v>0</v>
      </c>
      <c r="AG31" s="66">
        <f>F31+L31+R31+X31+AD31</f>
        <v>0</v>
      </c>
      <c r="AH31" s="66">
        <f t="shared" ref="AH31" si="65">G31+M31+S31+Y31+AE31</f>
        <v>0</v>
      </c>
      <c r="AI31" s="66">
        <f>SUM(AG31:AH31)</f>
        <v>0</v>
      </c>
    </row>
    <row r="32" spans="1:35" x14ac:dyDescent="0.45">
      <c r="A32" s="67" t="s">
        <v>45</v>
      </c>
      <c r="B32" s="156">
        <v>0</v>
      </c>
      <c r="C32" s="7"/>
      <c r="F32" s="40">
        <f>F26*$B$32</f>
        <v>0</v>
      </c>
      <c r="G32" s="7">
        <v>0</v>
      </c>
      <c r="H32" s="41">
        <f>SUM(F32:G32)</f>
        <v>0</v>
      </c>
      <c r="I32" s="157"/>
      <c r="J32" s="7"/>
      <c r="L32" s="40">
        <f>L26*$B$32</f>
        <v>0</v>
      </c>
      <c r="M32" s="7">
        <v>0</v>
      </c>
      <c r="N32" s="41">
        <f t="shared" ref="N32" si="66">SUM(L32:M32)</f>
        <v>0</v>
      </c>
      <c r="O32" s="157"/>
      <c r="P32" s="7"/>
      <c r="R32" s="40">
        <f>R26*$B$32</f>
        <v>0</v>
      </c>
      <c r="S32" s="7">
        <v>0</v>
      </c>
      <c r="T32" s="41">
        <f t="shared" ref="T32" si="67">SUM(R32:S32)</f>
        <v>0</v>
      </c>
      <c r="U32" s="157"/>
      <c r="V32" s="7"/>
      <c r="X32" s="40">
        <f>X26*$B$32</f>
        <v>0</v>
      </c>
      <c r="Y32" s="7">
        <v>0</v>
      </c>
      <c r="Z32" s="41">
        <f t="shared" ref="Z32" si="68">SUM(X32:Y32)</f>
        <v>0</v>
      </c>
      <c r="AA32" s="157"/>
      <c r="AB32" s="7"/>
      <c r="AD32" s="40">
        <f>AD26*$B$32</f>
        <v>0</v>
      </c>
      <c r="AE32" s="7">
        <v>0</v>
      </c>
      <c r="AF32" s="41">
        <f t="shared" ref="AF32" si="69">SUM(AD32:AE32)</f>
        <v>0</v>
      </c>
      <c r="AG32" s="42">
        <f t="shared" ref="AG32" si="70">F32+L32+R32+X32+AD32</f>
        <v>0</v>
      </c>
      <c r="AH32" s="42">
        <f t="shared" ref="AH32" si="71">G32+M32+S32+Y32+AE32</f>
        <v>0</v>
      </c>
      <c r="AI32" s="66">
        <f t="shared" ref="AI32" si="72">SUM(AG32:AH32)</f>
        <v>0</v>
      </c>
    </row>
    <row r="33" spans="1:36" x14ac:dyDescent="0.45">
      <c r="A33" s="68"/>
      <c r="B33" s="69"/>
      <c r="C33" s="70"/>
      <c r="D33" s="70"/>
      <c r="E33" s="70"/>
      <c r="F33" s="71"/>
      <c r="G33" s="70"/>
      <c r="H33" s="72"/>
      <c r="I33" s="69"/>
      <c r="J33" s="70"/>
      <c r="K33" s="70"/>
      <c r="L33" s="71"/>
      <c r="M33" s="70"/>
      <c r="N33" s="72"/>
      <c r="O33" s="69"/>
      <c r="P33" s="70"/>
      <c r="Q33" s="70"/>
      <c r="R33" s="71"/>
      <c r="S33" s="70"/>
      <c r="T33" s="72"/>
      <c r="U33" s="69"/>
      <c r="V33" s="70"/>
      <c r="W33" s="70"/>
      <c r="X33" s="71"/>
      <c r="Y33" s="70"/>
      <c r="Z33" s="72"/>
      <c r="AA33" s="69"/>
      <c r="AB33" s="70"/>
      <c r="AC33" s="70"/>
      <c r="AD33" s="71"/>
      <c r="AE33" s="70"/>
      <c r="AF33" s="72"/>
      <c r="AG33" s="68"/>
      <c r="AH33" s="68"/>
      <c r="AI33" s="68"/>
      <c r="AJ33" s="7"/>
    </row>
    <row r="34" spans="1:36" x14ac:dyDescent="0.45">
      <c r="A34" s="51" t="s">
        <v>46</v>
      </c>
      <c r="B34" s="150"/>
      <c r="C34" s="151"/>
      <c r="D34" s="151"/>
      <c r="E34" s="151"/>
      <c r="F34" s="52">
        <f>SUM(F31:F33)</f>
        <v>0</v>
      </c>
      <c r="G34" s="52">
        <f t="shared" ref="G34:H34" si="73">SUM(G31:G33)</f>
        <v>0</v>
      </c>
      <c r="H34" s="52">
        <f t="shared" si="73"/>
        <v>0</v>
      </c>
      <c r="I34" s="150"/>
      <c r="J34" s="151"/>
      <c r="K34" s="151"/>
      <c r="L34" s="52">
        <f>SUM(L31:L33)</f>
        <v>0</v>
      </c>
      <c r="M34" s="52">
        <f t="shared" ref="M34" si="74">SUM(M31:M33)</f>
        <v>0</v>
      </c>
      <c r="N34" s="52">
        <f t="shared" ref="N34" si="75">SUM(N31:N33)</f>
        <v>0</v>
      </c>
      <c r="O34" s="150"/>
      <c r="P34" s="151"/>
      <c r="Q34" s="151"/>
      <c r="R34" s="52">
        <f>SUM(R31:R33)</f>
        <v>0</v>
      </c>
      <c r="S34" s="52">
        <f t="shared" ref="S34" si="76">SUM(S31:S33)</f>
        <v>0</v>
      </c>
      <c r="T34" s="52">
        <f t="shared" ref="T34" si="77">SUM(T31:T33)</f>
        <v>0</v>
      </c>
      <c r="U34" s="150"/>
      <c r="V34" s="151"/>
      <c r="W34" s="151"/>
      <c r="X34" s="52">
        <f>SUM(X31:X33)</f>
        <v>0</v>
      </c>
      <c r="Y34" s="52">
        <f t="shared" ref="Y34" si="78">SUM(Y31:Y33)</f>
        <v>0</v>
      </c>
      <c r="Z34" s="52">
        <f t="shared" ref="Z34" si="79">SUM(Z31:Z33)</f>
        <v>0</v>
      </c>
      <c r="AA34" s="150"/>
      <c r="AB34" s="151"/>
      <c r="AC34" s="151"/>
      <c r="AD34" s="52">
        <f>SUM(AD31:AD33)</f>
        <v>0</v>
      </c>
      <c r="AE34" s="52">
        <f t="shared" ref="AE34" si="80">SUM(AE31:AE33)</f>
        <v>0</v>
      </c>
      <c r="AF34" s="52">
        <f t="shared" ref="AF34" si="81">SUM(AF31:AF33)</f>
        <v>0</v>
      </c>
      <c r="AG34" s="52">
        <f>SUM(AG31:AG33)</f>
        <v>0</v>
      </c>
      <c r="AH34" s="52">
        <f t="shared" ref="AH34" si="82">SUM(AH31:AH33)</f>
        <v>0</v>
      </c>
      <c r="AI34" s="52">
        <f t="shared" ref="AI34" si="83">SUM(AI31:AI33)</f>
        <v>0</v>
      </c>
    </row>
    <row r="35" spans="1:36" x14ac:dyDescent="0.45">
      <c r="A35" s="53"/>
      <c r="B35" s="152"/>
      <c r="C35" s="153"/>
      <c r="D35" s="153"/>
      <c r="E35" s="153"/>
      <c r="F35" s="54"/>
      <c r="G35" s="55"/>
      <c r="H35" s="56"/>
      <c r="I35" s="152"/>
      <c r="J35" s="153"/>
      <c r="K35" s="153"/>
      <c r="L35" s="54"/>
      <c r="M35" s="55"/>
      <c r="N35" s="56"/>
      <c r="O35" s="152"/>
      <c r="P35" s="153"/>
      <c r="Q35" s="153"/>
      <c r="R35" s="54"/>
      <c r="S35" s="55"/>
      <c r="T35" s="56"/>
      <c r="U35" s="152"/>
      <c r="V35" s="153"/>
      <c r="W35" s="153"/>
      <c r="X35" s="54"/>
      <c r="Y35" s="55"/>
      <c r="Z35" s="56"/>
      <c r="AA35" s="152"/>
      <c r="AB35" s="153"/>
      <c r="AC35" s="153"/>
      <c r="AD35" s="54"/>
      <c r="AE35" s="55"/>
      <c r="AF35" s="56"/>
      <c r="AG35" s="57"/>
      <c r="AH35" s="57"/>
      <c r="AI35" s="57"/>
    </row>
    <row r="36" spans="1:36" x14ac:dyDescent="0.45">
      <c r="A36" s="58" t="s">
        <v>47</v>
      </c>
      <c r="B36" s="154"/>
      <c r="C36" s="155"/>
      <c r="D36" s="155"/>
      <c r="E36" s="155"/>
      <c r="F36" s="59"/>
      <c r="G36" s="60"/>
      <c r="H36" s="61"/>
      <c r="I36" s="154"/>
      <c r="J36" s="155"/>
      <c r="K36" s="155"/>
      <c r="L36" s="59"/>
      <c r="M36" s="60"/>
      <c r="N36" s="61"/>
      <c r="O36" s="154"/>
      <c r="P36" s="155"/>
      <c r="Q36" s="155"/>
      <c r="R36" s="59"/>
      <c r="S36" s="60"/>
      <c r="T36" s="61"/>
      <c r="U36" s="154"/>
      <c r="V36" s="155"/>
      <c r="W36" s="155"/>
      <c r="X36" s="59"/>
      <c r="Y36" s="60"/>
      <c r="Z36" s="61"/>
      <c r="AA36" s="154"/>
      <c r="AB36" s="155"/>
      <c r="AC36" s="155"/>
      <c r="AD36" s="59"/>
      <c r="AE36" s="60"/>
      <c r="AF36" s="61"/>
      <c r="AG36" s="62"/>
      <c r="AH36" s="62"/>
      <c r="AI36" s="62"/>
    </row>
    <row r="37" spans="1:36" ht="12" customHeight="1" x14ac:dyDescent="0.45">
      <c r="A37" s="63"/>
      <c r="B37" s="159"/>
      <c r="C37" s="160"/>
      <c r="D37" s="160"/>
      <c r="E37" s="160"/>
      <c r="F37" s="64"/>
      <c r="G37" s="65"/>
      <c r="H37" s="74"/>
      <c r="I37" s="159"/>
      <c r="J37" s="160"/>
      <c r="K37" s="160"/>
      <c r="L37" s="64"/>
      <c r="M37" s="65"/>
      <c r="N37" s="74"/>
      <c r="O37" s="159"/>
      <c r="P37" s="160"/>
      <c r="Q37" s="160"/>
      <c r="R37" s="64"/>
      <c r="S37" s="65"/>
      <c r="T37" s="74"/>
      <c r="U37" s="159"/>
      <c r="V37" s="160"/>
      <c r="W37" s="160"/>
      <c r="X37" s="64"/>
      <c r="Y37" s="65"/>
      <c r="Z37" s="74"/>
      <c r="AA37" s="159"/>
      <c r="AB37" s="160"/>
      <c r="AC37" s="160"/>
      <c r="AD37" s="64"/>
      <c r="AE37" s="65"/>
      <c r="AF37" s="74"/>
      <c r="AG37" s="66"/>
      <c r="AH37" s="66"/>
      <c r="AI37" s="66"/>
    </row>
    <row r="38" spans="1:36" x14ac:dyDescent="0.45">
      <c r="A38" s="75" t="s">
        <v>48</v>
      </c>
      <c r="B38" s="147"/>
      <c r="C38" s="148"/>
      <c r="D38" s="148"/>
      <c r="E38" s="148"/>
      <c r="F38" s="40"/>
      <c r="G38" s="7"/>
      <c r="H38" s="41"/>
      <c r="I38" s="147"/>
      <c r="J38" s="148"/>
      <c r="K38" s="148"/>
      <c r="L38" s="40"/>
      <c r="M38" s="7"/>
      <c r="N38" s="41"/>
      <c r="O38" s="147"/>
      <c r="P38" s="148"/>
      <c r="Q38" s="148"/>
      <c r="R38" s="40"/>
      <c r="S38" s="7"/>
      <c r="T38" s="41"/>
      <c r="U38" s="147"/>
      <c r="V38" s="148"/>
      <c r="W38" s="148"/>
      <c r="X38" s="40"/>
      <c r="Y38" s="7"/>
      <c r="Z38" s="41"/>
      <c r="AA38" s="147"/>
      <c r="AB38" s="148"/>
      <c r="AC38" s="148"/>
      <c r="AD38" s="40"/>
      <c r="AE38" s="7"/>
      <c r="AF38" s="41"/>
      <c r="AG38" s="42"/>
      <c r="AH38" s="42"/>
      <c r="AI38" s="42"/>
    </row>
    <row r="39" spans="1:36" x14ac:dyDescent="0.45">
      <c r="A39" s="76" t="s">
        <v>49</v>
      </c>
      <c r="B39" s="158">
        <v>0</v>
      </c>
      <c r="C39" s="15">
        <v>0</v>
      </c>
      <c r="D39" s="15">
        <v>0</v>
      </c>
      <c r="E39" s="148" t="s">
        <v>50</v>
      </c>
      <c r="F39" s="40">
        <f>D39*C39*B39</f>
        <v>0</v>
      </c>
      <c r="G39" s="7">
        <v>0</v>
      </c>
      <c r="H39" s="41">
        <f>SUM(F39:G39)</f>
        <v>0</v>
      </c>
      <c r="I39" s="158">
        <v>0</v>
      </c>
      <c r="J39" s="7">
        <f>C39*$B$6</f>
        <v>0</v>
      </c>
      <c r="K39" s="15">
        <v>0</v>
      </c>
      <c r="L39" s="40">
        <f>I39*J39*K39</f>
        <v>0</v>
      </c>
      <c r="M39" s="7">
        <v>0</v>
      </c>
      <c r="N39" s="41">
        <f>SUM(L39:M39)</f>
        <v>0</v>
      </c>
      <c r="O39" s="158">
        <v>0</v>
      </c>
      <c r="P39" s="7">
        <f>C39*$B$6*$B$6</f>
        <v>0</v>
      </c>
      <c r="Q39" s="15">
        <v>0</v>
      </c>
      <c r="R39" s="40">
        <f>O39*P39*Q39</f>
        <v>0</v>
      </c>
      <c r="S39" s="7">
        <v>0</v>
      </c>
      <c r="T39" s="41">
        <f>SUM(R39:S39)</f>
        <v>0</v>
      </c>
      <c r="U39" s="158">
        <v>0</v>
      </c>
      <c r="V39" s="7">
        <f>C39*$B$6*$B$6*$B$6</f>
        <v>0</v>
      </c>
      <c r="W39" s="15">
        <v>0</v>
      </c>
      <c r="X39" s="40">
        <f>U39*V39*W39</f>
        <v>0</v>
      </c>
      <c r="Y39" s="7">
        <v>0</v>
      </c>
      <c r="Z39" s="41">
        <f>SUM(X39:Y39)</f>
        <v>0</v>
      </c>
      <c r="AA39" s="158">
        <v>0</v>
      </c>
      <c r="AB39" s="7">
        <f>C39*$B$6*$B$6*$B$6*$B$6</f>
        <v>0</v>
      </c>
      <c r="AC39" s="15">
        <v>0</v>
      </c>
      <c r="AD39" s="40">
        <f>AA39*AB39*AC39</f>
        <v>0</v>
      </c>
      <c r="AE39" s="7">
        <v>0</v>
      </c>
      <c r="AF39" s="41">
        <f>SUM(AD39:AE39)</f>
        <v>0</v>
      </c>
      <c r="AG39" s="42">
        <f>F39+L39+R39+X39+AD39</f>
        <v>0</v>
      </c>
      <c r="AH39" s="42">
        <f>G39+M39+S39+Y39+AE39</f>
        <v>0</v>
      </c>
      <c r="AI39" s="42">
        <f>SUM(AG39:AH39)</f>
        <v>0</v>
      </c>
    </row>
    <row r="40" spans="1:36" x14ac:dyDescent="0.45">
      <c r="A40" s="76" t="s">
        <v>51</v>
      </c>
      <c r="B40" s="158">
        <v>0</v>
      </c>
      <c r="C40" s="15">
        <v>0</v>
      </c>
      <c r="D40" s="15">
        <v>0</v>
      </c>
      <c r="E40" s="148" t="s">
        <v>52</v>
      </c>
      <c r="F40" s="40">
        <f>D40*C40*B40</f>
        <v>0</v>
      </c>
      <c r="G40" s="7">
        <v>0</v>
      </c>
      <c r="H40" s="41">
        <f t="shared" ref="H40:H41" si="84">SUM(F40:G40)</f>
        <v>0</v>
      </c>
      <c r="I40" s="158">
        <v>0</v>
      </c>
      <c r="J40" s="7">
        <f t="shared" ref="J40:J43" si="85">C40*$B$6</f>
        <v>0</v>
      </c>
      <c r="K40" s="15">
        <v>0</v>
      </c>
      <c r="L40" s="40">
        <f>I40*J40*K40</f>
        <v>0</v>
      </c>
      <c r="M40" s="7">
        <v>0</v>
      </c>
      <c r="N40" s="41">
        <f t="shared" ref="N40:N41" si="86">SUM(L40:M40)</f>
        <v>0</v>
      </c>
      <c r="O40" s="158">
        <v>0</v>
      </c>
      <c r="P40" s="7">
        <f t="shared" ref="P40:P44" si="87">C40*$B$6*$B$6</f>
        <v>0</v>
      </c>
      <c r="Q40" s="15">
        <v>0</v>
      </c>
      <c r="R40" s="40">
        <f t="shared" ref="R40:R41" si="88">O40*P40*Q40</f>
        <v>0</v>
      </c>
      <c r="S40" s="7">
        <v>0</v>
      </c>
      <c r="T40" s="41">
        <f t="shared" ref="T40:T41" si="89">SUM(R40:S40)</f>
        <v>0</v>
      </c>
      <c r="U40" s="158">
        <v>0</v>
      </c>
      <c r="V40" s="7">
        <f t="shared" ref="V40:V44" si="90">C40*$B$6*$B$6*$B$6</f>
        <v>0</v>
      </c>
      <c r="W40" s="15">
        <v>0</v>
      </c>
      <c r="X40" s="40">
        <f t="shared" ref="X40:X41" si="91">U40*V40*W40</f>
        <v>0</v>
      </c>
      <c r="Y40" s="7">
        <v>0</v>
      </c>
      <c r="Z40" s="41">
        <f t="shared" ref="Z40:Z41" si="92">SUM(X40:Y40)</f>
        <v>0</v>
      </c>
      <c r="AA40" s="158">
        <v>0</v>
      </c>
      <c r="AB40" s="7">
        <f t="shared" ref="AB40:AB44" si="93">C40*$B$6*$B$6*$B$6*$B$6</f>
        <v>0</v>
      </c>
      <c r="AC40" s="15">
        <v>0</v>
      </c>
      <c r="AD40" s="40">
        <f t="shared" ref="AD40:AD41" si="94">AA40*AB40*AC40</f>
        <v>0</v>
      </c>
      <c r="AE40" s="7">
        <v>0</v>
      </c>
      <c r="AF40" s="41">
        <f t="shared" ref="AF40:AF41" si="95">SUM(AD40:AE40)</f>
        <v>0</v>
      </c>
      <c r="AG40" s="42">
        <f>F40+L40+R40+X40+AD40</f>
        <v>0</v>
      </c>
      <c r="AH40" s="42">
        <f t="shared" ref="AH40:AH41" si="96">G40+M40+S40+Y40+AE40</f>
        <v>0</v>
      </c>
      <c r="AI40" s="42">
        <f t="shared" ref="AI40:AI41" si="97">SUM(AG40:AH40)</f>
        <v>0</v>
      </c>
    </row>
    <row r="41" spans="1:36" x14ac:dyDescent="0.45">
      <c r="A41" s="76" t="s">
        <v>53</v>
      </c>
      <c r="B41" s="158">
        <v>0</v>
      </c>
      <c r="C41" s="15">
        <v>0</v>
      </c>
      <c r="D41" s="15">
        <v>0</v>
      </c>
      <c r="E41" s="148" t="s">
        <v>52</v>
      </c>
      <c r="F41" s="40">
        <f t="shared" ref="F41" si="98">D41*C41*B41</f>
        <v>0</v>
      </c>
      <c r="G41" s="7">
        <v>0</v>
      </c>
      <c r="H41" s="41">
        <f t="shared" si="84"/>
        <v>0</v>
      </c>
      <c r="I41" s="158">
        <v>0</v>
      </c>
      <c r="J41" s="7">
        <f t="shared" si="85"/>
        <v>0</v>
      </c>
      <c r="K41" s="15">
        <v>0</v>
      </c>
      <c r="L41" s="40">
        <f t="shared" ref="L41" si="99">I41*J41*K41</f>
        <v>0</v>
      </c>
      <c r="M41" s="7">
        <v>0</v>
      </c>
      <c r="N41" s="41">
        <f t="shared" si="86"/>
        <v>0</v>
      </c>
      <c r="O41" s="158">
        <v>0</v>
      </c>
      <c r="P41" s="7">
        <f>C41*$B$6*$B$6</f>
        <v>0</v>
      </c>
      <c r="Q41" s="15">
        <v>0</v>
      </c>
      <c r="R41" s="40">
        <f t="shared" si="88"/>
        <v>0</v>
      </c>
      <c r="S41" s="7">
        <v>0</v>
      </c>
      <c r="T41" s="41">
        <f t="shared" si="89"/>
        <v>0</v>
      </c>
      <c r="U41" s="158">
        <f>U39</f>
        <v>0</v>
      </c>
      <c r="V41" s="7">
        <f t="shared" si="90"/>
        <v>0</v>
      </c>
      <c r="W41" s="15">
        <v>0</v>
      </c>
      <c r="X41" s="40">
        <f t="shared" si="91"/>
        <v>0</v>
      </c>
      <c r="Y41" s="7">
        <v>0</v>
      </c>
      <c r="Z41" s="41">
        <f t="shared" si="92"/>
        <v>0</v>
      </c>
      <c r="AA41" s="158">
        <v>0</v>
      </c>
      <c r="AB41" s="7">
        <f t="shared" si="93"/>
        <v>0</v>
      </c>
      <c r="AC41" s="15">
        <v>0</v>
      </c>
      <c r="AD41" s="40">
        <f t="shared" si="94"/>
        <v>0</v>
      </c>
      <c r="AE41" s="7">
        <v>0</v>
      </c>
      <c r="AF41" s="41">
        <f t="shared" si="95"/>
        <v>0</v>
      </c>
      <c r="AG41" s="42">
        <f t="shared" ref="AG41" si="100">F41+L41+R41+X41+AD41</f>
        <v>0</v>
      </c>
      <c r="AH41" s="42">
        <f t="shared" si="96"/>
        <v>0</v>
      </c>
      <c r="AI41" s="42">
        <f t="shared" si="97"/>
        <v>0</v>
      </c>
    </row>
    <row r="42" spans="1:36" x14ac:dyDescent="0.45">
      <c r="A42" s="76" t="s">
        <v>54</v>
      </c>
      <c r="B42" s="158">
        <v>0</v>
      </c>
      <c r="C42" s="15">
        <v>0</v>
      </c>
      <c r="D42" s="15">
        <v>0</v>
      </c>
      <c r="E42" s="148" t="s">
        <v>55</v>
      </c>
      <c r="F42" s="40">
        <f t="shared" ref="F42:F43" si="101">D42*C42*B42</f>
        <v>0</v>
      </c>
      <c r="G42" s="7">
        <v>0</v>
      </c>
      <c r="H42" s="41">
        <f t="shared" ref="H42:H43" si="102">SUM(F42:G42)</f>
        <v>0</v>
      </c>
      <c r="I42" s="158">
        <v>0</v>
      </c>
      <c r="J42" s="7">
        <f t="shared" si="85"/>
        <v>0</v>
      </c>
      <c r="K42" s="15">
        <v>0</v>
      </c>
      <c r="L42" s="40">
        <f t="shared" ref="L42:L43" si="103">I42*J42*K42</f>
        <v>0</v>
      </c>
      <c r="M42" s="7">
        <v>0</v>
      </c>
      <c r="N42" s="41">
        <f t="shared" ref="N42:N43" si="104">SUM(L42:M42)</f>
        <v>0</v>
      </c>
      <c r="O42" s="158">
        <v>0</v>
      </c>
      <c r="P42" s="7">
        <f t="shared" si="87"/>
        <v>0</v>
      </c>
      <c r="Q42" s="15">
        <v>0</v>
      </c>
      <c r="R42" s="40">
        <f t="shared" ref="R42:R43" si="105">O42*P42*Q42</f>
        <v>0</v>
      </c>
      <c r="S42" s="7">
        <v>0</v>
      </c>
      <c r="T42" s="41">
        <f t="shared" ref="T42:T43" si="106">SUM(R42:S42)</f>
        <v>0</v>
      </c>
      <c r="U42" s="158">
        <v>0</v>
      </c>
      <c r="V42" s="7">
        <f t="shared" si="90"/>
        <v>0</v>
      </c>
      <c r="W42" s="15">
        <v>0</v>
      </c>
      <c r="X42" s="40">
        <f t="shared" ref="X42:X43" si="107">U42*V42*W42</f>
        <v>0</v>
      </c>
      <c r="Y42" s="7">
        <v>0</v>
      </c>
      <c r="Z42" s="41">
        <f t="shared" ref="Z42:Z43" si="108">SUM(X42:Y42)</f>
        <v>0</v>
      </c>
      <c r="AA42" s="158">
        <v>0</v>
      </c>
      <c r="AB42" s="7">
        <f t="shared" si="93"/>
        <v>0</v>
      </c>
      <c r="AC42" s="15">
        <v>0</v>
      </c>
      <c r="AD42" s="40">
        <f t="shared" ref="AD42:AD43" si="109">AA42*AB42*AC42</f>
        <v>0</v>
      </c>
      <c r="AE42" s="7">
        <v>0</v>
      </c>
      <c r="AF42" s="41">
        <f t="shared" ref="AF42" si="110">SUM(AD42:AE42)</f>
        <v>0</v>
      </c>
      <c r="AG42" s="42">
        <f t="shared" ref="AG42:AG43" si="111">F42+L42+R42+X42+AD42</f>
        <v>0</v>
      </c>
      <c r="AH42" s="42">
        <f t="shared" ref="AH42:AH43" si="112">G42+M42+S42+Y42+AE42</f>
        <v>0</v>
      </c>
      <c r="AI42" s="42">
        <f t="shared" ref="AI42" si="113">SUM(AG42:AH42)</f>
        <v>0</v>
      </c>
    </row>
    <row r="43" spans="1:36" x14ac:dyDescent="0.45">
      <c r="A43" s="76" t="s">
        <v>56</v>
      </c>
      <c r="B43" s="158">
        <v>0</v>
      </c>
      <c r="C43" s="15">
        <v>0</v>
      </c>
      <c r="D43" s="15">
        <v>0</v>
      </c>
      <c r="E43" s="148" t="s">
        <v>55</v>
      </c>
      <c r="F43" s="40">
        <f t="shared" si="101"/>
        <v>0</v>
      </c>
      <c r="G43" s="7">
        <v>0</v>
      </c>
      <c r="H43" s="41">
        <f t="shared" si="102"/>
        <v>0</v>
      </c>
      <c r="I43" s="158">
        <v>0</v>
      </c>
      <c r="J43" s="7">
        <f t="shared" si="85"/>
        <v>0</v>
      </c>
      <c r="K43" s="15">
        <v>0</v>
      </c>
      <c r="L43" s="40">
        <f t="shared" si="103"/>
        <v>0</v>
      </c>
      <c r="M43" s="7">
        <v>0</v>
      </c>
      <c r="N43" s="41">
        <f t="shared" si="104"/>
        <v>0</v>
      </c>
      <c r="O43" s="158">
        <v>0</v>
      </c>
      <c r="P43" s="7">
        <f t="shared" si="87"/>
        <v>0</v>
      </c>
      <c r="Q43" s="15">
        <v>0</v>
      </c>
      <c r="R43" s="40">
        <f t="shared" si="105"/>
        <v>0</v>
      </c>
      <c r="S43" s="7">
        <v>0</v>
      </c>
      <c r="T43" s="41">
        <f t="shared" si="106"/>
        <v>0</v>
      </c>
      <c r="U43" s="158">
        <v>0</v>
      </c>
      <c r="V43" s="7">
        <f t="shared" si="90"/>
        <v>0</v>
      </c>
      <c r="W43" s="15">
        <v>0</v>
      </c>
      <c r="X43" s="40">
        <f t="shared" si="107"/>
        <v>0</v>
      </c>
      <c r="Y43" s="7">
        <v>0</v>
      </c>
      <c r="Z43" s="41">
        <f t="shared" si="108"/>
        <v>0</v>
      </c>
      <c r="AA43" s="158">
        <v>0</v>
      </c>
      <c r="AB43" s="7">
        <f t="shared" si="93"/>
        <v>0</v>
      </c>
      <c r="AC43" s="15">
        <v>0</v>
      </c>
      <c r="AD43" s="40">
        <f t="shared" si="109"/>
        <v>0</v>
      </c>
      <c r="AE43" s="7">
        <v>0</v>
      </c>
      <c r="AF43" s="41">
        <f>SUM(AD43:AE43)</f>
        <v>0</v>
      </c>
      <c r="AG43" s="42">
        <f t="shared" si="111"/>
        <v>0</v>
      </c>
      <c r="AH43" s="42">
        <f t="shared" si="112"/>
        <v>0</v>
      </c>
      <c r="AI43" s="42">
        <f>SUM(AG43:AH43)</f>
        <v>0</v>
      </c>
    </row>
    <row r="44" spans="1:36" s="10" customFormat="1" x14ac:dyDescent="0.45">
      <c r="A44" s="77" t="s">
        <v>57</v>
      </c>
      <c r="B44" s="161"/>
      <c r="C44" s="146"/>
      <c r="D44" s="162"/>
      <c r="E44" s="146"/>
      <c r="F44" s="44">
        <f>SUM(F39:F43)</f>
        <v>0</v>
      </c>
      <c r="G44" s="44">
        <f t="shared" ref="G44:H44" si="114">SUM(G39:G43)</f>
        <v>0</v>
      </c>
      <c r="H44" s="44">
        <f t="shared" si="114"/>
        <v>0</v>
      </c>
      <c r="I44" s="161"/>
      <c r="J44" s="45"/>
      <c r="K44" s="146"/>
      <c r="L44" s="44">
        <f>SUM(L39:L43)</f>
        <v>0</v>
      </c>
      <c r="M44" s="44">
        <f t="shared" ref="M44" si="115">SUM(M39:M43)</f>
        <v>0</v>
      </c>
      <c r="N44" s="44">
        <f t="shared" ref="N44" si="116">SUM(N39:N43)</f>
        <v>0</v>
      </c>
      <c r="O44" s="161"/>
      <c r="P44" s="7">
        <f t="shared" si="87"/>
        <v>0</v>
      </c>
      <c r="Q44" s="146"/>
      <c r="R44" s="44">
        <f>SUM(R39:R43)</f>
        <v>0</v>
      </c>
      <c r="S44" s="44">
        <f t="shared" ref="S44" si="117">SUM(S39:S43)</f>
        <v>0</v>
      </c>
      <c r="T44" s="44">
        <f t="shared" ref="T44" si="118">SUM(T39:T43)</f>
        <v>0</v>
      </c>
      <c r="U44" s="161"/>
      <c r="V44" s="7">
        <f t="shared" si="90"/>
        <v>0</v>
      </c>
      <c r="W44" s="146"/>
      <c r="X44" s="44">
        <f>SUM(X39:X43)</f>
        <v>0</v>
      </c>
      <c r="Y44" s="44">
        <f t="shared" ref="Y44" si="119">SUM(Y39:Y43)</f>
        <v>0</v>
      </c>
      <c r="Z44" s="44">
        <f t="shared" ref="Z44" si="120">SUM(Z39:Z43)</f>
        <v>0</v>
      </c>
      <c r="AA44" s="161"/>
      <c r="AB44" s="7">
        <f t="shared" si="93"/>
        <v>0</v>
      </c>
      <c r="AC44" s="146"/>
      <c r="AD44" s="44">
        <f>SUM(AD39:AD43)</f>
        <v>0</v>
      </c>
      <c r="AE44" s="44">
        <f t="shared" ref="AE44" si="121">SUM(AE39:AE43)</f>
        <v>0</v>
      </c>
      <c r="AF44" s="44">
        <f t="shared" ref="AF44" si="122">SUM(AF39:AF43)</f>
        <v>0</v>
      </c>
      <c r="AG44" s="44">
        <f>SUM(AG39:AG43)</f>
        <v>0</v>
      </c>
      <c r="AH44" s="44">
        <f t="shared" ref="AH44" si="123">SUM(AH39:AH43)</f>
        <v>0</v>
      </c>
      <c r="AI44" s="44">
        <f t="shared" ref="AI44" si="124">SUM(AI39:AI43)</f>
        <v>0</v>
      </c>
    </row>
    <row r="45" spans="1:36" s="83" customFormat="1" x14ac:dyDescent="0.45">
      <c r="A45" s="78"/>
      <c r="B45" s="163"/>
      <c r="C45" s="164"/>
      <c r="D45" s="165"/>
      <c r="E45" s="164"/>
      <c r="F45" s="79"/>
      <c r="G45" s="80"/>
      <c r="H45" s="81"/>
      <c r="I45" s="163"/>
      <c r="J45" s="80"/>
      <c r="K45" s="164"/>
      <c r="L45" s="79"/>
      <c r="M45" s="80"/>
      <c r="N45" s="81"/>
      <c r="O45" s="163"/>
      <c r="P45" s="7"/>
      <c r="Q45" s="164"/>
      <c r="R45" s="79"/>
      <c r="S45" s="80"/>
      <c r="T45" s="81"/>
      <c r="U45" s="163"/>
      <c r="V45" s="7"/>
      <c r="W45" s="164"/>
      <c r="X45" s="79"/>
      <c r="Y45" s="80"/>
      <c r="Z45" s="81"/>
      <c r="AA45" s="163"/>
      <c r="AB45" s="7"/>
      <c r="AC45" s="164"/>
      <c r="AD45" s="79"/>
      <c r="AE45" s="80"/>
      <c r="AF45" s="81"/>
      <c r="AG45" s="82"/>
      <c r="AH45" s="82"/>
      <c r="AI45" s="82"/>
    </row>
    <row r="46" spans="1:36" x14ac:dyDescent="0.45">
      <c r="A46" s="75" t="s">
        <v>58</v>
      </c>
      <c r="B46" s="147"/>
      <c r="C46" s="148"/>
      <c r="D46" s="148"/>
      <c r="E46" s="148"/>
      <c r="F46" s="40"/>
      <c r="G46" s="7"/>
      <c r="H46" s="41"/>
      <c r="I46" s="147"/>
      <c r="J46" s="148"/>
      <c r="K46" s="148"/>
      <c r="L46" s="40"/>
      <c r="M46" s="7"/>
      <c r="N46" s="41"/>
      <c r="O46" s="147"/>
      <c r="P46" s="7"/>
      <c r="Q46" s="148"/>
      <c r="R46" s="40"/>
      <c r="S46" s="7"/>
      <c r="T46" s="41"/>
      <c r="U46" s="147"/>
      <c r="V46" s="7"/>
      <c r="W46" s="148"/>
      <c r="X46" s="40"/>
      <c r="Y46" s="7"/>
      <c r="Z46" s="41"/>
      <c r="AA46" s="147"/>
      <c r="AB46" s="7"/>
      <c r="AC46" s="148"/>
      <c r="AD46" s="40"/>
      <c r="AE46" s="7"/>
      <c r="AF46" s="41"/>
      <c r="AG46" s="42"/>
      <c r="AH46" s="42"/>
      <c r="AI46" s="42"/>
    </row>
    <row r="47" spans="1:36" x14ac:dyDescent="0.45">
      <c r="A47" s="76" t="s">
        <v>59</v>
      </c>
      <c r="B47" s="158">
        <f>B28</f>
        <v>0</v>
      </c>
      <c r="C47" s="15">
        <v>0</v>
      </c>
      <c r="D47" s="15">
        <v>0</v>
      </c>
      <c r="E47" s="148" t="s">
        <v>52</v>
      </c>
      <c r="F47" s="40">
        <f>D47*C47*B47</f>
        <v>0</v>
      </c>
      <c r="G47" s="7">
        <v>0</v>
      </c>
      <c r="H47" s="41">
        <f t="shared" ref="H47:H50" si="125">SUM(F47:G47)</f>
        <v>0</v>
      </c>
      <c r="I47" s="158">
        <v>0</v>
      </c>
      <c r="J47" s="7">
        <f>C47*$B$6</f>
        <v>0</v>
      </c>
      <c r="K47" s="15">
        <v>0</v>
      </c>
      <c r="L47" s="40">
        <f t="shared" ref="L47:L51" si="126">I47*J47*K47</f>
        <v>0</v>
      </c>
      <c r="M47" s="7">
        <v>0</v>
      </c>
      <c r="N47" s="41">
        <f t="shared" ref="N47:N51" si="127">SUM(L47:M47)</f>
        <v>0</v>
      </c>
      <c r="O47" s="158">
        <f>O28</f>
        <v>0</v>
      </c>
      <c r="P47" s="7">
        <f>C47*$B$6*$B$6</f>
        <v>0</v>
      </c>
      <c r="Q47" s="15">
        <v>0</v>
      </c>
      <c r="R47" s="40">
        <f t="shared" ref="R47:R51" si="128">O47*P47*Q47</f>
        <v>0</v>
      </c>
      <c r="S47" s="7">
        <v>0</v>
      </c>
      <c r="T47" s="41">
        <f t="shared" ref="T47:T51" si="129">SUM(R47:S47)</f>
        <v>0</v>
      </c>
      <c r="U47" s="158">
        <f>U28</f>
        <v>0</v>
      </c>
      <c r="V47" s="7">
        <f>C47*$B$6*$B$6*$B$6</f>
        <v>0</v>
      </c>
      <c r="W47" s="15">
        <v>0</v>
      </c>
      <c r="X47" s="40">
        <f t="shared" ref="X47:X51" si="130">U47*V47*W47</f>
        <v>0</v>
      </c>
      <c r="Y47" s="7">
        <v>0</v>
      </c>
      <c r="Z47" s="41">
        <f t="shared" ref="Z47:Z51" si="131">SUM(X47:Y47)</f>
        <v>0</v>
      </c>
      <c r="AA47" s="158">
        <f>AA28</f>
        <v>0</v>
      </c>
      <c r="AB47" s="7">
        <f>C47*$B$6*$B$6*$B$6*$B$6</f>
        <v>0</v>
      </c>
      <c r="AC47" s="15">
        <v>0</v>
      </c>
      <c r="AD47" s="40">
        <f t="shared" ref="AD47:AD51" si="132">AA47*AB47*AC47</f>
        <v>0</v>
      </c>
      <c r="AE47" s="7">
        <v>0</v>
      </c>
      <c r="AF47" s="41">
        <f t="shared" ref="AF47:AF51" si="133">SUM(AD47:AE47)</f>
        <v>0</v>
      </c>
      <c r="AG47" s="42">
        <f>F47+L47+R47+X47+AD47</f>
        <v>0</v>
      </c>
      <c r="AH47" s="42">
        <f t="shared" ref="AH47:AH51" si="134">G47+M47+S47+Y47+AE47</f>
        <v>0</v>
      </c>
      <c r="AI47" s="42">
        <f t="shared" ref="AI47:AI51" si="135">SUM(AG47:AH47)</f>
        <v>0</v>
      </c>
    </row>
    <row r="48" spans="1:36" x14ac:dyDescent="0.45">
      <c r="A48" s="76" t="s">
        <v>60</v>
      </c>
      <c r="B48" s="158">
        <f>B29</f>
        <v>0</v>
      </c>
      <c r="C48" s="15">
        <v>0</v>
      </c>
      <c r="D48" s="15">
        <v>0</v>
      </c>
      <c r="E48" s="148" t="s">
        <v>52</v>
      </c>
      <c r="F48" s="40">
        <f t="shared" ref="F48:F51" si="136">D48*C48*B48</f>
        <v>0</v>
      </c>
      <c r="G48" s="7">
        <v>0</v>
      </c>
      <c r="H48" s="41">
        <f t="shared" si="125"/>
        <v>0</v>
      </c>
      <c r="I48" s="158">
        <v>0</v>
      </c>
      <c r="J48" s="7">
        <f t="shared" ref="J48:J51" si="137">C48*$B$6</f>
        <v>0</v>
      </c>
      <c r="K48" s="15">
        <v>0</v>
      </c>
      <c r="L48" s="40">
        <f t="shared" si="126"/>
        <v>0</v>
      </c>
      <c r="M48" s="7">
        <v>0</v>
      </c>
      <c r="N48" s="41">
        <f t="shared" si="127"/>
        <v>0</v>
      </c>
      <c r="O48" s="158">
        <f>O29</f>
        <v>0</v>
      </c>
      <c r="P48" s="7">
        <f t="shared" ref="P48:P51" si="138">C48*$B$6*$B$6</f>
        <v>0</v>
      </c>
      <c r="Q48" s="15">
        <v>0</v>
      </c>
      <c r="R48" s="40">
        <f t="shared" si="128"/>
        <v>0</v>
      </c>
      <c r="S48" s="7">
        <v>0</v>
      </c>
      <c r="T48" s="41">
        <f t="shared" si="129"/>
        <v>0</v>
      </c>
      <c r="U48" s="158">
        <f>U29</f>
        <v>0</v>
      </c>
      <c r="V48" s="7">
        <f t="shared" ref="V48:V51" si="139">C48*$B$6*$B$6*$B$6</f>
        <v>0</v>
      </c>
      <c r="W48" s="15">
        <v>0</v>
      </c>
      <c r="X48" s="40">
        <f t="shared" si="130"/>
        <v>0</v>
      </c>
      <c r="Y48" s="7">
        <v>0</v>
      </c>
      <c r="Z48" s="41">
        <f t="shared" si="131"/>
        <v>0</v>
      </c>
      <c r="AA48" s="158">
        <f>AA29</f>
        <v>0</v>
      </c>
      <c r="AB48" s="7">
        <f t="shared" ref="AB48:AB51" si="140">C48*$B$6*$B$6*$B$6*$B$6</f>
        <v>0</v>
      </c>
      <c r="AC48" s="15">
        <v>0</v>
      </c>
      <c r="AD48" s="40">
        <f t="shared" si="132"/>
        <v>0</v>
      </c>
      <c r="AE48" s="7">
        <v>0</v>
      </c>
      <c r="AF48" s="41">
        <f t="shared" si="133"/>
        <v>0</v>
      </c>
      <c r="AG48" s="42">
        <f t="shared" ref="AG48:AG51" si="141">F48+L48+R48+X48+AD48</f>
        <v>0</v>
      </c>
      <c r="AH48" s="42">
        <f t="shared" si="134"/>
        <v>0</v>
      </c>
      <c r="AI48" s="42">
        <f t="shared" si="135"/>
        <v>0</v>
      </c>
    </row>
    <row r="49" spans="1:35" x14ac:dyDescent="0.45">
      <c r="A49" s="76" t="s">
        <v>61</v>
      </c>
      <c r="B49" s="158">
        <f>B30</f>
        <v>0</v>
      </c>
      <c r="C49" s="15">
        <v>0</v>
      </c>
      <c r="D49" s="15">
        <v>0</v>
      </c>
      <c r="E49" s="148" t="s">
        <v>55</v>
      </c>
      <c r="F49" s="40">
        <f t="shared" si="136"/>
        <v>0</v>
      </c>
      <c r="G49" s="7">
        <v>0</v>
      </c>
      <c r="H49" s="41">
        <f t="shared" si="125"/>
        <v>0</v>
      </c>
      <c r="I49" s="158">
        <v>0</v>
      </c>
      <c r="J49" s="7">
        <f t="shared" si="137"/>
        <v>0</v>
      </c>
      <c r="K49" s="15">
        <v>0</v>
      </c>
      <c r="L49" s="40">
        <f t="shared" si="126"/>
        <v>0</v>
      </c>
      <c r="M49" s="7">
        <v>0</v>
      </c>
      <c r="N49" s="41">
        <f t="shared" si="127"/>
        <v>0</v>
      </c>
      <c r="O49" s="158">
        <v>0</v>
      </c>
      <c r="P49" s="7">
        <f t="shared" si="138"/>
        <v>0</v>
      </c>
      <c r="Q49" s="15">
        <v>0</v>
      </c>
      <c r="R49" s="40">
        <f t="shared" si="128"/>
        <v>0</v>
      </c>
      <c r="S49" s="7">
        <v>0</v>
      </c>
      <c r="T49" s="41">
        <f t="shared" si="129"/>
        <v>0</v>
      </c>
      <c r="U49" s="158">
        <f>U30</f>
        <v>0</v>
      </c>
      <c r="V49" s="7">
        <f t="shared" si="139"/>
        <v>0</v>
      </c>
      <c r="W49" s="15">
        <v>0</v>
      </c>
      <c r="X49" s="40">
        <f t="shared" si="130"/>
        <v>0</v>
      </c>
      <c r="Y49" s="7">
        <v>0</v>
      </c>
      <c r="Z49" s="41">
        <f t="shared" si="131"/>
        <v>0</v>
      </c>
      <c r="AA49" s="158">
        <f>AA30</f>
        <v>0</v>
      </c>
      <c r="AB49" s="7">
        <f t="shared" si="140"/>
        <v>0</v>
      </c>
      <c r="AC49" s="15">
        <v>0</v>
      </c>
      <c r="AD49" s="40">
        <f t="shared" si="132"/>
        <v>0</v>
      </c>
      <c r="AE49" s="7">
        <v>0</v>
      </c>
      <c r="AF49" s="41">
        <f t="shared" si="133"/>
        <v>0</v>
      </c>
      <c r="AG49" s="42">
        <f t="shared" si="141"/>
        <v>0</v>
      </c>
      <c r="AH49" s="42">
        <f t="shared" si="134"/>
        <v>0</v>
      </c>
      <c r="AI49" s="42">
        <f t="shared" si="135"/>
        <v>0</v>
      </c>
    </row>
    <row r="50" spans="1:35" x14ac:dyDescent="0.45">
      <c r="A50" s="76" t="s">
        <v>62</v>
      </c>
      <c r="B50" s="158">
        <f>B30</f>
        <v>0</v>
      </c>
      <c r="C50" s="15">
        <v>0</v>
      </c>
      <c r="D50" s="15">
        <v>0</v>
      </c>
      <c r="E50" s="148" t="s">
        <v>55</v>
      </c>
      <c r="F50" s="40">
        <f t="shared" si="136"/>
        <v>0</v>
      </c>
      <c r="G50" s="7">
        <v>0</v>
      </c>
      <c r="H50" s="41">
        <f t="shared" si="125"/>
        <v>0</v>
      </c>
      <c r="I50" s="158">
        <v>0</v>
      </c>
      <c r="J50" s="7">
        <f t="shared" si="137"/>
        <v>0</v>
      </c>
      <c r="K50" s="15">
        <v>0</v>
      </c>
      <c r="L50" s="40">
        <f t="shared" si="126"/>
        <v>0</v>
      </c>
      <c r="M50" s="7">
        <v>0</v>
      </c>
      <c r="N50" s="41">
        <f t="shared" si="127"/>
        <v>0</v>
      </c>
      <c r="O50" s="158">
        <v>0</v>
      </c>
      <c r="P50" s="7">
        <f t="shared" si="138"/>
        <v>0</v>
      </c>
      <c r="Q50" s="15">
        <v>0</v>
      </c>
      <c r="R50" s="40">
        <f t="shared" si="128"/>
        <v>0</v>
      </c>
      <c r="S50" s="7">
        <v>0</v>
      </c>
      <c r="T50" s="41">
        <f t="shared" si="129"/>
        <v>0</v>
      </c>
      <c r="U50" s="158">
        <f>U30</f>
        <v>0</v>
      </c>
      <c r="V50" s="7">
        <f t="shared" si="139"/>
        <v>0</v>
      </c>
      <c r="W50" s="15">
        <v>0</v>
      </c>
      <c r="X50" s="40">
        <f t="shared" si="130"/>
        <v>0</v>
      </c>
      <c r="Y50" s="7">
        <v>0</v>
      </c>
      <c r="Z50" s="41">
        <f t="shared" si="131"/>
        <v>0</v>
      </c>
      <c r="AA50" s="158">
        <f>AA30</f>
        <v>0</v>
      </c>
      <c r="AB50" s="7">
        <f t="shared" si="140"/>
        <v>0</v>
      </c>
      <c r="AC50" s="15">
        <v>0</v>
      </c>
      <c r="AD50" s="40">
        <f t="shared" si="132"/>
        <v>0</v>
      </c>
      <c r="AE50" s="7">
        <v>0</v>
      </c>
      <c r="AF50" s="41">
        <f t="shared" si="133"/>
        <v>0</v>
      </c>
      <c r="AG50" s="42">
        <f t="shared" si="141"/>
        <v>0</v>
      </c>
      <c r="AH50" s="42">
        <f t="shared" si="134"/>
        <v>0</v>
      </c>
      <c r="AI50" s="42">
        <f t="shared" si="135"/>
        <v>0</v>
      </c>
    </row>
    <row r="51" spans="1:35" x14ac:dyDescent="0.45">
      <c r="A51" s="76" t="s">
        <v>63</v>
      </c>
      <c r="B51" s="158">
        <v>0</v>
      </c>
      <c r="C51" s="15">
        <v>0</v>
      </c>
      <c r="D51" s="15">
        <v>0</v>
      </c>
      <c r="E51" s="148" t="s">
        <v>52</v>
      </c>
      <c r="F51" s="40">
        <f t="shared" si="136"/>
        <v>0</v>
      </c>
      <c r="G51" s="7">
        <v>0</v>
      </c>
      <c r="H51" s="41">
        <f t="shared" ref="H51" si="142">SUM(F51:G51)</f>
        <v>0</v>
      </c>
      <c r="I51" s="158">
        <v>0</v>
      </c>
      <c r="J51" s="7">
        <f t="shared" si="137"/>
        <v>0</v>
      </c>
      <c r="K51" s="15">
        <v>0</v>
      </c>
      <c r="L51" s="40">
        <f t="shared" si="126"/>
        <v>0</v>
      </c>
      <c r="M51" s="7">
        <v>0</v>
      </c>
      <c r="N51" s="41">
        <f t="shared" si="127"/>
        <v>0</v>
      </c>
      <c r="O51" s="158">
        <v>0</v>
      </c>
      <c r="P51" s="7">
        <f t="shared" si="138"/>
        <v>0</v>
      </c>
      <c r="Q51" s="15">
        <v>0</v>
      </c>
      <c r="R51" s="40">
        <f t="shared" si="128"/>
        <v>0</v>
      </c>
      <c r="S51" s="7">
        <v>0</v>
      </c>
      <c r="T51" s="41">
        <f t="shared" si="129"/>
        <v>0</v>
      </c>
      <c r="U51" s="158">
        <v>0</v>
      </c>
      <c r="V51" s="7">
        <f t="shared" si="139"/>
        <v>0</v>
      </c>
      <c r="W51" s="15">
        <v>0</v>
      </c>
      <c r="X51" s="40">
        <f t="shared" si="130"/>
        <v>0</v>
      </c>
      <c r="Y51" s="7">
        <v>0</v>
      </c>
      <c r="Z51" s="41">
        <f t="shared" si="131"/>
        <v>0</v>
      </c>
      <c r="AA51" s="158">
        <v>0</v>
      </c>
      <c r="AB51" s="7">
        <f t="shared" si="140"/>
        <v>0</v>
      </c>
      <c r="AC51" s="15">
        <v>0</v>
      </c>
      <c r="AD51" s="40">
        <f t="shared" si="132"/>
        <v>0</v>
      </c>
      <c r="AE51" s="7">
        <v>0</v>
      </c>
      <c r="AF51" s="41">
        <f t="shared" si="133"/>
        <v>0</v>
      </c>
      <c r="AG51" s="42">
        <f t="shared" si="141"/>
        <v>0</v>
      </c>
      <c r="AH51" s="42">
        <f t="shared" si="134"/>
        <v>0</v>
      </c>
      <c r="AI51" s="42">
        <f t="shared" si="135"/>
        <v>0</v>
      </c>
    </row>
    <row r="52" spans="1:35" x14ac:dyDescent="0.45">
      <c r="A52" s="76" t="s">
        <v>59</v>
      </c>
      <c r="B52" s="158">
        <f>B33</f>
        <v>0</v>
      </c>
      <c r="C52" s="15">
        <v>0</v>
      </c>
      <c r="D52" s="15">
        <v>0</v>
      </c>
      <c r="E52" s="148" t="s">
        <v>52</v>
      </c>
      <c r="F52" s="40">
        <f>D52*C52*B52</f>
        <v>0</v>
      </c>
      <c r="G52" s="7">
        <v>0</v>
      </c>
      <c r="H52" s="41">
        <f t="shared" ref="H52:H55" si="143">SUM(F52:G52)</f>
        <v>0</v>
      </c>
      <c r="I52" s="158">
        <v>0</v>
      </c>
      <c r="J52" s="7">
        <f>C52*$B$6</f>
        <v>0</v>
      </c>
      <c r="K52" s="15">
        <v>0</v>
      </c>
      <c r="L52" s="40">
        <f t="shared" ref="L52:L56" si="144">I52*J52*K52</f>
        <v>0</v>
      </c>
      <c r="M52" s="7">
        <v>0</v>
      </c>
      <c r="N52" s="41">
        <f t="shared" ref="N52:N56" si="145">SUM(L52:M52)</f>
        <v>0</v>
      </c>
      <c r="O52" s="158">
        <v>0</v>
      </c>
      <c r="P52" s="7">
        <f>C52*$B$6*$B$6</f>
        <v>0</v>
      </c>
      <c r="Q52" s="15">
        <v>0</v>
      </c>
      <c r="R52" s="40">
        <f t="shared" ref="R52:R56" si="146">O52*P52*Q52</f>
        <v>0</v>
      </c>
      <c r="S52" s="7">
        <v>0</v>
      </c>
      <c r="T52" s="41">
        <f t="shared" ref="T52:T56" si="147">SUM(R52:S52)</f>
        <v>0</v>
      </c>
      <c r="U52" s="158">
        <f>U33</f>
        <v>0</v>
      </c>
      <c r="V52" s="7">
        <f>C52*$B$6*$B$6*$B$6</f>
        <v>0</v>
      </c>
      <c r="W52" s="15">
        <v>0</v>
      </c>
      <c r="X52" s="40">
        <f t="shared" ref="X52:X56" si="148">U52*V52*W52</f>
        <v>0</v>
      </c>
      <c r="Y52" s="7">
        <v>0</v>
      </c>
      <c r="Z52" s="41">
        <f t="shared" ref="Z52:Z56" si="149">SUM(X52:Y52)</f>
        <v>0</v>
      </c>
      <c r="AA52" s="158">
        <f>AA33</f>
        <v>0</v>
      </c>
      <c r="AB52" s="7">
        <f>C52*$B$6*$B$6*$B$6*$B$6</f>
        <v>0</v>
      </c>
      <c r="AC52" s="15">
        <v>0</v>
      </c>
      <c r="AD52" s="40">
        <f t="shared" ref="AD52:AD56" si="150">AA52*AB52*AC52</f>
        <v>0</v>
      </c>
      <c r="AE52" s="7">
        <v>0</v>
      </c>
      <c r="AF52" s="41">
        <f t="shared" ref="AF52:AF56" si="151">SUM(AD52:AE52)</f>
        <v>0</v>
      </c>
      <c r="AG52" s="42">
        <f>F52+L52+R52+X52+AD52</f>
        <v>0</v>
      </c>
      <c r="AH52" s="42">
        <f t="shared" ref="AH52:AH56" si="152">G52+M52+S52+Y52+AE52</f>
        <v>0</v>
      </c>
      <c r="AI52" s="42">
        <f t="shared" ref="AI52:AI56" si="153">SUM(AG52:AH52)</f>
        <v>0</v>
      </c>
    </row>
    <row r="53" spans="1:35" x14ac:dyDescent="0.45">
      <c r="A53" s="76" t="s">
        <v>60</v>
      </c>
      <c r="B53" s="158">
        <f>B34</f>
        <v>0</v>
      </c>
      <c r="C53" s="15">
        <v>0</v>
      </c>
      <c r="D53" s="15">
        <v>0</v>
      </c>
      <c r="E53" s="148" t="s">
        <v>52</v>
      </c>
      <c r="F53" s="40">
        <f t="shared" ref="F53:F56" si="154">D53*C53*B53</f>
        <v>0</v>
      </c>
      <c r="G53" s="7">
        <v>0</v>
      </c>
      <c r="H53" s="41">
        <f t="shared" si="143"/>
        <v>0</v>
      </c>
      <c r="I53" s="158">
        <v>0</v>
      </c>
      <c r="J53" s="7">
        <f t="shared" ref="J53:J56" si="155">C53*$B$6</f>
        <v>0</v>
      </c>
      <c r="K53" s="15">
        <v>0</v>
      </c>
      <c r="L53" s="40">
        <f t="shared" si="144"/>
        <v>0</v>
      </c>
      <c r="M53" s="7">
        <v>0</v>
      </c>
      <c r="N53" s="41">
        <f t="shared" si="145"/>
        <v>0</v>
      </c>
      <c r="O53" s="158">
        <v>0</v>
      </c>
      <c r="P53" s="7">
        <f t="shared" ref="P53:P56" si="156">C53*$B$6*$B$6</f>
        <v>0</v>
      </c>
      <c r="Q53" s="15">
        <v>0</v>
      </c>
      <c r="R53" s="40">
        <f t="shared" si="146"/>
        <v>0</v>
      </c>
      <c r="S53" s="7">
        <v>0</v>
      </c>
      <c r="T53" s="41">
        <f t="shared" si="147"/>
        <v>0</v>
      </c>
      <c r="U53" s="158">
        <f>U34</f>
        <v>0</v>
      </c>
      <c r="V53" s="7">
        <f t="shared" ref="V53:V56" si="157">C53*$B$6*$B$6*$B$6</f>
        <v>0</v>
      </c>
      <c r="W53" s="15">
        <v>0</v>
      </c>
      <c r="X53" s="40">
        <f t="shared" si="148"/>
        <v>0</v>
      </c>
      <c r="Y53" s="7">
        <v>0</v>
      </c>
      <c r="Z53" s="41">
        <f t="shared" si="149"/>
        <v>0</v>
      </c>
      <c r="AA53" s="158">
        <f>AA34</f>
        <v>0</v>
      </c>
      <c r="AB53" s="7">
        <f t="shared" ref="AB53:AB56" si="158">C53*$B$6*$B$6*$B$6*$B$6</f>
        <v>0</v>
      </c>
      <c r="AC53" s="15">
        <v>0</v>
      </c>
      <c r="AD53" s="40">
        <f t="shared" si="150"/>
        <v>0</v>
      </c>
      <c r="AE53" s="7">
        <v>0</v>
      </c>
      <c r="AF53" s="41">
        <f t="shared" si="151"/>
        <v>0</v>
      </c>
      <c r="AG53" s="42">
        <f t="shared" ref="AG53:AG56" si="159">F53+L53+R53+X53+AD53</f>
        <v>0</v>
      </c>
      <c r="AH53" s="42">
        <f t="shared" si="152"/>
        <v>0</v>
      </c>
      <c r="AI53" s="42">
        <f t="shared" si="153"/>
        <v>0</v>
      </c>
    </row>
    <row r="54" spans="1:35" x14ac:dyDescent="0.45">
      <c r="A54" s="76" t="s">
        <v>61</v>
      </c>
      <c r="B54" s="158">
        <f>B35</f>
        <v>0</v>
      </c>
      <c r="C54" s="15">
        <v>0</v>
      </c>
      <c r="D54" s="15">
        <v>0</v>
      </c>
      <c r="E54" s="148" t="s">
        <v>55</v>
      </c>
      <c r="F54" s="40">
        <f t="shared" si="154"/>
        <v>0</v>
      </c>
      <c r="G54" s="7">
        <v>0</v>
      </c>
      <c r="H54" s="41">
        <f t="shared" si="143"/>
        <v>0</v>
      </c>
      <c r="I54" s="158">
        <f>I35</f>
        <v>0</v>
      </c>
      <c r="J54" s="7">
        <f t="shared" si="155"/>
        <v>0</v>
      </c>
      <c r="K54" s="15">
        <v>0</v>
      </c>
      <c r="L54" s="40">
        <f t="shared" si="144"/>
        <v>0</v>
      </c>
      <c r="M54" s="7">
        <v>0</v>
      </c>
      <c r="N54" s="41">
        <f t="shared" si="145"/>
        <v>0</v>
      </c>
      <c r="O54" s="158">
        <v>0</v>
      </c>
      <c r="P54" s="7">
        <f t="shared" si="156"/>
        <v>0</v>
      </c>
      <c r="Q54" s="15">
        <v>0</v>
      </c>
      <c r="R54" s="40">
        <f t="shared" si="146"/>
        <v>0</v>
      </c>
      <c r="S54" s="7">
        <v>0</v>
      </c>
      <c r="T54" s="41">
        <f t="shared" si="147"/>
        <v>0</v>
      </c>
      <c r="U54" s="158">
        <f>U35</f>
        <v>0</v>
      </c>
      <c r="V54" s="7">
        <f t="shared" si="157"/>
        <v>0</v>
      </c>
      <c r="W54" s="15">
        <v>0</v>
      </c>
      <c r="X54" s="40">
        <f t="shared" si="148"/>
        <v>0</v>
      </c>
      <c r="Y54" s="7">
        <v>0</v>
      </c>
      <c r="Z54" s="41">
        <f t="shared" si="149"/>
        <v>0</v>
      </c>
      <c r="AA54" s="158">
        <f>AA35</f>
        <v>0</v>
      </c>
      <c r="AB54" s="7">
        <f t="shared" si="158"/>
        <v>0</v>
      </c>
      <c r="AC54" s="15">
        <v>0</v>
      </c>
      <c r="AD54" s="40">
        <f t="shared" si="150"/>
        <v>0</v>
      </c>
      <c r="AE54" s="7">
        <v>0</v>
      </c>
      <c r="AF54" s="41">
        <f t="shared" si="151"/>
        <v>0</v>
      </c>
      <c r="AG54" s="42">
        <f t="shared" si="159"/>
        <v>0</v>
      </c>
      <c r="AH54" s="42">
        <f t="shared" si="152"/>
        <v>0</v>
      </c>
      <c r="AI54" s="42">
        <f t="shared" si="153"/>
        <v>0</v>
      </c>
    </row>
    <row r="55" spans="1:35" x14ac:dyDescent="0.45">
      <c r="A55" s="76" t="s">
        <v>62</v>
      </c>
      <c r="B55" s="158">
        <f>B35</f>
        <v>0</v>
      </c>
      <c r="C55" s="15">
        <v>0</v>
      </c>
      <c r="D55" s="15">
        <v>0</v>
      </c>
      <c r="E55" s="148" t="s">
        <v>55</v>
      </c>
      <c r="F55" s="40">
        <f t="shared" si="154"/>
        <v>0</v>
      </c>
      <c r="G55" s="7">
        <v>0</v>
      </c>
      <c r="H55" s="41">
        <f t="shared" si="143"/>
        <v>0</v>
      </c>
      <c r="I55" s="158">
        <v>0</v>
      </c>
      <c r="J55" s="7">
        <f t="shared" si="155"/>
        <v>0</v>
      </c>
      <c r="K55" s="15">
        <v>0</v>
      </c>
      <c r="L55" s="40">
        <f t="shared" si="144"/>
        <v>0</v>
      </c>
      <c r="M55" s="7">
        <v>0</v>
      </c>
      <c r="N55" s="41">
        <f t="shared" si="145"/>
        <v>0</v>
      </c>
      <c r="O55" s="158">
        <v>0</v>
      </c>
      <c r="P55" s="7">
        <f t="shared" si="156"/>
        <v>0</v>
      </c>
      <c r="Q55" s="15">
        <v>0</v>
      </c>
      <c r="R55" s="40">
        <f t="shared" si="146"/>
        <v>0</v>
      </c>
      <c r="S55" s="7">
        <v>0</v>
      </c>
      <c r="T55" s="41">
        <f t="shared" si="147"/>
        <v>0</v>
      </c>
      <c r="U55" s="158">
        <f>U35</f>
        <v>0</v>
      </c>
      <c r="V55" s="7">
        <f t="shared" si="157"/>
        <v>0</v>
      </c>
      <c r="W55" s="15">
        <v>0</v>
      </c>
      <c r="X55" s="40">
        <f t="shared" si="148"/>
        <v>0</v>
      </c>
      <c r="Y55" s="7">
        <v>0</v>
      </c>
      <c r="Z55" s="41">
        <f t="shared" si="149"/>
        <v>0</v>
      </c>
      <c r="AA55" s="158">
        <f>AA35</f>
        <v>0</v>
      </c>
      <c r="AB55" s="7">
        <f t="shared" si="158"/>
        <v>0</v>
      </c>
      <c r="AC55" s="15">
        <v>0</v>
      </c>
      <c r="AD55" s="40">
        <f t="shared" si="150"/>
        <v>0</v>
      </c>
      <c r="AE55" s="7">
        <v>0</v>
      </c>
      <c r="AF55" s="41">
        <f t="shared" si="151"/>
        <v>0</v>
      </c>
      <c r="AG55" s="42">
        <f t="shared" si="159"/>
        <v>0</v>
      </c>
      <c r="AH55" s="42">
        <f t="shared" si="152"/>
        <v>0</v>
      </c>
      <c r="AI55" s="42">
        <f t="shared" si="153"/>
        <v>0</v>
      </c>
    </row>
    <row r="56" spans="1:35" x14ac:dyDescent="0.45">
      <c r="A56" s="76" t="s">
        <v>63</v>
      </c>
      <c r="B56" s="158">
        <v>0</v>
      </c>
      <c r="C56" s="15">
        <v>0</v>
      </c>
      <c r="D56" s="15">
        <v>0</v>
      </c>
      <c r="E56" s="148" t="s">
        <v>52</v>
      </c>
      <c r="F56" s="40">
        <f t="shared" si="154"/>
        <v>0</v>
      </c>
      <c r="G56" s="7">
        <v>0</v>
      </c>
      <c r="H56" s="41">
        <f t="shared" ref="H56" si="160">SUM(F56:G56)</f>
        <v>0</v>
      </c>
      <c r="I56" s="158">
        <v>0</v>
      </c>
      <c r="J56" s="7">
        <f t="shared" si="155"/>
        <v>0</v>
      </c>
      <c r="K56" s="15">
        <v>0</v>
      </c>
      <c r="L56" s="40">
        <f t="shared" si="144"/>
        <v>0</v>
      </c>
      <c r="M56" s="7">
        <v>0</v>
      </c>
      <c r="N56" s="41">
        <f t="shared" si="145"/>
        <v>0</v>
      </c>
      <c r="O56" s="158">
        <v>0</v>
      </c>
      <c r="P56" s="7">
        <f t="shared" si="156"/>
        <v>0</v>
      </c>
      <c r="Q56" s="15">
        <v>0</v>
      </c>
      <c r="R56" s="40">
        <f t="shared" si="146"/>
        <v>0</v>
      </c>
      <c r="S56" s="7">
        <v>0</v>
      </c>
      <c r="T56" s="41">
        <f t="shared" si="147"/>
        <v>0</v>
      </c>
      <c r="U56" s="158">
        <v>0</v>
      </c>
      <c r="V56" s="7">
        <f t="shared" si="157"/>
        <v>0</v>
      </c>
      <c r="W56" s="15">
        <v>0</v>
      </c>
      <c r="X56" s="40">
        <f t="shared" si="148"/>
        <v>0</v>
      </c>
      <c r="Y56" s="7">
        <v>0</v>
      </c>
      <c r="Z56" s="41">
        <f t="shared" si="149"/>
        <v>0</v>
      </c>
      <c r="AA56" s="158">
        <v>0</v>
      </c>
      <c r="AB56" s="7">
        <f t="shared" si="158"/>
        <v>0</v>
      </c>
      <c r="AC56" s="15">
        <v>0</v>
      </c>
      <c r="AD56" s="40">
        <f t="shared" si="150"/>
        <v>0</v>
      </c>
      <c r="AE56" s="7">
        <v>0</v>
      </c>
      <c r="AF56" s="41">
        <f t="shared" si="151"/>
        <v>0</v>
      </c>
      <c r="AG56" s="42">
        <f t="shared" si="159"/>
        <v>0</v>
      </c>
      <c r="AH56" s="42">
        <f t="shared" si="152"/>
        <v>0</v>
      </c>
      <c r="AI56" s="42">
        <f t="shared" si="153"/>
        <v>0</v>
      </c>
    </row>
    <row r="57" spans="1:35" s="10" customFormat="1" ht="12.3" x14ac:dyDescent="0.4">
      <c r="A57" s="77" t="s">
        <v>64</v>
      </c>
      <c r="B57" s="161"/>
      <c r="C57" s="146"/>
      <c r="D57" s="162"/>
      <c r="E57" s="146"/>
      <c r="F57" s="44">
        <f>SUM(F47:F56)</f>
        <v>0</v>
      </c>
      <c r="G57" s="44">
        <f t="shared" ref="G57:H57" si="161">SUM(G47:G56)</f>
        <v>0</v>
      </c>
      <c r="H57" s="44">
        <f t="shared" si="161"/>
        <v>0</v>
      </c>
      <c r="I57" s="161"/>
      <c r="J57" s="45"/>
      <c r="K57" s="146"/>
      <c r="L57" s="44">
        <f>SUM(L47:L56)</f>
        <v>0</v>
      </c>
      <c r="M57" s="44">
        <f t="shared" ref="M57" si="162">SUM(M47:M56)</f>
        <v>0</v>
      </c>
      <c r="N57" s="44">
        <f t="shared" ref="N57" si="163">SUM(N47:N56)</f>
        <v>0</v>
      </c>
      <c r="O57" s="161"/>
      <c r="P57" s="146"/>
      <c r="Q57" s="146"/>
      <c r="R57" s="44">
        <f>SUM(R47:R56)</f>
        <v>0</v>
      </c>
      <c r="S57" s="44">
        <f t="shared" ref="S57" si="164">SUM(S47:S56)</f>
        <v>0</v>
      </c>
      <c r="T57" s="44">
        <f t="shared" ref="T57" si="165">SUM(T47:T56)</f>
        <v>0</v>
      </c>
      <c r="U57" s="161"/>
      <c r="V57" s="146"/>
      <c r="W57" s="146"/>
      <c r="X57" s="44">
        <f>SUM(X47:X56)</f>
        <v>0</v>
      </c>
      <c r="Y57" s="44">
        <f t="shared" ref="Y57" si="166">SUM(Y47:Y56)</f>
        <v>0</v>
      </c>
      <c r="Z57" s="44">
        <f t="shared" ref="Z57" si="167">SUM(Z47:Z56)</f>
        <v>0</v>
      </c>
      <c r="AA57" s="161"/>
      <c r="AB57" s="146"/>
      <c r="AC57" s="146"/>
      <c r="AD57" s="44">
        <f>SUM(AD47:AD56)</f>
        <v>0</v>
      </c>
      <c r="AE57" s="44">
        <f t="shared" ref="AE57" si="168">SUM(AE47:AE56)</f>
        <v>0</v>
      </c>
      <c r="AF57" s="44">
        <f t="shared" ref="AF57" si="169">SUM(AF47:AF56)</f>
        <v>0</v>
      </c>
      <c r="AG57" s="44">
        <f>SUM(AG47:AG56)</f>
        <v>0</v>
      </c>
      <c r="AH57" s="44">
        <f t="shared" ref="AH57" si="170">SUM(AH47:AH56)</f>
        <v>0</v>
      </c>
      <c r="AI57" s="44">
        <f t="shared" ref="AI57" si="171">SUM(AI47:AI56)</f>
        <v>0</v>
      </c>
    </row>
    <row r="58" spans="1:35" x14ac:dyDescent="0.45">
      <c r="A58" s="84"/>
      <c r="B58" s="147"/>
      <c r="C58" s="148"/>
      <c r="D58" s="148"/>
      <c r="E58" s="148"/>
      <c r="F58" s="40"/>
      <c r="G58" s="7"/>
      <c r="H58" s="41"/>
      <c r="I58" s="166"/>
      <c r="J58" s="148"/>
      <c r="K58" s="148"/>
      <c r="L58" s="40"/>
      <c r="M58" s="7"/>
      <c r="N58" s="41"/>
      <c r="O58" s="147"/>
      <c r="P58" s="148"/>
      <c r="Q58" s="148"/>
      <c r="R58" s="40"/>
      <c r="S58" s="7"/>
      <c r="T58" s="41"/>
      <c r="U58" s="147"/>
      <c r="V58" s="148"/>
      <c r="W58" s="148"/>
      <c r="X58" s="40"/>
      <c r="Y58" s="7"/>
      <c r="Z58" s="41"/>
      <c r="AA58" s="147"/>
      <c r="AB58" s="148"/>
      <c r="AC58" s="148"/>
      <c r="AD58" s="40"/>
      <c r="AE58" s="7"/>
      <c r="AF58" s="41"/>
      <c r="AG58" s="42"/>
      <c r="AH58" s="42"/>
      <c r="AI58" s="42"/>
    </row>
    <row r="59" spans="1:35" x14ac:dyDescent="0.45">
      <c r="A59" s="51" t="s">
        <v>65</v>
      </c>
      <c r="B59" s="150"/>
      <c r="C59" s="151"/>
      <c r="D59" s="151"/>
      <c r="E59" s="151"/>
      <c r="F59" s="52">
        <f>F57+F44</f>
        <v>0</v>
      </c>
      <c r="G59" s="52">
        <f t="shared" ref="G59:H59" si="172">G57+G44</f>
        <v>0</v>
      </c>
      <c r="H59" s="52">
        <f t="shared" si="172"/>
        <v>0</v>
      </c>
      <c r="I59" s="150"/>
      <c r="J59" s="151"/>
      <c r="K59" s="151"/>
      <c r="L59" s="52">
        <f>L57+L44</f>
        <v>0</v>
      </c>
      <c r="M59" s="52">
        <f t="shared" ref="M59:N59" si="173">M57+M44</f>
        <v>0</v>
      </c>
      <c r="N59" s="52">
        <f t="shared" si="173"/>
        <v>0</v>
      </c>
      <c r="O59" s="150"/>
      <c r="P59" s="151"/>
      <c r="Q59" s="151"/>
      <c r="R59" s="52">
        <f>R57+R44</f>
        <v>0</v>
      </c>
      <c r="S59" s="52">
        <f t="shared" ref="S59:T59" si="174">S57+S44</f>
        <v>0</v>
      </c>
      <c r="T59" s="52">
        <f t="shared" si="174"/>
        <v>0</v>
      </c>
      <c r="U59" s="150"/>
      <c r="V59" s="151"/>
      <c r="W59" s="151"/>
      <c r="X59" s="52">
        <f>X57+X44</f>
        <v>0</v>
      </c>
      <c r="Y59" s="52">
        <f t="shared" ref="Y59:Z59" si="175">Y57+Y44</f>
        <v>0</v>
      </c>
      <c r="Z59" s="52">
        <f t="shared" si="175"/>
        <v>0</v>
      </c>
      <c r="AA59" s="150"/>
      <c r="AB59" s="151"/>
      <c r="AC59" s="151"/>
      <c r="AD59" s="52">
        <f>AD57+AD44</f>
        <v>0</v>
      </c>
      <c r="AE59" s="52">
        <f t="shared" ref="AE59:AF59" si="176">AE57+AE44</f>
        <v>0</v>
      </c>
      <c r="AF59" s="52">
        <f t="shared" si="176"/>
        <v>0</v>
      </c>
      <c r="AG59" s="52">
        <f>AG57+AG44</f>
        <v>0</v>
      </c>
      <c r="AH59" s="52">
        <f t="shared" ref="AH59:AI59" si="177">AH57+AH44</f>
        <v>0</v>
      </c>
      <c r="AI59" s="52">
        <f t="shared" si="177"/>
        <v>0</v>
      </c>
    </row>
    <row r="60" spans="1:35" x14ac:dyDescent="0.45">
      <c r="A60" s="85"/>
      <c r="B60" s="167"/>
      <c r="C60" s="168"/>
      <c r="D60" s="168"/>
      <c r="E60" s="168"/>
      <c r="F60" s="54"/>
      <c r="G60" s="55"/>
      <c r="H60" s="56"/>
      <c r="I60" s="167"/>
      <c r="J60" s="168"/>
      <c r="K60" s="168"/>
      <c r="L60" s="54"/>
      <c r="M60" s="55"/>
      <c r="N60" s="56"/>
      <c r="O60" s="167"/>
      <c r="P60" s="168"/>
      <c r="Q60" s="168"/>
      <c r="R60" s="54"/>
      <c r="S60" s="55"/>
      <c r="T60" s="56"/>
      <c r="U60" s="167"/>
      <c r="V60" s="168"/>
      <c r="W60" s="168"/>
      <c r="X60" s="54"/>
      <c r="Y60" s="55"/>
      <c r="Z60" s="56"/>
      <c r="AA60" s="167"/>
      <c r="AB60" s="168"/>
      <c r="AC60" s="168"/>
      <c r="AD60" s="54"/>
      <c r="AE60" s="55"/>
      <c r="AF60" s="56"/>
      <c r="AG60" s="57"/>
      <c r="AH60" s="57"/>
      <c r="AI60" s="57"/>
    </row>
    <row r="61" spans="1:35" x14ac:dyDescent="0.45">
      <c r="A61" s="58" t="s">
        <v>66</v>
      </c>
      <c r="B61" s="154"/>
      <c r="C61" s="155"/>
      <c r="D61" s="155"/>
      <c r="E61" s="155"/>
      <c r="F61" s="59"/>
      <c r="G61" s="60"/>
      <c r="H61" s="61"/>
      <c r="I61" s="154"/>
      <c r="J61" s="155"/>
      <c r="K61" s="155"/>
      <c r="L61" s="59"/>
      <c r="M61" s="60"/>
      <c r="N61" s="61"/>
      <c r="O61" s="154"/>
      <c r="P61" s="155"/>
      <c r="Q61" s="155"/>
      <c r="R61" s="59"/>
      <c r="S61" s="60"/>
      <c r="T61" s="61"/>
      <c r="U61" s="154"/>
      <c r="V61" s="155"/>
      <c r="W61" s="155"/>
      <c r="X61" s="59"/>
      <c r="Y61" s="60"/>
      <c r="Z61" s="61"/>
      <c r="AA61" s="154"/>
      <c r="AB61" s="155"/>
      <c r="AC61" s="155"/>
      <c r="AD61" s="59"/>
      <c r="AE61" s="60"/>
      <c r="AF61" s="61"/>
      <c r="AG61" s="62"/>
      <c r="AH61" s="62"/>
      <c r="AI61" s="62"/>
    </row>
    <row r="62" spans="1:35" x14ac:dyDescent="0.45">
      <c r="A62" s="63"/>
      <c r="B62" s="158"/>
      <c r="C62" s="169"/>
      <c r="D62" s="169"/>
      <c r="E62" s="169"/>
      <c r="F62" s="33"/>
      <c r="G62" s="65"/>
      <c r="H62" s="74"/>
      <c r="I62" s="170"/>
      <c r="J62" s="169"/>
      <c r="K62" s="169"/>
      <c r="L62" s="64"/>
      <c r="M62" s="65"/>
      <c r="N62" s="74"/>
      <c r="O62" s="170"/>
      <c r="P62" s="169"/>
      <c r="Q62" s="169"/>
      <c r="R62" s="64"/>
      <c r="S62" s="65"/>
      <c r="T62" s="74"/>
      <c r="U62" s="170"/>
      <c r="V62" s="169"/>
      <c r="W62" s="169"/>
      <c r="X62" s="64"/>
      <c r="Y62" s="65"/>
      <c r="Z62" s="74"/>
      <c r="AA62" s="170"/>
      <c r="AB62" s="169"/>
      <c r="AC62" s="169"/>
      <c r="AD62" s="64"/>
      <c r="AE62" s="65"/>
      <c r="AF62" s="74"/>
      <c r="AG62" s="42"/>
      <c r="AH62" s="66"/>
      <c r="AI62" s="66"/>
    </row>
    <row r="63" spans="1:35" x14ac:dyDescent="0.45">
      <c r="A63" s="1" t="s">
        <v>67</v>
      </c>
      <c r="B63" s="158">
        <v>0</v>
      </c>
      <c r="C63" s="7">
        <v>0</v>
      </c>
      <c r="D63" s="148">
        <v>0</v>
      </c>
      <c r="E63" s="148" t="s">
        <v>68</v>
      </c>
      <c r="F63" s="40">
        <f>C63*B63</f>
        <v>0</v>
      </c>
      <c r="G63" s="7">
        <v>0</v>
      </c>
      <c r="H63" s="41">
        <f>SUM(F63:G63)</f>
        <v>0</v>
      </c>
      <c r="I63" s="158">
        <v>0</v>
      </c>
      <c r="J63" s="7">
        <f>C63</f>
        <v>0</v>
      </c>
      <c r="K63" s="149"/>
      <c r="L63" s="40">
        <f>I63*J63</f>
        <v>0</v>
      </c>
      <c r="M63" s="7">
        <v>0</v>
      </c>
      <c r="N63" s="41">
        <f>SUM(L63:M63)</f>
        <v>0</v>
      </c>
      <c r="O63" s="158">
        <v>0</v>
      </c>
      <c r="P63" s="7">
        <f>C63</f>
        <v>0</v>
      </c>
      <c r="Q63" s="149"/>
      <c r="R63" s="40">
        <f>P63*O63</f>
        <v>0</v>
      </c>
      <c r="S63" s="7">
        <v>0</v>
      </c>
      <c r="T63" s="41">
        <f>SUM(R63:S63)</f>
        <v>0</v>
      </c>
      <c r="U63" s="158">
        <v>0</v>
      </c>
      <c r="V63" s="7">
        <f>C63</f>
        <v>0</v>
      </c>
      <c r="W63" s="149"/>
      <c r="X63" s="40">
        <f>U63*V63</f>
        <v>0</v>
      </c>
      <c r="Y63" s="7">
        <v>0</v>
      </c>
      <c r="Z63" s="41">
        <f>SUM(X63:Y63)</f>
        <v>0</v>
      </c>
      <c r="AA63" s="158">
        <v>0</v>
      </c>
      <c r="AB63" s="7">
        <f>C63</f>
        <v>0</v>
      </c>
      <c r="AC63" s="149"/>
      <c r="AD63" s="40">
        <f>AB63*AA63</f>
        <v>0</v>
      </c>
      <c r="AE63" s="7">
        <v>0</v>
      </c>
      <c r="AF63" s="41">
        <f>SUM(AD63:AE63)</f>
        <v>0</v>
      </c>
      <c r="AG63" s="42">
        <f>F63+L63+R63+X63+AD63</f>
        <v>0</v>
      </c>
      <c r="AH63" s="42">
        <f t="shared" ref="AH63" si="178">G63+M63+S63+Y63+AE63</f>
        <v>0</v>
      </c>
      <c r="AI63" s="42">
        <f>SUM(AG63:AH63)</f>
        <v>0</v>
      </c>
    </row>
    <row r="64" spans="1:35" x14ac:dyDescent="0.45">
      <c r="A64" s="1" t="s">
        <v>69</v>
      </c>
      <c r="B64" s="158">
        <v>0</v>
      </c>
      <c r="C64" s="7">
        <v>0</v>
      </c>
      <c r="D64" s="149"/>
      <c r="E64" s="148" t="s">
        <v>68</v>
      </c>
      <c r="F64" s="40">
        <f>C64*B64</f>
        <v>0</v>
      </c>
      <c r="G64" s="7">
        <v>0</v>
      </c>
      <c r="H64" s="41">
        <f>SUM(F64:G64)</f>
        <v>0</v>
      </c>
      <c r="I64" s="158">
        <v>0</v>
      </c>
      <c r="J64" s="7">
        <f>C64</f>
        <v>0</v>
      </c>
      <c r="K64" s="149"/>
      <c r="L64" s="40">
        <f>I64*J64</f>
        <v>0</v>
      </c>
      <c r="M64" s="7">
        <v>0</v>
      </c>
      <c r="N64" s="41">
        <f>SUM(L64:M64)</f>
        <v>0</v>
      </c>
      <c r="O64" s="158">
        <v>0</v>
      </c>
      <c r="P64" s="7">
        <f>C64</f>
        <v>0</v>
      </c>
      <c r="Q64" s="149"/>
      <c r="R64" s="40">
        <f>P64*O64</f>
        <v>0</v>
      </c>
      <c r="S64" s="7">
        <v>0</v>
      </c>
      <c r="T64" s="41">
        <f>SUM(R64:S64)</f>
        <v>0</v>
      </c>
      <c r="U64" s="158">
        <v>0</v>
      </c>
      <c r="V64" s="7">
        <f>C64</f>
        <v>0</v>
      </c>
      <c r="W64" s="149"/>
      <c r="X64" s="40">
        <f>U64*V64</f>
        <v>0</v>
      </c>
      <c r="Y64" s="7">
        <v>0</v>
      </c>
      <c r="Z64" s="41">
        <f>SUM(X64:Y64)</f>
        <v>0</v>
      </c>
      <c r="AA64" s="158">
        <v>0</v>
      </c>
      <c r="AB64" s="7">
        <f>C64</f>
        <v>0</v>
      </c>
      <c r="AC64" s="149"/>
      <c r="AD64" s="40">
        <f>AB64*AA64</f>
        <v>0</v>
      </c>
      <c r="AE64" s="7">
        <v>0</v>
      </c>
      <c r="AF64" s="41">
        <f>SUM(AD64:AE64)</f>
        <v>0</v>
      </c>
      <c r="AG64" s="42">
        <f>F64+L64+R64+X64+AD64</f>
        <v>0</v>
      </c>
      <c r="AH64" s="42">
        <f t="shared" ref="AH64" si="179">G64+M64+S64+Y64+AE64</f>
        <v>0</v>
      </c>
      <c r="AI64" s="42">
        <f>SUM(AG64:AH64)</f>
        <v>0</v>
      </c>
    </row>
    <row r="65" spans="1:35" x14ac:dyDescent="0.45">
      <c r="A65" s="86"/>
      <c r="B65" s="171"/>
      <c r="C65" s="7"/>
      <c r="D65" s="172"/>
      <c r="E65" s="172"/>
      <c r="F65" s="87"/>
      <c r="G65" s="88"/>
      <c r="H65" s="89"/>
      <c r="I65" s="171"/>
      <c r="J65" s="172"/>
      <c r="K65" s="172"/>
      <c r="L65" s="87"/>
      <c r="M65" s="88"/>
      <c r="N65" s="89"/>
      <c r="O65" s="171"/>
      <c r="P65" s="172"/>
      <c r="Q65" s="172"/>
      <c r="R65" s="87"/>
      <c r="S65" s="88"/>
      <c r="T65" s="89"/>
      <c r="U65" s="171"/>
      <c r="V65" s="172"/>
      <c r="W65" s="172"/>
      <c r="X65" s="87"/>
      <c r="Y65" s="88"/>
      <c r="Z65" s="89"/>
      <c r="AA65" s="171"/>
      <c r="AB65" s="172"/>
      <c r="AC65" s="172"/>
      <c r="AD65" s="87"/>
      <c r="AE65" s="88"/>
      <c r="AF65" s="89"/>
      <c r="AG65" s="90"/>
      <c r="AH65" s="90"/>
      <c r="AI65" s="90"/>
    </row>
    <row r="66" spans="1:35" s="9" customFormat="1" ht="12.3" x14ac:dyDescent="0.4">
      <c r="A66" s="51" t="s">
        <v>70</v>
      </c>
      <c r="B66" s="150"/>
      <c r="C66" s="151"/>
      <c r="D66" s="151"/>
      <c r="E66" s="151"/>
      <c r="F66" s="52">
        <f>SUM(F63:F65)</f>
        <v>0</v>
      </c>
      <c r="G66" s="52">
        <f t="shared" ref="G66:H66" si="180">SUM(G63:G65)</f>
        <v>0</v>
      </c>
      <c r="H66" s="52">
        <f t="shared" si="180"/>
        <v>0</v>
      </c>
      <c r="I66" s="150"/>
      <c r="J66" s="151"/>
      <c r="K66" s="151"/>
      <c r="L66" s="52">
        <f>SUM(L63:L65)</f>
        <v>0</v>
      </c>
      <c r="M66" s="52">
        <f t="shared" ref="M66" si="181">SUM(M63:M65)</f>
        <v>0</v>
      </c>
      <c r="N66" s="52">
        <f t="shared" ref="N66" si="182">SUM(N63:N65)</f>
        <v>0</v>
      </c>
      <c r="O66" s="150"/>
      <c r="P66" s="151"/>
      <c r="Q66" s="151"/>
      <c r="R66" s="52">
        <f>SUM(R63:R65)</f>
        <v>0</v>
      </c>
      <c r="S66" s="52">
        <f t="shared" ref="S66" si="183">SUM(S63:S65)</f>
        <v>0</v>
      </c>
      <c r="T66" s="52">
        <f t="shared" ref="T66" si="184">SUM(T63:T65)</f>
        <v>0</v>
      </c>
      <c r="U66" s="150"/>
      <c r="V66" s="151"/>
      <c r="W66" s="151"/>
      <c r="X66" s="52">
        <f>SUM(X63:X65)</f>
        <v>0</v>
      </c>
      <c r="Y66" s="52">
        <f t="shared" ref="Y66" si="185">SUM(Y63:Y65)</f>
        <v>0</v>
      </c>
      <c r="Z66" s="52">
        <f t="shared" ref="Z66" si="186">SUM(Z63:Z65)</f>
        <v>0</v>
      </c>
      <c r="AA66" s="150"/>
      <c r="AB66" s="151"/>
      <c r="AC66" s="151"/>
      <c r="AD66" s="52">
        <f>SUM(AD63:AD65)</f>
        <v>0</v>
      </c>
      <c r="AE66" s="52">
        <f t="shared" ref="AE66" si="187">SUM(AE63:AE65)</f>
        <v>0</v>
      </c>
      <c r="AF66" s="52">
        <f t="shared" ref="AF66" si="188">SUM(AF63:AF65)</f>
        <v>0</v>
      </c>
      <c r="AG66" s="73">
        <f>SUM(AG63:AG65)</f>
        <v>0</v>
      </c>
      <c r="AH66" s="73">
        <f t="shared" ref="AH66:AI66" si="189">SUM(AH63:AH65)</f>
        <v>0</v>
      </c>
      <c r="AI66" s="73">
        <f t="shared" si="189"/>
        <v>0</v>
      </c>
    </row>
    <row r="67" spans="1:35" x14ac:dyDescent="0.45">
      <c r="A67" s="91"/>
      <c r="B67" s="152"/>
      <c r="C67" s="153"/>
      <c r="D67" s="153"/>
      <c r="E67" s="153"/>
      <c r="F67" s="54"/>
      <c r="G67" s="55"/>
      <c r="H67" s="56"/>
      <c r="I67" s="152"/>
      <c r="J67" s="153"/>
      <c r="K67" s="153"/>
      <c r="L67" s="54"/>
      <c r="M67" s="55"/>
      <c r="N67" s="56"/>
      <c r="O67" s="152"/>
      <c r="P67" s="153"/>
      <c r="Q67" s="153"/>
      <c r="R67" s="54"/>
      <c r="S67" s="55"/>
      <c r="T67" s="56"/>
      <c r="U67" s="152"/>
      <c r="V67" s="153"/>
      <c r="W67" s="153"/>
      <c r="X67" s="54"/>
      <c r="Y67" s="55"/>
      <c r="Z67" s="56"/>
      <c r="AA67" s="152"/>
      <c r="AB67" s="153"/>
      <c r="AC67" s="153"/>
      <c r="AD67" s="54"/>
      <c r="AE67" s="55"/>
      <c r="AF67" s="56"/>
      <c r="AG67" s="57"/>
      <c r="AH67" s="57"/>
      <c r="AI67" s="57"/>
    </row>
    <row r="68" spans="1:35" x14ac:dyDescent="0.45">
      <c r="A68" s="58" t="s">
        <v>71</v>
      </c>
      <c r="B68" s="154"/>
      <c r="C68" s="155"/>
      <c r="D68" s="155"/>
      <c r="E68" s="155"/>
      <c r="F68" s="59"/>
      <c r="G68" s="60"/>
      <c r="H68" s="61"/>
      <c r="I68" s="154"/>
      <c r="J68" s="155"/>
      <c r="K68" s="155"/>
      <c r="L68" s="59"/>
      <c r="M68" s="60"/>
      <c r="N68" s="61"/>
      <c r="O68" s="154"/>
      <c r="P68" s="155"/>
      <c r="Q68" s="155"/>
      <c r="R68" s="59"/>
      <c r="S68" s="60"/>
      <c r="T68" s="61"/>
      <c r="U68" s="154"/>
      <c r="V68" s="155"/>
      <c r="W68" s="155"/>
      <c r="X68" s="59"/>
      <c r="Y68" s="60"/>
      <c r="Z68" s="61"/>
      <c r="AA68" s="154"/>
      <c r="AB68" s="155"/>
      <c r="AC68" s="155"/>
      <c r="AD68" s="59"/>
      <c r="AE68" s="60"/>
      <c r="AF68" s="61"/>
      <c r="AG68" s="62"/>
      <c r="AH68" s="62"/>
      <c r="AI68" s="62"/>
    </row>
    <row r="69" spans="1:35" x14ac:dyDescent="0.45">
      <c r="A69" s="32"/>
      <c r="B69" s="170"/>
      <c r="C69" s="169"/>
      <c r="D69" s="169"/>
      <c r="E69" s="169"/>
      <c r="F69" s="64"/>
      <c r="G69" s="65"/>
      <c r="H69" s="74"/>
      <c r="I69" s="170"/>
      <c r="J69" s="169"/>
      <c r="K69" s="169"/>
      <c r="L69" s="64"/>
      <c r="M69" s="65"/>
      <c r="N69" s="74"/>
      <c r="O69" s="170"/>
      <c r="P69" s="169"/>
      <c r="Q69" s="169"/>
      <c r="R69" s="64"/>
      <c r="S69" s="65"/>
      <c r="T69" s="74"/>
      <c r="U69" s="170"/>
      <c r="V69" s="169"/>
      <c r="W69" s="169"/>
      <c r="X69" s="64"/>
      <c r="Y69" s="65"/>
      <c r="Z69" s="74"/>
      <c r="AA69" s="170"/>
      <c r="AB69" s="169"/>
      <c r="AC69" s="169"/>
      <c r="AD69" s="64"/>
      <c r="AE69" s="65"/>
      <c r="AF69" s="74"/>
      <c r="AG69" s="42"/>
      <c r="AH69" s="66"/>
      <c r="AI69" s="66"/>
    </row>
    <row r="70" spans="1:35" x14ac:dyDescent="0.45">
      <c r="A70" s="75" t="s">
        <v>72</v>
      </c>
      <c r="B70" s="140"/>
      <c r="C70" s="149"/>
      <c r="D70" s="149"/>
      <c r="E70" s="149"/>
      <c r="F70" s="40"/>
      <c r="G70" s="7"/>
      <c r="H70" s="41"/>
      <c r="I70" s="158"/>
      <c r="J70" s="7"/>
      <c r="K70" s="15"/>
      <c r="L70" s="40"/>
      <c r="M70" s="7"/>
      <c r="N70" s="41"/>
      <c r="O70" s="158"/>
      <c r="P70" s="7"/>
      <c r="Q70" s="15"/>
      <c r="R70" s="40"/>
      <c r="S70" s="7"/>
      <c r="T70" s="41"/>
      <c r="U70" s="158"/>
      <c r="V70" s="7"/>
      <c r="W70" s="15"/>
      <c r="X70" s="40"/>
      <c r="Y70" s="7"/>
      <c r="Z70" s="41"/>
      <c r="AA70" s="158"/>
      <c r="AB70" s="7"/>
      <c r="AC70" s="15"/>
      <c r="AD70" s="40"/>
      <c r="AE70" s="7"/>
      <c r="AF70" s="41"/>
      <c r="AG70" s="42"/>
      <c r="AH70" s="42"/>
      <c r="AI70" s="42"/>
    </row>
    <row r="71" spans="1:35" x14ac:dyDescent="0.45">
      <c r="A71" s="67" t="s">
        <v>73</v>
      </c>
      <c r="B71" s="158">
        <v>0</v>
      </c>
      <c r="C71" s="7">
        <v>0</v>
      </c>
      <c r="D71" s="149">
        <v>0</v>
      </c>
      <c r="E71" s="148" t="s">
        <v>74</v>
      </c>
      <c r="F71" s="40">
        <f>C71*B71</f>
        <v>0</v>
      </c>
      <c r="G71" s="7">
        <v>0</v>
      </c>
      <c r="H71" s="41">
        <f t="shared" ref="H71:H85" si="190">SUM(F71:G71)</f>
        <v>0</v>
      </c>
      <c r="I71" s="158">
        <v>0</v>
      </c>
      <c r="J71" s="7">
        <f>C71</f>
        <v>0</v>
      </c>
      <c r="K71" s="15">
        <v>0</v>
      </c>
      <c r="L71" s="40">
        <f>I71*J71</f>
        <v>0</v>
      </c>
      <c r="M71" s="7">
        <v>0</v>
      </c>
      <c r="N71" s="41">
        <f t="shared" ref="N71:N78" si="191">SUM(L71:M71)</f>
        <v>0</v>
      </c>
      <c r="O71" s="40">
        <f t="shared" ref="O71:O79" si="192">L71*M71*N71</f>
        <v>0</v>
      </c>
      <c r="P71" s="7">
        <f>C71</f>
        <v>0</v>
      </c>
      <c r="Q71" s="15">
        <v>0</v>
      </c>
      <c r="R71" s="40">
        <f>P71*O71</f>
        <v>0</v>
      </c>
      <c r="S71" s="7">
        <v>0</v>
      </c>
      <c r="T71" s="41">
        <f t="shared" ref="T71:T85" si="193">SUM(R71:S71)</f>
        <v>0</v>
      </c>
      <c r="U71" s="40">
        <f t="shared" ref="U71:U79" si="194">R71*S71*T71</f>
        <v>0</v>
      </c>
      <c r="V71" s="7">
        <f>C71</f>
        <v>0</v>
      </c>
      <c r="W71" s="15">
        <v>0</v>
      </c>
      <c r="X71" s="40">
        <f>V71*U71</f>
        <v>0</v>
      </c>
      <c r="Y71" s="7">
        <v>0</v>
      </c>
      <c r="Z71" s="41">
        <f t="shared" ref="Z71:Z85" si="195">SUM(X71:Y71)</f>
        <v>0</v>
      </c>
      <c r="AA71" s="40">
        <f t="shared" ref="AA71:AA79" si="196">X71*Y71*Z71</f>
        <v>0</v>
      </c>
      <c r="AB71" s="7">
        <f>C71</f>
        <v>0</v>
      </c>
      <c r="AC71" s="15">
        <v>0</v>
      </c>
      <c r="AD71" s="40">
        <f>AB71*AA71</f>
        <v>0</v>
      </c>
      <c r="AE71" s="7">
        <v>0</v>
      </c>
      <c r="AF71" s="41">
        <f t="shared" ref="AF71:AF85" si="197">SUM(AD71:AE71)</f>
        <v>0</v>
      </c>
      <c r="AG71" s="42">
        <f t="shared" ref="AG71:AG85" si="198">F71+L71+R71+X71+AD71</f>
        <v>0</v>
      </c>
      <c r="AH71" s="42">
        <f t="shared" ref="AH71:AH85" si="199">G71+M71+S71+Y71+AE71</f>
        <v>0</v>
      </c>
      <c r="AI71" s="42">
        <f t="shared" ref="AI71:AI85" si="200">SUM(AG71:AH71)</f>
        <v>0</v>
      </c>
    </row>
    <row r="72" spans="1:35" x14ac:dyDescent="0.45">
      <c r="A72" s="67" t="s">
        <v>75</v>
      </c>
      <c r="B72" s="158">
        <v>0</v>
      </c>
      <c r="C72" s="7">
        <v>0</v>
      </c>
      <c r="D72" s="149">
        <v>0</v>
      </c>
      <c r="E72" s="148" t="s">
        <v>74</v>
      </c>
      <c r="F72" s="40">
        <f t="shared" ref="F72:F79" si="201">C72*B72</f>
        <v>0</v>
      </c>
      <c r="G72" s="7">
        <v>0</v>
      </c>
      <c r="H72" s="41">
        <f t="shared" si="190"/>
        <v>0</v>
      </c>
      <c r="I72" s="158">
        <v>0</v>
      </c>
      <c r="J72" s="7">
        <f t="shared" ref="J72:J79" si="202">C72</f>
        <v>0</v>
      </c>
      <c r="K72" s="15">
        <v>0</v>
      </c>
      <c r="L72" s="40">
        <f t="shared" ref="L72:L79" si="203">I72*J72</f>
        <v>0</v>
      </c>
      <c r="M72" s="7">
        <v>0</v>
      </c>
      <c r="N72" s="41">
        <f t="shared" si="191"/>
        <v>0</v>
      </c>
      <c r="O72" s="40">
        <f t="shared" si="192"/>
        <v>0</v>
      </c>
      <c r="P72" s="7">
        <f t="shared" ref="P72:P79" si="204">C72</f>
        <v>0</v>
      </c>
      <c r="Q72" s="15">
        <v>0</v>
      </c>
      <c r="R72" s="40">
        <f t="shared" ref="R72:R79" si="205">P72*O72</f>
        <v>0</v>
      </c>
      <c r="S72" s="7">
        <v>0</v>
      </c>
      <c r="T72" s="41">
        <f t="shared" si="193"/>
        <v>0</v>
      </c>
      <c r="U72" s="40">
        <f t="shared" si="194"/>
        <v>0</v>
      </c>
      <c r="V72" s="7">
        <f t="shared" ref="V72:V79" si="206">C72</f>
        <v>0</v>
      </c>
      <c r="W72" s="15">
        <v>0</v>
      </c>
      <c r="X72" s="40">
        <f t="shared" ref="X72:X79" si="207">V72*U72</f>
        <v>0</v>
      </c>
      <c r="Y72" s="7">
        <v>0</v>
      </c>
      <c r="Z72" s="41">
        <f t="shared" si="195"/>
        <v>0</v>
      </c>
      <c r="AA72" s="40">
        <f t="shared" si="196"/>
        <v>0</v>
      </c>
      <c r="AB72" s="7">
        <f t="shared" ref="AB72:AB79" si="208">C72</f>
        <v>0</v>
      </c>
      <c r="AC72" s="15">
        <v>0</v>
      </c>
      <c r="AD72" s="40">
        <f t="shared" ref="AD72:AD79" si="209">AB72*AA72</f>
        <v>0</v>
      </c>
      <c r="AE72" s="7">
        <v>0</v>
      </c>
      <c r="AF72" s="41">
        <f t="shared" si="197"/>
        <v>0</v>
      </c>
      <c r="AG72" s="42">
        <f t="shared" si="198"/>
        <v>0</v>
      </c>
      <c r="AH72" s="42">
        <f t="shared" si="199"/>
        <v>0</v>
      </c>
      <c r="AI72" s="42">
        <f t="shared" si="200"/>
        <v>0</v>
      </c>
    </row>
    <row r="73" spans="1:35" x14ac:dyDescent="0.45">
      <c r="A73" s="67" t="s">
        <v>76</v>
      </c>
      <c r="B73" s="158">
        <v>0</v>
      </c>
      <c r="C73" s="7">
        <v>0</v>
      </c>
      <c r="D73" s="149">
        <v>0</v>
      </c>
      <c r="E73" s="148" t="s">
        <v>74</v>
      </c>
      <c r="F73" s="40">
        <f t="shared" si="201"/>
        <v>0</v>
      </c>
      <c r="G73" s="7">
        <v>0</v>
      </c>
      <c r="H73" s="41">
        <f t="shared" si="190"/>
        <v>0</v>
      </c>
      <c r="I73" s="158">
        <v>0</v>
      </c>
      <c r="J73" s="7">
        <f t="shared" si="202"/>
        <v>0</v>
      </c>
      <c r="K73" s="15">
        <v>0</v>
      </c>
      <c r="L73" s="40">
        <f t="shared" si="203"/>
        <v>0</v>
      </c>
      <c r="M73" s="7">
        <v>0</v>
      </c>
      <c r="N73" s="41">
        <f t="shared" si="191"/>
        <v>0</v>
      </c>
      <c r="O73" s="40">
        <f t="shared" si="192"/>
        <v>0</v>
      </c>
      <c r="P73" s="7">
        <f t="shared" si="204"/>
        <v>0</v>
      </c>
      <c r="Q73" s="15">
        <v>0</v>
      </c>
      <c r="R73" s="40">
        <f t="shared" si="205"/>
        <v>0</v>
      </c>
      <c r="S73" s="7">
        <v>0</v>
      </c>
      <c r="T73" s="41">
        <f t="shared" si="193"/>
        <v>0</v>
      </c>
      <c r="U73" s="40">
        <f t="shared" si="194"/>
        <v>0</v>
      </c>
      <c r="V73" s="7">
        <f t="shared" si="206"/>
        <v>0</v>
      </c>
      <c r="W73" s="15">
        <v>0</v>
      </c>
      <c r="X73" s="40">
        <f t="shared" si="207"/>
        <v>0</v>
      </c>
      <c r="Y73" s="7">
        <v>0</v>
      </c>
      <c r="Z73" s="41">
        <f t="shared" si="195"/>
        <v>0</v>
      </c>
      <c r="AA73" s="40">
        <f t="shared" si="196"/>
        <v>0</v>
      </c>
      <c r="AB73" s="7">
        <f t="shared" si="208"/>
        <v>0</v>
      </c>
      <c r="AC73" s="15">
        <v>0</v>
      </c>
      <c r="AD73" s="40">
        <f t="shared" si="209"/>
        <v>0</v>
      </c>
      <c r="AE73" s="7">
        <v>0</v>
      </c>
      <c r="AF73" s="41">
        <f t="shared" si="197"/>
        <v>0</v>
      </c>
      <c r="AG73" s="42">
        <f t="shared" si="198"/>
        <v>0</v>
      </c>
      <c r="AH73" s="42">
        <f t="shared" si="199"/>
        <v>0</v>
      </c>
      <c r="AI73" s="42">
        <f t="shared" si="200"/>
        <v>0</v>
      </c>
    </row>
    <row r="74" spans="1:35" s="10" customFormat="1" ht="12.3" x14ac:dyDescent="0.4">
      <c r="A74" s="77" t="s">
        <v>77</v>
      </c>
      <c r="B74" s="161"/>
      <c r="C74" s="146"/>
      <c r="D74" s="162"/>
      <c r="E74" s="146"/>
      <c r="F74" s="44">
        <f>SUM(F71:F73)</f>
        <v>0</v>
      </c>
      <c r="G74" s="45">
        <f>SUM(G71:G73)</f>
        <v>0</v>
      </c>
      <c r="H74" s="46">
        <f>SUM(H71:H73)</f>
        <v>0</v>
      </c>
      <c r="I74" s="161"/>
      <c r="J74" s="45"/>
      <c r="K74" s="146"/>
      <c r="L74" s="44">
        <f>SUM(L71:L73)</f>
        <v>0</v>
      </c>
      <c r="M74" s="45">
        <f>SUM(M71:M73)</f>
        <v>0</v>
      </c>
      <c r="N74" s="46">
        <f>SUM(N71:N73)</f>
        <v>0</v>
      </c>
      <c r="O74" s="161"/>
      <c r="P74" s="146"/>
      <c r="Q74" s="146"/>
      <c r="R74" s="44">
        <f>SUM(R71:R73)</f>
        <v>0</v>
      </c>
      <c r="S74" s="45">
        <f>SUM(S71:S73)</f>
        <v>0</v>
      </c>
      <c r="T74" s="46">
        <f>SUM(T71:T73)</f>
        <v>0</v>
      </c>
      <c r="U74" s="161"/>
      <c r="V74" s="146"/>
      <c r="W74" s="146"/>
      <c r="X74" s="44">
        <f>SUM(X71:X73)</f>
        <v>0</v>
      </c>
      <c r="Y74" s="45">
        <f>SUM(Y71:Y73)</f>
        <v>0</v>
      </c>
      <c r="Z74" s="46">
        <f>SUM(Z71:Z73)</f>
        <v>0</v>
      </c>
      <c r="AA74" s="161"/>
      <c r="AB74" s="146"/>
      <c r="AC74" s="146"/>
      <c r="AD74" s="44">
        <f>SUM(AD71:AD73)</f>
        <v>0</v>
      </c>
      <c r="AE74" s="45">
        <f>SUM(AE71:AE73)</f>
        <v>0</v>
      </c>
      <c r="AF74" s="46">
        <f>SUM(AF71:AF73)</f>
        <v>0</v>
      </c>
      <c r="AG74" s="47">
        <f>F74+L74+R74+X74+AD74</f>
        <v>0</v>
      </c>
      <c r="AH74" s="47">
        <f>G74+M74+S74+Y74+AE74</f>
        <v>0</v>
      </c>
      <c r="AI74" s="47">
        <f>SUM(AG74:AH74)</f>
        <v>0</v>
      </c>
    </row>
    <row r="75" spans="1:35" x14ac:dyDescent="0.45">
      <c r="A75" s="67"/>
      <c r="B75" s="158"/>
      <c r="C75" s="7"/>
      <c r="D75" s="149"/>
      <c r="E75" s="148"/>
      <c r="F75" s="40"/>
      <c r="G75" s="7"/>
      <c r="H75" s="41"/>
      <c r="I75" s="158"/>
      <c r="J75" s="7"/>
      <c r="K75" s="15"/>
      <c r="L75" s="40"/>
      <c r="M75" s="7"/>
      <c r="N75" s="41"/>
      <c r="O75" s="40"/>
      <c r="P75" s="7"/>
      <c r="Q75" s="15"/>
      <c r="R75" s="40"/>
      <c r="S75" s="7"/>
      <c r="T75" s="41"/>
      <c r="U75" s="40"/>
      <c r="V75" s="7"/>
      <c r="W75" s="15"/>
      <c r="X75" s="40"/>
      <c r="Y75" s="7"/>
      <c r="Z75" s="41"/>
      <c r="AA75" s="40"/>
      <c r="AB75" s="7"/>
      <c r="AC75" s="15"/>
      <c r="AD75" s="40"/>
      <c r="AE75" s="7"/>
      <c r="AF75" s="41"/>
      <c r="AG75" s="42"/>
      <c r="AH75" s="42"/>
      <c r="AI75" s="42"/>
    </row>
    <row r="76" spans="1:35" x14ac:dyDescent="0.45">
      <c r="A76" s="75" t="s">
        <v>78</v>
      </c>
      <c r="B76" s="140"/>
      <c r="C76" s="149"/>
      <c r="D76" s="149"/>
      <c r="E76" s="149"/>
      <c r="F76" s="40"/>
      <c r="G76" s="7"/>
      <c r="H76" s="41"/>
      <c r="I76" s="140"/>
      <c r="J76" s="7"/>
      <c r="K76" s="15"/>
      <c r="L76" s="40"/>
      <c r="M76" s="7"/>
      <c r="N76" s="41"/>
      <c r="O76" s="40"/>
      <c r="P76" s="7"/>
      <c r="Q76" s="149"/>
      <c r="R76" s="40"/>
      <c r="S76" s="7"/>
      <c r="T76" s="41"/>
      <c r="U76" s="40"/>
      <c r="V76" s="7"/>
      <c r="W76" s="149"/>
      <c r="X76" s="40"/>
      <c r="Y76" s="7"/>
      <c r="Z76" s="41"/>
      <c r="AA76" s="40"/>
      <c r="AB76" s="7"/>
      <c r="AC76" s="149"/>
      <c r="AD76" s="40"/>
      <c r="AE76" s="7"/>
      <c r="AF76" s="41"/>
      <c r="AG76" s="42"/>
      <c r="AH76" s="42"/>
      <c r="AI76" s="42"/>
    </row>
    <row r="77" spans="1:35" x14ac:dyDescent="0.45">
      <c r="A77" s="67" t="s">
        <v>79</v>
      </c>
      <c r="B77" s="158">
        <v>0</v>
      </c>
      <c r="C77" s="7">
        <v>0</v>
      </c>
      <c r="D77" s="1">
        <v>0</v>
      </c>
      <c r="E77" s="148" t="s">
        <v>74</v>
      </c>
      <c r="F77" s="40">
        <f>C77*B77</f>
        <v>0</v>
      </c>
      <c r="G77" s="7">
        <v>0</v>
      </c>
      <c r="H77" s="41">
        <f t="shared" si="190"/>
        <v>0</v>
      </c>
      <c r="I77" s="158">
        <v>0</v>
      </c>
      <c r="J77" s="7">
        <f t="shared" si="202"/>
        <v>0</v>
      </c>
      <c r="K77" s="15">
        <v>0</v>
      </c>
      <c r="L77" s="40">
        <f t="shared" si="203"/>
        <v>0</v>
      </c>
      <c r="M77" s="7">
        <v>0</v>
      </c>
      <c r="N77" s="41">
        <f t="shared" si="191"/>
        <v>0</v>
      </c>
      <c r="O77" s="40">
        <f t="shared" si="192"/>
        <v>0</v>
      </c>
      <c r="P77" s="7">
        <f t="shared" si="204"/>
        <v>0</v>
      </c>
      <c r="Q77" s="15">
        <v>0</v>
      </c>
      <c r="R77" s="40">
        <f t="shared" si="205"/>
        <v>0</v>
      </c>
      <c r="S77" s="7">
        <v>0</v>
      </c>
      <c r="T77" s="41">
        <f t="shared" si="193"/>
        <v>0</v>
      </c>
      <c r="U77" s="40">
        <f t="shared" si="194"/>
        <v>0</v>
      </c>
      <c r="V77" s="7">
        <f t="shared" si="206"/>
        <v>0</v>
      </c>
      <c r="W77" s="15">
        <v>0</v>
      </c>
      <c r="X77" s="40">
        <f t="shared" si="207"/>
        <v>0</v>
      </c>
      <c r="Y77" s="7">
        <v>0</v>
      </c>
      <c r="Z77" s="41">
        <f t="shared" si="195"/>
        <v>0</v>
      </c>
      <c r="AA77" s="40">
        <f t="shared" si="196"/>
        <v>0</v>
      </c>
      <c r="AB77" s="7">
        <f t="shared" si="208"/>
        <v>0</v>
      </c>
      <c r="AC77" s="15">
        <v>0</v>
      </c>
      <c r="AD77" s="40">
        <f t="shared" si="209"/>
        <v>0</v>
      </c>
      <c r="AE77" s="7">
        <v>0</v>
      </c>
      <c r="AF77" s="41">
        <f t="shared" si="197"/>
        <v>0</v>
      </c>
      <c r="AG77" s="42">
        <f>F77+L77+R77+X77+AD77</f>
        <v>0</v>
      </c>
      <c r="AH77" s="42">
        <f t="shared" si="199"/>
        <v>0</v>
      </c>
      <c r="AI77" s="42">
        <f t="shared" si="200"/>
        <v>0</v>
      </c>
    </row>
    <row r="78" spans="1:35" x14ac:dyDescent="0.45">
      <c r="A78" s="67" t="s">
        <v>80</v>
      </c>
      <c r="B78" s="158">
        <v>0</v>
      </c>
      <c r="C78" s="7">
        <v>0</v>
      </c>
      <c r="D78" s="1">
        <v>0</v>
      </c>
      <c r="E78" s="148" t="s">
        <v>74</v>
      </c>
      <c r="F78" s="40">
        <f t="shared" si="201"/>
        <v>0</v>
      </c>
      <c r="G78" s="7">
        <v>0</v>
      </c>
      <c r="H78" s="41">
        <f t="shared" si="190"/>
        <v>0</v>
      </c>
      <c r="I78" s="158">
        <v>0</v>
      </c>
      <c r="J78" s="7">
        <f t="shared" si="202"/>
        <v>0</v>
      </c>
      <c r="K78" s="15">
        <v>0</v>
      </c>
      <c r="L78" s="40">
        <f t="shared" si="203"/>
        <v>0</v>
      </c>
      <c r="M78" s="7">
        <v>0</v>
      </c>
      <c r="N78" s="41">
        <f t="shared" si="191"/>
        <v>0</v>
      </c>
      <c r="O78" s="40">
        <f t="shared" si="192"/>
        <v>0</v>
      </c>
      <c r="P78" s="7">
        <f t="shared" si="204"/>
        <v>0</v>
      </c>
      <c r="Q78" s="15">
        <v>0</v>
      </c>
      <c r="R78" s="40">
        <f t="shared" si="205"/>
        <v>0</v>
      </c>
      <c r="S78" s="7">
        <v>0</v>
      </c>
      <c r="T78" s="41">
        <f t="shared" si="193"/>
        <v>0</v>
      </c>
      <c r="U78" s="40">
        <f t="shared" si="194"/>
        <v>0</v>
      </c>
      <c r="V78" s="7">
        <f t="shared" si="206"/>
        <v>0</v>
      </c>
      <c r="W78" s="15">
        <v>0</v>
      </c>
      <c r="X78" s="40">
        <f t="shared" si="207"/>
        <v>0</v>
      </c>
      <c r="Y78" s="7">
        <v>0</v>
      </c>
      <c r="Z78" s="41">
        <f t="shared" si="195"/>
        <v>0</v>
      </c>
      <c r="AA78" s="40">
        <f t="shared" si="196"/>
        <v>0</v>
      </c>
      <c r="AB78" s="7">
        <f t="shared" si="208"/>
        <v>0</v>
      </c>
      <c r="AC78" s="15">
        <v>0</v>
      </c>
      <c r="AD78" s="40">
        <f t="shared" si="209"/>
        <v>0</v>
      </c>
      <c r="AE78" s="7">
        <v>0</v>
      </c>
      <c r="AF78" s="41">
        <f t="shared" si="197"/>
        <v>0</v>
      </c>
      <c r="AG78" s="42">
        <f t="shared" si="198"/>
        <v>0</v>
      </c>
      <c r="AH78" s="42">
        <f t="shared" si="199"/>
        <v>0</v>
      </c>
      <c r="AI78" s="42">
        <f t="shared" si="200"/>
        <v>0</v>
      </c>
    </row>
    <row r="79" spans="1:35" x14ac:dyDescent="0.45">
      <c r="A79" s="67" t="s">
        <v>81</v>
      </c>
      <c r="B79" s="158">
        <v>0</v>
      </c>
      <c r="C79" s="7">
        <v>0</v>
      </c>
      <c r="D79" s="1">
        <v>0</v>
      </c>
      <c r="E79" s="148" t="s">
        <v>74</v>
      </c>
      <c r="F79" s="40">
        <f t="shared" si="201"/>
        <v>0</v>
      </c>
      <c r="G79" s="7">
        <v>0</v>
      </c>
      <c r="H79" s="41">
        <f t="shared" si="190"/>
        <v>0</v>
      </c>
      <c r="I79" s="158">
        <v>0</v>
      </c>
      <c r="J79" s="7">
        <f t="shared" si="202"/>
        <v>0</v>
      </c>
      <c r="K79" s="15">
        <v>0</v>
      </c>
      <c r="L79" s="40">
        <f t="shared" si="203"/>
        <v>0</v>
      </c>
      <c r="M79" s="7">
        <v>0</v>
      </c>
      <c r="N79" s="41">
        <f>SUM(L79:M79)</f>
        <v>0</v>
      </c>
      <c r="O79" s="40">
        <f t="shared" si="192"/>
        <v>0</v>
      </c>
      <c r="P79" s="7">
        <f t="shared" si="204"/>
        <v>0</v>
      </c>
      <c r="Q79" s="15">
        <v>0</v>
      </c>
      <c r="R79" s="40">
        <f t="shared" si="205"/>
        <v>0</v>
      </c>
      <c r="S79" s="7">
        <v>0</v>
      </c>
      <c r="T79" s="41">
        <f t="shared" si="193"/>
        <v>0</v>
      </c>
      <c r="U79" s="40">
        <f t="shared" si="194"/>
        <v>0</v>
      </c>
      <c r="V79" s="7">
        <f t="shared" si="206"/>
        <v>0</v>
      </c>
      <c r="W79" s="15">
        <v>0</v>
      </c>
      <c r="X79" s="40">
        <f t="shared" si="207"/>
        <v>0</v>
      </c>
      <c r="Y79" s="7">
        <v>0</v>
      </c>
      <c r="Z79" s="41">
        <f t="shared" si="195"/>
        <v>0</v>
      </c>
      <c r="AA79" s="40">
        <f t="shared" si="196"/>
        <v>0</v>
      </c>
      <c r="AB79" s="7">
        <f t="shared" si="208"/>
        <v>0</v>
      </c>
      <c r="AC79" s="15">
        <v>0</v>
      </c>
      <c r="AD79" s="40">
        <f t="shared" si="209"/>
        <v>0</v>
      </c>
      <c r="AE79" s="7">
        <v>0</v>
      </c>
      <c r="AF79" s="41">
        <f t="shared" si="197"/>
        <v>0</v>
      </c>
      <c r="AG79" s="42">
        <f t="shared" si="198"/>
        <v>0</v>
      </c>
      <c r="AH79" s="42">
        <f t="shared" si="199"/>
        <v>0</v>
      </c>
      <c r="AI79" s="42">
        <f t="shared" si="200"/>
        <v>0</v>
      </c>
    </row>
    <row r="80" spans="1:35" x14ac:dyDescent="0.45">
      <c r="A80" s="67" t="s">
        <v>82</v>
      </c>
      <c r="B80" s="158">
        <v>0</v>
      </c>
      <c r="C80" s="7">
        <v>0</v>
      </c>
      <c r="D80" s="1">
        <v>0</v>
      </c>
      <c r="E80" s="148" t="s">
        <v>74</v>
      </c>
      <c r="F80" s="40">
        <f t="shared" ref="F80:F82" si="210">C80*B80</f>
        <v>0</v>
      </c>
      <c r="G80" s="7">
        <v>0</v>
      </c>
      <c r="H80" s="41">
        <f t="shared" ref="H80:H82" si="211">SUM(F80:G80)</f>
        <v>0</v>
      </c>
      <c r="I80" s="158">
        <v>0</v>
      </c>
      <c r="J80" s="7">
        <f t="shared" ref="J80:J81" si="212">C80</f>
        <v>0</v>
      </c>
      <c r="K80" s="15">
        <v>0</v>
      </c>
      <c r="L80" s="40">
        <f t="shared" ref="L80:L81" si="213">I80*J80</f>
        <v>0</v>
      </c>
      <c r="M80" s="7">
        <v>0</v>
      </c>
      <c r="N80" s="41">
        <f>SUM(L80:M80)</f>
        <v>0</v>
      </c>
      <c r="O80" s="40">
        <f t="shared" ref="O80" si="214">L80*M80*N80</f>
        <v>0</v>
      </c>
      <c r="P80" s="7">
        <f t="shared" ref="P80:P82" si="215">C80</f>
        <v>0</v>
      </c>
      <c r="Q80" s="15">
        <v>0</v>
      </c>
      <c r="R80" s="40">
        <f t="shared" ref="R80:R82" si="216">P80*O80</f>
        <v>0</v>
      </c>
      <c r="S80" s="7">
        <v>0</v>
      </c>
      <c r="T80" s="41">
        <f t="shared" ref="T80:T82" si="217">SUM(R80:S80)</f>
        <v>0</v>
      </c>
      <c r="U80" s="40">
        <f t="shared" ref="U80" si="218">R80*S80*T80</f>
        <v>0</v>
      </c>
      <c r="V80" s="7">
        <f t="shared" ref="V80:V82" si="219">C80</f>
        <v>0</v>
      </c>
      <c r="W80" s="15">
        <v>0</v>
      </c>
      <c r="X80" s="40">
        <f t="shared" ref="X80:X82" si="220">V80*U80</f>
        <v>0</v>
      </c>
      <c r="Y80" s="7">
        <v>0</v>
      </c>
      <c r="Z80" s="41">
        <f t="shared" ref="Z80:Z82" si="221">SUM(X80:Y80)</f>
        <v>0</v>
      </c>
      <c r="AA80" s="40">
        <f t="shared" ref="AA80" si="222">X80*Y80*Z80</f>
        <v>0</v>
      </c>
      <c r="AB80" s="7">
        <f t="shared" ref="AB80:AB82" si="223">C80</f>
        <v>0</v>
      </c>
      <c r="AC80" s="15">
        <v>0</v>
      </c>
      <c r="AD80" s="40">
        <f t="shared" ref="AD80:AD82" si="224">AB80*AA80</f>
        <v>0</v>
      </c>
      <c r="AE80" s="7">
        <v>0</v>
      </c>
      <c r="AF80" s="41">
        <f t="shared" ref="AF80:AF82" si="225">SUM(AD80:AE80)</f>
        <v>0</v>
      </c>
      <c r="AG80" s="42">
        <f t="shared" ref="AG80:AG82" si="226">F80+L80+R80+X80+AD80</f>
        <v>0</v>
      </c>
      <c r="AH80" s="42">
        <f t="shared" ref="AH80:AH82" si="227">G80+M80+S80+Y80+AE80</f>
        <v>0</v>
      </c>
      <c r="AI80" s="42">
        <f t="shared" ref="AI80:AI82" si="228">SUM(AG80:AH80)</f>
        <v>0</v>
      </c>
    </row>
    <row r="81" spans="1:39" x14ac:dyDescent="0.45">
      <c r="A81" s="67" t="s">
        <v>73</v>
      </c>
      <c r="B81" s="158">
        <v>0</v>
      </c>
      <c r="C81" s="7">
        <v>0</v>
      </c>
      <c r="D81" s="1">
        <v>0</v>
      </c>
      <c r="E81" s="148" t="s">
        <v>74</v>
      </c>
      <c r="F81" s="40">
        <f t="shared" si="210"/>
        <v>0</v>
      </c>
      <c r="G81" s="7">
        <v>0</v>
      </c>
      <c r="H81" s="41">
        <f t="shared" si="211"/>
        <v>0</v>
      </c>
      <c r="I81" s="158">
        <v>0</v>
      </c>
      <c r="J81" s="7">
        <f t="shared" si="212"/>
        <v>0</v>
      </c>
      <c r="K81" s="15">
        <v>0</v>
      </c>
      <c r="L81" s="40">
        <f t="shared" si="213"/>
        <v>0</v>
      </c>
      <c r="M81" s="7">
        <v>0</v>
      </c>
      <c r="N81" s="41">
        <f t="shared" ref="N81:N82" si="229">SUM(L81:M81)</f>
        <v>0</v>
      </c>
      <c r="O81" s="40">
        <v>0</v>
      </c>
      <c r="P81" s="7">
        <f t="shared" si="215"/>
        <v>0</v>
      </c>
      <c r="Q81" s="15">
        <v>0</v>
      </c>
      <c r="R81" s="40">
        <f t="shared" si="216"/>
        <v>0</v>
      </c>
      <c r="S81" s="7">
        <v>0</v>
      </c>
      <c r="T81" s="41">
        <f t="shared" si="217"/>
        <v>0</v>
      </c>
      <c r="U81" s="40">
        <v>0</v>
      </c>
      <c r="V81" s="7">
        <f t="shared" si="219"/>
        <v>0</v>
      </c>
      <c r="W81" s="15">
        <v>0</v>
      </c>
      <c r="X81" s="40">
        <f t="shared" si="220"/>
        <v>0</v>
      </c>
      <c r="Y81" s="7">
        <v>0</v>
      </c>
      <c r="Z81" s="41">
        <f t="shared" si="221"/>
        <v>0</v>
      </c>
      <c r="AA81" s="40">
        <v>0</v>
      </c>
      <c r="AB81" s="7">
        <f t="shared" si="223"/>
        <v>0</v>
      </c>
      <c r="AC81" s="15">
        <v>0</v>
      </c>
      <c r="AD81" s="40">
        <f t="shared" si="224"/>
        <v>0</v>
      </c>
      <c r="AE81" s="7">
        <v>0</v>
      </c>
      <c r="AF81" s="41">
        <f t="shared" si="225"/>
        <v>0</v>
      </c>
      <c r="AG81" s="42">
        <f t="shared" si="226"/>
        <v>0</v>
      </c>
      <c r="AH81" s="42">
        <f t="shared" si="227"/>
        <v>0</v>
      </c>
      <c r="AI81" s="42">
        <f t="shared" si="228"/>
        <v>0</v>
      </c>
    </row>
    <row r="82" spans="1:39" x14ac:dyDescent="0.45">
      <c r="A82" s="67" t="s">
        <v>75</v>
      </c>
      <c r="B82" s="158">
        <v>0</v>
      </c>
      <c r="C82" s="7">
        <v>0</v>
      </c>
      <c r="D82" s="1">
        <v>0</v>
      </c>
      <c r="E82" s="148" t="s">
        <v>74</v>
      </c>
      <c r="F82" s="40">
        <f t="shared" si="210"/>
        <v>0</v>
      </c>
      <c r="G82" s="7">
        <v>0</v>
      </c>
      <c r="H82" s="41">
        <f t="shared" si="211"/>
        <v>0</v>
      </c>
      <c r="I82" s="158">
        <v>0</v>
      </c>
      <c r="J82" s="7">
        <f>C82</f>
        <v>0</v>
      </c>
      <c r="K82" s="15">
        <v>0</v>
      </c>
      <c r="L82" s="40">
        <f>J82*I82</f>
        <v>0</v>
      </c>
      <c r="M82" s="7">
        <v>0</v>
      </c>
      <c r="N82" s="41">
        <f t="shared" si="229"/>
        <v>0</v>
      </c>
      <c r="O82" s="40">
        <f t="shared" ref="O82" si="230">L82*M82*N82</f>
        <v>0</v>
      </c>
      <c r="P82" s="7">
        <f t="shared" si="215"/>
        <v>0</v>
      </c>
      <c r="Q82" s="15">
        <v>0</v>
      </c>
      <c r="R82" s="40">
        <f t="shared" si="216"/>
        <v>0</v>
      </c>
      <c r="S82" s="7">
        <v>0</v>
      </c>
      <c r="T82" s="41">
        <f t="shared" si="217"/>
        <v>0</v>
      </c>
      <c r="U82" s="40">
        <f t="shared" ref="U82" si="231">R82*S82*T82</f>
        <v>0</v>
      </c>
      <c r="V82" s="7">
        <f t="shared" si="219"/>
        <v>0</v>
      </c>
      <c r="W82" s="15">
        <v>0</v>
      </c>
      <c r="X82" s="40">
        <f t="shared" si="220"/>
        <v>0</v>
      </c>
      <c r="Y82" s="7">
        <v>0</v>
      </c>
      <c r="Z82" s="41">
        <f t="shared" si="221"/>
        <v>0</v>
      </c>
      <c r="AA82" s="40">
        <f t="shared" ref="AA82" si="232">X82*Y82*Z82</f>
        <v>0</v>
      </c>
      <c r="AB82" s="7">
        <f t="shared" si="223"/>
        <v>0</v>
      </c>
      <c r="AC82" s="15">
        <v>0</v>
      </c>
      <c r="AD82" s="40">
        <f t="shared" si="224"/>
        <v>0</v>
      </c>
      <c r="AE82" s="7">
        <v>0</v>
      </c>
      <c r="AF82" s="41">
        <f t="shared" si="225"/>
        <v>0</v>
      </c>
      <c r="AG82" s="42">
        <f t="shared" si="226"/>
        <v>0</v>
      </c>
      <c r="AH82" s="42">
        <f t="shared" si="227"/>
        <v>0</v>
      </c>
      <c r="AI82" s="42">
        <f t="shared" si="228"/>
        <v>0</v>
      </c>
    </row>
    <row r="83" spans="1:39" x14ac:dyDescent="0.45">
      <c r="A83" s="67" t="s">
        <v>76</v>
      </c>
      <c r="B83" s="158">
        <v>0</v>
      </c>
      <c r="C83" s="7">
        <v>0</v>
      </c>
      <c r="D83" s="1">
        <v>0</v>
      </c>
      <c r="E83" s="148" t="s">
        <v>74</v>
      </c>
      <c r="F83" s="40">
        <f t="shared" ref="F83" si="233">C83*B83</f>
        <v>0</v>
      </c>
      <c r="G83" s="7">
        <v>0</v>
      </c>
      <c r="H83" s="41">
        <f t="shared" ref="H83:H84" si="234">SUM(F83:G83)</f>
        <v>0</v>
      </c>
      <c r="I83" s="158">
        <v>0</v>
      </c>
      <c r="J83" s="7">
        <f t="shared" ref="J83:J84" si="235">C83</f>
        <v>0</v>
      </c>
      <c r="K83" s="15">
        <v>0</v>
      </c>
      <c r="L83" s="40">
        <f t="shared" ref="L83" si="236">I83*J83</f>
        <v>0</v>
      </c>
      <c r="M83" s="7">
        <v>0</v>
      </c>
      <c r="N83" s="41">
        <f t="shared" ref="N83:N84" si="237">SUM(L83:M83)</f>
        <v>0</v>
      </c>
      <c r="O83" s="40">
        <v>0</v>
      </c>
      <c r="P83" s="7">
        <f t="shared" ref="P83:P84" si="238">C83</f>
        <v>0</v>
      </c>
      <c r="Q83" s="15">
        <v>0</v>
      </c>
      <c r="R83" s="40">
        <f t="shared" ref="R83" si="239">P83*O83</f>
        <v>0</v>
      </c>
      <c r="S83" s="7">
        <v>0</v>
      </c>
      <c r="T83" s="41">
        <f t="shared" ref="T83:T84" si="240">SUM(R83:S83)</f>
        <v>0</v>
      </c>
      <c r="U83" s="40">
        <v>0</v>
      </c>
      <c r="V83" s="7">
        <f t="shared" ref="V83:V84" si="241">C83</f>
        <v>0</v>
      </c>
      <c r="W83" s="15">
        <v>0</v>
      </c>
      <c r="X83" s="40">
        <f t="shared" ref="X83" si="242">V83*U83</f>
        <v>0</v>
      </c>
      <c r="Y83" s="7">
        <v>0</v>
      </c>
      <c r="Z83" s="41">
        <f t="shared" ref="Z83:Z84" si="243">SUM(X83:Y83)</f>
        <v>0</v>
      </c>
      <c r="AA83" s="40">
        <v>0</v>
      </c>
      <c r="AB83" s="7">
        <f t="shared" ref="AB83:AB84" si="244">C83</f>
        <v>0</v>
      </c>
      <c r="AC83" s="15">
        <v>0</v>
      </c>
      <c r="AD83" s="40">
        <f t="shared" ref="AD83" si="245">AB83*AA83</f>
        <v>0</v>
      </c>
      <c r="AE83" s="7">
        <v>0</v>
      </c>
      <c r="AF83" s="41">
        <f t="shared" ref="AF83:AF84" si="246">SUM(AD83:AE83)</f>
        <v>0</v>
      </c>
      <c r="AG83" s="42">
        <f t="shared" ref="AG83:AG84" si="247">F83+L83+R83+X83+AD83</f>
        <v>0</v>
      </c>
      <c r="AH83" s="42">
        <f t="shared" ref="AH83:AH84" si="248">G83+M83+S83+Y83+AE83</f>
        <v>0</v>
      </c>
      <c r="AI83" s="42">
        <f t="shared" ref="AI83:AI84" si="249">SUM(AG83:AH83)</f>
        <v>0</v>
      </c>
    </row>
    <row r="84" spans="1:39" x14ac:dyDescent="0.45">
      <c r="A84" s="67" t="s">
        <v>83</v>
      </c>
      <c r="B84" s="158">
        <v>0</v>
      </c>
      <c r="C84" s="7">
        <v>0</v>
      </c>
      <c r="D84" s="1">
        <v>0</v>
      </c>
      <c r="E84" s="148" t="s">
        <v>74</v>
      </c>
      <c r="F84" s="40">
        <f>D84*C84*B84</f>
        <v>0</v>
      </c>
      <c r="G84" s="7">
        <v>0</v>
      </c>
      <c r="H84" s="41">
        <f t="shared" si="234"/>
        <v>0</v>
      </c>
      <c r="I84" s="158">
        <v>0</v>
      </c>
      <c r="J84" s="7">
        <f t="shared" si="235"/>
        <v>0</v>
      </c>
      <c r="K84" s="15">
        <v>0</v>
      </c>
      <c r="L84" s="40">
        <f>K84*I84*J84</f>
        <v>0</v>
      </c>
      <c r="M84" s="7">
        <v>0</v>
      </c>
      <c r="N84" s="41">
        <f t="shared" si="237"/>
        <v>0</v>
      </c>
      <c r="O84" s="40">
        <v>0</v>
      </c>
      <c r="P84" s="7">
        <f t="shared" si="238"/>
        <v>0</v>
      </c>
      <c r="Q84" s="15">
        <v>0</v>
      </c>
      <c r="R84" s="40">
        <f>P84*Q84*O84</f>
        <v>0</v>
      </c>
      <c r="S84" s="7">
        <v>0</v>
      </c>
      <c r="T84" s="41">
        <f t="shared" si="240"/>
        <v>0</v>
      </c>
      <c r="U84" s="40">
        <v>0</v>
      </c>
      <c r="V84" s="7">
        <f t="shared" si="241"/>
        <v>0</v>
      </c>
      <c r="W84" s="15">
        <v>0</v>
      </c>
      <c r="X84" s="40">
        <f>V84*U84*W84</f>
        <v>0</v>
      </c>
      <c r="Y84" s="7">
        <v>0</v>
      </c>
      <c r="Z84" s="41">
        <f t="shared" si="243"/>
        <v>0</v>
      </c>
      <c r="AA84" s="40">
        <v>0</v>
      </c>
      <c r="AB84" s="7">
        <f t="shared" si="244"/>
        <v>0</v>
      </c>
      <c r="AC84" s="15">
        <v>0</v>
      </c>
      <c r="AD84" s="40">
        <f>AB84*AA84*AC84</f>
        <v>0</v>
      </c>
      <c r="AE84" s="7">
        <v>0</v>
      </c>
      <c r="AF84" s="41">
        <f t="shared" si="246"/>
        <v>0</v>
      </c>
      <c r="AG84" s="42">
        <f t="shared" si="247"/>
        <v>0</v>
      </c>
      <c r="AH84" s="42">
        <f t="shared" si="248"/>
        <v>0</v>
      </c>
      <c r="AI84" s="42">
        <f t="shared" si="249"/>
        <v>0</v>
      </c>
    </row>
    <row r="85" spans="1:39" x14ac:dyDescent="0.45">
      <c r="A85" s="67" t="s">
        <v>84</v>
      </c>
      <c r="B85" s="158">
        <v>0</v>
      </c>
      <c r="C85" s="7">
        <v>0</v>
      </c>
      <c r="D85" s="1">
        <v>0</v>
      </c>
      <c r="E85" s="148" t="s">
        <v>74</v>
      </c>
      <c r="F85" s="40">
        <f>C85*B85*D85</f>
        <v>0</v>
      </c>
      <c r="G85" s="7">
        <v>0</v>
      </c>
      <c r="H85" s="41">
        <f t="shared" si="190"/>
        <v>0</v>
      </c>
      <c r="I85" s="158">
        <f>I95</f>
        <v>0</v>
      </c>
      <c r="J85" s="7">
        <f>C85</f>
        <v>0</v>
      </c>
      <c r="K85" s="15">
        <v>0</v>
      </c>
      <c r="L85" s="40">
        <f>I85*J85*K85</f>
        <v>0</v>
      </c>
      <c r="M85" s="7">
        <v>0</v>
      </c>
      <c r="N85" s="41">
        <f t="shared" ref="N85" si="250">SUM(L85:M85)</f>
        <v>0</v>
      </c>
      <c r="O85" s="40">
        <f>O95</f>
        <v>0</v>
      </c>
      <c r="P85" s="7">
        <f>C85</f>
        <v>0</v>
      </c>
      <c r="Q85" s="15">
        <v>0</v>
      </c>
      <c r="R85" s="40">
        <f>P85*O85*Q85</f>
        <v>0</v>
      </c>
      <c r="S85" s="7">
        <v>0</v>
      </c>
      <c r="T85" s="41">
        <f t="shared" si="193"/>
        <v>0</v>
      </c>
      <c r="U85" s="40">
        <v>0</v>
      </c>
      <c r="V85" s="7">
        <f>C85</f>
        <v>0</v>
      </c>
      <c r="W85" s="15">
        <v>0</v>
      </c>
      <c r="X85" s="40">
        <f>V85*U85*W85</f>
        <v>0</v>
      </c>
      <c r="Y85" s="7">
        <v>0</v>
      </c>
      <c r="Z85" s="41">
        <f t="shared" si="195"/>
        <v>0</v>
      </c>
      <c r="AA85" s="40">
        <v>0</v>
      </c>
      <c r="AB85" s="7">
        <f>C85</f>
        <v>0</v>
      </c>
      <c r="AC85" s="15">
        <v>0</v>
      </c>
      <c r="AD85" s="40">
        <f>AB85*AA85*AC85</f>
        <v>0</v>
      </c>
      <c r="AE85" s="7">
        <v>0</v>
      </c>
      <c r="AF85" s="41">
        <f t="shared" si="197"/>
        <v>0</v>
      </c>
      <c r="AG85" s="42">
        <f t="shared" si="198"/>
        <v>0</v>
      </c>
      <c r="AH85" s="42">
        <f t="shared" si="199"/>
        <v>0</v>
      </c>
      <c r="AI85" s="42">
        <f t="shared" si="200"/>
        <v>0</v>
      </c>
    </row>
    <row r="86" spans="1:39" s="10" customFormat="1" ht="12.3" x14ac:dyDescent="0.4">
      <c r="A86" s="77" t="s">
        <v>85</v>
      </c>
      <c r="B86" s="161"/>
      <c r="C86" s="146"/>
      <c r="D86" s="162"/>
      <c r="E86" s="146"/>
      <c r="F86" s="44">
        <f>SUM(F77:F85)</f>
        <v>0</v>
      </c>
      <c r="G86" s="44">
        <f>SUM(G77:G85)</f>
        <v>0</v>
      </c>
      <c r="H86" s="44">
        <f>SUM(H77:H85)</f>
        <v>0</v>
      </c>
      <c r="I86" s="161"/>
      <c r="J86" s="45"/>
      <c r="K86" s="146"/>
      <c r="L86" s="44">
        <f>SUM(L77:L85)</f>
        <v>0</v>
      </c>
      <c r="M86" s="44">
        <f>SUM(M77:M85)</f>
        <v>0</v>
      </c>
      <c r="N86" s="44">
        <f>SUM(N77:N85)</f>
        <v>0</v>
      </c>
      <c r="O86" s="161"/>
      <c r="P86" s="146"/>
      <c r="Q86" s="146"/>
      <c r="R86" s="44">
        <f>SUM(R77:R85)</f>
        <v>0</v>
      </c>
      <c r="S86" s="44">
        <f>SUM(S77:S85)</f>
        <v>0</v>
      </c>
      <c r="T86" s="44">
        <f>SUM(T77:T85)</f>
        <v>0</v>
      </c>
      <c r="U86" s="161"/>
      <c r="V86" s="146"/>
      <c r="W86" s="146"/>
      <c r="X86" s="44">
        <f>SUM(X77:X85)</f>
        <v>0</v>
      </c>
      <c r="Y86" s="44">
        <f>SUM(Y77:Y85)</f>
        <v>0</v>
      </c>
      <c r="Z86" s="44">
        <f>SUM(Z77:Z85)</f>
        <v>0</v>
      </c>
      <c r="AA86" s="161"/>
      <c r="AB86" s="146"/>
      <c r="AC86" s="146"/>
      <c r="AD86" s="44">
        <f t="shared" ref="AD86:AI86" si="251">SUM(AD77:AD85)</f>
        <v>0</v>
      </c>
      <c r="AE86" s="44">
        <f t="shared" si="251"/>
        <v>0</v>
      </c>
      <c r="AF86" s="44">
        <f t="shared" si="251"/>
        <v>0</v>
      </c>
      <c r="AG86" s="47">
        <f t="shared" si="251"/>
        <v>0</v>
      </c>
      <c r="AH86" s="47">
        <f t="shared" si="251"/>
        <v>0</v>
      </c>
      <c r="AI86" s="47">
        <f t="shared" si="251"/>
        <v>0</v>
      </c>
    </row>
    <row r="87" spans="1:39" x14ac:dyDescent="0.45">
      <c r="A87" s="86"/>
      <c r="B87" s="171"/>
      <c r="C87" s="172"/>
      <c r="D87" s="172"/>
      <c r="E87" s="172"/>
      <c r="F87" s="87"/>
      <c r="G87" s="88"/>
      <c r="H87" s="89"/>
      <c r="I87" s="171"/>
      <c r="J87" s="172"/>
      <c r="K87" s="172"/>
      <c r="L87" s="87"/>
      <c r="M87" s="88"/>
      <c r="N87" s="89"/>
      <c r="O87" s="171"/>
      <c r="P87" s="172"/>
      <c r="Q87" s="172"/>
      <c r="R87" s="87"/>
      <c r="S87" s="88"/>
      <c r="T87" s="89"/>
      <c r="U87" s="171"/>
      <c r="V87" s="172"/>
      <c r="W87" s="172"/>
      <c r="X87" s="87"/>
      <c r="Y87" s="88"/>
      <c r="Z87" s="89"/>
      <c r="AA87" s="171"/>
      <c r="AB87" s="172"/>
      <c r="AC87" s="172"/>
      <c r="AD87" s="87"/>
      <c r="AE87" s="88"/>
      <c r="AF87" s="89"/>
      <c r="AG87" s="90"/>
      <c r="AH87" s="90"/>
      <c r="AI87" s="90"/>
    </row>
    <row r="88" spans="1:39" s="9" customFormat="1" ht="12.3" x14ac:dyDescent="0.4">
      <c r="A88" s="51" t="s">
        <v>86</v>
      </c>
      <c r="B88" s="150"/>
      <c r="C88" s="151"/>
      <c r="D88" s="151"/>
      <c r="E88" s="151"/>
      <c r="F88" s="52">
        <f>F86+F74</f>
        <v>0</v>
      </c>
      <c r="G88" s="52">
        <f>G86+G74</f>
        <v>0</v>
      </c>
      <c r="H88" s="52">
        <f>H86+H74</f>
        <v>0</v>
      </c>
      <c r="I88" s="150"/>
      <c r="J88" s="151"/>
      <c r="K88" s="151"/>
      <c r="L88" s="52">
        <f>L86+L74</f>
        <v>0</v>
      </c>
      <c r="M88" s="52">
        <f>M86+M74</f>
        <v>0</v>
      </c>
      <c r="N88" s="52">
        <f>N86+N74</f>
        <v>0</v>
      </c>
      <c r="O88" s="150"/>
      <c r="P88" s="151"/>
      <c r="Q88" s="151"/>
      <c r="R88" s="52">
        <f>R86+R74</f>
        <v>0</v>
      </c>
      <c r="S88" s="52">
        <f>S86+S74</f>
        <v>0</v>
      </c>
      <c r="T88" s="52">
        <f>T86+T74</f>
        <v>0</v>
      </c>
      <c r="U88" s="150"/>
      <c r="V88" s="151"/>
      <c r="W88" s="151"/>
      <c r="X88" s="52">
        <f>X86+X74</f>
        <v>0</v>
      </c>
      <c r="Y88" s="52">
        <f>Y86+Y74</f>
        <v>0</v>
      </c>
      <c r="Z88" s="52">
        <f>Z86+Z74</f>
        <v>0</v>
      </c>
      <c r="AA88" s="150"/>
      <c r="AB88" s="151"/>
      <c r="AC88" s="151"/>
      <c r="AD88" s="52">
        <f>AD86+AD74</f>
        <v>0</v>
      </c>
      <c r="AE88" s="52">
        <f>AE86+AE74</f>
        <v>0</v>
      </c>
      <c r="AF88" s="52">
        <f>AF86+AF74</f>
        <v>0</v>
      </c>
      <c r="AG88" s="73">
        <f>AD88+X88+R88+L88+F88</f>
        <v>0</v>
      </c>
      <c r="AH88" s="73">
        <f t="shared" ref="AH88" si="252">AE88+Y88+S88+M88+G88</f>
        <v>0</v>
      </c>
      <c r="AI88" s="73">
        <f>AF88+Z88+T88+N88+H88</f>
        <v>0</v>
      </c>
    </row>
    <row r="89" spans="1:39" x14ac:dyDescent="0.45">
      <c r="A89" s="91"/>
      <c r="B89" s="152"/>
      <c r="C89" s="153"/>
      <c r="D89" s="153"/>
      <c r="E89" s="153"/>
      <c r="F89" s="54"/>
      <c r="G89" s="55"/>
      <c r="H89" s="56"/>
      <c r="I89" s="152"/>
      <c r="J89" s="153"/>
      <c r="K89" s="153"/>
      <c r="L89" s="54"/>
      <c r="M89" s="55"/>
      <c r="N89" s="56"/>
      <c r="O89" s="152"/>
      <c r="P89" s="153"/>
      <c r="Q89" s="153"/>
      <c r="R89" s="54"/>
      <c r="S89" s="55"/>
      <c r="T89" s="56"/>
      <c r="U89" s="152"/>
      <c r="V89" s="153"/>
      <c r="W89" s="153"/>
      <c r="X89" s="54"/>
      <c r="Y89" s="55"/>
      <c r="Z89" s="56"/>
      <c r="AA89" s="152"/>
      <c r="AB89" s="153"/>
      <c r="AC89" s="153"/>
      <c r="AD89" s="54"/>
      <c r="AE89" s="55"/>
      <c r="AF89" s="56"/>
      <c r="AG89" s="57"/>
      <c r="AH89" s="57"/>
      <c r="AI89" s="57"/>
    </row>
    <row r="90" spans="1:39" x14ac:dyDescent="0.45">
      <c r="A90" s="58" t="s">
        <v>17</v>
      </c>
      <c r="B90" s="154"/>
      <c r="C90" s="155"/>
      <c r="D90" s="155"/>
      <c r="E90" s="155"/>
      <c r="F90" s="59"/>
      <c r="G90" s="60"/>
      <c r="H90" s="61"/>
      <c r="I90" s="154"/>
      <c r="J90" s="155"/>
      <c r="K90" s="155"/>
      <c r="L90" s="59"/>
      <c r="M90" s="60"/>
      <c r="N90" s="61"/>
      <c r="O90" s="154"/>
      <c r="P90" s="155"/>
      <c r="Q90" s="155"/>
      <c r="R90" s="59"/>
      <c r="S90" s="60"/>
      <c r="T90" s="61"/>
      <c r="U90" s="154"/>
      <c r="V90" s="155"/>
      <c r="W90" s="155"/>
      <c r="X90" s="59"/>
      <c r="Y90" s="60"/>
      <c r="Z90" s="61"/>
      <c r="AA90" s="154"/>
      <c r="AB90" s="155"/>
      <c r="AC90" s="155"/>
      <c r="AD90" s="59"/>
      <c r="AE90" s="60"/>
      <c r="AF90" s="61"/>
      <c r="AG90" s="62"/>
      <c r="AH90" s="62"/>
      <c r="AI90" s="62"/>
    </row>
    <row r="91" spans="1:39" x14ac:dyDescent="0.45">
      <c r="A91" s="49"/>
      <c r="B91" s="140"/>
      <c r="C91" s="149"/>
      <c r="D91" s="149"/>
      <c r="E91" s="149"/>
      <c r="F91" s="40"/>
      <c r="G91" s="7"/>
      <c r="H91" s="41"/>
      <c r="I91" s="140"/>
      <c r="J91" s="149"/>
      <c r="K91" s="149"/>
      <c r="L91" s="40"/>
      <c r="M91" s="7"/>
      <c r="N91" s="41"/>
      <c r="O91" s="140"/>
      <c r="P91" s="149"/>
      <c r="Q91" s="149"/>
      <c r="R91" s="40"/>
      <c r="S91" s="7"/>
      <c r="T91" s="41"/>
      <c r="U91" s="140"/>
      <c r="V91" s="149"/>
      <c r="W91" s="149"/>
      <c r="X91" s="40"/>
      <c r="Y91" s="7"/>
      <c r="Z91" s="41"/>
      <c r="AA91" s="140"/>
      <c r="AB91" s="149"/>
      <c r="AC91" s="149"/>
      <c r="AD91" s="40"/>
      <c r="AE91" s="7"/>
      <c r="AF91" s="41"/>
      <c r="AG91" s="42"/>
      <c r="AH91" s="42"/>
      <c r="AI91" s="42"/>
    </row>
    <row r="92" spans="1:39" x14ac:dyDescent="0.45">
      <c r="A92" s="49" t="s">
        <v>87</v>
      </c>
      <c r="B92" s="140"/>
      <c r="C92" s="149"/>
      <c r="D92" s="149"/>
      <c r="E92" s="149"/>
      <c r="F92" s="40"/>
      <c r="G92" s="7"/>
      <c r="H92" s="41"/>
      <c r="I92" s="140"/>
      <c r="J92" s="149"/>
      <c r="K92" s="149"/>
      <c r="L92" s="40"/>
      <c r="M92" s="7"/>
      <c r="N92" s="41"/>
      <c r="O92" s="140"/>
      <c r="P92" s="149"/>
      <c r="Q92" s="149"/>
      <c r="R92" s="40"/>
      <c r="S92" s="7"/>
      <c r="T92" s="41"/>
      <c r="U92" s="140"/>
      <c r="V92" s="149"/>
      <c r="W92" s="149"/>
      <c r="X92" s="40"/>
      <c r="Y92" s="7"/>
      <c r="Z92" s="41"/>
      <c r="AA92" s="140"/>
      <c r="AB92" s="149"/>
      <c r="AC92" s="149"/>
      <c r="AD92" s="40"/>
      <c r="AE92" s="7"/>
      <c r="AF92" s="41"/>
      <c r="AG92" s="42"/>
      <c r="AH92" s="42"/>
      <c r="AI92" s="42"/>
    </row>
    <row r="93" spans="1:39" x14ac:dyDescent="0.45">
      <c r="A93" s="67" t="s">
        <v>88</v>
      </c>
      <c r="B93" s="158">
        <v>0</v>
      </c>
      <c r="C93" s="7">
        <v>0</v>
      </c>
      <c r="D93" s="1">
        <v>0</v>
      </c>
      <c r="E93" s="1" t="s">
        <v>68</v>
      </c>
      <c r="F93" s="40">
        <f>C93*B93*D93</f>
        <v>0</v>
      </c>
      <c r="G93" s="7">
        <v>0</v>
      </c>
      <c r="H93" s="41">
        <f>SUM(F93:G93)</f>
        <v>0</v>
      </c>
      <c r="I93" s="158">
        <v>0</v>
      </c>
      <c r="J93" s="7">
        <f>C93</f>
        <v>0</v>
      </c>
      <c r="K93" s="1">
        <v>0</v>
      </c>
      <c r="L93" s="40">
        <f>J93*I93*K93</f>
        <v>0</v>
      </c>
      <c r="M93" s="7">
        <v>0</v>
      </c>
      <c r="N93" s="41">
        <f>SUM(L93:M93)</f>
        <v>0</v>
      </c>
      <c r="O93" s="158">
        <v>0</v>
      </c>
      <c r="P93" s="7">
        <f>C93</f>
        <v>0</v>
      </c>
      <c r="Q93" s="1">
        <v>0</v>
      </c>
      <c r="R93" s="40">
        <f>O93*P93*Q93</f>
        <v>0</v>
      </c>
      <c r="S93" s="7">
        <v>0</v>
      </c>
      <c r="T93" s="41">
        <f>SUM(R93:S93)</f>
        <v>0</v>
      </c>
      <c r="U93" s="158">
        <v>0</v>
      </c>
      <c r="V93" s="7">
        <f>C93</f>
        <v>0</v>
      </c>
      <c r="W93" s="1">
        <v>0</v>
      </c>
      <c r="X93" s="40">
        <f>V93*U93*W93</f>
        <v>0</v>
      </c>
      <c r="Y93" s="7">
        <v>0</v>
      </c>
      <c r="Z93" s="41">
        <f>SUM(X93:Y93)</f>
        <v>0</v>
      </c>
      <c r="AA93" s="158">
        <v>0</v>
      </c>
      <c r="AB93" s="7">
        <f>C93</f>
        <v>0</v>
      </c>
      <c r="AC93" s="1">
        <v>0</v>
      </c>
      <c r="AD93" s="40">
        <f>AB93*AA93*AC93</f>
        <v>0</v>
      </c>
      <c r="AE93" s="7">
        <v>0</v>
      </c>
      <c r="AF93" s="41">
        <f>SUM(AD93:AE93)</f>
        <v>0</v>
      </c>
      <c r="AG93" s="42">
        <f t="shared" ref="AG93" si="253">F93+L93+R93+X93+AD93</f>
        <v>0</v>
      </c>
      <c r="AH93" s="42">
        <f t="shared" ref="AH93" si="254">G93+M93+S93+Y93+AE93</f>
        <v>0</v>
      </c>
      <c r="AI93" s="42">
        <f t="shared" ref="AI93" si="255">SUM(AG93:AH93)</f>
        <v>0</v>
      </c>
      <c r="AJ93" s="92"/>
      <c r="AK93" s="93"/>
      <c r="AL93" s="93"/>
      <c r="AM93" s="93"/>
    </row>
    <row r="94" spans="1:39" x14ac:dyDescent="0.45">
      <c r="A94" s="67" t="s">
        <v>88</v>
      </c>
      <c r="B94" s="158">
        <v>0</v>
      </c>
      <c r="C94" s="7">
        <v>0</v>
      </c>
      <c r="D94" s="1">
        <v>0</v>
      </c>
      <c r="E94" s="1" t="s">
        <v>68</v>
      </c>
      <c r="F94" s="40">
        <f>C94*B94*D94</f>
        <v>0</v>
      </c>
      <c r="G94" s="7">
        <v>0</v>
      </c>
      <c r="H94" s="41">
        <f>SUM(F94:G94)</f>
        <v>0</v>
      </c>
      <c r="I94" s="158">
        <v>0</v>
      </c>
      <c r="J94" s="7">
        <f>C94</f>
        <v>0</v>
      </c>
      <c r="K94" s="1">
        <v>0</v>
      </c>
      <c r="L94" s="40">
        <f>J94*I94*K94</f>
        <v>0</v>
      </c>
      <c r="M94" s="7">
        <v>0</v>
      </c>
      <c r="N94" s="41">
        <f>SUM(L94:M94)</f>
        <v>0</v>
      </c>
      <c r="O94" s="158">
        <v>0</v>
      </c>
      <c r="P94" s="7">
        <f>C94</f>
        <v>0</v>
      </c>
      <c r="Q94" s="1">
        <v>0</v>
      </c>
      <c r="R94" s="40">
        <f>O94*P94*Q94</f>
        <v>0</v>
      </c>
      <c r="S94" s="7">
        <v>0</v>
      </c>
      <c r="T94" s="41">
        <f>SUM(R94:S94)</f>
        <v>0</v>
      </c>
      <c r="U94" s="158">
        <v>0</v>
      </c>
      <c r="V94" s="7">
        <f>C94</f>
        <v>0</v>
      </c>
      <c r="W94" s="1">
        <v>0</v>
      </c>
      <c r="X94" s="40">
        <f>V94*U94*W94</f>
        <v>0</v>
      </c>
      <c r="Y94" s="7">
        <v>0</v>
      </c>
      <c r="Z94" s="41">
        <f>SUM(X94:Y94)</f>
        <v>0</v>
      </c>
      <c r="AA94" s="158">
        <v>0</v>
      </c>
      <c r="AB94" s="7">
        <f>C94</f>
        <v>0</v>
      </c>
      <c r="AC94" s="1">
        <v>0</v>
      </c>
      <c r="AD94" s="40">
        <f>AB94*AA94*AC94</f>
        <v>0</v>
      </c>
      <c r="AE94" s="7">
        <v>0</v>
      </c>
      <c r="AF94" s="41">
        <f>SUM(AD94:AE94)</f>
        <v>0</v>
      </c>
      <c r="AG94" s="42">
        <f t="shared" ref="AG94" si="256">F94+L94+R94+X94+AD94</f>
        <v>0</v>
      </c>
      <c r="AH94" s="42">
        <f t="shared" ref="AH94" si="257">G94+M94+S94+Y94+AE94</f>
        <v>0</v>
      </c>
      <c r="AI94" s="42">
        <f t="shared" ref="AI94" si="258">SUM(AG94:AH94)</f>
        <v>0</v>
      </c>
      <c r="AJ94" s="92"/>
      <c r="AK94" s="92"/>
      <c r="AL94" s="93"/>
      <c r="AM94" s="93"/>
    </row>
    <row r="95" spans="1:39" x14ac:dyDescent="0.45">
      <c r="A95" s="67" t="s">
        <v>89</v>
      </c>
      <c r="B95" s="158">
        <v>0</v>
      </c>
      <c r="C95" s="7">
        <v>0</v>
      </c>
      <c r="D95" s="1">
        <v>0</v>
      </c>
      <c r="E95" s="1" t="s">
        <v>68</v>
      </c>
      <c r="F95" s="40">
        <f>C95*B95*D95</f>
        <v>0</v>
      </c>
      <c r="G95" s="7">
        <v>0</v>
      </c>
      <c r="H95" s="41">
        <f>SUM(F95:G95)</f>
        <v>0</v>
      </c>
      <c r="I95" s="158">
        <v>0</v>
      </c>
      <c r="J95" s="7">
        <f>C95</f>
        <v>0</v>
      </c>
      <c r="K95" s="1">
        <v>0</v>
      </c>
      <c r="L95" s="40">
        <f>J95*I95*K95</f>
        <v>0</v>
      </c>
      <c r="M95" s="7">
        <v>0</v>
      </c>
      <c r="N95" s="41">
        <f>SUM(L95:M95)</f>
        <v>0</v>
      </c>
      <c r="O95" s="158">
        <v>0</v>
      </c>
      <c r="P95" s="7">
        <f>C95</f>
        <v>0</v>
      </c>
      <c r="Q95" s="1">
        <v>0</v>
      </c>
      <c r="R95" s="40">
        <f>O95*P95*Q95</f>
        <v>0</v>
      </c>
      <c r="S95" s="7">
        <v>0</v>
      </c>
      <c r="T95" s="41">
        <f>SUM(R95:S95)</f>
        <v>0</v>
      </c>
      <c r="U95" s="158">
        <v>0</v>
      </c>
      <c r="V95" s="7">
        <f>C95</f>
        <v>0</v>
      </c>
      <c r="W95" s="1">
        <v>0</v>
      </c>
      <c r="X95" s="40">
        <f>V95*U95*W95</f>
        <v>0</v>
      </c>
      <c r="Y95" s="7">
        <v>0</v>
      </c>
      <c r="Z95" s="41">
        <f>SUM(X95:Y95)</f>
        <v>0</v>
      </c>
      <c r="AA95" s="158">
        <v>0</v>
      </c>
      <c r="AB95" s="7">
        <f>C95</f>
        <v>0</v>
      </c>
      <c r="AC95" s="1">
        <v>0</v>
      </c>
      <c r="AD95" s="40">
        <f>AB95*AA95*AC95</f>
        <v>0</v>
      </c>
      <c r="AE95" s="7">
        <v>0</v>
      </c>
      <c r="AF95" s="41">
        <f>SUM(AD95:AE95)</f>
        <v>0</v>
      </c>
      <c r="AG95" s="42">
        <f t="shared" ref="AG95" si="259">F95+L95+R95+X95+AD95</f>
        <v>0</v>
      </c>
      <c r="AH95" s="42">
        <f t="shared" ref="AH95" si="260">G95+M95+S95+Y95+AE95</f>
        <v>0</v>
      </c>
      <c r="AI95" s="42">
        <f t="shared" ref="AI95" si="261">SUM(AG95:AH95)</f>
        <v>0</v>
      </c>
      <c r="AJ95" s="92"/>
      <c r="AK95" s="93"/>
      <c r="AL95" s="93"/>
      <c r="AM95" s="93"/>
    </row>
    <row r="96" spans="1:39" x14ac:dyDescent="0.45">
      <c r="A96" s="67" t="s">
        <v>89</v>
      </c>
      <c r="B96" s="157">
        <v>0</v>
      </c>
      <c r="C96" s="7">
        <v>0</v>
      </c>
      <c r="D96" s="1">
        <v>0</v>
      </c>
      <c r="E96" s="1" t="s">
        <v>68</v>
      </c>
      <c r="F96" s="40">
        <f>C96*B96</f>
        <v>0</v>
      </c>
      <c r="G96" s="7">
        <v>0</v>
      </c>
      <c r="H96" s="41">
        <f>SUM(F96:G96)</f>
        <v>0</v>
      </c>
      <c r="I96" s="157">
        <v>0</v>
      </c>
      <c r="J96" s="7">
        <f>C96</f>
        <v>0</v>
      </c>
      <c r="K96" s="1">
        <v>0</v>
      </c>
      <c r="L96" s="40">
        <f>J96*I96</f>
        <v>0</v>
      </c>
      <c r="M96" s="7">
        <v>0</v>
      </c>
      <c r="N96" s="41">
        <f>SUM(L96:M96)</f>
        <v>0</v>
      </c>
      <c r="O96" s="157">
        <v>0</v>
      </c>
      <c r="P96" s="7">
        <f>C96</f>
        <v>0</v>
      </c>
      <c r="Q96" s="1">
        <v>0</v>
      </c>
      <c r="R96" s="40">
        <f>O96*P96</f>
        <v>0</v>
      </c>
      <c r="S96" s="7">
        <v>0</v>
      </c>
      <c r="T96" s="41">
        <f>SUM(R96:S96)</f>
        <v>0</v>
      </c>
      <c r="U96" s="157">
        <v>0</v>
      </c>
      <c r="V96" s="7">
        <f>C96</f>
        <v>0</v>
      </c>
      <c r="W96" s="1">
        <v>0</v>
      </c>
      <c r="X96" s="40">
        <f>V96*U96</f>
        <v>0</v>
      </c>
      <c r="Y96" s="7">
        <v>0</v>
      </c>
      <c r="Z96" s="41">
        <f>SUM(X96:Y96)</f>
        <v>0</v>
      </c>
      <c r="AA96" s="157">
        <v>0</v>
      </c>
      <c r="AB96" s="7">
        <f>C96</f>
        <v>0</v>
      </c>
      <c r="AC96" s="1">
        <v>0</v>
      </c>
      <c r="AD96" s="40">
        <f>AB96*AA96</f>
        <v>0</v>
      </c>
      <c r="AE96" s="7">
        <v>0</v>
      </c>
      <c r="AF96" s="41">
        <f>SUM(AD96:AE96)</f>
        <v>0</v>
      </c>
      <c r="AG96" s="42">
        <f t="shared" ref="AG96" si="262">F96+L96+R96+X96+AD96</f>
        <v>0</v>
      </c>
      <c r="AH96" s="42">
        <f t="shared" ref="AH96" si="263">G96+M96+S96+Y96+AE96</f>
        <v>0</v>
      </c>
      <c r="AI96" s="42">
        <f t="shared" ref="AI96" si="264">SUM(AG96:AH96)</f>
        <v>0</v>
      </c>
      <c r="AJ96" s="94"/>
      <c r="AL96" s="93"/>
      <c r="AM96" s="93"/>
    </row>
    <row r="97" spans="1:39" s="10" customFormat="1" ht="12.3" x14ac:dyDescent="0.4">
      <c r="A97" s="77" t="s">
        <v>90</v>
      </c>
      <c r="B97" s="161"/>
      <c r="C97" s="146"/>
      <c r="D97" s="162"/>
      <c r="E97" s="146"/>
      <c r="F97" s="44">
        <f>SUM(F92:F96)</f>
        <v>0</v>
      </c>
      <c r="G97" s="44">
        <f>SUM(G92:G96)</f>
        <v>0</v>
      </c>
      <c r="H97" s="44">
        <f>SUM(H92:H96)</f>
        <v>0</v>
      </c>
      <c r="I97" s="161"/>
      <c r="J97" s="45"/>
      <c r="K97" s="146"/>
      <c r="L97" s="44">
        <f>SUM(L92:L96)</f>
        <v>0</v>
      </c>
      <c r="M97" s="44">
        <f>SUM(M92:M96)</f>
        <v>0</v>
      </c>
      <c r="N97" s="44">
        <f>SUM(N92:N96)</f>
        <v>0</v>
      </c>
      <c r="O97" s="161"/>
      <c r="P97" s="146"/>
      <c r="Q97" s="146"/>
      <c r="R97" s="44">
        <f>SUM(R92:R96)</f>
        <v>0</v>
      </c>
      <c r="S97" s="44">
        <f>SUM(S92:S96)</f>
        <v>0</v>
      </c>
      <c r="T97" s="44">
        <f>SUM(T92:T96)</f>
        <v>0</v>
      </c>
      <c r="U97" s="161"/>
      <c r="V97" s="146"/>
      <c r="W97" s="146"/>
      <c r="X97" s="44">
        <f>SUM(X92:X96)</f>
        <v>0</v>
      </c>
      <c r="Y97" s="44">
        <f>SUM(Y92:Y96)</f>
        <v>0</v>
      </c>
      <c r="Z97" s="44">
        <f>SUM(Z92:Z96)</f>
        <v>0</v>
      </c>
      <c r="AA97" s="161"/>
      <c r="AB97" s="146"/>
      <c r="AC97" s="146"/>
      <c r="AD97" s="44">
        <f t="shared" ref="AD97:AI97" si="265">SUM(AD92:AD96)</f>
        <v>0</v>
      </c>
      <c r="AE97" s="44">
        <f t="shared" si="265"/>
        <v>0</v>
      </c>
      <c r="AF97" s="44">
        <f t="shared" si="265"/>
        <v>0</v>
      </c>
      <c r="AG97" s="44">
        <f t="shared" si="265"/>
        <v>0</v>
      </c>
      <c r="AH97" s="44">
        <f t="shared" si="265"/>
        <v>0</v>
      </c>
      <c r="AI97" s="44">
        <f t="shared" si="265"/>
        <v>0</v>
      </c>
    </row>
    <row r="98" spans="1:39" s="10" customFormat="1" ht="12.3" x14ac:dyDescent="0.4">
      <c r="A98" s="77"/>
      <c r="B98" s="161"/>
      <c r="C98" s="146"/>
      <c r="D98" s="162"/>
      <c r="E98" s="146"/>
      <c r="F98" s="44"/>
      <c r="G98" s="45"/>
      <c r="H98" s="45"/>
      <c r="I98" s="161"/>
      <c r="J98" s="45"/>
      <c r="K98" s="146"/>
      <c r="L98" s="44"/>
      <c r="M98" s="45"/>
      <c r="N98" s="45"/>
      <c r="O98" s="161"/>
      <c r="P98" s="146"/>
      <c r="Q98" s="146"/>
      <c r="R98" s="44"/>
      <c r="S98" s="45"/>
      <c r="T98" s="45"/>
      <c r="U98" s="161"/>
      <c r="V98" s="146"/>
      <c r="W98" s="146"/>
      <c r="X98" s="44"/>
      <c r="Y98" s="45"/>
      <c r="Z98" s="45"/>
      <c r="AA98" s="161"/>
      <c r="AB98" s="146"/>
      <c r="AC98" s="146"/>
      <c r="AD98" s="44"/>
      <c r="AE98" s="45"/>
      <c r="AF98" s="45"/>
      <c r="AG98" s="47"/>
      <c r="AH98" s="47"/>
      <c r="AI98" s="47"/>
    </row>
    <row r="99" spans="1:39" x14ac:dyDescent="0.45">
      <c r="A99" s="49" t="s">
        <v>91</v>
      </c>
      <c r="B99" s="157"/>
      <c r="F99" s="40"/>
      <c r="G99" s="7"/>
      <c r="H99" s="41"/>
      <c r="I99" s="157"/>
      <c r="L99" s="40"/>
      <c r="M99" s="7"/>
      <c r="N99" s="41"/>
      <c r="O99" s="157"/>
      <c r="R99" s="40"/>
      <c r="S99" s="7"/>
      <c r="T99" s="41"/>
      <c r="U99" s="157"/>
      <c r="X99" s="40"/>
      <c r="Y99" s="7"/>
      <c r="Z99" s="41"/>
      <c r="AA99" s="157"/>
      <c r="AD99" s="40"/>
      <c r="AE99" s="7"/>
      <c r="AF99" s="41"/>
      <c r="AG99" s="42"/>
      <c r="AH99" s="42"/>
      <c r="AI99" s="42"/>
      <c r="AK99" s="93"/>
      <c r="AL99" s="93"/>
      <c r="AM99" s="93"/>
    </row>
    <row r="100" spans="1:39" x14ac:dyDescent="0.45">
      <c r="A100" s="67" t="s">
        <v>92</v>
      </c>
      <c r="B100" s="157">
        <v>0</v>
      </c>
      <c r="C100" s="15">
        <v>0</v>
      </c>
      <c r="D100" s="1">
        <v>0</v>
      </c>
      <c r="E100" s="1" t="s">
        <v>93</v>
      </c>
      <c r="F100" s="40">
        <f>D100*C100*B100</f>
        <v>0</v>
      </c>
      <c r="G100" s="7">
        <v>0</v>
      </c>
      <c r="H100" s="41">
        <f>SUM(F100:G100)</f>
        <v>0</v>
      </c>
      <c r="I100" s="157">
        <v>0</v>
      </c>
      <c r="J100" s="15">
        <f>C100</f>
        <v>0</v>
      </c>
      <c r="K100" s="1">
        <v>0</v>
      </c>
      <c r="L100" s="40">
        <f>K100*J100*I100</f>
        <v>0</v>
      </c>
      <c r="M100" s="7">
        <v>0</v>
      </c>
      <c r="N100" s="41">
        <f>SUM(L100:M100)</f>
        <v>0</v>
      </c>
      <c r="O100" s="157">
        <v>0</v>
      </c>
      <c r="P100" s="15">
        <f>C100</f>
        <v>0</v>
      </c>
      <c r="Q100" s="1">
        <v>0</v>
      </c>
      <c r="R100" s="40">
        <f>Q100*P100*O100</f>
        <v>0</v>
      </c>
      <c r="S100" s="7">
        <v>0</v>
      </c>
      <c r="T100" s="41">
        <f>SUM(R100:R100)</f>
        <v>0</v>
      </c>
      <c r="U100" s="157">
        <v>0</v>
      </c>
      <c r="V100" s="15">
        <f>C100</f>
        <v>0</v>
      </c>
      <c r="W100" s="1">
        <v>0</v>
      </c>
      <c r="X100" s="40">
        <f>W100*V100*U100</f>
        <v>0</v>
      </c>
      <c r="Y100" s="7">
        <v>0</v>
      </c>
      <c r="Z100" s="41">
        <f>SUM(X100:Y100)</f>
        <v>0</v>
      </c>
      <c r="AA100" s="157">
        <v>0</v>
      </c>
      <c r="AB100" s="15">
        <f>C100</f>
        <v>0</v>
      </c>
      <c r="AC100" s="1">
        <v>0</v>
      </c>
      <c r="AD100" s="40">
        <f>AC100*AB100*AA100</f>
        <v>0</v>
      </c>
      <c r="AE100" s="7">
        <v>0</v>
      </c>
      <c r="AF100" s="41">
        <f>SUM(AD100:AE100)</f>
        <v>0</v>
      </c>
      <c r="AG100" s="42">
        <f t="shared" ref="AG100:AG103" si="266">F100+L100+R100+X100+AD100</f>
        <v>0</v>
      </c>
      <c r="AH100" s="42">
        <f t="shared" ref="AH100:AH101" si="267">G100+M100+S100+Y100+AE100</f>
        <v>0</v>
      </c>
      <c r="AI100" s="42">
        <f t="shared" ref="AI100:AI103" si="268">SUM(AG100:AH100)</f>
        <v>0</v>
      </c>
      <c r="AK100" s="93"/>
      <c r="AL100" s="93"/>
      <c r="AM100" s="93"/>
    </row>
    <row r="101" spans="1:39" x14ac:dyDescent="0.45">
      <c r="A101" s="67" t="s">
        <v>94</v>
      </c>
      <c r="B101" s="157">
        <v>0</v>
      </c>
      <c r="C101" s="15">
        <v>0</v>
      </c>
      <c r="D101" s="1">
        <v>0</v>
      </c>
      <c r="E101" s="1" t="s">
        <v>93</v>
      </c>
      <c r="F101" s="40">
        <f>D101*C101*B101</f>
        <v>0</v>
      </c>
      <c r="G101" s="7">
        <v>0</v>
      </c>
      <c r="H101" s="41">
        <f>SUM(F101:G101)</f>
        <v>0</v>
      </c>
      <c r="I101" s="157">
        <v>0</v>
      </c>
      <c r="J101" s="15">
        <f t="shared" ref="J101:J103" si="269">C101</f>
        <v>0</v>
      </c>
      <c r="K101" s="1">
        <v>0</v>
      </c>
      <c r="L101" s="40">
        <f>K101*J101*I101</f>
        <v>0</v>
      </c>
      <c r="M101" s="7">
        <v>0</v>
      </c>
      <c r="N101" s="41">
        <f>SUM(L101:M101)</f>
        <v>0</v>
      </c>
      <c r="O101" s="157">
        <v>0</v>
      </c>
      <c r="P101" s="15">
        <f t="shared" ref="P101:P103" si="270">C101</f>
        <v>0</v>
      </c>
      <c r="Q101" s="1">
        <v>0</v>
      </c>
      <c r="R101" s="40">
        <f>Q101*P101*O101</f>
        <v>0</v>
      </c>
      <c r="S101" s="7">
        <v>0</v>
      </c>
      <c r="T101" s="41">
        <f>SUM(R101:S101)</f>
        <v>0</v>
      </c>
      <c r="U101" s="157">
        <v>0</v>
      </c>
      <c r="V101" s="15">
        <f t="shared" ref="V101:V103" si="271">C101</f>
        <v>0</v>
      </c>
      <c r="W101" s="1">
        <v>0</v>
      </c>
      <c r="X101" s="40">
        <f>W101*V101*U101</f>
        <v>0</v>
      </c>
      <c r="Y101" s="7">
        <v>0</v>
      </c>
      <c r="Z101" s="41">
        <f>SUM(X101:Y101)</f>
        <v>0</v>
      </c>
      <c r="AA101" s="157">
        <v>0</v>
      </c>
      <c r="AB101" s="15">
        <f t="shared" ref="AB101:AB103" si="272">C101</f>
        <v>0</v>
      </c>
      <c r="AC101" s="1">
        <v>0</v>
      </c>
      <c r="AD101" s="40">
        <f>AC101*AA101*AB101</f>
        <v>0</v>
      </c>
      <c r="AE101" s="7">
        <v>0</v>
      </c>
      <c r="AF101" s="41">
        <f>SUM(AD101:AE101)</f>
        <v>0</v>
      </c>
      <c r="AG101" s="42">
        <f t="shared" ref="AG101" si="273">F101+L101+R101+X101+AD101</f>
        <v>0</v>
      </c>
      <c r="AH101" s="42">
        <f t="shared" si="267"/>
        <v>0</v>
      </c>
      <c r="AI101" s="42">
        <f t="shared" ref="AI101" si="274">SUM(AG101:AH101)</f>
        <v>0</v>
      </c>
      <c r="AK101" s="93"/>
      <c r="AL101" s="93"/>
      <c r="AM101" s="93"/>
    </row>
    <row r="102" spans="1:39" x14ac:dyDescent="0.45">
      <c r="A102" s="67" t="s">
        <v>95</v>
      </c>
      <c r="B102" s="157">
        <v>0</v>
      </c>
      <c r="C102" s="15">
        <v>0</v>
      </c>
      <c r="D102" s="1">
        <v>0</v>
      </c>
      <c r="E102" s="1" t="s">
        <v>52</v>
      </c>
      <c r="F102" s="40">
        <f>D102*C102*B102</f>
        <v>0</v>
      </c>
      <c r="G102" s="7">
        <v>0</v>
      </c>
      <c r="H102" s="41">
        <f>SUM(F102:G102)</f>
        <v>0</v>
      </c>
      <c r="I102" s="157">
        <v>0</v>
      </c>
      <c r="J102" s="15">
        <f t="shared" si="269"/>
        <v>0</v>
      </c>
      <c r="K102" s="1">
        <v>0</v>
      </c>
      <c r="L102" s="40">
        <f>K102*J102*I102</f>
        <v>0</v>
      </c>
      <c r="M102" s="7">
        <v>0</v>
      </c>
      <c r="N102" s="41">
        <f>SUM(L102:M102)</f>
        <v>0</v>
      </c>
      <c r="O102" s="157">
        <v>0</v>
      </c>
      <c r="P102" s="15">
        <f t="shared" si="270"/>
        <v>0</v>
      </c>
      <c r="Q102" s="1">
        <v>0</v>
      </c>
      <c r="R102" s="40">
        <f>Q102*P102*O102</f>
        <v>0</v>
      </c>
      <c r="S102" s="7">
        <v>0</v>
      </c>
      <c r="T102" s="41">
        <f>SUM(R102:S102)</f>
        <v>0</v>
      </c>
      <c r="U102" s="157">
        <v>0</v>
      </c>
      <c r="V102" s="15">
        <f t="shared" si="271"/>
        <v>0</v>
      </c>
      <c r="W102" s="1">
        <v>0</v>
      </c>
      <c r="X102" s="40">
        <f>W102*V102*U102</f>
        <v>0</v>
      </c>
      <c r="Y102" s="7">
        <v>0</v>
      </c>
      <c r="Z102" s="41">
        <f>SUM(X102:Y102)</f>
        <v>0</v>
      </c>
      <c r="AA102" s="157">
        <v>0</v>
      </c>
      <c r="AB102" s="15">
        <f t="shared" si="272"/>
        <v>0</v>
      </c>
      <c r="AC102" s="1">
        <v>0</v>
      </c>
      <c r="AD102" s="40">
        <f>AC102*AA102*AB102</f>
        <v>0</v>
      </c>
      <c r="AE102" s="7">
        <v>0</v>
      </c>
      <c r="AF102" s="41">
        <f>SUM(AD102:AE102)</f>
        <v>0</v>
      </c>
      <c r="AG102" s="42">
        <f t="shared" si="266"/>
        <v>0</v>
      </c>
      <c r="AH102" s="42">
        <f t="shared" ref="AH102:AH103" si="275">G102+M102+S102+Y102+AE102</f>
        <v>0</v>
      </c>
      <c r="AI102" s="42">
        <f t="shared" si="268"/>
        <v>0</v>
      </c>
      <c r="AK102" s="93"/>
      <c r="AL102" s="93"/>
      <c r="AM102" s="93"/>
    </row>
    <row r="103" spans="1:39" x14ac:dyDescent="0.45">
      <c r="A103" s="67" t="s">
        <v>96</v>
      </c>
      <c r="B103" s="157">
        <v>0</v>
      </c>
      <c r="C103" s="15">
        <v>0</v>
      </c>
      <c r="D103" s="1">
        <v>0</v>
      </c>
      <c r="E103" s="1" t="s">
        <v>52</v>
      </c>
      <c r="F103" s="40">
        <f>D103*C103*B103</f>
        <v>0</v>
      </c>
      <c r="G103" s="7">
        <v>0</v>
      </c>
      <c r="H103" s="41">
        <f>SUM(F103:G103)</f>
        <v>0</v>
      </c>
      <c r="I103" s="157">
        <v>0</v>
      </c>
      <c r="J103" s="15">
        <f t="shared" si="269"/>
        <v>0</v>
      </c>
      <c r="K103" s="1">
        <v>0</v>
      </c>
      <c r="L103" s="40">
        <f>K103*J103*I103</f>
        <v>0</v>
      </c>
      <c r="M103" s="7">
        <v>0</v>
      </c>
      <c r="N103" s="41">
        <f>SUM(L103:M103)</f>
        <v>0</v>
      </c>
      <c r="O103" s="157">
        <v>0</v>
      </c>
      <c r="P103" s="15">
        <f t="shared" si="270"/>
        <v>0</v>
      </c>
      <c r="Q103" s="1">
        <v>0</v>
      </c>
      <c r="R103" s="40">
        <f>Q103*P103*O103</f>
        <v>0</v>
      </c>
      <c r="S103" s="7">
        <v>0</v>
      </c>
      <c r="T103" s="41">
        <f>SUM(R103:R103)</f>
        <v>0</v>
      </c>
      <c r="U103" s="157">
        <v>0</v>
      </c>
      <c r="V103" s="15">
        <f t="shared" si="271"/>
        <v>0</v>
      </c>
      <c r="W103" s="1">
        <v>0</v>
      </c>
      <c r="X103" s="40">
        <f>W103*V103*U103</f>
        <v>0</v>
      </c>
      <c r="Y103" s="7">
        <v>0</v>
      </c>
      <c r="Z103" s="41">
        <f>SUM(X103:Y103)</f>
        <v>0</v>
      </c>
      <c r="AA103" s="157">
        <v>0</v>
      </c>
      <c r="AB103" s="15">
        <f t="shared" si="272"/>
        <v>0</v>
      </c>
      <c r="AC103" s="1">
        <v>0</v>
      </c>
      <c r="AD103" s="40">
        <f>AC103*AB103*AA103</f>
        <v>0</v>
      </c>
      <c r="AE103" s="7">
        <v>0</v>
      </c>
      <c r="AF103" s="41">
        <f>SUM(AD103:AE103)</f>
        <v>0</v>
      </c>
      <c r="AG103" s="42">
        <f t="shared" si="266"/>
        <v>0</v>
      </c>
      <c r="AH103" s="42">
        <f t="shared" si="275"/>
        <v>0</v>
      </c>
      <c r="AI103" s="42">
        <f t="shared" si="268"/>
        <v>0</v>
      </c>
      <c r="AK103" s="93"/>
      <c r="AL103" s="93"/>
      <c r="AM103" s="93"/>
    </row>
    <row r="104" spans="1:39" s="10" customFormat="1" ht="12.3" x14ac:dyDescent="0.4">
      <c r="A104" s="77" t="s">
        <v>97</v>
      </c>
      <c r="B104" s="161"/>
      <c r="C104" s="146"/>
      <c r="D104" s="162"/>
      <c r="E104" s="146"/>
      <c r="F104" s="44">
        <f>SUM(F100:F103)</f>
        <v>0</v>
      </c>
      <c r="G104" s="44">
        <f>SUM(G100:G103)</f>
        <v>0</v>
      </c>
      <c r="H104" s="44">
        <f>SUM(H100:H103)</f>
        <v>0</v>
      </c>
      <c r="I104" s="161"/>
      <c r="J104" s="45"/>
      <c r="K104" s="146"/>
      <c r="L104" s="44">
        <f>SUM(L100:L103)</f>
        <v>0</v>
      </c>
      <c r="M104" s="44">
        <f>SUM(M100:M103)</f>
        <v>0</v>
      </c>
      <c r="N104" s="44">
        <f>SUM(N100:N103)</f>
        <v>0</v>
      </c>
      <c r="O104" s="161"/>
      <c r="P104" s="146"/>
      <c r="Q104" s="146"/>
      <c r="R104" s="44">
        <f>SUM(R100:R103)</f>
        <v>0</v>
      </c>
      <c r="S104" s="44">
        <f>SUM(S100:S103)</f>
        <v>0</v>
      </c>
      <c r="T104" s="44">
        <f>SUM(T100:T103)</f>
        <v>0</v>
      </c>
      <c r="U104" s="161"/>
      <c r="V104" s="146"/>
      <c r="W104" s="146"/>
      <c r="X104" s="44">
        <f>SUM(X100:X103)</f>
        <v>0</v>
      </c>
      <c r="Y104" s="44">
        <f>SUM(Y100:Y103)</f>
        <v>0</v>
      </c>
      <c r="Z104" s="44">
        <f>SUM(Z100:Z103)</f>
        <v>0</v>
      </c>
      <c r="AA104" s="161"/>
      <c r="AB104" s="146"/>
      <c r="AC104" s="146"/>
      <c r="AD104" s="44">
        <f>SUM(AD100:AD103)</f>
        <v>0</v>
      </c>
      <c r="AE104" s="44">
        <f>SUM(AE100:AE103)</f>
        <v>0</v>
      </c>
      <c r="AF104" s="44">
        <f>SUM(AF100:AF103)</f>
        <v>0</v>
      </c>
      <c r="AG104" s="47">
        <f>SUM(AG99:AG103)</f>
        <v>0</v>
      </c>
      <c r="AH104" s="47">
        <f>SUM(AH99:AH103)</f>
        <v>0</v>
      </c>
      <c r="AI104" s="47">
        <f>SUM(AI99:AI103)</f>
        <v>0</v>
      </c>
    </row>
    <row r="105" spans="1:39" x14ac:dyDescent="0.45">
      <c r="A105" s="68"/>
      <c r="B105" s="69"/>
      <c r="C105" s="70"/>
      <c r="D105" s="70"/>
      <c r="E105" s="70"/>
      <c r="F105" s="87"/>
      <c r="G105" s="88"/>
      <c r="H105" s="89"/>
      <c r="I105" s="69"/>
      <c r="J105" s="70"/>
      <c r="K105" s="70"/>
      <c r="L105" s="87"/>
      <c r="M105" s="88"/>
      <c r="N105" s="89"/>
      <c r="O105" s="69"/>
      <c r="P105" s="70"/>
      <c r="Q105" s="70"/>
      <c r="R105" s="87"/>
      <c r="S105" s="88"/>
      <c r="T105" s="89"/>
      <c r="U105" s="69"/>
      <c r="V105" s="70"/>
      <c r="W105" s="70"/>
      <c r="X105" s="87"/>
      <c r="Y105" s="88"/>
      <c r="Z105" s="89"/>
      <c r="AA105" s="69"/>
      <c r="AB105" s="70"/>
      <c r="AC105" s="70"/>
      <c r="AD105" s="87"/>
      <c r="AE105" s="88"/>
      <c r="AF105" s="89"/>
      <c r="AG105" s="90"/>
      <c r="AH105" s="90"/>
      <c r="AI105" s="90"/>
      <c r="AK105" s="95"/>
    </row>
    <row r="106" spans="1:39" s="9" customFormat="1" ht="12.3" x14ac:dyDescent="0.4">
      <c r="A106" s="96" t="s">
        <v>98</v>
      </c>
      <c r="B106" s="173"/>
      <c r="C106" s="174"/>
      <c r="D106" s="174"/>
      <c r="E106" s="174"/>
      <c r="F106" s="52">
        <f>F104+F97</f>
        <v>0</v>
      </c>
      <c r="G106" s="52">
        <f t="shared" ref="G106:H106" si="276">G104+G97</f>
        <v>0</v>
      </c>
      <c r="H106" s="52">
        <f t="shared" si="276"/>
        <v>0</v>
      </c>
      <c r="I106" s="173"/>
      <c r="J106" s="174"/>
      <c r="K106" s="174"/>
      <c r="L106" s="52">
        <f>L104+L97</f>
        <v>0</v>
      </c>
      <c r="M106" s="52">
        <f t="shared" ref="M106:N106" si="277">M104+M97</f>
        <v>0</v>
      </c>
      <c r="N106" s="52">
        <f t="shared" si="277"/>
        <v>0</v>
      </c>
      <c r="O106" s="173"/>
      <c r="P106" s="174"/>
      <c r="Q106" s="174"/>
      <c r="R106" s="52">
        <f>R104+R97</f>
        <v>0</v>
      </c>
      <c r="S106" s="52">
        <f t="shared" ref="S106:T106" si="278">S104+S97</f>
        <v>0</v>
      </c>
      <c r="T106" s="52">
        <f t="shared" si="278"/>
        <v>0</v>
      </c>
      <c r="U106" s="173"/>
      <c r="V106" s="174"/>
      <c r="W106" s="174"/>
      <c r="X106" s="52">
        <f>X104+X97</f>
        <v>0</v>
      </c>
      <c r="Y106" s="52">
        <f t="shared" ref="Y106:Z106" si="279">Y104+Y97</f>
        <v>0</v>
      </c>
      <c r="Z106" s="52">
        <f t="shared" si="279"/>
        <v>0</v>
      </c>
      <c r="AA106" s="173"/>
      <c r="AB106" s="174"/>
      <c r="AC106" s="174"/>
      <c r="AD106" s="52">
        <f>AD104+AD97</f>
        <v>0</v>
      </c>
      <c r="AE106" s="52">
        <f t="shared" ref="AE106:AF106" si="280">AE104+AE97</f>
        <v>0</v>
      </c>
      <c r="AF106" s="52">
        <f t="shared" si="280"/>
        <v>0</v>
      </c>
      <c r="AG106" s="52">
        <f>AG104+AG97</f>
        <v>0</v>
      </c>
      <c r="AH106" s="52">
        <f t="shared" ref="AH106:AI106" si="281">AH104+AH97</f>
        <v>0</v>
      </c>
      <c r="AI106" s="52">
        <f t="shared" si="281"/>
        <v>0</v>
      </c>
    </row>
    <row r="107" spans="1:39" s="9" customFormat="1" ht="12.3" x14ac:dyDescent="0.4">
      <c r="A107" s="97"/>
      <c r="B107" s="175"/>
      <c r="C107" s="176"/>
      <c r="D107" s="176"/>
      <c r="E107" s="176"/>
      <c r="F107" s="98"/>
      <c r="G107" s="99"/>
      <c r="H107" s="100"/>
      <c r="I107" s="175"/>
      <c r="J107" s="176"/>
      <c r="K107" s="176"/>
      <c r="L107" s="98"/>
      <c r="M107" s="99"/>
      <c r="N107" s="100"/>
      <c r="O107" s="175"/>
      <c r="P107" s="176"/>
      <c r="Q107" s="176"/>
      <c r="R107" s="98"/>
      <c r="S107" s="99"/>
      <c r="T107" s="100"/>
      <c r="U107" s="175"/>
      <c r="V107" s="176"/>
      <c r="W107" s="176"/>
      <c r="X107" s="98"/>
      <c r="Y107" s="99"/>
      <c r="Z107" s="100"/>
      <c r="AA107" s="175"/>
      <c r="AB107" s="176"/>
      <c r="AC107" s="176"/>
      <c r="AD107" s="98"/>
      <c r="AE107" s="99"/>
      <c r="AF107" s="100"/>
      <c r="AG107" s="101"/>
      <c r="AH107" s="101"/>
      <c r="AI107" s="101"/>
    </row>
    <row r="108" spans="1:39" x14ac:dyDescent="0.45">
      <c r="A108" s="102" t="s">
        <v>18</v>
      </c>
      <c r="B108" s="177"/>
      <c r="C108" s="178"/>
      <c r="D108" s="178"/>
      <c r="E108" s="178"/>
      <c r="F108" s="59"/>
      <c r="G108" s="60"/>
      <c r="H108" s="61"/>
      <c r="I108" s="177"/>
      <c r="J108" s="178"/>
      <c r="K108" s="178"/>
      <c r="L108" s="59"/>
      <c r="M108" s="60"/>
      <c r="N108" s="61"/>
      <c r="O108" s="177"/>
      <c r="P108" s="178"/>
      <c r="Q108" s="178"/>
      <c r="R108" s="59"/>
      <c r="S108" s="60"/>
      <c r="T108" s="61"/>
      <c r="U108" s="177"/>
      <c r="V108" s="178"/>
      <c r="W108" s="178"/>
      <c r="X108" s="59"/>
      <c r="Y108" s="60"/>
      <c r="Z108" s="61"/>
      <c r="AA108" s="177"/>
      <c r="AB108" s="178"/>
      <c r="AC108" s="178"/>
      <c r="AD108" s="59"/>
      <c r="AE108" s="60"/>
      <c r="AF108" s="61"/>
      <c r="AG108" s="62"/>
      <c r="AH108" s="62"/>
      <c r="AI108" s="62"/>
    </row>
    <row r="109" spans="1:39" x14ac:dyDescent="0.45">
      <c r="A109" s="32"/>
      <c r="B109" s="170"/>
      <c r="C109" s="169"/>
      <c r="D109" s="169"/>
      <c r="E109" s="169"/>
      <c r="F109" s="64"/>
      <c r="G109" s="65"/>
      <c r="H109" s="74"/>
      <c r="I109" s="170"/>
      <c r="J109" s="169"/>
      <c r="K109" s="169"/>
      <c r="L109" s="64"/>
      <c r="M109" s="65"/>
      <c r="N109" s="74"/>
      <c r="O109" s="170"/>
      <c r="P109" s="169"/>
      <c r="Q109" s="169"/>
      <c r="R109" s="64"/>
      <c r="S109" s="65"/>
      <c r="T109" s="74"/>
      <c r="U109" s="170"/>
      <c r="V109" s="169"/>
      <c r="W109" s="169"/>
      <c r="X109" s="64"/>
      <c r="Y109" s="65"/>
      <c r="Z109" s="74"/>
      <c r="AA109" s="170"/>
      <c r="AB109" s="169"/>
      <c r="AC109" s="169"/>
      <c r="AD109" s="64"/>
      <c r="AE109" s="65"/>
      <c r="AF109" s="74"/>
      <c r="AG109" s="66"/>
      <c r="AH109" s="66"/>
      <c r="AI109" s="66"/>
    </row>
    <row r="110" spans="1:39" x14ac:dyDescent="0.45">
      <c r="A110" s="49" t="s">
        <v>99</v>
      </c>
      <c r="B110" s="157"/>
      <c r="C110" s="15"/>
      <c r="F110" s="40"/>
      <c r="G110" s="7"/>
      <c r="H110" s="41"/>
      <c r="I110" s="157"/>
      <c r="L110" s="40"/>
      <c r="M110" s="7"/>
      <c r="N110" s="41"/>
      <c r="O110" s="157"/>
      <c r="R110" s="40"/>
      <c r="S110" s="7"/>
      <c r="T110" s="41"/>
      <c r="U110" s="157"/>
      <c r="X110" s="40"/>
      <c r="Y110" s="7"/>
      <c r="Z110" s="41"/>
      <c r="AA110" s="157"/>
      <c r="AD110" s="40"/>
      <c r="AE110" s="7"/>
      <c r="AF110" s="41"/>
      <c r="AG110" s="42"/>
      <c r="AH110" s="42"/>
      <c r="AI110" s="42"/>
      <c r="AK110" s="93"/>
      <c r="AL110" s="93"/>
      <c r="AM110" s="93"/>
    </row>
    <row r="111" spans="1:39" x14ac:dyDescent="0.45">
      <c r="A111" s="67" t="s">
        <v>100</v>
      </c>
      <c r="B111" s="158">
        <v>0</v>
      </c>
      <c r="C111" s="15">
        <v>0</v>
      </c>
      <c r="D111" s="15">
        <v>0</v>
      </c>
      <c r="E111" s="148" t="s">
        <v>74</v>
      </c>
      <c r="F111" s="40">
        <f>D111*C111*B111</f>
        <v>0</v>
      </c>
      <c r="G111" s="7">
        <v>0</v>
      </c>
      <c r="H111" s="41">
        <f>SUM(F111:G111)</f>
        <v>0</v>
      </c>
      <c r="I111" s="158">
        <v>0</v>
      </c>
      <c r="J111" s="7">
        <f>C111*$B$6</f>
        <v>0</v>
      </c>
      <c r="K111" s="15">
        <v>0</v>
      </c>
      <c r="L111" s="40">
        <f>I111*J111*K111</f>
        <v>0</v>
      </c>
      <c r="M111" s="7">
        <v>0</v>
      </c>
      <c r="N111" s="41">
        <f>SUM(L111:M111)</f>
        <v>0</v>
      </c>
      <c r="O111" s="158">
        <v>0</v>
      </c>
      <c r="P111" s="7">
        <f>C111*$B$6*$B$6</f>
        <v>0</v>
      </c>
      <c r="Q111" s="15">
        <v>0</v>
      </c>
      <c r="R111" s="40">
        <f t="shared" ref="R111" si="282">O111*P111*Q111</f>
        <v>0</v>
      </c>
      <c r="S111" s="7">
        <v>0</v>
      </c>
      <c r="T111" s="41">
        <f>SUM(R111:S111)</f>
        <v>0</v>
      </c>
      <c r="U111" s="158">
        <v>0</v>
      </c>
      <c r="V111" s="7">
        <f>C111*$B$6*$B$6*$B$6</f>
        <v>0</v>
      </c>
      <c r="W111" s="15">
        <v>0</v>
      </c>
      <c r="X111" s="40">
        <f t="shared" ref="X111" si="283">U111*V111*W111</f>
        <v>0</v>
      </c>
      <c r="Y111" s="7">
        <v>0</v>
      </c>
      <c r="Z111" s="41">
        <f t="shared" ref="Z111" si="284">SUM(X111:Y111)</f>
        <v>0</v>
      </c>
      <c r="AA111" s="158">
        <v>0</v>
      </c>
      <c r="AB111" s="7">
        <f>C111*$B$6*$B$6*$B$6*$B$6</f>
        <v>0</v>
      </c>
      <c r="AC111" s="15">
        <v>0</v>
      </c>
      <c r="AD111" s="40">
        <f t="shared" ref="AD111" si="285">AA111*AB111*AC111</f>
        <v>0</v>
      </c>
      <c r="AE111" s="7">
        <v>0</v>
      </c>
      <c r="AF111" s="41">
        <f>SUM(AD111:AE111)</f>
        <v>0</v>
      </c>
      <c r="AG111" s="42">
        <f>F111+L111+R111+X111+AD111</f>
        <v>0</v>
      </c>
      <c r="AH111" s="42">
        <f t="shared" ref="AH111" si="286">G111+M111+S111+Y111+AE111</f>
        <v>0</v>
      </c>
      <c r="AI111" s="42">
        <f>SUM(AG111:AH111)</f>
        <v>0</v>
      </c>
    </row>
    <row r="112" spans="1:39" x14ac:dyDescent="0.45">
      <c r="A112" s="67" t="s">
        <v>101</v>
      </c>
      <c r="B112" s="158">
        <v>0</v>
      </c>
      <c r="C112" s="15">
        <v>0</v>
      </c>
      <c r="D112" s="15">
        <v>0</v>
      </c>
      <c r="E112" s="148" t="s">
        <v>74</v>
      </c>
      <c r="F112" s="40">
        <f>D112*C112*B112</f>
        <v>0</v>
      </c>
      <c r="G112" s="7">
        <v>0</v>
      </c>
      <c r="H112" s="41">
        <f>SUM(F112:G112)</f>
        <v>0</v>
      </c>
      <c r="I112" s="158">
        <v>0</v>
      </c>
      <c r="J112" s="7">
        <f t="shared" ref="J112:J115" si="287">C112*$B$6</f>
        <v>0</v>
      </c>
      <c r="K112" s="15">
        <v>0</v>
      </c>
      <c r="L112" s="40">
        <f>I112*J112*K112</f>
        <v>0</v>
      </c>
      <c r="M112" s="7">
        <v>0</v>
      </c>
      <c r="N112" s="41">
        <f>SUM(L112:M112)</f>
        <v>0</v>
      </c>
      <c r="O112" s="158">
        <v>0</v>
      </c>
      <c r="P112" s="7">
        <f t="shared" ref="P112:P115" si="288">C112*$B$6*$B$6</f>
        <v>0</v>
      </c>
      <c r="Q112" s="15">
        <v>0</v>
      </c>
      <c r="R112" s="40">
        <f t="shared" ref="R112" si="289">O112*P112*Q112</f>
        <v>0</v>
      </c>
      <c r="S112" s="7">
        <v>0</v>
      </c>
      <c r="T112" s="41">
        <f>SUM(R112:S112)</f>
        <v>0</v>
      </c>
      <c r="U112" s="158">
        <v>0</v>
      </c>
      <c r="V112" s="7">
        <f t="shared" ref="V112:V115" si="290">C112*$B$6*$B$6*$B$6</f>
        <v>0</v>
      </c>
      <c r="W112" s="15">
        <v>0</v>
      </c>
      <c r="X112" s="40">
        <f t="shared" ref="X112" si="291">U112*V112*W112</f>
        <v>0</v>
      </c>
      <c r="Y112" s="7">
        <v>0</v>
      </c>
      <c r="Z112" s="41">
        <f t="shared" ref="Z112:Z130" si="292">SUM(X112:Y112)</f>
        <v>0</v>
      </c>
      <c r="AA112" s="158">
        <v>0</v>
      </c>
      <c r="AB112" s="7">
        <f t="shared" ref="AB112:AB115" si="293">C112*$B$6*$B$6*$B$6*$B$6</f>
        <v>0</v>
      </c>
      <c r="AC112" s="15">
        <v>0</v>
      </c>
      <c r="AD112" s="40">
        <f t="shared" ref="AD112" si="294">AA112*AB112*AC112</f>
        <v>0</v>
      </c>
      <c r="AE112" s="7">
        <v>0</v>
      </c>
      <c r="AF112" s="41">
        <f>SUM(AD112:AE112)</f>
        <v>0</v>
      </c>
      <c r="AG112" s="42">
        <f t="shared" ref="AG112:AH114" si="295">F112+L112+R112+X112+AD112</f>
        <v>0</v>
      </c>
      <c r="AH112" s="42">
        <f t="shared" si="295"/>
        <v>0</v>
      </c>
      <c r="AI112" s="42">
        <f>SUM(AG112:AH112)</f>
        <v>0</v>
      </c>
    </row>
    <row r="113" spans="1:39" x14ac:dyDescent="0.45">
      <c r="A113" s="67" t="s">
        <v>102</v>
      </c>
      <c r="B113" s="158">
        <v>0</v>
      </c>
      <c r="C113" s="15">
        <v>0</v>
      </c>
      <c r="D113" s="15">
        <v>0</v>
      </c>
      <c r="E113" s="148" t="s">
        <v>74</v>
      </c>
      <c r="F113" s="40">
        <f t="shared" ref="F113:F115" si="296">D113*C113*B113</f>
        <v>0</v>
      </c>
      <c r="G113" s="7">
        <v>0</v>
      </c>
      <c r="H113" s="41">
        <f>SUM(F113:G113)</f>
        <v>0</v>
      </c>
      <c r="I113" s="158">
        <v>0</v>
      </c>
      <c r="J113" s="7">
        <f t="shared" si="287"/>
        <v>0</v>
      </c>
      <c r="K113" s="15">
        <v>0</v>
      </c>
      <c r="L113" s="40">
        <f t="shared" ref="L113:L114" si="297">I113*J113*K113</f>
        <v>0</v>
      </c>
      <c r="M113" s="7">
        <v>0</v>
      </c>
      <c r="N113" s="41">
        <f t="shared" ref="N113:N114" si="298">SUM(L113:M113)</f>
        <v>0</v>
      </c>
      <c r="O113" s="158">
        <v>0</v>
      </c>
      <c r="P113" s="7">
        <f t="shared" si="288"/>
        <v>0</v>
      </c>
      <c r="Q113" s="15">
        <v>0</v>
      </c>
      <c r="R113" s="40">
        <f t="shared" ref="R113" si="299">O113*P113*Q113</f>
        <v>0</v>
      </c>
      <c r="S113" s="7">
        <v>0</v>
      </c>
      <c r="T113" s="41">
        <f>SUM(R113:S113)</f>
        <v>0</v>
      </c>
      <c r="U113" s="158">
        <v>0</v>
      </c>
      <c r="V113" s="7">
        <f t="shared" si="290"/>
        <v>0</v>
      </c>
      <c r="W113" s="15">
        <v>0</v>
      </c>
      <c r="X113" s="40">
        <f t="shared" ref="X113:X114" si="300">U113*V113*W113</f>
        <v>0</v>
      </c>
      <c r="Y113" s="7">
        <v>0</v>
      </c>
      <c r="Z113" s="41">
        <f t="shared" si="292"/>
        <v>0</v>
      </c>
      <c r="AA113" s="158">
        <v>0</v>
      </c>
      <c r="AB113" s="7">
        <f t="shared" si="293"/>
        <v>0</v>
      </c>
      <c r="AC113" s="15">
        <v>0</v>
      </c>
      <c r="AD113" s="40">
        <f t="shared" ref="AD113" si="301">AA113*AB113*AC113</f>
        <v>0</v>
      </c>
      <c r="AE113" s="7">
        <v>0</v>
      </c>
      <c r="AF113" s="41">
        <f>SUM(AD113:AE113)</f>
        <v>0</v>
      </c>
      <c r="AG113" s="42">
        <f t="shared" ref="AG113" si="302">F113+L113+R113+X113+AD113</f>
        <v>0</v>
      </c>
      <c r="AH113" s="42">
        <f t="shared" si="295"/>
        <v>0</v>
      </c>
      <c r="AI113" s="42">
        <f>SUM(AG113:AH113)</f>
        <v>0</v>
      </c>
    </row>
    <row r="114" spans="1:39" x14ac:dyDescent="0.45">
      <c r="A114" s="67" t="s">
        <v>103</v>
      </c>
      <c r="B114" s="158">
        <v>0</v>
      </c>
      <c r="C114" s="15">
        <v>0</v>
      </c>
      <c r="D114" s="15">
        <v>0</v>
      </c>
      <c r="E114" s="148" t="s">
        <v>74</v>
      </c>
      <c r="F114" s="40">
        <f t="shared" si="296"/>
        <v>0</v>
      </c>
      <c r="G114" s="7">
        <v>0</v>
      </c>
      <c r="H114" s="41">
        <f>SUM(F114:G114)</f>
        <v>0</v>
      </c>
      <c r="I114" s="158">
        <v>0</v>
      </c>
      <c r="J114" s="7">
        <f t="shared" si="287"/>
        <v>0</v>
      </c>
      <c r="K114" s="15">
        <v>0</v>
      </c>
      <c r="L114" s="40">
        <f t="shared" si="297"/>
        <v>0</v>
      </c>
      <c r="M114" s="7">
        <v>0</v>
      </c>
      <c r="N114" s="41">
        <f t="shared" si="298"/>
        <v>0</v>
      </c>
      <c r="O114" s="158">
        <v>0</v>
      </c>
      <c r="P114" s="7">
        <f t="shared" si="288"/>
        <v>0</v>
      </c>
      <c r="Q114" s="15">
        <v>0</v>
      </c>
      <c r="R114" s="40">
        <f t="shared" ref="R114" si="303">O114*P114*Q114</f>
        <v>0</v>
      </c>
      <c r="S114" s="7">
        <v>0</v>
      </c>
      <c r="T114" s="41">
        <f t="shared" ref="T114" si="304">SUM(R114:S114)</f>
        <v>0</v>
      </c>
      <c r="U114" s="158">
        <v>0</v>
      </c>
      <c r="V114" s="7">
        <f t="shared" si="290"/>
        <v>0</v>
      </c>
      <c r="W114" s="15">
        <v>0</v>
      </c>
      <c r="X114" s="40">
        <f t="shared" si="300"/>
        <v>0</v>
      </c>
      <c r="Y114" s="7">
        <v>0</v>
      </c>
      <c r="Z114" s="41">
        <f t="shared" si="292"/>
        <v>0</v>
      </c>
      <c r="AA114" s="158">
        <v>0</v>
      </c>
      <c r="AB114" s="7">
        <f t="shared" si="293"/>
        <v>0</v>
      </c>
      <c r="AC114" s="15">
        <v>0</v>
      </c>
      <c r="AD114" s="40">
        <f t="shared" ref="AD114" si="305">AA114*AB114*AC114</f>
        <v>0</v>
      </c>
      <c r="AE114" s="7">
        <v>0</v>
      </c>
      <c r="AF114" s="41">
        <f t="shared" ref="AF114" si="306">SUM(AD114:AE114)</f>
        <v>0</v>
      </c>
      <c r="AG114" s="42">
        <f t="shared" ref="AG114" si="307">F114+L114+R114+X114+AD114</f>
        <v>0</v>
      </c>
      <c r="AH114" s="42">
        <f t="shared" si="295"/>
        <v>0</v>
      </c>
      <c r="AI114" s="42">
        <f>SUM(AG114:AH114)</f>
        <v>0</v>
      </c>
    </row>
    <row r="115" spans="1:39" x14ac:dyDescent="0.45">
      <c r="A115" s="67" t="s">
        <v>104</v>
      </c>
      <c r="B115" s="158">
        <v>0</v>
      </c>
      <c r="C115" s="15">
        <v>0</v>
      </c>
      <c r="D115" s="15">
        <v>0</v>
      </c>
      <c r="E115" s="148" t="s">
        <v>74</v>
      </c>
      <c r="F115" s="40">
        <f t="shared" si="296"/>
        <v>0</v>
      </c>
      <c r="G115" s="7">
        <v>0</v>
      </c>
      <c r="H115" s="41">
        <f t="shared" ref="H115:H136" si="308">SUM(F115:G115)</f>
        <v>0</v>
      </c>
      <c r="I115" s="158">
        <v>0</v>
      </c>
      <c r="J115" s="7">
        <f t="shared" si="287"/>
        <v>0</v>
      </c>
      <c r="K115" s="15">
        <v>0</v>
      </c>
      <c r="L115" s="40">
        <f>I115*J115*K115</f>
        <v>0</v>
      </c>
      <c r="M115" s="7">
        <v>0</v>
      </c>
      <c r="N115" s="41">
        <f>SUM(L115:M115)</f>
        <v>0</v>
      </c>
      <c r="O115" s="158">
        <v>0</v>
      </c>
      <c r="P115" s="7">
        <f t="shared" si="288"/>
        <v>0</v>
      </c>
      <c r="Q115" s="15">
        <v>0</v>
      </c>
      <c r="R115" s="40">
        <f t="shared" ref="R115" si="309">O115*P115*Q115</f>
        <v>0</v>
      </c>
      <c r="S115" s="7">
        <v>0</v>
      </c>
      <c r="T115" s="41">
        <f t="shared" ref="T115:T136" si="310">SUM(R115:S115)</f>
        <v>0</v>
      </c>
      <c r="U115" s="158">
        <v>0</v>
      </c>
      <c r="V115" s="7">
        <f t="shared" si="290"/>
        <v>0</v>
      </c>
      <c r="W115" s="15">
        <v>0</v>
      </c>
      <c r="X115" s="40">
        <f t="shared" ref="X115" si="311">U115*V115*W115</f>
        <v>0</v>
      </c>
      <c r="Y115" s="7">
        <v>0</v>
      </c>
      <c r="Z115" s="41">
        <f t="shared" si="292"/>
        <v>0</v>
      </c>
      <c r="AA115" s="158">
        <v>0</v>
      </c>
      <c r="AB115" s="7">
        <f t="shared" si="293"/>
        <v>0</v>
      </c>
      <c r="AC115" s="15">
        <v>0</v>
      </c>
      <c r="AD115" s="40">
        <f t="shared" ref="AD115" si="312">AA115*AB115*AC115</f>
        <v>0</v>
      </c>
      <c r="AE115" s="7">
        <v>0</v>
      </c>
      <c r="AF115" s="41">
        <f t="shared" ref="AF115:AF136" si="313">SUM(AD115:AE115)</f>
        <v>0</v>
      </c>
      <c r="AG115" s="42">
        <f t="shared" ref="AG115:AH135" si="314">F115+L115+R115+X115+AD115</f>
        <v>0</v>
      </c>
      <c r="AH115" s="42">
        <f t="shared" si="314"/>
        <v>0</v>
      </c>
      <c r="AI115" s="42">
        <f t="shared" ref="AI115:AI136" si="315">SUM(AG115:AH115)</f>
        <v>0</v>
      </c>
    </row>
    <row r="116" spans="1:39" x14ac:dyDescent="0.45">
      <c r="A116" s="103" t="s">
        <v>105</v>
      </c>
      <c r="B116" s="179"/>
      <c r="C116" s="180"/>
      <c r="D116" s="180"/>
      <c r="E116" s="180"/>
      <c r="F116" s="104">
        <f>SUM(F111:F115)</f>
        <v>0</v>
      </c>
      <c r="G116" s="104">
        <f>SUM(G111:G115)</f>
        <v>0</v>
      </c>
      <c r="H116" s="104">
        <f>SUM(H111:H115)</f>
        <v>0</v>
      </c>
      <c r="I116" s="179"/>
      <c r="J116" s="180"/>
      <c r="K116" s="180"/>
      <c r="L116" s="104">
        <f>SUM(L111:L115)</f>
        <v>0</v>
      </c>
      <c r="M116" s="104">
        <f>SUM(M111:M115)</f>
        <v>0</v>
      </c>
      <c r="N116" s="104">
        <f>SUM(N111:N115)</f>
        <v>0</v>
      </c>
      <c r="O116" s="179"/>
      <c r="P116" s="180"/>
      <c r="Q116" s="180"/>
      <c r="R116" s="104">
        <f>SUM(R111:R115)</f>
        <v>0</v>
      </c>
      <c r="S116" s="104">
        <f>SUM(S111:S115)</f>
        <v>0</v>
      </c>
      <c r="T116" s="104">
        <f>SUM(T111:T115)</f>
        <v>0</v>
      </c>
      <c r="U116" s="179"/>
      <c r="V116" s="180"/>
      <c r="W116" s="180"/>
      <c r="X116" s="104">
        <f>SUM(X111:X115)</f>
        <v>0</v>
      </c>
      <c r="Y116" s="104">
        <f>SUM(Y111:Y115)</f>
        <v>0</v>
      </c>
      <c r="Z116" s="104">
        <f>SUM(Z111:Z115)</f>
        <v>0</v>
      </c>
      <c r="AA116" s="179"/>
      <c r="AB116" s="180"/>
      <c r="AC116" s="180"/>
      <c r="AD116" s="104">
        <f t="shared" ref="AD116:AI116" si="316">SUM(AD111:AD115)</f>
        <v>0</v>
      </c>
      <c r="AE116" s="104">
        <f t="shared" si="316"/>
        <v>0</v>
      </c>
      <c r="AF116" s="104">
        <f t="shared" si="316"/>
        <v>0</v>
      </c>
      <c r="AG116" s="105">
        <f t="shared" si="316"/>
        <v>0</v>
      </c>
      <c r="AH116" s="105">
        <f t="shared" si="316"/>
        <v>0</v>
      </c>
      <c r="AI116" s="105">
        <f t="shared" si="316"/>
        <v>0</v>
      </c>
    </row>
    <row r="117" spans="1:39" x14ac:dyDescent="0.45">
      <c r="A117" s="32"/>
      <c r="B117" s="170"/>
      <c r="C117" s="169"/>
      <c r="D117" s="169"/>
      <c r="E117" s="169"/>
      <c r="F117" s="64"/>
      <c r="G117" s="65"/>
      <c r="H117" s="74"/>
      <c r="I117" s="170"/>
      <c r="J117" s="169"/>
      <c r="K117" s="169"/>
      <c r="L117" s="64"/>
      <c r="M117" s="65"/>
      <c r="N117" s="74"/>
      <c r="O117" s="170"/>
      <c r="P117" s="169"/>
      <c r="Q117" s="169"/>
      <c r="R117" s="64"/>
      <c r="S117" s="65"/>
      <c r="T117" s="74"/>
      <c r="U117" s="170"/>
      <c r="V117" s="169"/>
      <c r="W117" s="169"/>
      <c r="X117" s="64"/>
      <c r="Y117" s="65"/>
      <c r="Z117" s="74"/>
      <c r="AA117" s="170"/>
      <c r="AB117" s="169"/>
      <c r="AC117" s="169"/>
      <c r="AD117" s="64"/>
      <c r="AE117" s="65"/>
      <c r="AF117" s="74"/>
      <c r="AG117" s="66"/>
      <c r="AH117" s="66"/>
      <c r="AI117" s="66"/>
    </row>
    <row r="118" spans="1:39" x14ac:dyDescent="0.45">
      <c r="A118" s="49" t="s">
        <v>106</v>
      </c>
      <c r="B118" s="157"/>
      <c r="C118" s="15"/>
      <c r="F118" s="40"/>
      <c r="G118" s="7"/>
      <c r="H118" s="41"/>
      <c r="I118" s="157"/>
      <c r="L118" s="40"/>
      <c r="M118" s="7"/>
      <c r="N118" s="41"/>
      <c r="O118" s="157"/>
      <c r="R118" s="40"/>
      <c r="S118" s="7"/>
      <c r="T118" s="41"/>
      <c r="U118" s="157"/>
      <c r="X118" s="40"/>
      <c r="Y118" s="7"/>
      <c r="Z118" s="41"/>
      <c r="AA118" s="157"/>
      <c r="AD118" s="40"/>
      <c r="AE118" s="7"/>
      <c r="AF118" s="41"/>
      <c r="AG118" s="42"/>
      <c r="AH118" s="42"/>
      <c r="AI118" s="42"/>
      <c r="AK118" s="93"/>
      <c r="AL118" s="93"/>
      <c r="AM118" s="93"/>
    </row>
    <row r="119" spans="1:39" x14ac:dyDescent="0.45">
      <c r="A119" s="67" t="s">
        <v>107</v>
      </c>
      <c r="B119" s="158">
        <v>0</v>
      </c>
      <c r="C119" s="15">
        <v>0</v>
      </c>
      <c r="D119" s="15">
        <v>0</v>
      </c>
      <c r="E119" s="148" t="s">
        <v>108</v>
      </c>
      <c r="F119" s="40">
        <f>D119*C119*B119</f>
        <v>0</v>
      </c>
      <c r="G119" s="7">
        <v>0</v>
      </c>
      <c r="H119" s="41">
        <f t="shared" ref="H119" si="317">SUM(F119:G119)</f>
        <v>0</v>
      </c>
      <c r="I119" s="158">
        <v>0</v>
      </c>
      <c r="J119" s="7">
        <f>C119*$B$6</f>
        <v>0</v>
      </c>
      <c r="K119" s="15">
        <v>0</v>
      </c>
      <c r="L119" s="40">
        <f>I119*J119*K119</f>
        <v>0</v>
      </c>
      <c r="M119" s="7">
        <v>0</v>
      </c>
      <c r="N119" s="41">
        <f t="shared" ref="N119" si="318">SUM(L119:M119)</f>
        <v>0</v>
      </c>
      <c r="O119" s="158">
        <v>0</v>
      </c>
      <c r="P119" s="7">
        <f>C119*$B$6*$B$6</f>
        <v>0</v>
      </c>
      <c r="Q119" s="15">
        <v>0</v>
      </c>
      <c r="R119" s="40">
        <f>Q119*P119*O119</f>
        <v>0</v>
      </c>
      <c r="S119" s="7">
        <v>0</v>
      </c>
      <c r="T119" s="41">
        <f t="shared" ref="T119" si="319">SUM(R119:S119)</f>
        <v>0</v>
      </c>
      <c r="U119" s="158">
        <v>0</v>
      </c>
      <c r="V119" s="7">
        <f>C119*$B$6*$B$6*$B$6</f>
        <v>0</v>
      </c>
      <c r="W119" s="15">
        <v>0</v>
      </c>
      <c r="X119" s="40">
        <f>W119*V119*U119</f>
        <v>0</v>
      </c>
      <c r="Y119" s="7">
        <v>0</v>
      </c>
      <c r="Z119" s="41">
        <f t="shared" ref="Z119" si="320">SUM(X119:Y119)</f>
        <v>0</v>
      </c>
      <c r="AA119" s="158">
        <v>0</v>
      </c>
      <c r="AB119" s="7">
        <f>C119*$B$6*$B$6*$B$6*$B$6</f>
        <v>0</v>
      </c>
      <c r="AC119" s="15">
        <v>0</v>
      </c>
      <c r="AD119" s="40">
        <f>AC119*AB119*AA119</f>
        <v>0</v>
      </c>
      <c r="AE119" s="7">
        <v>0</v>
      </c>
      <c r="AF119" s="41">
        <f t="shared" ref="AF119" si="321">SUM(AD119:AE119)</f>
        <v>0</v>
      </c>
      <c r="AG119" s="42">
        <f>F119+L119+R119+X119+AD119</f>
        <v>0</v>
      </c>
      <c r="AH119" s="42">
        <f t="shared" ref="AH119" si="322">G119+M119+S119+Y119+AE119</f>
        <v>0</v>
      </c>
      <c r="AI119" s="42">
        <f t="shared" ref="AI119" si="323">SUM(AG119:AH119)</f>
        <v>0</v>
      </c>
    </row>
    <row r="120" spans="1:39" x14ac:dyDescent="0.45">
      <c r="A120" s="67" t="s">
        <v>109</v>
      </c>
      <c r="B120" s="158">
        <v>0</v>
      </c>
      <c r="C120" s="15">
        <v>0</v>
      </c>
      <c r="D120" s="15">
        <v>0</v>
      </c>
      <c r="E120" s="148" t="s">
        <v>74</v>
      </c>
      <c r="F120" s="40">
        <f t="shared" ref="F120:F137" si="324">D120*C120*B120</f>
        <v>0</v>
      </c>
      <c r="G120" s="7">
        <v>0</v>
      </c>
      <c r="H120" s="41">
        <f t="shared" ref="H120" si="325">SUM(F120:G120)</f>
        <v>0</v>
      </c>
      <c r="I120" s="158">
        <v>0</v>
      </c>
      <c r="J120" s="7">
        <f t="shared" ref="J120:J137" si="326">C120*$B$6</f>
        <v>0</v>
      </c>
      <c r="K120" s="15">
        <v>0</v>
      </c>
      <c r="L120" s="40">
        <f t="shared" ref="L120:L137" si="327">I120*J120*K120</f>
        <v>0</v>
      </c>
      <c r="M120" s="7">
        <v>0</v>
      </c>
      <c r="N120" s="41">
        <f t="shared" ref="N120" si="328">SUM(L120:M120)</f>
        <v>0</v>
      </c>
      <c r="O120" s="158">
        <v>0</v>
      </c>
      <c r="P120" s="7">
        <f t="shared" ref="P120:P137" si="329">C120*$B$6*$B$6</f>
        <v>0</v>
      </c>
      <c r="Q120" s="15">
        <v>0</v>
      </c>
      <c r="R120" s="40">
        <f t="shared" ref="R120:R137" si="330">Q120*P120*O120</f>
        <v>0</v>
      </c>
      <c r="S120" s="7">
        <v>0</v>
      </c>
      <c r="T120" s="41">
        <f t="shared" ref="T120" si="331">SUM(R120:S120)</f>
        <v>0</v>
      </c>
      <c r="U120" s="158">
        <v>0</v>
      </c>
      <c r="V120" s="7">
        <f t="shared" ref="V120:V137" si="332">C120*$B$6*$B$6*$B$6</f>
        <v>0</v>
      </c>
      <c r="W120" s="15">
        <v>0</v>
      </c>
      <c r="X120" s="40">
        <f t="shared" ref="X120:X137" si="333">W120*V120*U120</f>
        <v>0</v>
      </c>
      <c r="Y120" s="7">
        <v>0</v>
      </c>
      <c r="Z120" s="41">
        <f t="shared" ref="Z120" si="334">SUM(X120:Y120)</f>
        <v>0</v>
      </c>
      <c r="AA120" s="158">
        <v>0</v>
      </c>
      <c r="AB120" s="7">
        <f t="shared" ref="AB120:AB137" si="335">C120*$B$6*$B$6*$B$6*$B$6</f>
        <v>0</v>
      </c>
      <c r="AC120" s="15">
        <v>0</v>
      </c>
      <c r="AD120" s="40">
        <f t="shared" ref="AD120:AD137" si="336">AC120*AB120*AA120</f>
        <v>0</v>
      </c>
      <c r="AE120" s="7">
        <v>0</v>
      </c>
      <c r="AF120" s="41">
        <f t="shared" ref="AF120" si="337">SUM(AD120:AE120)</f>
        <v>0</v>
      </c>
      <c r="AG120" s="42">
        <f t="shared" ref="AG120" si="338">F120+L120+R120+X120+AD120</f>
        <v>0</v>
      </c>
      <c r="AH120" s="42">
        <f t="shared" ref="AH120" si="339">G120+M120+S120+Y120+AE120</f>
        <v>0</v>
      </c>
      <c r="AI120" s="42">
        <f t="shared" ref="AI120" si="340">SUM(AG120:AH120)</f>
        <v>0</v>
      </c>
    </row>
    <row r="121" spans="1:39" x14ac:dyDescent="0.45">
      <c r="A121" s="67" t="s">
        <v>110</v>
      </c>
      <c r="B121" s="158">
        <v>0</v>
      </c>
      <c r="C121" s="15">
        <v>0</v>
      </c>
      <c r="D121" s="15">
        <v>0</v>
      </c>
      <c r="E121" s="148" t="s">
        <v>74</v>
      </c>
      <c r="F121" s="40">
        <f t="shared" si="324"/>
        <v>0</v>
      </c>
      <c r="G121" s="7">
        <v>0</v>
      </c>
      <c r="H121" s="41">
        <f t="shared" ref="H121" si="341">SUM(F121:G121)</f>
        <v>0</v>
      </c>
      <c r="I121" s="158">
        <v>0</v>
      </c>
      <c r="J121" s="7">
        <f t="shared" si="326"/>
        <v>0</v>
      </c>
      <c r="K121" s="15">
        <v>0</v>
      </c>
      <c r="L121" s="40">
        <f t="shared" si="327"/>
        <v>0</v>
      </c>
      <c r="M121" s="7">
        <v>0</v>
      </c>
      <c r="N121" s="41">
        <f t="shared" ref="N121" si="342">SUM(L121:M121)</f>
        <v>0</v>
      </c>
      <c r="O121" s="158">
        <v>0</v>
      </c>
      <c r="P121" s="7">
        <f t="shared" si="329"/>
        <v>0</v>
      </c>
      <c r="Q121" s="15">
        <v>0</v>
      </c>
      <c r="R121" s="40">
        <f t="shared" si="330"/>
        <v>0</v>
      </c>
      <c r="S121" s="7">
        <v>0</v>
      </c>
      <c r="T121" s="41">
        <f t="shared" ref="T121" si="343">SUM(R121:S121)</f>
        <v>0</v>
      </c>
      <c r="U121" s="158">
        <v>0</v>
      </c>
      <c r="V121" s="7">
        <f t="shared" si="332"/>
        <v>0</v>
      </c>
      <c r="W121" s="15">
        <v>0</v>
      </c>
      <c r="X121" s="40">
        <f t="shared" si="333"/>
        <v>0</v>
      </c>
      <c r="Y121" s="7">
        <v>0</v>
      </c>
      <c r="Z121" s="41">
        <f t="shared" ref="Z121" si="344">SUM(X121:Y121)</f>
        <v>0</v>
      </c>
      <c r="AA121" s="158">
        <v>0</v>
      </c>
      <c r="AB121" s="7">
        <f t="shared" si="335"/>
        <v>0</v>
      </c>
      <c r="AC121" s="15">
        <v>0</v>
      </c>
      <c r="AD121" s="40">
        <f t="shared" si="336"/>
        <v>0</v>
      </c>
      <c r="AE121" s="7">
        <v>0</v>
      </c>
      <c r="AF121" s="41">
        <f t="shared" ref="AF121" si="345">SUM(AD121:AE121)</f>
        <v>0</v>
      </c>
      <c r="AG121" s="42">
        <f t="shared" ref="AG121" si="346">F121+L121+R121+X121+AD121</f>
        <v>0</v>
      </c>
      <c r="AH121" s="42">
        <f t="shared" ref="AH121" si="347">G121+M121+S121+Y121+AE121</f>
        <v>0</v>
      </c>
      <c r="AI121" s="42">
        <f t="shared" ref="AI121" si="348">SUM(AG121:AH121)</f>
        <v>0</v>
      </c>
    </row>
    <row r="122" spans="1:39" x14ac:dyDescent="0.45">
      <c r="A122" s="67" t="s">
        <v>111</v>
      </c>
      <c r="B122" s="158">
        <v>0</v>
      </c>
      <c r="C122" s="15">
        <v>0</v>
      </c>
      <c r="D122" s="15">
        <v>0</v>
      </c>
      <c r="E122" s="148" t="s">
        <v>74</v>
      </c>
      <c r="F122" s="40">
        <f t="shared" si="324"/>
        <v>0</v>
      </c>
      <c r="G122" s="7">
        <v>0</v>
      </c>
      <c r="H122" s="41">
        <f t="shared" ref="H122" si="349">SUM(F122:G122)</f>
        <v>0</v>
      </c>
      <c r="I122" s="158">
        <v>0</v>
      </c>
      <c r="J122" s="7">
        <f t="shared" si="326"/>
        <v>0</v>
      </c>
      <c r="K122" s="15">
        <v>0</v>
      </c>
      <c r="L122" s="40">
        <f t="shared" si="327"/>
        <v>0</v>
      </c>
      <c r="M122" s="7">
        <v>0</v>
      </c>
      <c r="N122" s="41">
        <f t="shared" ref="N122" si="350">SUM(L122:M122)</f>
        <v>0</v>
      </c>
      <c r="O122" s="158">
        <v>0</v>
      </c>
      <c r="P122" s="7">
        <f t="shared" si="329"/>
        <v>0</v>
      </c>
      <c r="Q122" s="15">
        <v>0</v>
      </c>
      <c r="R122" s="40">
        <f t="shared" si="330"/>
        <v>0</v>
      </c>
      <c r="S122" s="7">
        <v>0</v>
      </c>
      <c r="T122" s="41">
        <f t="shared" ref="T122" si="351">SUM(R122:S122)</f>
        <v>0</v>
      </c>
      <c r="U122" s="158">
        <v>0</v>
      </c>
      <c r="V122" s="7">
        <f t="shared" si="332"/>
        <v>0</v>
      </c>
      <c r="W122" s="15">
        <v>0</v>
      </c>
      <c r="X122" s="40">
        <f t="shared" si="333"/>
        <v>0</v>
      </c>
      <c r="Y122" s="7">
        <v>0</v>
      </c>
      <c r="Z122" s="41">
        <f t="shared" ref="Z122" si="352">SUM(X122:Y122)</f>
        <v>0</v>
      </c>
      <c r="AA122" s="158">
        <v>0</v>
      </c>
      <c r="AB122" s="7">
        <f t="shared" si="335"/>
        <v>0</v>
      </c>
      <c r="AC122" s="15">
        <v>0</v>
      </c>
      <c r="AD122" s="40">
        <f t="shared" si="336"/>
        <v>0</v>
      </c>
      <c r="AE122" s="7">
        <v>0</v>
      </c>
      <c r="AF122" s="41">
        <f t="shared" ref="AF122" si="353">SUM(AD122:AE122)</f>
        <v>0</v>
      </c>
      <c r="AG122" s="42">
        <f t="shared" ref="AG122" si="354">F122+L122+R122+X122+AD122</f>
        <v>0</v>
      </c>
      <c r="AH122" s="42">
        <f t="shared" ref="AH122" si="355">G122+M122+S122+Y122+AE122</f>
        <v>0</v>
      </c>
      <c r="AI122" s="42">
        <f t="shared" ref="AI122" si="356">SUM(AG122:AH122)</f>
        <v>0</v>
      </c>
    </row>
    <row r="123" spans="1:39" x14ac:dyDescent="0.45">
      <c r="A123" s="67" t="s">
        <v>112</v>
      </c>
      <c r="B123" s="158">
        <v>0</v>
      </c>
      <c r="C123" s="15">
        <v>0</v>
      </c>
      <c r="D123" s="15">
        <v>0</v>
      </c>
      <c r="E123" s="148" t="s">
        <v>74</v>
      </c>
      <c r="F123" s="40">
        <f t="shared" si="324"/>
        <v>0</v>
      </c>
      <c r="G123" s="7">
        <v>0</v>
      </c>
      <c r="H123" s="41">
        <f t="shared" ref="H123" si="357">SUM(F123:G123)</f>
        <v>0</v>
      </c>
      <c r="I123" s="158">
        <v>0</v>
      </c>
      <c r="J123" s="7">
        <f t="shared" si="326"/>
        <v>0</v>
      </c>
      <c r="K123" s="15">
        <v>0</v>
      </c>
      <c r="L123" s="40">
        <f t="shared" si="327"/>
        <v>0</v>
      </c>
      <c r="M123" s="7">
        <v>0</v>
      </c>
      <c r="N123" s="41">
        <f t="shared" ref="N123" si="358">SUM(L123:M123)</f>
        <v>0</v>
      </c>
      <c r="O123" s="158">
        <v>0</v>
      </c>
      <c r="P123" s="7">
        <f t="shared" si="329"/>
        <v>0</v>
      </c>
      <c r="Q123" s="15">
        <v>0</v>
      </c>
      <c r="R123" s="40">
        <f t="shared" si="330"/>
        <v>0</v>
      </c>
      <c r="S123" s="7">
        <v>0</v>
      </c>
      <c r="T123" s="41">
        <f t="shared" ref="T123" si="359">SUM(R123:S123)</f>
        <v>0</v>
      </c>
      <c r="U123" s="158">
        <v>0</v>
      </c>
      <c r="V123" s="7">
        <f t="shared" si="332"/>
        <v>0</v>
      </c>
      <c r="W123" s="15">
        <v>0</v>
      </c>
      <c r="X123" s="40">
        <f t="shared" si="333"/>
        <v>0</v>
      </c>
      <c r="Y123" s="7">
        <v>0</v>
      </c>
      <c r="Z123" s="41">
        <f t="shared" ref="Z123" si="360">SUM(X123:Y123)</f>
        <v>0</v>
      </c>
      <c r="AA123" s="158">
        <v>0</v>
      </c>
      <c r="AB123" s="7">
        <f t="shared" si="335"/>
        <v>0</v>
      </c>
      <c r="AC123" s="15">
        <v>0</v>
      </c>
      <c r="AD123" s="40">
        <f t="shared" si="336"/>
        <v>0</v>
      </c>
      <c r="AE123" s="7">
        <v>0</v>
      </c>
      <c r="AF123" s="41">
        <f t="shared" ref="AF123" si="361">SUM(AD123:AE123)</f>
        <v>0</v>
      </c>
      <c r="AG123" s="42">
        <f t="shared" ref="AG123" si="362">F123+L123+R123+X123+AD123</f>
        <v>0</v>
      </c>
      <c r="AH123" s="42">
        <f t="shared" ref="AH123" si="363">G123+M123+S123+Y123+AE123</f>
        <v>0</v>
      </c>
      <c r="AI123" s="42">
        <f t="shared" ref="AI123" si="364">SUM(AG123:AH123)</f>
        <v>0</v>
      </c>
    </row>
    <row r="124" spans="1:39" x14ac:dyDescent="0.45">
      <c r="A124" s="67" t="s">
        <v>113</v>
      </c>
      <c r="B124" s="158">
        <v>0</v>
      </c>
      <c r="C124" s="15">
        <v>0</v>
      </c>
      <c r="D124" s="15">
        <v>0</v>
      </c>
      <c r="E124" s="148" t="s">
        <v>74</v>
      </c>
      <c r="F124" s="40">
        <f t="shared" si="324"/>
        <v>0</v>
      </c>
      <c r="G124" s="7">
        <v>0</v>
      </c>
      <c r="H124" s="41">
        <f t="shared" ref="H124" si="365">SUM(F124:G124)</f>
        <v>0</v>
      </c>
      <c r="I124" s="158">
        <v>0</v>
      </c>
      <c r="J124" s="7">
        <f t="shared" si="326"/>
        <v>0</v>
      </c>
      <c r="K124" s="15">
        <v>0</v>
      </c>
      <c r="L124" s="40">
        <f t="shared" si="327"/>
        <v>0</v>
      </c>
      <c r="M124" s="7">
        <v>0</v>
      </c>
      <c r="N124" s="41">
        <f t="shared" ref="N124" si="366">SUM(L124:M124)</f>
        <v>0</v>
      </c>
      <c r="O124" s="158">
        <v>0</v>
      </c>
      <c r="P124" s="7">
        <f t="shared" si="329"/>
        <v>0</v>
      </c>
      <c r="Q124" s="15">
        <v>0</v>
      </c>
      <c r="R124" s="40">
        <f t="shared" si="330"/>
        <v>0</v>
      </c>
      <c r="S124" s="7">
        <v>0</v>
      </c>
      <c r="T124" s="41">
        <f t="shared" ref="T124" si="367">SUM(R124:S124)</f>
        <v>0</v>
      </c>
      <c r="U124" s="158">
        <v>0</v>
      </c>
      <c r="V124" s="7">
        <f t="shared" si="332"/>
        <v>0</v>
      </c>
      <c r="W124" s="15">
        <v>0</v>
      </c>
      <c r="X124" s="40">
        <f t="shared" si="333"/>
        <v>0</v>
      </c>
      <c r="Y124" s="7">
        <v>0</v>
      </c>
      <c r="Z124" s="41">
        <f t="shared" ref="Z124" si="368">SUM(X124:Y124)</f>
        <v>0</v>
      </c>
      <c r="AA124" s="158">
        <v>0</v>
      </c>
      <c r="AB124" s="7">
        <f t="shared" si="335"/>
        <v>0</v>
      </c>
      <c r="AC124" s="15">
        <v>0</v>
      </c>
      <c r="AD124" s="40">
        <f t="shared" si="336"/>
        <v>0</v>
      </c>
      <c r="AE124" s="7">
        <v>0</v>
      </c>
      <c r="AF124" s="41">
        <f t="shared" ref="AF124" si="369">SUM(AD124:AE124)</f>
        <v>0</v>
      </c>
      <c r="AG124" s="42">
        <f t="shared" ref="AG124" si="370">F124+L124+R124+X124+AD124</f>
        <v>0</v>
      </c>
      <c r="AH124" s="42">
        <f t="shared" ref="AH124" si="371">G124+M124+S124+Y124+AE124</f>
        <v>0</v>
      </c>
      <c r="AI124" s="42">
        <f t="shared" ref="AI124" si="372">SUM(AG124:AH124)</f>
        <v>0</v>
      </c>
    </row>
    <row r="125" spans="1:39" x14ac:dyDescent="0.45">
      <c r="A125" s="67" t="s">
        <v>114</v>
      </c>
      <c r="B125" s="158">
        <v>0</v>
      </c>
      <c r="C125" s="15">
        <v>0</v>
      </c>
      <c r="D125" s="15">
        <v>0</v>
      </c>
      <c r="E125" s="148" t="s">
        <v>74</v>
      </c>
      <c r="F125" s="40">
        <f t="shared" si="324"/>
        <v>0</v>
      </c>
      <c r="G125" s="7">
        <v>0</v>
      </c>
      <c r="H125" s="41">
        <f>SUM(F125:G125)</f>
        <v>0</v>
      </c>
      <c r="I125" s="158">
        <v>0</v>
      </c>
      <c r="J125" s="7">
        <f t="shared" si="326"/>
        <v>0</v>
      </c>
      <c r="K125" s="15">
        <v>0</v>
      </c>
      <c r="L125" s="40">
        <f t="shared" si="327"/>
        <v>0</v>
      </c>
      <c r="M125" s="7">
        <v>0</v>
      </c>
      <c r="N125" s="41">
        <f>SUM(L125:M125)</f>
        <v>0</v>
      </c>
      <c r="O125" s="158">
        <v>0</v>
      </c>
      <c r="P125" s="7">
        <f t="shared" si="329"/>
        <v>0</v>
      </c>
      <c r="Q125" s="15">
        <v>0</v>
      </c>
      <c r="R125" s="40">
        <f t="shared" si="330"/>
        <v>0</v>
      </c>
      <c r="S125" s="7">
        <v>0</v>
      </c>
      <c r="T125" s="41">
        <f>SUM(R125:S125)</f>
        <v>0</v>
      </c>
      <c r="U125" s="158">
        <v>0</v>
      </c>
      <c r="V125" s="7">
        <f t="shared" si="332"/>
        <v>0</v>
      </c>
      <c r="W125" s="15">
        <v>0</v>
      </c>
      <c r="X125" s="40">
        <f>W125*V125*U125</f>
        <v>0</v>
      </c>
      <c r="Y125" s="7">
        <v>0</v>
      </c>
      <c r="Z125" s="41">
        <f t="shared" ref="Z125" si="373">SUM(X125:Y125)</f>
        <v>0</v>
      </c>
      <c r="AA125" s="158">
        <v>0</v>
      </c>
      <c r="AB125" s="7">
        <f t="shared" si="335"/>
        <v>0</v>
      </c>
      <c r="AC125" s="15">
        <v>0</v>
      </c>
      <c r="AD125" s="40">
        <f t="shared" si="336"/>
        <v>0</v>
      </c>
      <c r="AE125" s="7">
        <v>0</v>
      </c>
      <c r="AF125" s="41">
        <f>SUM(AD125:AE125)</f>
        <v>0</v>
      </c>
      <c r="AG125" s="42">
        <f>F125+L125+R125+X125+AD125</f>
        <v>0</v>
      </c>
      <c r="AH125" s="42">
        <f>G125+M125+S125+Y125+AE125</f>
        <v>0</v>
      </c>
      <c r="AI125" s="42">
        <f>SUM(AG125:AH125)</f>
        <v>0</v>
      </c>
    </row>
    <row r="126" spans="1:39" x14ac:dyDescent="0.45">
      <c r="A126" s="67" t="s">
        <v>115</v>
      </c>
      <c r="B126" s="158">
        <v>0</v>
      </c>
      <c r="C126" s="15">
        <v>0</v>
      </c>
      <c r="D126" s="15">
        <v>0</v>
      </c>
      <c r="E126" s="148" t="s">
        <v>74</v>
      </c>
      <c r="F126" s="40">
        <f t="shared" si="324"/>
        <v>0</v>
      </c>
      <c r="G126" s="7">
        <v>0</v>
      </c>
      <c r="H126" s="41">
        <f>SUM(F126:G126)</f>
        <v>0</v>
      </c>
      <c r="I126" s="158">
        <v>0</v>
      </c>
      <c r="J126" s="7">
        <f t="shared" si="326"/>
        <v>0</v>
      </c>
      <c r="K126" s="15">
        <v>0</v>
      </c>
      <c r="L126" s="40">
        <f t="shared" si="327"/>
        <v>0</v>
      </c>
      <c r="M126" s="7">
        <v>0</v>
      </c>
      <c r="N126" s="41">
        <f>SUM(L126:M126)</f>
        <v>0</v>
      </c>
      <c r="O126" s="158">
        <v>0</v>
      </c>
      <c r="P126" s="7">
        <f t="shared" si="329"/>
        <v>0</v>
      </c>
      <c r="Q126" s="15">
        <v>0</v>
      </c>
      <c r="R126" s="40">
        <f t="shared" si="330"/>
        <v>0</v>
      </c>
      <c r="S126" s="7">
        <v>0</v>
      </c>
      <c r="T126" s="41">
        <f>SUM(R126:S126)</f>
        <v>0</v>
      </c>
      <c r="U126" s="158">
        <v>0</v>
      </c>
      <c r="V126" s="7">
        <f t="shared" si="332"/>
        <v>0</v>
      </c>
      <c r="W126" s="15">
        <v>0</v>
      </c>
      <c r="X126" s="40">
        <f t="shared" si="333"/>
        <v>0</v>
      </c>
      <c r="Y126" s="7">
        <v>0</v>
      </c>
      <c r="Z126" s="41">
        <f t="shared" ref="Z126:Z129" si="374">SUM(X126:Y126)</f>
        <v>0</v>
      </c>
      <c r="AA126" s="158">
        <v>0</v>
      </c>
      <c r="AB126" s="7">
        <f t="shared" si="335"/>
        <v>0</v>
      </c>
      <c r="AC126" s="15">
        <v>0</v>
      </c>
      <c r="AD126" s="40">
        <f t="shared" si="336"/>
        <v>0</v>
      </c>
      <c r="AE126" s="7">
        <v>0</v>
      </c>
      <c r="AF126" s="41">
        <f>SUM(AD126:AE126)</f>
        <v>0</v>
      </c>
      <c r="AG126" s="42">
        <f>F126+L126+R126+X126+AD126</f>
        <v>0</v>
      </c>
      <c r="AH126" s="42">
        <f>G126+M126+S126+Y126+AE126</f>
        <v>0</v>
      </c>
      <c r="AI126" s="42">
        <f>SUM(AG126:AH126)</f>
        <v>0</v>
      </c>
    </row>
    <row r="127" spans="1:39" x14ac:dyDescent="0.45">
      <c r="A127" s="67" t="s">
        <v>116</v>
      </c>
      <c r="B127" s="158">
        <v>0</v>
      </c>
      <c r="C127" s="15">
        <v>0</v>
      </c>
      <c r="D127" s="15">
        <v>0</v>
      </c>
      <c r="E127" s="148" t="s">
        <v>74</v>
      </c>
      <c r="F127" s="40">
        <f t="shared" ref="F127" si="375">D127*C127*B127</f>
        <v>0</v>
      </c>
      <c r="G127" s="7">
        <v>0</v>
      </c>
      <c r="H127" s="41">
        <f t="shared" ref="H127:H129" si="376">SUM(F127:G127)</f>
        <v>0</v>
      </c>
      <c r="I127" s="158">
        <v>0</v>
      </c>
      <c r="J127" s="7">
        <f t="shared" si="326"/>
        <v>0</v>
      </c>
      <c r="K127" s="15">
        <v>0</v>
      </c>
      <c r="L127" s="40">
        <f t="shared" ref="L127" si="377">I127*J127*K127</f>
        <v>0</v>
      </c>
      <c r="M127" s="7">
        <v>0</v>
      </c>
      <c r="N127" s="41">
        <f t="shared" ref="N127:N129" si="378">SUM(L127:M127)</f>
        <v>0</v>
      </c>
      <c r="O127" s="158">
        <v>0</v>
      </c>
      <c r="P127" s="7">
        <f t="shared" si="329"/>
        <v>0</v>
      </c>
      <c r="Q127" s="15">
        <v>0</v>
      </c>
      <c r="R127" s="40">
        <f t="shared" ref="R127" si="379">Q127*P127*O127</f>
        <v>0</v>
      </c>
      <c r="S127" s="7">
        <v>0</v>
      </c>
      <c r="T127" s="41">
        <f t="shared" ref="T127:T129" si="380">SUM(R127:S127)</f>
        <v>0</v>
      </c>
      <c r="U127" s="158">
        <v>0</v>
      </c>
      <c r="V127" s="7">
        <f t="shared" si="332"/>
        <v>0</v>
      </c>
      <c r="W127" s="15">
        <v>0</v>
      </c>
      <c r="X127" s="40">
        <f t="shared" ref="X127" si="381">W127*V127*U127</f>
        <v>0</v>
      </c>
      <c r="Y127" s="7">
        <v>0</v>
      </c>
      <c r="Z127" s="41">
        <f t="shared" si="374"/>
        <v>0</v>
      </c>
      <c r="AA127" s="158">
        <v>0</v>
      </c>
      <c r="AB127" s="7">
        <f t="shared" si="335"/>
        <v>0</v>
      </c>
      <c r="AC127" s="15">
        <v>0</v>
      </c>
      <c r="AD127" s="40">
        <f t="shared" ref="AD127" si="382">AC127*AB127*AA127</f>
        <v>0</v>
      </c>
      <c r="AE127" s="7">
        <v>0</v>
      </c>
      <c r="AF127" s="41">
        <f t="shared" ref="AF127:AF129" si="383">SUM(AD127:AE127)</f>
        <v>0</v>
      </c>
      <c r="AG127" s="42">
        <f t="shared" ref="AG127:AG129" si="384">F127+L127+R127+X127+AD127</f>
        <v>0</v>
      </c>
      <c r="AH127" s="42">
        <f t="shared" ref="AH127:AH129" si="385">G127+M127+S127+Y127+AE127</f>
        <v>0</v>
      </c>
      <c r="AI127" s="42">
        <f t="shared" ref="AI127:AI129" si="386">SUM(AG127:AH127)</f>
        <v>0</v>
      </c>
    </row>
    <row r="128" spans="1:39" ht="24.9" x14ac:dyDescent="0.45">
      <c r="A128" s="236" t="s">
        <v>117</v>
      </c>
      <c r="B128" s="237"/>
      <c r="C128" s="238"/>
      <c r="D128" s="238"/>
      <c r="E128" s="239"/>
      <c r="F128" s="240"/>
      <c r="G128" s="241"/>
      <c r="H128" s="242"/>
      <c r="I128" s="237"/>
      <c r="J128" s="241"/>
      <c r="K128" s="238"/>
      <c r="L128" s="240"/>
      <c r="M128" s="241"/>
      <c r="N128" s="242"/>
      <c r="O128" s="243"/>
      <c r="P128" s="241"/>
      <c r="Q128" s="238"/>
      <c r="R128" s="240"/>
      <c r="S128" s="241"/>
      <c r="T128" s="242"/>
      <c r="U128" s="243"/>
      <c r="V128" s="241"/>
      <c r="W128" s="238"/>
      <c r="X128" s="240"/>
      <c r="Y128" s="241"/>
      <c r="Z128" s="242"/>
      <c r="AA128" s="243"/>
      <c r="AB128" s="241"/>
      <c r="AC128" s="238"/>
      <c r="AD128" s="240"/>
      <c r="AE128" s="241"/>
      <c r="AF128" s="242"/>
      <c r="AG128" s="244"/>
      <c r="AH128" s="244"/>
      <c r="AI128" s="244"/>
    </row>
    <row r="129" spans="1:38" x14ac:dyDescent="0.45">
      <c r="A129" s="67" t="s">
        <v>118</v>
      </c>
      <c r="B129" s="158">
        <v>0</v>
      </c>
      <c r="C129" s="15">
        <v>0</v>
      </c>
      <c r="D129" s="15">
        <v>0</v>
      </c>
      <c r="E129" s="148" t="s">
        <v>74</v>
      </c>
      <c r="F129" s="40">
        <f t="shared" ref="F129" si="387">C129*B129</f>
        <v>0</v>
      </c>
      <c r="G129" s="7">
        <v>0</v>
      </c>
      <c r="H129" s="41">
        <f t="shared" si="376"/>
        <v>0</v>
      </c>
      <c r="I129" s="158">
        <v>0</v>
      </c>
      <c r="J129" s="7">
        <f t="shared" si="326"/>
        <v>0</v>
      </c>
      <c r="K129" s="15">
        <v>0</v>
      </c>
      <c r="L129" s="40">
        <f t="shared" ref="L129" si="388">I129*J129</f>
        <v>0</v>
      </c>
      <c r="M129" s="7">
        <v>0</v>
      </c>
      <c r="N129" s="41">
        <f t="shared" si="378"/>
        <v>0</v>
      </c>
      <c r="O129" s="40">
        <f t="shared" ref="O129" si="389">L129*M129*N129</f>
        <v>0</v>
      </c>
      <c r="P129" s="7">
        <f t="shared" si="329"/>
        <v>0</v>
      </c>
      <c r="Q129" s="15">
        <v>0</v>
      </c>
      <c r="R129" s="40">
        <f t="shared" ref="R129" si="390">P129*O129</f>
        <v>0</v>
      </c>
      <c r="S129" s="7">
        <v>0</v>
      </c>
      <c r="T129" s="41">
        <f t="shared" si="380"/>
        <v>0</v>
      </c>
      <c r="U129" s="40">
        <f t="shared" ref="U129" si="391">R129*S129*T129</f>
        <v>0</v>
      </c>
      <c r="V129" s="7">
        <f t="shared" si="332"/>
        <v>0</v>
      </c>
      <c r="W129" s="15">
        <v>0</v>
      </c>
      <c r="X129" s="40">
        <f t="shared" ref="X129" si="392">V129*U129</f>
        <v>0</v>
      </c>
      <c r="Y129" s="7">
        <v>0</v>
      </c>
      <c r="Z129" s="41">
        <f t="shared" si="374"/>
        <v>0</v>
      </c>
      <c r="AA129" s="40">
        <f t="shared" ref="AA129" si="393">X129*Y129*Z129</f>
        <v>0</v>
      </c>
      <c r="AB129" s="7">
        <f t="shared" si="335"/>
        <v>0</v>
      </c>
      <c r="AC129" s="15">
        <v>0</v>
      </c>
      <c r="AD129" s="40">
        <f t="shared" ref="AD129" si="394">AB129*AA129</f>
        <v>0</v>
      </c>
      <c r="AE129" s="7">
        <v>0</v>
      </c>
      <c r="AF129" s="41">
        <f t="shared" si="383"/>
        <v>0</v>
      </c>
      <c r="AG129" s="42">
        <f t="shared" si="384"/>
        <v>0</v>
      </c>
      <c r="AH129" s="42">
        <f t="shared" si="385"/>
        <v>0</v>
      </c>
      <c r="AI129" s="42">
        <f t="shared" si="386"/>
        <v>0</v>
      </c>
    </row>
    <row r="130" spans="1:38" x14ac:dyDescent="0.45">
      <c r="A130" s="67" t="s">
        <v>119</v>
      </c>
      <c r="B130" s="158">
        <v>0</v>
      </c>
      <c r="C130" s="15">
        <v>0</v>
      </c>
      <c r="D130" s="15">
        <v>0</v>
      </c>
      <c r="E130" s="148" t="s">
        <v>74</v>
      </c>
      <c r="F130" s="40">
        <f t="shared" si="324"/>
        <v>0</v>
      </c>
      <c r="G130" s="7">
        <v>0</v>
      </c>
      <c r="H130" s="41">
        <f t="shared" si="308"/>
        <v>0</v>
      </c>
      <c r="I130" s="158">
        <v>0</v>
      </c>
      <c r="J130" s="7">
        <f t="shared" si="326"/>
        <v>0</v>
      </c>
      <c r="K130" s="15">
        <v>0</v>
      </c>
      <c r="L130" s="40">
        <f t="shared" si="327"/>
        <v>0</v>
      </c>
      <c r="M130" s="7">
        <v>0</v>
      </c>
      <c r="N130" s="41">
        <f t="shared" ref="N130" si="395">SUM(L130:M130)</f>
        <v>0</v>
      </c>
      <c r="O130" s="158">
        <v>0</v>
      </c>
      <c r="P130" s="7">
        <f t="shared" si="329"/>
        <v>0</v>
      </c>
      <c r="Q130" s="15">
        <v>0</v>
      </c>
      <c r="R130" s="40">
        <f t="shared" si="330"/>
        <v>0</v>
      </c>
      <c r="S130" s="7">
        <v>0</v>
      </c>
      <c r="T130" s="41">
        <f t="shared" si="310"/>
        <v>0</v>
      </c>
      <c r="U130" s="158">
        <v>0</v>
      </c>
      <c r="V130" s="7">
        <f t="shared" si="332"/>
        <v>0</v>
      </c>
      <c r="W130" s="15">
        <v>0</v>
      </c>
      <c r="X130" s="40">
        <f t="shared" si="333"/>
        <v>0</v>
      </c>
      <c r="Y130" s="7">
        <v>0</v>
      </c>
      <c r="Z130" s="41">
        <f t="shared" si="292"/>
        <v>0</v>
      </c>
      <c r="AA130" s="158">
        <v>0</v>
      </c>
      <c r="AB130" s="7">
        <f t="shared" si="335"/>
        <v>0</v>
      </c>
      <c r="AC130" s="15">
        <v>0</v>
      </c>
      <c r="AD130" s="40">
        <f t="shared" si="336"/>
        <v>0</v>
      </c>
      <c r="AE130" s="7">
        <v>0</v>
      </c>
      <c r="AF130" s="41">
        <f t="shared" si="313"/>
        <v>0</v>
      </c>
      <c r="AG130" s="42">
        <f t="shared" si="314"/>
        <v>0</v>
      </c>
      <c r="AH130" s="42">
        <f t="shared" si="314"/>
        <v>0</v>
      </c>
      <c r="AI130" s="42">
        <f t="shared" si="315"/>
        <v>0</v>
      </c>
    </row>
    <row r="131" spans="1:38" ht="24.9" x14ac:dyDescent="0.45">
      <c r="A131" s="236" t="s">
        <v>120</v>
      </c>
      <c r="B131" s="237"/>
      <c r="C131" s="238"/>
      <c r="D131" s="238"/>
      <c r="E131" s="239"/>
      <c r="F131" s="240"/>
      <c r="G131" s="241"/>
      <c r="H131" s="242"/>
      <c r="I131" s="237"/>
      <c r="J131" s="241"/>
      <c r="K131" s="238"/>
      <c r="L131" s="240"/>
      <c r="M131" s="241"/>
      <c r="N131" s="242"/>
      <c r="O131" s="237"/>
      <c r="P131" s="241"/>
      <c r="Q131" s="238"/>
      <c r="R131" s="240"/>
      <c r="S131" s="241"/>
      <c r="T131" s="242"/>
      <c r="U131" s="237"/>
      <c r="V131" s="241"/>
      <c r="W131" s="238"/>
      <c r="X131" s="240"/>
      <c r="Y131" s="241"/>
      <c r="Z131" s="242"/>
      <c r="AA131" s="237"/>
      <c r="AB131" s="241"/>
      <c r="AC131" s="238"/>
      <c r="AD131" s="240"/>
      <c r="AE131" s="241"/>
      <c r="AF131" s="242"/>
      <c r="AG131" s="244"/>
      <c r="AH131" s="244"/>
      <c r="AI131" s="244"/>
    </row>
    <row r="132" spans="1:38" x14ac:dyDescent="0.45">
      <c r="A132" s="67" t="s">
        <v>100</v>
      </c>
      <c r="B132" s="158">
        <v>0</v>
      </c>
      <c r="C132" s="15">
        <v>0</v>
      </c>
      <c r="D132" s="15">
        <v>0</v>
      </c>
      <c r="E132" s="148" t="s">
        <v>74</v>
      </c>
      <c r="F132" s="40">
        <f t="shared" si="324"/>
        <v>0</v>
      </c>
      <c r="G132" s="7">
        <v>0</v>
      </c>
      <c r="H132" s="41">
        <f t="shared" si="308"/>
        <v>0</v>
      </c>
      <c r="I132" s="158">
        <v>0</v>
      </c>
      <c r="J132" s="7">
        <f t="shared" si="326"/>
        <v>0</v>
      </c>
      <c r="K132" s="15">
        <v>0</v>
      </c>
      <c r="L132" s="40">
        <f t="shared" si="327"/>
        <v>0</v>
      </c>
      <c r="M132" s="7">
        <v>0</v>
      </c>
      <c r="N132" s="41">
        <f t="shared" ref="N132:N136" si="396">SUM(L132:M132)</f>
        <v>0</v>
      </c>
      <c r="O132" s="158">
        <v>0</v>
      </c>
      <c r="P132" s="7">
        <f t="shared" si="329"/>
        <v>0</v>
      </c>
      <c r="Q132" s="15">
        <v>0</v>
      </c>
      <c r="R132" s="40">
        <f t="shared" si="330"/>
        <v>0</v>
      </c>
      <c r="S132" s="7">
        <v>0</v>
      </c>
      <c r="T132" s="41">
        <f t="shared" si="310"/>
        <v>0</v>
      </c>
      <c r="U132" s="158">
        <v>0</v>
      </c>
      <c r="V132" s="7">
        <f t="shared" si="332"/>
        <v>0</v>
      </c>
      <c r="W132" s="15">
        <v>0</v>
      </c>
      <c r="X132" s="40">
        <f t="shared" si="333"/>
        <v>0</v>
      </c>
      <c r="Y132" s="7">
        <v>0</v>
      </c>
      <c r="Z132" s="41">
        <f t="shared" ref="Z132:Z136" si="397">SUM(X132:Y132)</f>
        <v>0</v>
      </c>
      <c r="AA132" s="158">
        <v>0</v>
      </c>
      <c r="AB132" s="7">
        <f t="shared" si="335"/>
        <v>0</v>
      </c>
      <c r="AC132" s="15">
        <v>0</v>
      </c>
      <c r="AD132" s="40">
        <f t="shared" si="336"/>
        <v>0</v>
      </c>
      <c r="AE132" s="7">
        <v>0</v>
      </c>
      <c r="AF132" s="41">
        <f t="shared" si="313"/>
        <v>0</v>
      </c>
      <c r="AG132" s="42">
        <f t="shared" si="314"/>
        <v>0</v>
      </c>
      <c r="AH132" s="42">
        <f t="shared" si="314"/>
        <v>0</v>
      </c>
      <c r="AI132" s="42">
        <f t="shared" si="315"/>
        <v>0</v>
      </c>
    </row>
    <row r="133" spans="1:38" x14ac:dyDescent="0.45">
      <c r="A133" s="67" t="s">
        <v>101</v>
      </c>
      <c r="B133" s="158">
        <v>0</v>
      </c>
      <c r="C133" s="15">
        <v>0</v>
      </c>
      <c r="D133" s="15">
        <v>0</v>
      </c>
      <c r="E133" s="148" t="s">
        <v>74</v>
      </c>
      <c r="F133" s="40">
        <f t="shared" si="324"/>
        <v>0</v>
      </c>
      <c r="G133" s="7">
        <v>0</v>
      </c>
      <c r="H133" s="41">
        <f t="shared" si="308"/>
        <v>0</v>
      </c>
      <c r="I133" s="158">
        <v>0</v>
      </c>
      <c r="J133" s="7">
        <f t="shared" si="326"/>
        <v>0</v>
      </c>
      <c r="K133" s="15">
        <v>0</v>
      </c>
      <c r="L133" s="40">
        <f t="shared" si="327"/>
        <v>0</v>
      </c>
      <c r="M133" s="7">
        <v>0</v>
      </c>
      <c r="N133" s="41">
        <f t="shared" si="396"/>
        <v>0</v>
      </c>
      <c r="O133" s="158">
        <v>0</v>
      </c>
      <c r="P133" s="7">
        <f t="shared" si="329"/>
        <v>0</v>
      </c>
      <c r="Q133" s="15">
        <v>0</v>
      </c>
      <c r="R133" s="40">
        <f t="shared" si="330"/>
        <v>0</v>
      </c>
      <c r="S133" s="7">
        <v>0</v>
      </c>
      <c r="T133" s="41">
        <f t="shared" si="310"/>
        <v>0</v>
      </c>
      <c r="U133" s="158">
        <v>0</v>
      </c>
      <c r="V133" s="7">
        <f t="shared" si="332"/>
        <v>0</v>
      </c>
      <c r="W133" s="15">
        <v>0</v>
      </c>
      <c r="X133" s="40">
        <f t="shared" si="333"/>
        <v>0</v>
      </c>
      <c r="Y133" s="7">
        <v>0</v>
      </c>
      <c r="Z133" s="41">
        <f t="shared" si="397"/>
        <v>0</v>
      </c>
      <c r="AA133" s="158">
        <v>0</v>
      </c>
      <c r="AB133" s="7">
        <f t="shared" si="335"/>
        <v>0</v>
      </c>
      <c r="AC133" s="15">
        <v>0</v>
      </c>
      <c r="AD133" s="40">
        <f t="shared" si="336"/>
        <v>0</v>
      </c>
      <c r="AE133" s="7">
        <v>0</v>
      </c>
      <c r="AF133" s="41">
        <f t="shared" si="313"/>
        <v>0</v>
      </c>
      <c r="AG133" s="42">
        <f t="shared" si="314"/>
        <v>0</v>
      </c>
      <c r="AH133" s="42">
        <f t="shared" si="314"/>
        <v>0</v>
      </c>
      <c r="AI133" s="42">
        <f t="shared" si="315"/>
        <v>0</v>
      </c>
    </row>
    <row r="134" spans="1:38" ht="24.9" x14ac:dyDescent="0.45">
      <c r="A134" s="236" t="s">
        <v>121</v>
      </c>
      <c r="B134" s="237"/>
      <c r="C134" s="238"/>
      <c r="D134" s="238"/>
      <c r="E134" s="239"/>
      <c r="F134" s="240"/>
      <c r="G134" s="241"/>
      <c r="H134" s="242"/>
      <c r="I134" s="237"/>
      <c r="J134" s="241"/>
      <c r="K134" s="238"/>
      <c r="L134" s="240"/>
      <c r="M134" s="241"/>
      <c r="N134" s="242"/>
      <c r="O134" s="237"/>
      <c r="P134" s="241"/>
      <c r="Q134" s="238"/>
      <c r="R134" s="240"/>
      <c r="S134" s="241"/>
      <c r="T134" s="242"/>
      <c r="U134" s="237"/>
      <c r="V134" s="241"/>
      <c r="W134" s="238"/>
      <c r="X134" s="240"/>
      <c r="Y134" s="241"/>
      <c r="Z134" s="242"/>
      <c r="AA134" s="237"/>
      <c r="AB134" s="241"/>
      <c r="AC134" s="238"/>
      <c r="AD134" s="240"/>
      <c r="AE134" s="241"/>
      <c r="AF134" s="242"/>
      <c r="AG134" s="244"/>
      <c r="AH134" s="244"/>
      <c r="AI134" s="244"/>
    </row>
    <row r="135" spans="1:38" x14ac:dyDescent="0.45">
      <c r="A135" s="67" t="s">
        <v>102</v>
      </c>
      <c r="B135" s="158">
        <v>0</v>
      </c>
      <c r="C135" s="15">
        <v>0</v>
      </c>
      <c r="D135" s="15">
        <v>0</v>
      </c>
      <c r="E135" s="148" t="s">
        <v>74</v>
      </c>
      <c r="F135" s="40">
        <f t="shared" si="324"/>
        <v>0</v>
      </c>
      <c r="G135" s="7">
        <v>0</v>
      </c>
      <c r="H135" s="41">
        <f t="shared" si="308"/>
        <v>0</v>
      </c>
      <c r="I135" s="158">
        <v>0</v>
      </c>
      <c r="J135" s="7">
        <f t="shared" si="326"/>
        <v>0</v>
      </c>
      <c r="K135" s="15">
        <v>0</v>
      </c>
      <c r="L135" s="40">
        <f t="shared" si="327"/>
        <v>0</v>
      </c>
      <c r="M135" s="7">
        <v>0</v>
      </c>
      <c r="N135" s="41">
        <f t="shared" si="396"/>
        <v>0</v>
      </c>
      <c r="O135" s="158">
        <v>0</v>
      </c>
      <c r="P135" s="7">
        <f t="shared" si="329"/>
        <v>0</v>
      </c>
      <c r="Q135" s="15">
        <v>0</v>
      </c>
      <c r="R135" s="40">
        <f t="shared" si="330"/>
        <v>0</v>
      </c>
      <c r="S135" s="7">
        <v>0</v>
      </c>
      <c r="T135" s="41">
        <f t="shared" si="310"/>
        <v>0</v>
      </c>
      <c r="U135" s="158">
        <v>0</v>
      </c>
      <c r="V135" s="7">
        <f t="shared" si="332"/>
        <v>0</v>
      </c>
      <c r="W135" s="15">
        <v>0</v>
      </c>
      <c r="X135" s="40">
        <f t="shared" si="333"/>
        <v>0</v>
      </c>
      <c r="Y135" s="7">
        <v>0</v>
      </c>
      <c r="Z135" s="41">
        <f t="shared" si="397"/>
        <v>0</v>
      </c>
      <c r="AA135" s="158">
        <v>0</v>
      </c>
      <c r="AB135" s="7">
        <f t="shared" si="335"/>
        <v>0</v>
      </c>
      <c r="AC135" s="15">
        <v>0</v>
      </c>
      <c r="AD135" s="40">
        <f t="shared" si="336"/>
        <v>0</v>
      </c>
      <c r="AE135" s="7">
        <v>0</v>
      </c>
      <c r="AF135" s="41">
        <f t="shared" si="313"/>
        <v>0</v>
      </c>
      <c r="AG135" s="42">
        <f t="shared" si="314"/>
        <v>0</v>
      </c>
      <c r="AH135" s="42">
        <f t="shared" si="314"/>
        <v>0</v>
      </c>
      <c r="AI135" s="42">
        <f t="shared" si="315"/>
        <v>0</v>
      </c>
    </row>
    <row r="136" spans="1:38" x14ac:dyDescent="0.45">
      <c r="A136" s="67" t="s">
        <v>103</v>
      </c>
      <c r="B136" s="158">
        <v>0</v>
      </c>
      <c r="C136" s="15">
        <v>0</v>
      </c>
      <c r="D136" s="15">
        <v>0</v>
      </c>
      <c r="E136" s="148" t="s">
        <v>74</v>
      </c>
      <c r="F136" s="40">
        <f t="shared" si="324"/>
        <v>0</v>
      </c>
      <c r="G136" s="7">
        <v>0</v>
      </c>
      <c r="H136" s="41">
        <f t="shared" si="308"/>
        <v>0</v>
      </c>
      <c r="I136" s="158">
        <v>0</v>
      </c>
      <c r="J136" s="7">
        <f t="shared" si="326"/>
        <v>0</v>
      </c>
      <c r="K136" s="15">
        <v>0</v>
      </c>
      <c r="L136" s="40">
        <f t="shared" si="327"/>
        <v>0</v>
      </c>
      <c r="M136" s="7">
        <v>0</v>
      </c>
      <c r="N136" s="41">
        <f t="shared" si="396"/>
        <v>0</v>
      </c>
      <c r="O136" s="158">
        <v>0</v>
      </c>
      <c r="P136" s="7">
        <f t="shared" si="329"/>
        <v>0</v>
      </c>
      <c r="Q136" s="15">
        <v>0</v>
      </c>
      <c r="R136" s="40">
        <f t="shared" si="330"/>
        <v>0</v>
      </c>
      <c r="S136" s="7">
        <v>0</v>
      </c>
      <c r="T136" s="41">
        <f t="shared" si="310"/>
        <v>0</v>
      </c>
      <c r="U136" s="158">
        <v>0</v>
      </c>
      <c r="V136" s="7">
        <f t="shared" si="332"/>
        <v>0</v>
      </c>
      <c r="W136" s="15">
        <v>0</v>
      </c>
      <c r="X136" s="40">
        <f t="shared" si="333"/>
        <v>0</v>
      </c>
      <c r="Y136" s="7">
        <v>0</v>
      </c>
      <c r="Z136" s="41">
        <f t="shared" si="397"/>
        <v>0</v>
      </c>
      <c r="AA136" s="158">
        <v>0</v>
      </c>
      <c r="AB136" s="7">
        <f t="shared" si="335"/>
        <v>0</v>
      </c>
      <c r="AC136" s="15">
        <v>0</v>
      </c>
      <c r="AD136" s="40">
        <f t="shared" si="336"/>
        <v>0</v>
      </c>
      <c r="AE136" s="7">
        <v>0</v>
      </c>
      <c r="AF136" s="41">
        <f t="shared" si="313"/>
        <v>0</v>
      </c>
      <c r="AG136" s="42">
        <f t="shared" ref="AG136" si="398">F136+L136+R136+X136+AD136</f>
        <v>0</v>
      </c>
      <c r="AH136" s="42">
        <f t="shared" ref="AH136" si="399">G136+M136+S136+Y136+AE136</f>
        <v>0</v>
      </c>
      <c r="AI136" s="42">
        <f t="shared" si="315"/>
        <v>0</v>
      </c>
    </row>
    <row r="137" spans="1:38" x14ac:dyDescent="0.45">
      <c r="A137" s="67" t="s">
        <v>104</v>
      </c>
      <c r="B137" s="158">
        <v>0</v>
      </c>
      <c r="C137" s="15">
        <v>0</v>
      </c>
      <c r="D137" s="15">
        <v>0</v>
      </c>
      <c r="E137" s="148" t="s">
        <v>74</v>
      </c>
      <c r="F137" s="40">
        <f t="shared" si="324"/>
        <v>0</v>
      </c>
      <c r="G137" s="7">
        <v>0</v>
      </c>
      <c r="H137" s="41">
        <f t="shared" ref="H137" si="400">SUM(F137:G137)</f>
        <v>0</v>
      </c>
      <c r="I137" s="158">
        <v>0</v>
      </c>
      <c r="J137" s="7">
        <f t="shared" si="326"/>
        <v>0</v>
      </c>
      <c r="K137" s="15">
        <v>0</v>
      </c>
      <c r="L137" s="40">
        <f t="shared" si="327"/>
        <v>0</v>
      </c>
      <c r="M137" s="7">
        <v>0</v>
      </c>
      <c r="N137" s="41">
        <f t="shared" ref="N137" si="401">SUM(L137:M137)</f>
        <v>0</v>
      </c>
      <c r="O137" s="158">
        <v>0</v>
      </c>
      <c r="P137" s="7">
        <f t="shared" si="329"/>
        <v>0</v>
      </c>
      <c r="Q137" s="15">
        <v>0</v>
      </c>
      <c r="R137" s="40">
        <f t="shared" si="330"/>
        <v>0</v>
      </c>
      <c r="S137" s="7">
        <v>0</v>
      </c>
      <c r="T137" s="41">
        <f t="shared" ref="T137" si="402">SUM(R137:S137)</f>
        <v>0</v>
      </c>
      <c r="U137" s="158">
        <v>0</v>
      </c>
      <c r="V137" s="7">
        <f t="shared" si="332"/>
        <v>0</v>
      </c>
      <c r="W137" s="15">
        <v>0</v>
      </c>
      <c r="X137" s="40">
        <f t="shared" si="333"/>
        <v>0</v>
      </c>
      <c r="Y137" s="7">
        <v>0</v>
      </c>
      <c r="Z137" s="41">
        <f t="shared" ref="Z137" si="403">SUM(X137:Y137)</f>
        <v>0</v>
      </c>
      <c r="AA137" s="158">
        <v>0</v>
      </c>
      <c r="AB137" s="7">
        <f t="shared" si="335"/>
        <v>0</v>
      </c>
      <c r="AC137" s="15">
        <v>0</v>
      </c>
      <c r="AD137" s="40">
        <f t="shared" si="336"/>
        <v>0</v>
      </c>
      <c r="AE137" s="7">
        <v>0</v>
      </c>
      <c r="AF137" s="41">
        <f t="shared" ref="AF137" si="404">SUM(AD137:AE137)</f>
        <v>0</v>
      </c>
      <c r="AG137" s="42">
        <f t="shared" ref="AG137" si="405">F137+L137+R137+X137+AD137</f>
        <v>0</v>
      </c>
      <c r="AH137" s="42">
        <f t="shared" ref="AH137" si="406">G137+M137+S137+Y137+AE137</f>
        <v>0</v>
      </c>
      <c r="AI137" s="42">
        <f t="shared" ref="AI137" si="407">SUM(AG137:AH137)</f>
        <v>0</v>
      </c>
    </row>
    <row r="138" spans="1:38" x14ac:dyDescent="0.45">
      <c r="A138" s="103" t="s">
        <v>122</v>
      </c>
      <c r="B138" s="179"/>
      <c r="C138" s="180"/>
      <c r="D138" s="180"/>
      <c r="E138" s="180"/>
      <c r="F138" s="104">
        <f>SUM(F119:F137)</f>
        <v>0</v>
      </c>
      <c r="G138" s="104">
        <f>SUM(G119:G137)</f>
        <v>0</v>
      </c>
      <c r="H138" s="104">
        <f>SUM(H119:H137)</f>
        <v>0</v>
      </c>
      <c r="I138" s="179"/>
      <c r="J138" s="180"/>
      <c r="K138" s="180"/>
      <c r="L138" s="104">
        <f>SUM(L119:L137)</f>
        <v>0</v>
      </c>
      <c r="M138" s="104">
        <f>SUM(M119:M137)</f>
        <v>0</v>
      </c>
      <c r="N138" s="104">
        <f>SUM(N119:N137)</f>
        <v>0</v>
      </c>
      <c r="O138" s="179"/>
      <c r="P138" s="180"/>
      <c r="Q138" s="180"/>
      <c r="R138" s="104">
        <f>SUM(R119:R137)</f>
        <v>0</v>
      </c>
      <c r="S138" s="104">
        <f>SUM(S119:S137)</f>
        <v>0</v>
      </c>
      <c r="T138" s="104">
        <f>SUM(T119:T137)</f>
        <v>0</v>
      </c>
      <c r="U138" s="179"/>
      <c r="V138" s="180"/>
      <c r="W138" s="180"/>
      <c r="X138" s="104">
        <f>SUM(X119:X137)</f>
        <v>0</v>
      </c>
      <c r="Y138" s="104">
        <f>SUM(Y119:Y137)</f>
        <v>0</v>
      </c>
      <c r="Z138" s="104">
        <f>SUM(Z119:Z137)</f>
        <v>0</v>
      </c>
      <c r="AA138" s="179"/>
      <c r="AB138" s="180"/>
      <c r="AC138" s="180"/>
      <c r="AD138" s="104">
        <f t="shared" ref="AD138:AI138" si="408">SUM(AD119:AD137)</f>
        <v>0</v>
      </c>
      <c r="AE138" s="104">
        <f t="shared" si="408"/>
        <v>0</v>
      </c>
      <c r="AF138" s="104">
        <f t="shared" si="408"/>
        <v>0</v>
      </c>
      <c r="AG138" s="105">
        <f t="shared" si="408"/>
        <v>0</v>
      </c>
      <c r="AH138" s="105">
        <f t="shared" si="408"/>
        <v>0</v>
      </c>
      <c r="AI138" s="105">
        <f t="shared" si="408"/>
        <v>0</v>
      </c>
    </row>
    <row r="139" spans="1:38" x14ac:dyDescent="0.45">
      <c r="A139" s="84"/>
      <c r="B139" s="157"/>
      <c r="F139" s="40"/>
      <c r="G139" s="7"/>
      <c r="H139" s="41"/>
      <c r="I139" s="157"/>
      <c r="L139" s="40"/>
      <c r="M139" s="7"/>
      <c r="N139" s="41"/>
      <c r="O139" s="157"/>
      <c r="R139" s="40"/>
      <c r="S139" s="7"/>
      <c r="T139" s="41"/>
      <c r="U139" s="157"/>
      <c r="X139" s="40"/>
      <c r="Y139" s="7"/>
      <c r="Z139" s="41"/>
      <c r="AA139" s="157"/>
      <c r="AD139" s="40"/>
      <c r="AE139" s="7"/>
      <c r="AF139" s="41"/>
      <c r="AG139" s="42"/>
      <c r="AH139" s="42"/>
      <c r="AI139" s="42"/>
    </row>
    <row r="140" spans="1:38" s="9" customFormat="1" x14ac:dyDescent="0.45">
      <c r="A140" s="96" t="s">
        <v>123</v>
      </c>
      <c r="B140" s="173"/>
      <c r="C140" s="174"/>
      <c r="D140" s="174"/>
      <c r="E140" s="174"/>
      <c r="F140" s="52">
        <f>F138+F116</f>
        <v>0</v>
      </c>
      <c r="G140" s="52">
        <f>G138+G116</f>
        <v>0</v>
      </c>
      <c r="H140" s="52">
        <f>H138+H116</f>
        <v>0</v>
      </c>
      <c r="I140" s="173"/>
      <c r="J140" s="174"/>
      <c r="K140" s="174"/>
      <c r="L140" s="52">
        <f>L138+L116</f>
        <v>0</v>
      </c>
      <c r="M140" s="52">
        <f>M138+M116</f>
        <v>0</v>
      </c>
      <c r="N140" s="52">
        <f>N138+N116</f>
        <v>0</v>
      </c>
      <c r="O140" s="173"/>
      <c r="P140" s="174"/>
      <c r="Q140" s="174"/>
      <c r="R140" s="52">
        <f>R138+R116</f>
        <v>0</v>
      </c>
      <c r="S140" s="52">
        <f>S138+S116</f>
        <v>0</v>
      </c>
      <c r="T140" s="52">
        <f>T138+T116</f>
        <v>0</v>
      </c>
      <c r="U140" s="173"/>
      <c r="V140" s="174"/>
      <c r="W140" s="174"/>
      <c r="X140" s="52">
        <f>X138+X116</f>
        <v>0</v>
      </c>
      <c r="Y140" s="52">
        <f>Y138+Y116</f>
        <v>0</v>
      </c>
      <c r="Z140" s="52">
        <f>Z138+Z116</f>
        <v>0</v>
      </c>
      <c r="AA140" s="173"/>
      <c r="AB140" s="174"/>
      <c r="AC140" s="174"/>
      <c r="AD140" s="52">
        <f t="shared" ref="AD140:AI140" si="409">AD138+AD116</f>
        <v>0</v>
      </c>
      <c r="AE140" s="52">
        <f t="shared" si="409"/>
        <v>0</v>
      </c>
      <c r="AF140" s="52">
        <f t="shared" si="409"/>
        <v>0</v>
      </c>
      <c r="AG140" s="73">
        <f t="shared" si="409"/>
        <v>0</v>
      </c>
      <c r="AH140" s="73">
        <f t="shared" si="409"/>
        <v>0</v>
      </c>
      <c r="AI140" s="73">
        <f t="shared" si="409"/>
        <v>0</v>
      </c>
      <c r="AJ140" s="1"/>
      <c r="AK140" s="106"/>
    </row>
    <row r="141" spans="1:38" x14ac:dyDescent="0.45">
      <c r="A141" s="84"/>
      <c r="B141" s="157"/>
      <c r="F141" s="40"/>
      <c r="G141" s="7"/>
      <c r="H141" s="41"/>
      <c r="I141" s="157"/>
      <c r="L141" s="40"/>
      <c r="M141" s="7"/>
      <c r="N141" s="41"/>
      <c r="O141" s="157"/>
      <c r="R141" s="40"/>
      <c r="S141" s="7"/>
      <c r="T141" s="41"/>
      <c r="U141" s="157"/>
      <c r="X141" s="40"/>
      <c r="Y141" s="7"/>
      <c r="Z141" s="41"/>
      <c r="AA141" s="157"/>
      <c r="AD141" s="40"/>
      <c r="AE141" s="7"/>
      <c r="AF141" s="41"/>
      <c r="AG141" s="42"/>
      <c r="AH141" s="42"/>
      <c r="AI141" s="42"/>
      <c r="AK141" s="106"/>
    </row>
    <row r="142" spans="1:38" s="9" customFormat="1" ht="12.3" x14ac:dyDescent="0.4">
      <c r="A142" s="107" t="s">
        <v>19</v>
      </c>
      <c r="B142" s="181"/>
      <c r="C142" s="182"/>
      <c r="D142" s="182"/>
      <c r="E142" s="183"/>
      <c r="F142" s="108">
        <f>F140+F106+F88+F66+F59+F34+F28</f>
        <v>0</v>
      </c>
      <c r="G142" s="109">
        <f>G140+G106+G88+G66+G59+G34+G28</f>
        <v>0</v>
      </c>
      <c r="H142" s="110">
        <f>SUM(F142:G142)</f>
        <v>0</v>
      </c>
      <c r="I142" s="181"/>
      <c r="J142" s="182"/>
      <c r="K142" s="182"/>
      <c r="L142" s="111">
        <f>L140+L106+L88+L66+L59+L34+L28</f>
        <v>0</v>
      </c>
      <c r="M142" s="109">
        <f>M140+M106+M88+M66+M59+M34+M28</f>
        <v>0</v>
      </c>
      <c r="N142" s="110">
        <f>SUM(L142:M142)</f>
        <v>0</v>
      </c>
      <c r="O142" s="181"/>
      <c r="P142" s="182"/>
      <c r="Q142" s="182"/>
      <c r="R142" s="112">
        <f>R140+R106+R88+R66+R59+R34+R28</f>
        <v>0</v>
      </c>
      <c r="S142" s="113">
        <f>S140+S106+S88+S66+S59+S34+S28</f>
        <v>0</v>
      </c>
      <c r="T142" s="114">
        <f>T140+T106+T88+T66+T59+T34+T28</f>
        <v>0</v>
      </c>
      <c r="U142" s="181"/>
      <c r="V142" s="182"/>
      <c r="W142" s="182"/>
      <c r="X142" s="112">
        <f>X140+X106+X88+X66+X59+X34+X28</f>
        <v>0</v>
      </c>
      <c r="Y142" s="113">
        <f>Y140+Y106+Y88+Y66+Y59+Y34+Y28</f>
        <v>0</v>
      </c>
      <c r="Z142" s="114">
        <f>Z140+Z106+Z88+Z66+Z59+Z34+Z28</f>
        <v>0</v>
      </c>
      <c r="AA142" s="181"/>
      <c r="AB142" s="182"/>
      <c r="AC142" s="182"/>
      <c r="AD142" s="114">
        <f>AD140+AD106+AD88+AD66+AD59+AD34+AD28</f>
        <v>0</v>
      </c>
      <c r="AE142" s="113">
        <f>AE140+AE106+AE88+AE66+AE59+AE34+AE28</f>
        <v>0</v>
      </c>
      <c r="AF142" s="114">
        <f>AF140+AF106+AF88+AF66+AF59+AF34+AF28</f>
        <v>0</v>
      </c>
      <c r="AG142" s="115">
        <f>AD142+X142+R142+L142+F142</f>
        <v>0</v>
      </c>
      <c r="AH142" s="115">
        <f>AE142+Y142+S142+M142+G142</f>
        <v>0</v>
      </c>
      <c r="AI142" s="115">
        <f>SUM(AG142:AH142)</f>
        <v>0</v>
      </c>
      <c r="AK142" s="116"/>
    </row>
    <row r="143" spans="1:38" s="9" customFormat="1" x14ac:dyDescent="0.45">
      <c r="A143" s="107" t="s">
        <v>124</v>
      </c>
      <c r="B143" s="184">
        <v>0</v>
      </c>
      <c r="C143" s="185"/>
      <c r="D143" s="185"/>
      <c r="E143" s="186"/>
      <c r="F143" s="117">
        <f>F142*$B143</f>
        <v>0</v>
      </c>
      <c r="G143" s="118">
        <v>0</v>
      </c>
      <c r="H143" s="119">
        <f>SUM(F143:G143)</f>
        <v>0</v>
      </c>
      <c r="I143" s="184"/>
      <c r="J143" s="185"/>
      <c r="K143" s="185"/>
      <c r="L143" s="117">
        <f>L142*$B143</f>
        <v>0</v>
      </c>
      <c r="M143" s="118">
        <v>0</v>
      </c>
      <c r="N143" s="119">
        <f>SUM(L143:M143)</f>
        <v>0</v>
      </c>
      <c r="O143" s="184"/>
      <c r="P143" s="185"/>
      <c r="Q143" s="185"/>
      <c r="R143" s="117">
        <f>R142*$B143</f>
        <v>0</v>
      </c>
      <c r="S143" s="118">
        <v>0</v>
      </c>
      <c r="T143" s="119">
        <f>SUM(R143:S143)</f>
        <v>0</v>
      </c>
      <c r="U143" s="184"/>
      <c r="V143" s="185"/>
      <c r="W143" s="185"/>
      <c r="X143" s="117">
        <f>X142*$B143</f>
        <v>0</v>
      </c>
      <c r="Y143" s="118">
        <v>0</v>
      </c>
      <c r="Z143" s="119">
        <f>SUM(X143:Y143)</f>
        <v>0</v>
      </c>
      <c r="AA143" s="184"/>
      <c r="AB143" s="185"/>
      <c r="AC143" s="185"/>
      <c r="AD143" s="117">
        <f>AD142*$B143</f>
        <v>0</v>
      </c>
      <c r="AE143" s="118">
        <v>0</v>
      </c>
      <c r="AF143" s="119">
        <f>SUM(AD143:AE143)</f>
        <v>0</v>
      </c>
      <c r="AG143" s="120">
        <f>AD143+X143+R143+L143+F143</f>
        <v>0</v>
      </c>
      <c r="AH143" s="120">
        <f t="shared" ref="AH143:AH144" si="410">AE143+Y143+S143+M143+G143</f>
        <v>0</v>
      </c>
      <c r="AI143" s="120">
        <f>SUM(AG143:AH143)</f>
        <v>0</v>
      </c>
      <c r="AJ143" s="121"/>
      <c r="AK143" s="116"/>
    </row>
    <row r="144" spans="1:38" ht="12.9" thickBot="1" x14ac:dyDescent="0.5">
      <c r="A144" s="107" t="s">
        <v>7</v>
      </c>
      <c r="B144" s="187"/>
      <c r="C144" s="188"/>
      <c r="D144" s="188"/>
      <c r="E144" s="189"/>
      <c r="F144" s="122">
        <f>SUM(F142:F143)</f>
        <v>0</v>
      </c>
      <c r="G144" s="123">
        <f t="shared" ref="G144:AF144" si="411">SUM(G142:G143)</f>
        <v>0</v>
      </c>
      <c r="H144" s="124">
        <f t="shared" si="411"/>
        <v>0</v>
      </c>
      <c r="I144" s="187"/>
      <c r="J144" s="188"/>
      <c r="K144" s="188"/>
      <c r="L144" s="122">
        <f t="shared" si="411"/>
        <v>0</v>
      </c>
      <c r="M144" s="123">
        <f t="shared" si="411"/>
        <v>0</v>
      </c>
      <c r="N144" s="124">
        <f t="shared" si="411"/>
        <v>0</v>
      </c>
      <c r="O144" s="187"/>
      <c r="P144" s="188"/>
      <c r="Q144" s="188"/>
      <c r="R144" s="122">
        <f>SUM(R142:R143)</f>
        <v>0</v>
      </c>
      <c r="S144" s="123">
        <f t="shared" si="411"/>
        <v>0</v>
      </c>
      <c r="T144" s="124">
        <f t="shared" si="411"/>
        <v>0</v>
      </c>
      <c r="U144" s="187"/>
      <c r="V144" s="188"/>
      <c r="W144" s="188"/>
      <c r="X144" s="122">
        <f t="shared" si="411"/>
        <v>0</v>
      </c>
      <c r="Y144" s="123">
        <f t="shared" si="411"/>
        <v>0</v>
      </c>
      <c r="Z144" s="124">
        <f t="shared" si="411"/>
        <v>0</v>
      </c>
      <c r="AA144" s="187"/>
      <c r="AB144" s="188"/>
      <c r="AC144" s="188"/>
      <c r="AD144" s="122">
        <f>SUM(AD142:AD143)</f>
        <v>0</v>
      </c>
      <c r="AE144" s="123">
        <f t="shared" si="411"/>
        <v>0</v>
      </c>
      <c r="AF144" s="124">
        <f t="shared" si="411"/>
        <v>0</v>
      </c>
      <c r="AG144" s="125">
        <f>AD144+X144+R144+L144+F144</f>
        <v>0</v>
      </c>
      <c r="AH144" s="125">
        <f t="shared" si="410"/>
        <v>0</v>
      </c>
      <c r="AI144" s="125">
        <f>SUM(AG144:AH144)</f>
        <v>0</v>
      </c>
      <c r="AJ144" s="7"/>
      <c r="AK144" s="16"/>
      <c r="AL144" s="7"/>
    </row>
    <row r="145" spans="1:35" x14ac:dyDescent="0.45">
      <c r="A145" s="34"/>
      <c r="F145" s="7"/>
      <c r="G145" s="7"/>
      <c r="H145" s="7"/>
      <c r="L145" s="7"/>
      <c r="M145" s="7"/>
      <c r="N145" s="7"/>
      <c r="R145" s="7"/>
      <c r="S145" s="7"/>
      <c r="T145" s="7"/>
      <c r="X145" s="7"/>
      <c r="Y145" s="7"/>
      <c r="Z145" s="7"/>
      <c r="AD145" s="7"/>
      <c r="AE145" s="7"/>
      <c r="AF145" s="7"/>
      <c r="AH145" s="7"/>
      <c r="AI145" s="7"/>
    </row>
    <row r="146" spans="1:35" x14ac:dyDescent="0.45">
      <c r="F146" s="7"/>
      <c r="G146" s="7"/>
      <c r="H146" s="7"/>
      <c r="L146" s="7"/>
      <c r="M146" s="7"/>
      <c r="N146" s="7"/>
      <c r="R146" s="7"/>
      <c r="S146" s="7"/>
      <c r="T146" s="7"/>
      <c r="X146" s="7"/>
      <c r="Y146" s="7"/>
      <c r="Z146" s="7"/>
      <c r="AD146" s="7"/>
      <c r="AE146" s="7"/>
      <c r="AF146" s="7"/>
      <c r="AG146" s="7"/>
      <c r="AH146" s="7"/>
    </row>
    <row r="147" spans="1:35" x14ac:dyDescent="0.45">
      <c r="AD147" s="7"/>
      <c r="AE147" s="7"/>
      <c r="AF147" s="7"/>
      <c r="AG147" s="14"/>
      <c r="AH147" s="7"/>
    </row>
    <row r="148" spans="1:35" x14ac:dyDescent="0.45">
      <c r="AD148" s="7"/>
      <c r="AE148" s="7"/>
      <c r="AF148" s="7"/>
      <c r="AG148" s="14"/>
      <c r="AH148" s="7"/>
    </row>
    <row r="149" spans="1:35" x14ac:dyDescent="0.45">
      <c r="AD149" s="7"/>
      <c r="AE149" s="7"/>
      <c r="AF149" s="7"/>
      <c r="AG149" s="7"/>
      <c r="AH149" s="7"/>
      <c r="AI149" s="7"/>
    </row>
    <row r="150" spans="1:35" x14ac:dyDescent="0.45">
      <c r="AG150" s="126"/>
    </row>
    <row r="152" spans="1:35" x14ac:dyDescent="0.45">
      <c r="AD152" s="1" t="s">
        <v>125</v>
      </c>
      <c r="AG152" s="127"/>
    </row>
  </sheetData>
  <mergeCells count="6">
    <mergeCell ref="A8:N8"/>
    <mergeCell ref="O11:T11"/>
    <mergeCell ref="B1:AI1"/>
    <mergeCell ref="B2:AI2"/>
    <mergeCell ref="B3:AI3"/>
    <mergeCell ref="B4:AI4"/>
  </mergeCells>
  <phoneticPr fontId="4" type="noConversion"/>
  <pageMargins left="0.5" right="0.34" top="0.63" bottom="0.41" header="0.5" footer="0.5"/>
  <pageSetup paperSize="17" scale="60" fitToHeight="2" orientation="landscape" r:id="rId1"/>
  <headerFooter alignWithMargins="0"/>
  <ignoredErrors>
    <ignoredError sqref="H142 N142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A062DA-8B62-4BA9-8C72-E2D6C7D3E80D}">
  <ds:schemaRefs>
    <ds:schemaRef ds:uri="http://schemas.microsoft.com/office/2006/metadata/properties"/>
    <ds:schemaRef ds:uri="http://schemas.microsoft.com/office/infopath/2007/PartnerControls"/>
    <ds:schemaRef ds:uri="f2466082-b6bf-4153-98c3-3c41e85fda18"/>
    <ds:schemaRef ds:uri="dc808d36-874f-4b27-aec2-2fd649817929"/>
  </ds:schemaRefs>
</ds:datastoreItem>
</file>

<file path=customXml/itemProps2.xml><?xml version="1.0" encoding="utf-8"?>
<ds:datastoreItem xmlns:ds="http://schemas.openxmlformats.org/officeDocument/2006/customXml" ds:itemID="{722B202C-DC27-4D1D-BA47-8B310698E3E9}"/>
</file>

<file path=customXml/itemProps3.xml><?xml version="1.0" encoding="utf-8"?>
<ds:datastoreItem xmlns:ds="http://schemas.openxmlformats.org/officeDocument/2006/customXml" ds:itemID="{B69EC06F-D666-4BD8-958B-374EE4D434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Budget Summary</vt:lpstr>
      <vt:lpstr>Budget</vt:lpstr>
      <vt:lpstr>Budget!Print_Area</vt:lpstr>
      <vt:lpstr>'Budget Summary'!Print_Area</vt:lpstr>
    </vt:vector>
  </TitlesOfParts>
  <Manager/>
  <Company>POA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POA USER</dc:creator>
  <cp:keywords/>
  <dc:description/>
  <cp:lastModifiedBy>Danielle Martin</cp:lastModifiedBy>
  <cp:revision/>
  <dcterms:created xsi:type="dcterms:W3CDTF">2008-05-05T21:17:49Z</dcterms:created>
  <dcterms:modified xsi:type="dcterms:W3CDTF">2024-04-30T16:08:09Z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7450200</vt:r8>
  </property>
  <property fmtid="{D5CDD505-2E9C-101B-9397-08002B2CF9AE}" pid="3" name="ContentTypeId">
    <vt:lpwstr>0x0101003206C8355D678A459F2EF8957171B231</vt:lpwstr>
  </property>
  <property fmtid="{D5CDD505-2E9C-101B-9397-08002B2CF9AE}" pid="4" name="MediaServiceImageTags">
    <vt:lpwstr/>
  </property>
</Properties>
</file>