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 Templates/"/>
    </mc:Choice>
  </mc:AlternateContent>
  <xr:revisionPtr revIDLastSave="3" documentId="13_ncr:1_{C579C4E1-F344-42AB-ACC7-E63AB266E22E}" xr6:coauthVersionLast="47" xr6:coauthVersionMax="47" xr10:uidLastSave="{93EE4CBB-86D8-47FE-9E43-31A9D13F51A6}"/>
  <bookViews>
    <workbookView xWindow="-96" yWindow="-96" windowWidth="23232" windowHeight="12552" xr2:uid="{39EEAAA1-5053-45B5-9CC8-79A3AA52EE68}"/>
  </bookViews>
  <sheets>
    <sheet name="Activity X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>#REF!</definedName>
    <definedName name="\P">#REF!</definedName>
    <definedName name="\S">#REF!</definedName>
    <definedName name="_" hidden="1">[1]IPA!#REF!</definedName>
    <definedName name="__" hidden="1">[2]IPA!#REF!</definedName>
    <definedName name="___" hidden="1">[1]IPA!#REF!</definedName>
    <definedName name="_______sho1">'[3]Detailed Budget-SAVE'!#REF!</definedName>
    <definedName name="__1_0__123Grap" localSheetId="0" hidden="1">#REF!</definedName>
    <definedName name="__1_0__123Grap" hidden="1">#REF!</definedName>
    <definedName name="__123Graph_A" hidden="1">[2]IPA!#REF!</definedName>
    <definedName name="__123Graph_B" hidden="1">[2]IPA!#REF!</definedName>
    <definedName name="__123Graph_C" hidden="1">[2]IPA!#REF!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hidden="1">[2]IPA!#REF!</definedName>
    <definedName name="__C" hidden="1">[2]IPA!#REF!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>#REF!</definedName>
    <definedName name="__KEY2" localSheetId="0" hidden="1">#REF!</definedName>
    <definedName name="__KEY2" hidden="1">#REF!</definedName>
    <definedName name="__LT4">[4]Parameters!$B$40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>#REF!</definedName>
    <definedName name="_1_0__123Grap" localSheetId="0" hidden="1">#REF!</definedName>
    <definedName name="_1_0__123Grap" hidden="1">#REF!</definedName>
    <definedName name="_1_1">#REF!</definedName>
    <definedName name="_13th_and_14th_month">[5]Parameters!$D$62</definedName>
    <definedName name="_2__123Graph_ACHART_3" hidden="1">[6]Rates!$C$3:$P$3</definedName>
    <definedName name="_2_0__123Grap" hidden="1">#REF!</definedName>
    <definedName name="_2_1034">#REF!</definedName>
    <definedName name="_2DAI_1">#N/A</definedName>
    <definedName name="_3_0__123Grap" hidden="1">#REF!</definedName>
    <definedName name="_3_1440">#REF!</definedName>
    <definedName name="_3FEE">#N/A</definedName>
    <definedName name="_4__123Graph_BCHART_3" hidden="1">[6]Rates!$C$4:$P$4</definedName>
    <definedName name="_4_0__123Grap" hidden="1">#REF!</definedName>
    <definedName name="_4_2">#REF!</definedName>
    <definedName name="_5_3">#REF!</definedName>
    <definedName name="_6__123Graph_XCHART_3" hidden="1">[6]Rates!$C$2:$P$2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FRI1">#N/A</definedName>
    <definedName name="_FRI4">#N/A</definedName>
    <definedName name="_hos1">[7]Parameters!$A$433</definedName>
    <definedName name="_hos10">[7]Parameters!$A$442</definedName>
    <definedName name="_hos11">[7]Parameters!$A$443</definedName>
    <definedName name="_hos12">[7]Parameters!$A$444</definedName>
    <definedName name="_hos13">[7]Parameters!$A$445</definedName>
    <definedName name="_hos14">[7]Parameters!$A$446</definedName>
    <definedName name="_hos15">[7]Parameters!$A$447</definedName>
    <definedName name="_hos16">[7]Parameters!$A$448</definedName>
    <definedName name="_hos17">[7]Parameters!$A$449</definedName>
    <definedName name="_hos18">[7]Parameters!$A$450</definedName>
    <definedName name="_hos19">[7]Parameters!$A$451</definedName>
    <definedName name="_hos2">[7]Parameters!$A$434</definedName>
    <definedName name="_hos20">[7]Parameters!$A$452</definedName>
    <definedName name="_hos21">[7]Parameters!$A$453</definedName>
    <definedName name="_hos3">[7]Parameters!$A$435</definedName>
    <definedName name="_hos4">[7]Parameters!$A$436</definedName>
    <definedName name="_hos5">[7]Parameters!$A$437</definedName>
    <definedName name="_hos6">[7]Parameters!$A$438</definedName>
    <definedName name="_hos7">[7]Parameters!$A$439</definedName>
    <definedName name="_hos8">[7]Parameters!$A$440</definedName>
    <definedName name="_hos9">[7]Parameters!$A$441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localSheetId="0" hidden="1">#REF!</definedName>
    <definedName name="_Key1" hidden="1">#REF!</definedName>
    <definedName name="_key2" hidden="1">#REF!</definedName>
    <definedName name="_ldfkjañsdl" hidden="1">'[8]sample labor calc'!#REF!</definedName>
    <definedName name="_LT4">[4]Parameters!$B$40</definedName>
    <definedName name="_no1" localSheetId="0" hidden="1">{#N/A,#N/A,FALSE,"ManLoading"}</definedName>
    <definedName name="_no1" hidden="1">{#N/A,#N/A,FALSE,"ManLoading"}</definedName>
    <definedName name="_odc1" localSheetId="0" hidden="1">{#N/A,#N/A,FALSE,"ManLoading"}</definedName>
    <definedName name="_odc1" hidden="1">{#N/A,#N/A,FALSE,"ManLoading"}</definedName>
    <definedName name="_odc2" localSheetId="0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>'[3]Detailed Budget-SAVE'!#REF!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sub10">[7]Parameters!$H$26</definedName>
    <definedName name="_tcn1">[7]Parameters!$A$117</definedName>
    <definedName name="_tcn10">[7]Parameters!$A$126</definedName>
    <definedName name="_tcn2">[7]Parameters!$A$118</definedName>
    <definedName name="_tcn3">[7]Parameters!$A$119</definedName>
    <definedName name="_tcn4">[7]Parameters!$A$120</definedName>
    <definedName name="_tcn5">[7]Parameters!$A$121</definedName>
    <definedName name="_tcn6">[7]Parameters!$A$122</definedName>
    <definedName name="_tcn7">[7]Parameters!$A$123</definedName>
    <definedName name="_tcn8">[7]Parameters!$A$124</definedName>
    <definedName name="_tcn9">[7]Parameters!$A$125</definedName>
    <definedName name="_TOT1">#N/A</definedName>
    <definedName name="_TOT2">#N/A</definedName>
    <definedName name="_TRV1">#N/A</definedName>
    <definedName name="_TRV2">#N/A</definedName>
    <definedName name="_us1">[7]Parameters!$A$39</definedName>
    <definedName name="_us10">[7]Parameters!$A$48</definedName>
    <definedName name="_us11">[7]Parameters!$A$49</definedName>
    <definedName name="_us12">[7]Parameters!$A$50</definedName>
    <definedName name="_us13">[7]Parameters!$A$51</definedName>
    <definedName name="_us14">[7]Parameters!$A$52</definedName>
    <definedName name="_us15">[7]Parameters!$A$53</definedName>
    <definedName name="_us16">[7]Parameters!$A$54</definedName>
    <definedName name="_us17">[7]Parameters!$A$55</definedName>
    <definedName name="_us18">[7]Parameters!$A$56</definedName>
    <definedName name="_us19">[7]Parameters!$A$57</definedName>
    <definedName name="_us2">[7]Parameters!$A$40</definedName>
    <definedName name="_us20">[7]Parameters!$A$58</definedName>
    <definedName name="_us21">[7]Parameters!$A$59</definedName>
    <definedName name="_us22">[7]Parameters!$A$60</definedName>
    <definedName name="_us23">[7]Parameters!$A$61</definedName>
    <definedName name="_us24">[7]Parameters!$A$62</definedName>
    <definedName name="_us25">[7]Parameters!$A$63</definedName>
    <definedName name="_us26">[7]Parameters!$A$64</definedName>
    <definedName name="_us27">[7]Parameters!$A$65</definedName>
    <definedName name="_us28">[7]Parameters!$A$66</definedName>
    <definedName name="_us29">[7]Parameters!$A$67</definedName>
    <definedName name="_us3">[7]Parameters!$A$41</definedName>
    <definedName name="_us30">[7]Parameters!$A$68</definedName>
    <definedName name="_us31">[7]Parameters!$A$69</definedName>
    <definedName name="_us32">[7]Parameters!$A$70</definedName>
    <definedName name="_us33">[7]Parameters!$A$71</definedName>
    <definedName name="_us34">[7]Parameters!$A$72</definedName>
    <definedName name="_us35">[7]Parameters!$A$73</definedName>
    <definedName name="_us36">[7]Parameters!$A$74</definedName>
    <definedName name="_us37">[7]Parameters!$A$75</definedName>
    <definedName name="_us38">[7]Parameters!$A$76</definedName>
    <definedName name="_us39">[7]Parameters!$A$77</definedName>
    <definedName name="_us4">[7]Parameters!$A$42</definedName>
    <definedName name="_us40">[7]Parameters!$A$78</definedName>
    <definedName name="_us41">[7]Parameters!$A$79</definedName>
    <definedName name="_us42">[7]Parameters!$A$80</definedName>
    <definedName name="_us43">[7]Parameters!$A$81</definedName>
    <definedName name="_us44">[7]Parameters!$A$82</definedName>
    <definedName name="_us45">[7]Parameters!$A$83</definedName>
    <definedName name="_us46">[7]Parameters!$A$84</definedName>
    <definedName name="_us47">[7]Parameters!$A$85</definedName>
    <definedName name="_us48">[7]Parameters!$A$86</definedName>
    <definedName name="_us49">[7]Parameters!$A$87</definedName>
    <definedName name="_us5">[7]Parameters!$A$43</definedName>
    <definedName name="_us50">[7]Parameters!$A$88</definedName>
    <definedName name="_us51">[7]Parameters!$A$89</definedName>
    <definedName name="_us52">[7]Parameters!$A$90</definedName>
    <definedName name="_us53">[7]Parameters!$A$91</definedName>
    <definedName name="_us54">[7]Parameters!$A$92</definedName>
    <definedName name="_us55">[7]Parameters!$A$93</definedName>
    <definedName name="_us56">[7]Parameters!$A$94</definedName>
    <definedName name="_us57">[7]Parameters!$A$95</definedName>
    <definedName name="_us58">[7]Parameters!$A$96</definedName>
    <definedName name="_us59">[7]Parameters!$A$97</definedName>
    <definedName name="_us6">[7]Parameters!$A$44</definedName>
    <definedName name="_us60">[7]Parameters!$A$98</definedName>
    <definedName name="_us61">[7]Parameters!$A$99</definedName>
    <definedName name="_us62">[7]Parameters!$A$100</definedName>
    <definedName name="_us63">[7]Parameters!$A$101</definedName>
    <definedName name="_us64">[7]Parameters!$A$102</definedName>
    <definedName name="_us65">[7]Parameters!$A$103</definedName>
    <definedName name="_us66">[7]Parameters!$A$104</definedName>
    <definedName name="_us67">[7]Parameters!$A$105</definedName>
    <definedName name="_us68">[7]Parameters!$A$106</definedName>
    <definedName name="_us69">[7]Parameters!$A$107</definedName>
    <definedName name="_us7">[7]Parameters!$A$45</definedName>
    <definedName name="_us70">[7]Parameters!$A$108</definedName>
    <definedName name="_us71">[7]Parameters!$A$109</definedName>
    <definedName name="_us72">[7]Parameters!$A$110</definedName>
    <definedName name="_us73">[7]Parameters!$A$111</definedName>
    <definedName name="_us74">[7]Parameters!$A$112</definedName>
    <definedName name="_us75">[7]Parameters!$A$113</definedName>
    <definedName name="_us8">[7]Parameters!$A$46</definedName>
    <definedName name="_us9">[7]Parameters!$A$47</definedName>
    <definedName name="a">'[9]PO 484CR'!#REF!</definedName>
    <definedName name="Abbiz51">[10]RATES!#REF!</definedName>
    <definedName name="Abbiz52">[10]RATES!#REF!</definedName>
    <definedName name="ABT">#N/A</definedName>
    <definedName name="ACC">[11]Sheet2!$B$2:$C$496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0" hidden="1">{"PAGE1",#N/A,FALSE,"CPFFMSTR";"PAGE2",#N/A,FALSE,"CPFFMSTR"}</definedName>
    <definedName name="adf" hidden="1">{"PAGE1",#N/A,FALSE,"CPFFMSTR";"PAGE2",#N/A,FALSE,"CPFFMSTR"}</definedName>
    <definedName name="adfsdaf" localSheetId="0" hidden="1">{"PAGE1",#N/A,FALSE,"CPFFMSTR";"PAGE2",#N/A,FALSE,"CPFFMSTR"}</definedName>
    <definedName name="adfsdaf" hidden="1">{"PAGE1",#N/A,FALSE,"CPFFMSTR";"PAGE2",#N/A,FALSE,"CPFFMSTR"}</definedName>
    <definedName name="aer" localSheetId="0" hidden="1">{"PAGE1",#N/A,FALSE,"CPFFMSTR";"PAGE2",#N/A,FALSE,"CPFFMSTR"}</definedName>
    <definedName name="aer" hidden="1">{"PAGE1",#N/A,FALSE,"CPFFMSTR";"PAGE2",#N/A,FALSE,"CPFFMSTR"}</definedName>
    <definedName name="aer3e" localSheetId="0" hidden="1">{"PAGE1",#N/A,FALSE,"CPFFMSTR";"PAGE2",#N/A,FALSE,"CPFFMSTR"}</definedName>
    <definedName name="aer3e" hidden="1">{"PAGE1",#N/A,FALSE,"CPFFMSTR";"PAGE2",#N/A,FALSE,"CPFFMSTR"}</definedName>
    <definedName name="aere" localSheetId="0" hidden="1">{"PAGE1",#N/A,FALSE,"CPFFMSTR";"PAGE2",#N/A,FALSE,"CPFFMSTR"}</definedName>
    <definedName name="aere" hidden="1">{"PAGE1",#N/A,FALSE,"CPFFMSTR";"PAGE2",#N/A,FALSE,"CPFFMSTR"}</definedName>
    <definedName name="aesre" localSheetId="0" hidden="1">{"PAGE1",#N/A,FALSE,"CPFFMSTR";"PAGE2",#N/A,FALSE,"CPFFMSTR"}</definedName>
    <definedName name="aesre" hidden="1">{"PAGE1",#N/A,FALSE,"CPFFMSTR";"PAGE2",#N/A,FALSE,"CPFFMSTR"}</definedName>
    <definedName name="Agbiz11">[10]RATES!#REF!</definedName>
    <definedName name="Agbiz12">[10]RATES!#REF!</definedName>
    <definedName name="Agbiz13">[10]RATES!#REF!</definedName>
    <definedName name="Agbiz41">[10]RATES!#REF!</definedName>
    <definedName name="Agbiz42">[10]RATES!#REF!</definedName>
    <definedName name="Agbiz43">[10]RATES!#REF!</definedName>
    <definedName name="Agbiz51">[10]RATES!#REF!</definedName>
    <definedName name="Agbiz52">[10]RATES!#REF!</definedName>
    <definedName name="Agbiz53">[10]RATES!#REF!</definedName>
    <definedName name="AGCOSTS">#REF!</definedName>
    <definedName name="aidmax">[5]Parameters!$D$9</definedName>
    <definedName name="Airfare_Consultants">#REF!</definedName>
    <definedName name="Airfare_Homeleave">#REF!</definedName>
    <definedName name="airshipment">[12]Sheet1!$C$41</definedName>
    <definedName name="ALL">#REF!</definedName>
    <definedName name="Allowances">'[13]INPUTS Year 1'!$A$96:$A$96</definedName>
    <definedName name="ANAL">#REF!</definedName>
    <definedName name="Appointments">IF(LEN([14]calcs!$C$7:$N$43),COUNTIFS([14]!tblAppointments[DATE],[14]calcs!$C$7:$N$43,[14]!tblAppointments[DATE],"&gt;0"),0)</definedName>
    <definedName name="asd" hidden="1">[2]IPA!#REF!</definedName>
    <definedName name="asdf" localSheetId="0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>[15]INDIRECTS!#REF!</definedName>
    <definedName name="AWI_FACTOR_OPTION_YR2">[15]INDIRECTS!#REF!</definedName>
    <definedName name="AWI_FACTOR_OPTION_YR3">[15]INDIRECTS!#REF!</definedName>
    <definedName name="AWI_FACTOR_OPTION_YR4">[15]INDIRECTS!#REF!</definedName>
    <definedName name="AWI_FACTOR_TABLE">[15]INDIRECTS!#REF!</definedName>
    <definedName name="AWU_FACTOR_OPTION_YR1B">[15]INDIRECTS!#REF!</definedName>
    <definedName name="bank_transfer">#REF!</definedName>
    <definedName name="BASA">#REF!</definedName>
    <definedName name="BASA1">#REF!</definedName>
    <definedName name="basefee">#REF!</definedName>
    <definedName name="BI">[16]Assumptions!$H$12</definedName>
    <definedName name="big">#REF!</definedName>
    <definedName name="bkodc">[12]Sheet1!$C$32</definedName>
    <definedName name="BRANTRAV">#REF!</definedName>
    <definedName name="budget">#REF!</definedName>
    <definedName name="Budget_years">#REF!</definedName>
    <definedName name="bver" localSheetId="0" hidden="1">{"PAGE1",#N/A,FALSE,"CPFFMSTR";"PAGE2",#N/A,FALSE,"CPFFMSTR"}</definedName>
    <definedName name="bver" hidden="1">{"PAGE1",#N/A,FALSE,"CPFFMSTR";"PAGE2",#N/A,FALSE,"CPFFMSTR"}</definedName>
    <definedName name="capital">[17]Parameters!$B$35</definedName>
    <definedName name="Cash_Table">'[18]Cash Receipt by Project'!$A:$EA</definedName>
    <definedName name="CCN">#N/A</definedName>
    <definedName name="CCN_Disount">#REF!</definedName>
    <definedName name="CGHY" localSheetId="0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>[5]Parameters!$B$2</definedName>
    <definedName name="CII">[12]Sheet1!$C$13</definedName>
    <definedName name="CLASS">[19]Classes!$B$2:$C$29</definedName>
    <definedName name="clin1">[7]Parameters!$B$10</definedName>
    <definedName name="clin1base">#REF!</definedName>
    <definedName name="clin1factor">'[5]CLIN factor'!$E$73</definedName>
    <definedName name="clin1oy1">#REF!</definedName>
    <definedName name="clin1oy2">#REF!</definedName>
    <definedName name="clin1oy3">#REF!</definedName>
    <definedName name="clin1oy4">#REF!</definedName>
    <definedName name="clin2">[7]Parameters!$B$11</definedName>
    <definedName name="clin2base">#REF!</definedName>
    <definedName name="clin2factor">'[5]CLIN factor'!$H$73</definedName>
    <definedName name="clin2oy1">#REF!</definedName>
    <definedName name="clin2oy2">#REF!</definedName>
    <definedName name="clin2oy3">#REF!</definedName>
    <definedName name="clin2oy4">#REF!</definedName>
    <definedName name="clin3">[7]Parameters!$B$12</definedName>
    <definedName name="clin3base">#REF!</definedName>
    <definedName name="clin3factor">'[5]CLIN factor'!$K$73</definedName>
    <definedName name="clin3oy1">#REF!</definedName>
    <definedName name="clin3oy2">#REF!</definedName>
    <definedName name="clin3oy3">#REF!</definedName>
    <definedName name="clin3oy4">#REF!</definedName>
    <definedName name="clin4">[7]Parameters!$B$13</definedName>
    <definedName name="clin5">[7]Parameters!$B$14</definedName>
    <definedName name="CoLA">'[20]Payroll August '!#REF!</definedName>
    <definedName name="comm">[5]Parameters!#REF!</definedName>
    <definedName name="Composite_Indirect_Rates_Year_1">[15]INDIRECTS!$T$3:$Y$15</definedName>
    <definedName name="Composite_Indirect_Rates_Year_2">[15]INDIRECTS!#REF!</definedName>
    <definedName name="Composite_Indirect_Rates_Year_3">[15]INDIRECTS!#REF!</definedName>
    <definedName name="Composite_Indirect_Rates_Year_4">[15]INDIRECTS!#REF!</definedName>
    <definedName name="Composite_Indirect_Rates_Year_5">[15]INDIRECTS!#REF!</definedName>
    <definedName name="COMSO" localSheetId="0" hidden="1">{#N/A,#N/A,FALSE,"Proposal"}</definedName>
    <definedName name="COMSO" hidden="1">{#N/A,#N/A,FALSE,"Proposal"}</definedName>
    <definedName name="confperdiem">#REF!</definedName>
    <definedName name="Connscenario">'[21]Summary Budget'!$O$12:$V$12</definedName>
    <definedName name="Connscenariodata">'[21]Summary Budget'!$O$12:$V$13</definedName>
    <definedName name="Cons">[10]RATES!#REF!</definedName>
    <definedName name="ConsolidatedOld">#REF!</definedName>
    <definedName name="CONST">#REF!</definedName>
    <definedName name="CONSULT">#N/A</definedName>
    <definedName name="consumables">[12]Sheet1!$C$42</definedName>
    <definedName name="COOPERATIVE_LEAGUE_OF_THE_USA">#REF!</definedName>
    <definedName name="coptrip">[5]Parameters!$D$27</definedName>
    <definedName name="coptriplength">[5]Parameters!$D$28</definedName>
    <definedName name="Cost_Elements">[15]INDIRECTS!$T$2:$Y$2</definedName>
    <definedName name="COSTS">#N/A</definedName>
    <definedName name="COUNTRY">#N/A</definedName>
    <definedName name="countryinf">#REF!</definedName>
    <definedName name="cts">[5]Parameters!$D$63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[7]Parameters!$B$522</definedName>
    <definedName name="dangerpay">[5]Parameters!$D$57</definedName>
    <definedName name="Dartotalpd">[17]Parameters!$B$29</definedName>
    <definedName name="DATA">#REF!</definedName>
    <definedName name="_xlnm.Database">#REF!</definedName>
    <definedName name="dataI3R">#REF!</definedName>
    <definedName name="Date">#REF!</definedName>
    <definedName name="Days">[10]RATES!#REF!</definedName>
    <definedName name="daysinKabul">[7]Parameters!$B$512</definedName>
    <definedName name="daysinPeshawar">[7]Parameters!$B$514</definedName>
    <definedName name="daysinTravel">[7]Parameters!$B$515</definedName>
    <definedName name="daysoutKabul">[7]Parameters!$B$513</definedName>
    <definedName name="dayspertrip">#REF!</definedName>
    <definedName name="dba">[5]Parameters!$D$16</definedName>
    <definedName name="ddd">'[22]Data-in process'!$C$2:$K$60</definedName>
    <definedName name="dereje">'[3]Detailed Budget-SAVE'!#REF!</definedName>
    <definedName name="Dereje_123">#REF!</definedName>
    <definedName name="DETAIL">#REF!</definedName>
    <definedName name="DFTY" localSheetId="0" hidden="1">{"PAGE1",#N/A,FALSE,"CPFFMSTR";"PAGE2",#N/A,FALSE,"CPFFMSTR"}</definedName>
    <definedName name="DFTY" hidden="1">{"PAGE1",#N/A,FALSE,"CPFFMSTR";"PAGE2",#N/A,FALSE,"CPFFMSTR"}</definedName>
    <definedName name="differential">[23]formulas!#REF!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0" hidden="1">{"PAGE1",#N/A,FALSE,"CPFFMSTR";"PAGE2",#N/A,FALSE,"CPFFMSTR"}</definedName>
    <definedName name="dsfa" hidden="1">{"PAGE1",#N/A,FALSE,"CPFFMSTR";"PAGE2",#N/A,FALSE,"CPFFMSTR"}</definedName>
    <definedName name="dtys" localSheetId="0" hidden="1">{"PAGE1",#N/A,FALSE,"CPFFMSTR";"PAGE2",#N/A,FALSE,"CPFFMSTR"}</definedName>
    <definedName name="dtys" hidden="1">{"PAGE1",#N/A,FALSE,"CPFFMSTR";"PAGE2",#N/A,FALSE,"CPFFMSTR"}</definedName>
    <definedName name="eafo" localSheetId="0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0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0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0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0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0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0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0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0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0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0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0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0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0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0" hidden="1">{"JDISS_Co1",#N/A,FALSE,"JDISS_Co1";"JDISSCo1_PA",#N/A,FALSE,"JDISS_Co1"}</definedName>
    <definedName name="eafo24" hidden="1">{"JDISS_Co1",#N/A,FALSE,"JDISS_Co1";"JDISSCo1_PA",#N/A,FALSE,"JDISS_Co1"}</definedName>
    <definedName name="eafo26" localSheetId="0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0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0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0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0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0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0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0" hidden="1">{"JDISS_Co1",#N/A,FALSE,"JDISS_Co1";"JDISSCo1_PA",#N/A,FALSE,"JDISS_Co1"}</definedName>
    <definedName name="eafo9" hidden="1">{"JDISS_Co1",#N/A,FALSE,"JDISS_Co1";"JDISSCo1_PA",#N/A,FALSE,"JDISS_Co1"}</definedName>
    <definedName name="earo25" localSheetId="0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>[7]Parameters!$B$526</definedName>
    <definedName name="ed9_12">[7]Parameters!$B$527</definedName>
    <definedName name="edk_5">[7]Parameters!$B$525</definedName>
    <definedName name="EETYPE">#REF!</definedName>
    <definedName name="EEwithAmounts">#REF!</definedName>
    <definedName name="EMPLOYEECURRENTSTATUS">#REF!</definedName>
    <definedName name="END">#N/A</definedName>
    <definedName name="eras" localSheetId="0" hidden="1">{"PAGE1",#N/A,FALSE,"CPFFMSTR";"PAGE2",#N/A,FALSE,"CPFFMSTR"}</definedName>
    <definedName name="eras" hidden="1">{"PAGE1",#N/A,FALSE,"CPFFMSTR";"PAGE2",#N/A,FALSE,"CPFFMSTR"}</definedName>
    <definedName name="erwe" localSheetId="0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>[5]Parameters!$D$19</definedName>
    <definedName name="Exchange">#REF!</definedName>
    <definedName name="ExchangeRate">#REF!</definedName>
    <definedName name="Expat_Discount">#REF!</definedName>
    <definedName name="Expat_Fringe">#REF!</definedName>
    <definedName name="expatsalinc">[12]Sheet1!$C$7</definedName>
    <definedName name="expatsttasal">[12]Sheet1!$C$29</definedName>
    <definedName name="Expense">'[24]Drp Down Menu lists '!$B$1:$B$10</definedName>
    <definedName name="fasdf" localSheetId="0" hidden="1">{"PAGE1",#N/A,FALSE,"CPFFMSTR";"PAGE2",#N/A,FALSE,"CPFFMSTR"}</definedName>
    <definedName name="fasdf" hidden="1">{"PAGE1",#N/A,FALSE,"CPFFMSTR";"PAGE2",#N/A,FALSE,"CPFFMSTR"}</definedName>
    <definedName name="fasfas" hidden="1">[2]IPA!#REF!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>[5]Parameters!$D$15</definedName>
    <definedName name="FGH" localSheetId="0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>[25]Training!$N$3</definedName>
    <definedName name="fooh">[5]Parameters!$D$13</definedName>
    <definedName name="FORM">#REF!</definedName>
    <definedName name="FORM1">#REF!</definedName>
    <definedName name="FORM3">#REF!</definedName>
    <definedName name="FPMSA">#N/A</definedName>
    <definedName name="fr">[5]Parameters!$D$10</definedName>
    <definedName name="fringe">0.405</definedName>
    <definedName name="fringedir">[7]Parameters!$B$488</definedName>
    <definedName name="fsnmax">[5]Parameters!#REF!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>[5]Parameters!$D$14</definedName>
    <definedName name="GandA_by_firm">#REF!</definedName>
    <definedName name="gandamult">[26]formulas!$B$6</definedName>
    <definedName name="GENDER">#REF!</definedName>
    <definedName name="ghghghtghg" hidden="1">#REF!</definedName>
    <definedName name="GR">'[19]Tx-Acc'!$D$2:$E$483</definedName>
    <definedName name="Grand_Total">'[27]Schedule Items-Labor'!#REF!</definedName>
    <definedName name="grantfee">0.02</definedName>
    <definedName name="GRP">#REF!</definedName>
    <definedName name="GSDFG" localSheetId="0" hidden="1">{"PAGE1",#N/A,FALSE,"CPFFMSTR";"PAGE2",#N/A,FALSE,"CPFFMSTR"}</definedName>
    <definedName name="GSDFG" hidden="1">{"PAGE1",#N/A,FALSE,"CPFFMSTR";"PAGE2",#N/A,FALSE,"CPFFMSTR"}</definedName>
    <definedName name="guard">[12]Sheet1!$C$46</definedName>
    <definedName name="guatemala">#REF!</definedName>
    <definedName name="HEAD">#REF!</definedName>
    <definedName name="heading">#N/A</definedName>
    <definedName name="health_insurance">[5]Parameters!$D$60</definedName>
    <definedName name="HGJ" localSheetId="0" hidden="1">{"PAGE1",#N/A,FALSE,"CPFFMSTR";"PAGE2",#N/A,FALSE,"CPFFMSTR"}</definedName>
    <definedName name="HGJ" hidden="1">{"PAGE1",#N/A,FALSE,"CPFFMSTR";"PAGE2",#N/A,FALSE,"CPFFMSTR"}</definedName>
    <definedName name="hhehandling">[12]Sheet1!$C$40</definedName>
    <definedName name="hheorigin">[12]Sheet1!$C$39</definedName>
    <definedName name="hheshipment">[12]Sheet1!$C$37</definedName>
    <definedName name="hhestorage">[12]Sheet1!$C$38</definedName>
    <definedName name="HIID1">#N/A</definedName>
    <definedName name="HIID4">#N/A</definedName>
    <definedName name="HISTORY">#REF!</definedName>
    <definedName name="ho">[7]Parameters!$A$431</definedName>
    <definedName name="hofa">[5]Parameters!#REF!</definedName>
    <definedName name="Hola" hidden="1">'[8]sample labor calc'!#REF!</definedName>
    <definedName name="hooh">[5]Parameters!$D$12</definedName>
    <definedName name="Horas">#REF!</definedName>
    <definedName name="hos10co">[7]Parameters!$G$442</definedName>
    <definedName name="hos10name">[7]Parameters!$C$442</definedName>
    <definedName name="hos10sal1">[7]Parameters!$E$442</definedName>
    <definedName name="hos1co">[7]Parameters!$G$433</definedName>
    <definedName name="hos1name">[7]Parameters!$C$433</definedName>
    <definedName name="hos1sal1">[7]Parameters!$E$433</definedName>
    <definedName name="hos2co">[7]Parameters!$G$434</definedName>
    <definedName name="hos2name">[7]Parameters!$C$434</definedName>
    <definedName name="hos2sal1">[7]Parameters!$E$434</definedName>
    <definedName name="hos3co">[7]Parameters!$G$435</definedName>
    <definedName name="hos3name">[7]Parameters!$C$435</definedName>
    <definedName name="hos3sal1">[7]Parameters!$E$435</definedName>
    <definedName name="hos4co">[7]Parameters!$G$436</definedName>
    <definedName name="hos4name">[7]Parameters!$C$436</definedName>
    <definedName name="hos4sal1">[7]Parameters!$E$436</definedName>
    <definedName name="hos5co">[7]Parameters!$G$437</definedName>
    <definedName name="hos5name">[7]Parameters!$C$437</definedName>
    <definedName name="hos5sal1">[7]Parameters!$E$437</definedName>
    <definedName name="hos6co">[7]Parameters!$G$438</definedName>
    <definedName name="hos6name">[7]Parameters!$C$438</definedName>
    <definedName name="hos6sal1">[7]Parameters!$E$438</definedName>
    <definedName name="hos7co">[7]Parameters!$G$439</definedName>
    <definedName name="hos7name">[7]Parameters!$C$439</definedName>
    <definedName name="hos7sal1">[7]Parameters!$E$439</definedName>
    <definedName name="hos8co">[7]Parameters!$G$440</definedName>
    <definedName name="hos8name">[7]Parameters!$C$440</definedName>
    <definedName name="hos8sal1">[7]Parameters!$E$440</definedName>
    <definedName name="hos9co">[7]Parameters!$G$441</definedName>
    <definedName name="hos9name">[7]Parameters!$C$441</definedName>
    <definedName name="hos9sal1">[7]Parameters!$E$441</definedName>
    <definedName name="hosco11">[7]Parameters!$G$443</definedName>
    <definedName name="hosco12">[7]Parameters!$G$444</definedName>
    <definedName name="hosco13">[7]Parameters!$G$445</definedName>
    <definedName name="hosco14">[7]Parameters!$G$446</definedName>
    <definedName name="hosco15">[7]Parameters!$G$447</definedName>
    <definedName name="hosco16">[7]Parameters!$G$448</definedName>
    <definedName name="hosco17">[7]Parameters!$G$449</definedName>
    <definedName name="hosco18">[7]Parameters!$G$450</definedName>
    <definedName name="hosco19">[7]Parameters!$G$451</definedName>
    <definedName name="hosco20">[7]Parameters!$G$452</definedName>
    <definedName name="hosco21">[7]Parameters!$G$453</definedName>
    <definedName name="hosjob1">[7]Parameters!$I$433</definedName>
    <definedName name="hosjob10">[7]Parameters!$I$442</definedName>
    <definedName name="hosjob2">[7]Parameters!$I$434</definedName>
    <definedName name="hosjob3">[7]Parameters!$I$435</definedName>
    <definedName name="hosjob4">[7]Parameters!$I$436</definedName>
    <definedName name="hosjob5">[7]Parameters!$I$437</definedName>
    <definedName name="hosjob6">[7]Parameters!$I$438</definedName>
    <definedName name="hosjob7">[7]Parameters!$I$439</definedName>
    <definedName name="hosjob8">[7]Parameters!$I$440</definedName>
    <definedName name="hosjob9">[7]Parameters!$I$441</definedName>
    <definedName name="hosname11">[7]Parameters!$C$443</definedName>
    <definedName name="hosname12">[7]Parameters!$C$444</definedName>
    <definedName name="hosname13">[7]Parameters!$C$445</definedName>
    <definedName name="hosname14">[7]Parameters!$C$446</definedName>
    <definedName name="hosname15">[7]Parameters!$C$447</definedName>
    <definedName name="hosname16">[7]Parameters!$C$448</definedName>
    <definedName name="hosname17">[7]Parameters!$C$449</definedName>
    <definedName name="hosname18">[7]Parameters!$C$450</definedName>
    <definedName name="hosname19">[7]Parameters!$C$451</definedName>
    <definedName name="hosname20">[7]Parameters!$C$452</definedName>
    <definedName name="hosname21">[7]Parameters!$C$453</definedName>
    <definedName name="hossal11">[7]Parameters!$E$443</definedName>
    <definedName name="hossal12">[7]Parameters!$E$444</definedName>
    <definedName name="hossal13">[7]Parameters!$E$445</definedName>
    <definedName name="hossal14">[7]Parameters!$E$446</definedName>
    <definedName name="hossal15">[7]Parameters!$E$447</definedName>
    <definedName name="hossal16">[7]Parameters!$E$448</definedName>
    <definedName name="hossal17">[7]Parameters!$E$449</definedName>
    <definedName name="hossal18">[7]Parameters!$E$450</definedName>
    <definedName name="hossal19">[7]Parameters!$E$451</definedName>
    <definedName name="hossal20">[7]Parameters!$E$452</definedName>
    <definedName name="hossal21">[7]Parameters!$E$453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>'[25]DETAIL Burkina Faso'!$R$3</definedName>
    <definedName name="Indirect1">#REF!</definedName>
    <definedName name="inf" localSheetId="0">#REF!</definedName>
    <definedName name="inf">#REF!</definedName>
    <definedName name="infl">[5]Parameters!$D$8</definedName>
    <definedName name="INFLATE">[10]RATES!#REF!</definedName>
    <definedName name="Inflation">'[28]Detail-1'!$J$2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ODC">'[25]DETAIL Burkina Faso'!$R$4</definedName>
    <definedName name="Insti11">[10]RATES!#REF!</definedName>
    <definedName name="Insti12">[10]RATES!#REF!</definedName>
    <definedName name="Insti13">[10]RATES!#REF!</definedName>
    <definedName name="Insti41">[10]RATES!#REF!</definedName>
    <definedName name="Insti42">[10]RATES!#REF!</definedName>
    <definedName name="Insti43">[10]RATES!#REF!</definedName>
    <definedName name="Insti51">[10]RATES!#REF!</definedName>
    <definedName name="Insti52">[10]RATES!#REF!</definedName>
    <definedName name="Insti53">[10]RATES!#REF!</definedName>
    <definedName name="INSTRUCT">#REF!</definedName>
    <definedName name="INTERMIT">#N/A</definedName>
    <definedName name="interregion">[5]Parameters!$D$42</definedName>
    <definedName name="intlrtecon">[5]Parameters!$D$26</definedName>
    <definedName name="intraregion">[5]Parameters!$D$43</definedName>
    <definedName name="ird">#REF!</definedName>
    <definedName name="ISTI1">#N/A</definedName>
    <definedName name="ISTI4">#N/A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>'[24]Drp Down Menu lists '!$C$1:$C$3</definedName>
    <definedName name="JAAscenariodata">'[21]Summary Budget'!$O$6:$V$7</definedName>
    <definedName name="jea" localSheetId="0" hidden="1">{#N/A,#N/A,FALSE,"ManLoading"}</definedName>
    <definedName name="jea" hidden="1">{#N/A,#N/A,FALSE,"ManLoading"}</definedName>
    <definedName name="JH" localSheetId="0" hidden="1">{"PAGE1",#N/A,FALSE,"CPFFMSTR";"PAGE2",#N/A,FALSE,"CPFFMSTR"}</definedName>
    <definedName name="JH" hidden="1">{"PAGE1",#N/A,FALSE,"CPFFMSTR";"PAGE2",#N/A,FALSE,"CPFFMSTR"}</definedName>
    <definedName name="JKHJ" localSheetId="0" hidden="1">{"PAGE1",#N/A,FALSE,"CPFFMSTR";"PAGE2",#N/A,FALSE,"CPFFMSTR"}</definedName>
    <definedName name="JKHJ" hidden="1">{"PAGE1",#N/A,FALSE,"CPFFMSTR";"PAGE2",#N/A,FALSE,"CPFFMSTR"}</definedName>
    <definedName name="kkk">'[9]Data-in process'!$C$3:$C$67</definedName>
    <definedName name="Labor">'[29]DAI Budget '!$A$12:$Y$63</definedName>
    <definedName name="Labor_Categories">#REF!</definedName>
    <definedName name="Labor_categories_and_levels">'[30]AMAP-MF'!$K$9:$K$33</definedName>
    <definedName name="Labor_category_and_level">'[31]AMAP-MF'!#REF!</definedName>
    <definedName name="Labor_Escalation">#REF!</definedName>
    <definedName name="Labor_Escalation_DPK">[32]Assumptions!$B$9</definedName>
    <definedName name="LABOR1">#N/A</definedName>
    <definedName name="LABOR2">#N/A</definedName>
    <definedName name="LBI">[16]Assumptions!$H$13</definedName>
    <definedName name="Lease" hidden="1">#REF!</definedName>
    <definedName name="lieclin4">#REF!</definedName>
    <definedName name="limaregion">[5]Parameters!$D$41</definedName>
    <definedName name="Local_Fringe">#REF!</definedName>
    <definedName name="Localclin1">#REF!</definedName>
    <definedName name="localclin2">#REF!</definedName>
    <definedName name="localclin3">#REF!</definedName>
    <definedName name="localfr">[5]Parameters!$D$11</definedName>
    <definedName name="localperdiem">#REF!</definedName>
    <definedName name="localsalinc">[12]Sheet1!$C$9</definedName>
    <definedName name="localsalincrease">#REF!</definedName>
    <definedName name="localsstpercent">[5]Parameters!$D$32</definedName>
    <definedName name="localsttrip">[5]Parameters!$D$33</definedName>
    <definedName name="localtravel">[16]Assumptions!$G$36:$J$46</definedName>
    <definedName name="localtripfactor">[12]Sheet1!$C$20</definedName>
    <definedName name="LOE">#N/A</definedName>
    <definedName name="lqa">[5]Parameters!$D$48</definedName>
    <definedName name="LQA2wf">[17]Parameters!$B$15</definedName>
    <definedName name="LRA">#REF!</definedName>
    <definedName name="ltlp">[7]Parameters!$A$128</definedName>
    <definedName name="ltlp1">[7]Parameters!$A$130</definedName>
    <definedName name="ltlp10">[7]Parameters!$A$139</definedName>
    <definedName name="ltlp10co">[7]Parameters!$G$139</definedName>
    <definedName name="ltlp10name">[7]Parameters!$C$139</definedName>
    <definedName name="ltlp10sal1">[7]Parameters!$E$139</definedName>
    <definedName name="ltlp11">[7]Parameters!$A$140</definedName>
    <definedName name="ltlp11co">[7]Parameters!$G$140</definedName>
    <definedName name="ltlp11name">[7]Parameters!$C$140</definedName>
    <definedName name="ltlp11sal1">[7]Parameters!$E$140</definedName>
    <definedName name="ltlp12">[7]Parameters!$A$141</definedName>
    <definedName name="ltlp12co">[7]Parameters!$G$141</definedName>
    <definedName name="ltlp12name">[7]Parameters!$C$141</definedName>
    <definedName name="ltlp12sal1">[7]Parameters!$E$141</definedName>
    <definedName name="ltlp13">[7]Parameters!$A$142</definedName>
    <definedName name="ltlp13co">[7]Parameters!$G$142</definedName>
    <definedName name="ltlp13name">[7]Parameters!$C$142</definedName>
    <definedName name="ltlp13sal1">[7]Parameters!$E$142</definedName>
    <definedName name="ltlp14">[7]Parameters!$A$143</definedName>
    <definedName name="ltlp14co">[7]Parameters!$G$143</definedName>
    <definedName name="ltlp14name">[7]Parameters!$C$143</definedName>
    <definedName name="ltlp14sal1">[7]Parameters!$E$143</definedName>
    <definedName name="ltlp15">[7]Parameters!$A$144</definedName>
    <definedName name="ltlp15co">[7]Parameters!$G$144</definedName>
    <definedName name="ltlp15name">[7]Parameters!$C$144</definedName>
    <definedName name="ltlp15sal1">[7]Parameters!$E$144</definedName>
    <definedName name="ltlp16">[7]Parameters!$A$145</definedName>
    <definedName name="ltlp16co">[7]Parameters!$G$145</definedName>
    <definedName name="ltlp16name">[7]Parameters!$C$145</definedName>
    <definedName name="ltlp16sal1">[7]Parameters!$E$145</definedName>
    <definedName name="ltlp17">[7]Parameters!$A$146</definedName>
    <definedName name="ltlp17co">[7]Parameters!$G$146</definedName>
    <definedName name="ltlp17name">[7]Parameters!$C$146</definedName>
    <definedName name="ltlp17sal1">[7]Parameters!$E$146</definedName>
    <definedName name="ltlp18">[7]Parameters!$A$147</definedName>
    <definedName name="ltlp18co">[7]Parameters!$G$147</definedName>
    <definedName name="ltlp18name">[7]Parameters!$C$147</definedName>
    <definedName name="ltlp18sal1">[7]Parameters!$E$147</definedName>
    <definedName name="ltlp19">[7]Parameters!$A$148</definedName>
    <definedName name="ltlp19co">[7]Parameters!$G$148</definedName>
    <definedName name="ltlp19name">[7]Parameters!$C$148</definedName>
    <definedName name="ltlp19sal1">[7]Parameters!$E$148</definedName>
    <definedName name="ltlp1co">[7]Parameters!$G$130</definedName>
    <definedName name="ltlp1name">[7]Parameters!$C$130</definedName>
    <definedName name="ltlp1sal1">[7]Parameters!$E$130</definedName>
    <definedName name="ltlp2">[7]Parameters!$A$131</definedName>
    <definedName name="ltlp20">[7]Parameters!$A$149</definedName>
    <definedName name="ltlp20co">[7]Parameters!$G$149</definedName>
    <definedName name="ltlp20name">[7]Parameters!$C$149</definedName>
    <definedName name="ltlp20sal1">[7]Parameters!$E$149</definedName>
    <definedName name="ltlp21">[7]Parameters!$A$150</definedName>
    <definedName name="ltlp21co">[7]Parameters!$G$150</definedName>
    <definedName name="ltlp21name">[7]Parameters!$C$150</definedName>
    <definedName name="ltlp21sal1">[7]Parameters!$E$150</definedName>
    <definedName name="ltlp22">[7]Parameters!$A$151</definedName>
    <definedName name="ltlp22co">[7]Parameters!$G$151</definedName>
    <definedName name="ltlp22name">[7]Parameters!$C$151</definedName>
    <definedName name="ltlp22sal1">[7]Parameters!$E$151</definedName>
    <definedName name="ltlp23">[7]Parameters!$A$152</definedName>
    <definedName name="ltlp23co">[7]Parameters!$G$152</definedName>
    <definedName name="ltlp23name">[7]Parameters!$C$152</definedName>
    <definedName name="ltlp23sal1">[7]Parameters!$E$152</definedName>
    <definedName name="ltlp24">[7]Parameters!$A$153</definedName>
    <definedName name="ltlp24co">[7]Parameters!$G$153</definedName>
    <definedName name="ltlp24name">[7]Parameters!$C$153</definedName>
    <definedName name="ltlp24sal1">[7]Parameters!$E$153</definedName>
    <definedName name="ltlp25">[7]Parameters!$A$154</definedName>
    <definedName name="ltlp26">[7]Parameters!$A$155</definedName>
    <definedName name="ltlp27">[7]Parameters!$A$156</definedName>
    <definedName name="ltlp28">[7]Parameters!$A$157</definedName>
    <definedName name="ltlp29">[7]Parameters!$A$158</definedName>
    <definedName name="ltlp2co">[7]Parameters!$G$131</definedName>
    <definedName name="ltlp2name">[7]Parameters!$C$131</definedName>
    <definedName name="ltlp2sal1">[7]Parameters!$E$131</definedName>
    <definedName name="ltlp3">[7]Parameters!$A$132</definedName>
    <definedName name="ltlp30">[7]Parameters!$A$159</definedName>
    <definedName name="ltlp31">[7]Parameters!$A$160</definedName>
    <definedName name="ltlp32">[7]Parameters!$A$161</definedName>
    <definedName name="ltlp33">[7]Parameters!$A$162</definedName>
    <definedName name="ltlp34">[7]Parameters!$A$163</definedName>
    <definedName name="ltlp35">[7]Parameters!$A$164</definedName>
    <definedName name="ltlp36">[7]Parameters!$A$165</definedName>
    <definedName name="ltlp37">[7]Parameters!$A$166</definedName>
    <definedName name="ltlp38">[7]Parameters!$A$167</definedName>
    <definedName name="ltlp39">[7]Parameters!$A$168</definedName>
    <definedName name="ltlp3co">[7]Parameters!$G$132</definedName>
    <definedName name="ltlp3name">[7]Parameters!$C$132</definedName>
    <definedName name="ltlp3sal1">[7]Parameters!$E$132</definedName>
    <definedName name="ltlp4">[7]Parameters!$A$133</definedName>
    <definedName name="ltlp40">[7]Parameters!$A$169</definedName>
    <definedName name="ltlp41">[7]Parameters!$A$170</definedName>
    <definedName name="ltlp42">[7]Parameters!$A$171</definedName>
    <definedName name="ltlp43">[7]Parameters!$A$172</definedName>
    <definedName name="ltlp44">[7]Parameters!$A$173</definedName>
    <definedName name="ltlp45">[7]Parameters!$A$174</definedName>
    <definedName name="ltlp46">[7]Parameters!$A$175</definedName>
    <definedName name="ltlp47">[7]Parameters!$A$176</definedName>
    <definedName name="ltlp48">[7]Parameters!$A$177</definedName>
    <definedName name="ltlp49">[7]Parameters!$A$178</definedName>
    <definedName name="ltlp4co">[7]Parameters!$G$133</definedName>
    <definedName name="ltlp4name">[7]Parameters!$C$133</definedName>
    <definedName name="ltlp4sal1">[7]Parameters!$E$133</definedName>
    <definedName name="ltlp5">[7]Parameters!$A$134</definedName>
    <definedName name="ltlp50">[7]Parameters!$A$179</definedName>
    <definedName name="ltlp51">[7]Parameters!$A$180</definedName>
    <definedName name="ltlp52">[7]Parameters!$A$181</definedName>
    <definedName name="ltlp53">[7]Parameters!$A$182</definedName>
    <definedName name="ltlp54">[7]Parameters!$A$183</definedName>
    <definedName name="ltlp55">[7]Parameters!$A$184</definedName>
    <definedName name="ltlp56">[7]Parameters!$A$185</definedName>
    <definedName name="ltlp57">[7]Parameters!$A$186</definedName>
    <definedName name="ltlp58">[7]Parameters!$A$187</definedName>
    <definedName name="ltlp59">[7]Parameters!$A$188</definedName>
    <definedName name="ltlp5co">[7]Parameters!$G$134</definedName>
    <definedName name="ltlp5name">[7]Parameters!$C$134</definedName>
    <definedName name="ltlp5sal1">[7]Parameters!$E$134</definedName>
    <definedName name="ltlp6">[7]Parameters!$A$135</definedName>
    <definedName name="ltlp60">[7]Parameters!$A$189</definedName>
    <definedName name="ltlp61">[7]Parameters!$A$190</definedName>
    <definedName name="ltlp62">[7]Parameters!$A$191</definedName>
    <definedName name="ltlp63">[7]Parameters!$A$192</definedName>
    <definedName name="ltlp64">[7]Parameters!$A$193</definedName>
    <definedName name="ltlp65">[7]Parameters!$A$194</definedName>
    <definedName name="ltlp66">[7]Parameters!$A$195</definedName>
    <definedName name="ltlp67">[7]Parameters!$A$196</definedName>
    <definedName name="ltlp68">[7]Parameters!$A$197</definedName>
    <definedName name="ltlp69">[7]Parameters!$A$198</definedName>
    <definedName name="ltlp6co">[7]Parameters!$G$135</definedName>
    <definedName name="ltlp6name">[7]Parameters!$C$135</definedName>
    <definedName name="ltlp6sal1">[7]Parameters!$E$135</definedName>
    <definedName name="ltlp7">[7]Parameters!$A$136</definedName>
    <definedName name="ltlp70">[7]Parameters!$A$199</definedName>
    <definedName name="ltlp71">[7]Parameters!$A$200</definedName>
    <definedName name="ltlp72">[7]Parameters!$A$201</definedName>
    <definedName name="ltlp73">[7]Parameters!$A$202</definedName>
    <definedName name="ltlp74">[7]Parameters!$A$203</definedName>
    <definedName name="ltlp75">[7]Parameters!$A$204</definedName>
    <definedName name="ltlp76">[7]Parameters!$A$205</definedName>
    <definedName name="ltlp7co">[7]Parameters!$G$136</definedName>
    <definedName name="ltlp7name">[7]Parameters!$C$136</definedName>
    <definedName name="ltlp7sal1">[7]Parameters!$E$136</definedName>
    <definedName name="ltlp8">[7]Parameters!$A$137</definedName>
    <definedName name="ltlp8co">[7]Parameters!$G$137</definedName>
    <definedName name="ltlp8name">[7]Parameters!$C$137</definedName>
    <definedName name="ltlp8sal1">[7]Parameters!$E$137</definedName>
    <definedName name="ltlp9">[7]Parameters!$A$138</definedName>
    <definedName name="ltlp9co">[7]Parameters!$G$138</definedName>
    <definedName name="ltlp9name">[7]Parameters!$C$138</definedName>
    <definedName name="ltlp9sal1">[7]Parameters!$E$138</definedName>
    <definedName name="ltlpco25">[7]Parameters!$G$154</definedName>
    <definedName name="ltlpco26">[7]Parameters!$G$155</definedName>
    <definedName name="ltlpco27">[7]Parameters!$G$156</definedName>
    <definedName name="ltlpco28">[7]Parameters!$G$157</definedName>
    <definedName name="ltlpco29">[7]Parameters!$G$158</definedName>
    <definedName name="ltlpco30">[7]Parameters!$G$159</definedName>
    <definedName name="ltlpco31">[7]Parameters!$G$160</definedName>
    <definedName name="ltlpco32">[7]Parameters!$G$161</definedName>
    <definedName name="ltlpco33">[7]Parameters!$G$162</definedName>
    <definedName name="ltlpco34">[7]Parameters!$G$163</definedName>
    <definedName name="ltlpco35">[7]Parameters!$G$164</definedName>
    <definedName name="ltlpco36">[7]Parameters!$G$165</definedName>
    <definedName name="ltlpco37">[7]Parameters!$G$166</definedName>
    <definedName name="ltlpco38">[7]Parameters!$G$167</definedName>
    <definedName name="ltlpco39">[7]Parameters!$G$168</definedName>
    <definedName name="ltlpco40">[7]Parameters!$G$169</definedName>
    <definedName name="ltlpco41">[7]Parameters!$G$170</definedName>
    <definedName name="ltlpco42">[7]Parameters!$G$171</definedName>
    <definedName name="ltlpco43">[7]Parameters!$G$172</definedName>
    <definedName name="ltlpco44">[7]Parameters!$G$173</definedName>
    <definedName name="ltlpco45">[7]Parameters!$G$174</definedName>
    <definedName name="ltlpco46">[7]Parameters!$G$175</definedName>
    <definedName name="ltlpco47">[7]Parameters!$G$176</definedName>
    <definedName name="ltlpco48">[7]Parameters!$G$177</definedName>
    <definedName name="ltlpco49">[7]Parameters!$G$178</definedName>
    <definedName name="ltlpco50">[7]Parameters!$G$179</definedName>
    <definedName name="ltlpco51">[7]Parameters!$G$180</definedName>
    <definedName name="ltlpco52">[7]Parameters!$G$181</definedName>
    <definedName name="ltlpco53">[7]Parameters!$G$182</definedName>
    <definedName name="ltlpco54">[7]Parameters!$G$183</definedName>
    <definedName name="ltlpco55">[7]Parameters!$G$184</definedName>
    <definedName name="ltlpco56">[7]Parameters!$G$185</definedName>
    <definedName name="ltlpco57">[7]Parameters!$G$186</definedName>
    <definedName name="ltlpco58">[7]Parameters!$G$187</definedName>
    <definedName name="ltlpco59">[7]Parameters!$G$188</definedName>
    <definedName name="ltlpco60">[7]Parameters!$G$189</definedName>
    <definedName name="ltlpco61">[7]Parameters!$G$190</definedName>
    <definedName name="ltlpco62">[7]Parameters!$G$191</definedName>
    <definedName name="ltlpco63">[7]Parameters!$G$192</definedName>
    <definedName name="ltlpco64">[7]Parameters!$G$193</definedName>
    <definedName name="ltlpco65">[7]Parameters!$G$194</definedName>
    <definedName name="ltlpco66">[7]Parameters!$G$195</definedName>
    <definedName name="ltlpco67">[7]Parameters!$G$196</definedName>
    <definedName name="ltlpco68">[7]Parameters!$G$197</definedName>
    <definedName name="ltlpco69">[7]Parameters!$G$198</definedName>
    <definedName name="ltlpco70">[7]Parameters!$G$199</definedName>
    <definedName name="ltlpco71">[7]Parameters!$G$200</definedName>
    <definedName name="ltlpco72">[7]Parameters!$G$201</definedName>
    <definedName name="ltlpco73">[7]Parameters!$G$202</definedName>
    <definedName name="ltlpco74">[7]Parameters!$G$203</definedName>
    <definedName name="ltlpco75">[7]Parameters!$G$204</definedName>
    <definedName name="ltlpjob1">[7]Parameters!$I$130</definedName>
    <definedName name="ltlpjob10">[7]Parameters!$I$139</definedName>
    <definedName name="ltlpjob11">[7]Parameters!$I$140</definedName>
    <definedName name="ltlpjob12">[7]Parameters!$I$141</definedName>
    <definedName name="ltlpjob13">[7]Parameters!$I$142</definedName>
    <definedName name="ltlpjob14">[7]Parameters!$I$143</definedName>
    <definedName name="ltlpjob15">[7]Parameters!$I$144</definedName>
    <definedName name="ltlpjob16">[7]Parameters!$I$145</definedName>
    <definedName name="ltlpjob17">[7]Parameters!$I$146</definedName>
    <definedName name="ltlpjob18">[7]Parameters!$I$147</definedName>
    <definedName name="ltlpjob19">[7]Parameters!$I$148</definedName>
    <definedName name="ltlpjob2">[7]Parameters!$I$131</definedName>
    <definedName name="ltlpjob20">[7]Parameters!$I$149</definedName>
    <definedName name="ltlpjob21">[7]Parameters!$I$150</definedName>
    <definedName name="ltlpjob22">[7]Parameters!$I$151</definedName>
    <definedName name="ltlpjob23">[7]Parameters!$I$152</definedName>
    <definedName name="ltlpjob24">[7]Parameters!$I$153</definedName>
    <definedName name="ltlpjob25">[7]Parameters!$I$154</definedName>
    <definedName name="ltlpjob26">[7]Parameters!$I$155</definedName>
    <definedName name="ltlpjob27">[7]Parameters!$I$156</definedName>
    <definedName name="ltlpjob28">[7]Parameters!$I$157</definedName>
    <definedName name="ltlpjob29">[7]Parameters!$I$158</definedName>
    <definedName name="ltlpjob3">[7]Parameters!$I$132</definedName>
    <definedName name="ltlpjob30">[7]Parameters!$I$159</definedName>
    <definedName name="ltlpjob31">[7]Parameters!$I$160</definedName>
    <definedName name="ltlpjob32">[7]Parameters!$I$161</definedName>
    <definedName name="ltlpjob33">[7]Parameters!$I$162</definedName>
    <definedName name="ltlpjob34">[7]Parameters!$I$163</definedName>
    <definedName name="ltlpjob35">[7]Parameters!$I$164</definedName>
    <definedName name="ltlpjob36">[7]Parameters!$I$165</definedName>
    <definedName name="ltlpjob37">[7]Parameters!$I$166</definedName>
    <definedName name="ltlpjob38">[7]Parameters!$I$167</definedName>
    <definedName name="ltlpjob39">[7]Parameters!$I$168</definedName>
    <definedName name="ltlpjob4">[7]Parameters!$I$133</definedName>
    <definedName name="ltlpjob40">[7]Parameters!$I$169</definedName>
    <definedName name="ltlpjob41">[7]Parameters!$I$170</definedName>
    <definedName name="ltlpjob42">[7]Parameters!$I$171</definedName>
    <definedName name="ltlpjob43">[7]Parameters!$I$172</definedName>
    <definedName name="ltlpjob44">[7]Parameters!$I$173</definedName>
    <definedName name="ltlpjob45">[7]Parameters!$I$174</definedName>
    <definedName name="ltlpjob46">[7]Parameters!$I$175</definedName>
    <definedName name="ltlpjob47">[7]Parameters!$I$176</definedName>
    <definedName name="ltlpjob48">[7]Parameters!$I$177</definedName>
    <definedName name="ltlpjob49">[7]Parameters!$I$178</definedName>
    <definedName name="ltlpjob5">[7]Parameters!$I$134</definedName>
    <definedName name="ltlpjob50">[7]Parameters!$I$179</definedName>
    <definedName name="ltlpjob51">[7]Parameters!$I$180</definedName>
    <definedName name="ltlpjob52">[7]Parameters!$I$181</definedName>
    <definedName name="ltlpjob53">[7]Parameters!$I$182</definedName>
    <definedName name="ltlpjob54">[7]Parameters!$I$183</definedName>
    <definedName name="ltlpjob55">[7]Parameters!$I$184</definedName>
    <definedName name="ltlpjob56">[7]Parameters!$I$185</definedName>
    <definedName name="ltlpjob57">[7]Parameters!$I$186</definedName>
    <definedName name="ltlpjob58">[7]Parameters!$I$187</definedName>
    <definedName name="ltlpjob59">[7]Parameters!$I$188</definedName>
    <definedName name="ltlpjob6">[7]Parameters!$I$135</definedName>
    <definedName name="ltlpjob60">[7]Parameters!$I$189</definedName>
    <definedName name="ltlpjob61">[7]Parameters!$I$190</definedName>
    <definedName name="ltlpjob62">[7]Parameters!$I$191</definedName>
    <definedName name="ltlpjob63">[7]Parameters!$I$192</definedName>
    <definedName name="ltlpjob64">[7]Parameters!$I$193</definedName>
    <definedName name="ltlpjob65">[7]Parameters!$I$194</definedName>
    <definedName name="ltlpjob66">[7]Parameters!$I$195</definedName>
    <definedName name="ltlpjob67">[7]Parameters!$I$196</definedName>
    <definedName name="ltlpjob68">[7]Parameters!$I$197</definedName>
    <definedName name="ltlpjob69">[7]Parameters!$I$198</definedName>
    <definedName name="ltlpjob7">[7]Parameters!$I$136</definedName>
    <definedName name="ltlpjob70">[7]Parameters!$I$199</definedName>
    <definedName name="ltlpjob71">[7]Parameters!$I$200</definedName>
    <definedName name="ltlpjob72">[7]Parameters!$I$201</definedName>
    <definedName name="ltlpjob73">[7]Parameters!$I$202</definedName>
    <definedName name="ltlpjob74">[7]Parameters!$I$203</definedName>
    <definedName name="ltlpjob75">[7]Parameters!$I$204</definedName>
    <definedName name="ltlpjob8">[7]Parameters!$I$137</definedName>
    <definedName name="ltlpjob9">[7]Parameters!$I$138</definedName>
    <definedName name="ltlpname25">[7]Parameters!$C$154</definedName>
    <definedName name="ltlpname26">[7]Parameters!$C$155</definedName>
    <definedName name="ltlpname27">[7]Parameters!$C$156</definedName>
    <definedName name="ltlpname28">[7]Parameters!$C$157</definedName>
    <definedName name="ltlpname29">[7]Parameters!$C$158</definedName>
    <definedName name="ltlpname30">[7]Parameters!$C$159</definedName>
    <definedName name="ltlpname31">[7]Parameters!$C$160</definedName>
    <definedName name="ltlpname32">[7]Parameters!$C$161</definedName>
    <definedName name="ltlpname33">[7]Parameters!$C$162</definedName>
    <definedName name="ltlpname34">[7]Parameters!$C$163</definedName>
    <definedName name="ltlpname35">[7]Parameters!$C$164</definedName>
    <definedName name="ltlpname36">[7]Parameters!$C$165</definedName>
    <definedName name="ltlpname37">[7]Parameters!$C$166</definedName>
    <definedName name="ltlpname38">[7]Parameters!$C$167</definedName>
    <definedName name="ltlpname39">[7]Parameters!$C$168</definedName>
    <definedName name="ltlpname40">[7]Parameters!$C$169</definedName>
    <definedName name="ltlpname41">[7]Parameters!$C$170</definedName>
    <definedName name="ltlpname42">[7]Parameters!$C$171</definedName>
    <definedName name="ltlpname43">[7]Parameters!$C$172</definedName>
    <definedName name="ltlpname44">[7]Parameters!$C$173</definedName>
    <definedName name="ltlpname45">[7]Parameters!$C$174</definedName>
    <definedName name="ltlpname46">[7]Parameters!$C$175</definedName>
    <definedName name="ltlpname47">[7]Parameters!$C$176</definedName>
    <definedName name="ltlpname48">[7]Parameters!$C$177</definedName>
    <definedName name="ltlpname49">[7]Parameters!$C$178</definedName>
    <definedName name="ltlpname50">[7]Parameters!$C$179</definedName>
    <definedName name="ltlpname51">[7]Parameters!$C$180</definedName>
    <definedName name="ltlpname52">[7]Parameters!$C$181</definedName>
    <definedName name="ltlpname53">[7]Parameters!$C$182</definedName>
    <definedName name="ltlpname54">[7]Parameters!$C$183</definedName>
    <definedName name="ltlpname55">[7]Parameters!$C$184</definedName>
    <definedName name="ltlpname56">[7]Parameters!$C$185</definedName>
    <definedName name="ltlpname57">[7]Parameters!$C$186</definedName>
    <definedName name="ltlpname58">[7]Parameters!$C$187</definedName>
    <definedName name="ltlpname59">[7]Parameters!$C$188</definedName>
    <definedName name="ltlpname60">[7]Parameters!$C$189</definedName>
    <definedName name="ltlpname61">[7]Parameters!$C$190</definedName>
    <definedName name="ltlpname62">[7]Parameters!$C$191</definedName>
    <definedName name="ltlpname63">[7]Parameters!$C$192</definedName>
    <definedName name="ltlpname64">[7]Parameters!$C$193</definedName>
    <definedName name="ltlpname65">[7]Parameters!$C$194</definedName>
    <definedName name="ltlpname66">[7]Parameters!$C$195</definedName>
    <definedName name="ltlpname67">[7]Parameters!$C$196</definedName>
    <definedName name="ltlpname68">[7]Parameters!$C$197</definedName>
    <definedName name="ltlpname69">[7]Parameters!$C$198</definedName>
    <definedName name="ltlpname70">[7]Parameters!$C$199</definedName>
    <definedName name="ltlpname71">[7]Parameters!$C$200</definedName>
    <definedName name="ltlpname72">[7]Parameters!$C$201</definedName>
    <definedName name="ltlpname73">[7]Parameters!$C$202</definedName>
    <definedName name="ltlpname74">[7]Parameters!$C$203</definedName>
    <definedName name="ltlpname75">[7]Parameters!$C$204</definedName>
    <definedName name="ltlpsal25">[7]Parameters!$E$154</definedName>
    <definedName name="ltlpsal26">[7]Parameters!$E$155</definedName>
    <definedName name="ltlpsal27">[7]Parameters!$E$156</definedName>
    <definedName name="ltlpsal28">[7]Parameters!$E$157</definedName>
    <definedName name="ltlpsal29">[7]Parameters!$E$158</definedName>
    <definedName name="ltlpsal30">[7]Parameters!$E$159</definedName>
    <definedName name="ltlpsal31">[7]Parameters!$E$160</definedName>
    <definedName name="ltlpsal32">[7]Parameters!$E$161</definedName>
    <definedName name="ltlpsal33">[7]Parameters!$E$162</definedName>
    <definedName name="ltlpsal34">[7]Parameters!$E$163</definedName>
    <definedName name="ltlpsal35">[7]Parameters!$E$164</definedName>
    <definedName name="ltlpsal36">[7]Parameters!$E$165</definedName>
    <definedName name="ltlpsal37">[7]Parameters!$E$166</definedName>
    <definedName name="ltlpsal38">[7]Parameters!$E$167</definedName>
    <definedName name="ltlpsal39">[7]Parameters!$E$168</definedName>
    <definedName name="ltlpsal40">[7]Parameters!$E$169</definedName>
    <definedName name="ltlpsal41">[7]Parameters!$E$170</definedName>
    <definedName name="ltlpsal42">[7]Parameters!$E$171</definedName>
    <definedName name="ltlpsal43">[7]Parameters!$E$172</definedName>
    <definedName name="ltlpsal44">[7]Parameters!$E$173</definedName>
    <definedName name="ltlpsal45">[7]Parameters!$E$174</definedName>
    <definedName name="ltlpsal46">[7]Parameters!$E$175</definedName>
    <definedName name="ltlpsal47">[7]Parameters!$E$176</definedName>
    <definedName name="ltlpsal48">[7]Parameters!$E$177</definedName>
    <definedName name="ltlpsal49">[7]Parameters!$E$178</definedName>
    <definedName name="ltlpsal50">[7]Parameters!$E$179</definedName>
    <definedName name="ltlpsal51">[7]Parameters!$E$180</definedName>
    <definedName name="ltlpsal52">[7]Parameters!$E$181</definedName>
    <definedName name="ltlpsal53">[7]Parameters!$E$182</definedName>
    <definedName name="ltlpsal54">[7]Parameters!$E$183</definedName>
    <definedName name="ltlpsal55">[7]Parameters!$E$184</definedName>
    <definedName name="ltlpsal56">[7]Parameters!$E$185</definedName>
    <definedName name="ltlpsal57">[7]Parameters!$E$186</definedName>
    <definedName name="ltlpsal58">[7]Parameters!$E$187</definedName>
    <definedName name="ltlpsal59">[7]Parameters!$E$188</definedName>
    <definedName name="ltlpsal60">[7]Parameters!$E$189</definedName>
    <definedName name="ltlpsal61">[7]Parameters!$E$190</definedName>
    <definedName name="ltlpsal62">[7]Parameters!$E$191</definedName>
    <definedName name="ltlpsal63">[7]Parameters!$E$192</definedName>
    <definedName name="ltlpsal64">[7]Parameters!$E$193</definedName>
    <definedName name="ltlpsal65">[7]Parameters!$E$194</definedName>
    <definedName name="ltlpsal66">[7]Parameters!$E$195</definedName>
    <definedName name="ltlpsal67">[7]Parameters!$E$196</definedName>
    <definedName name="ltlpsal68">[7]Parameters!$E$197</definedName>
    <definedName name="ltlpsal69">[7]Parameters!$E$198</definedName>
    <definedName name="ltlpsal70">[7]Parameters!$E$199</definedName>
    <definedName name="ltlpsal71">[7]Parameters!$E$200</definedName>
    <definedName name="ltlpsal72">[7]Parameters!$E$201</definedName>
    <definedName name="ltlpsal73">[7]Parameters!$E$202</definedName>
    <definedName name="ltlpsal74">[7]Parameters!$E$203</definedName>
    <definedName name="ltlpsal75">[7]Parameters!$E$204</definedName>
    <definedName name="ltls">[7]Parameters!$A$376</definedName>
    <definedName name="ltls1">[7]Parameters!$A$378</definedName>
    <definedName name="ltls10">[7]Parameters!$A$387</definedName>
    <definedName name="ltls10co">[7]Parameters!$G$387</definedName>
    <definedName name="ltls10name">[7]Parameters!$C$387</definedName>
    <definedName name="ltls10sal1">[7]Parameters!$E$387</definedName>
    <definedName name="ltls11">[7]Parameters!$A$388</definedName>
    <definedName name="ltls11co">[7]Parameters!$G$388</definedName>
    <definedName name="ltls11name">[7]Parameters!$C$388</definedName>
    <definedName name="ltls11sal1">[7]Parameters!$E$388</definedName>
    <definedName name="ltls12">[7]Parameters!$A$389</definedName>
    <definedName name="ltls12co">[7]Parameters!$G$389</definedName>
    <definedName name="ltls12name">[7]Parameters!$C$389</definedName>
    <definedName name="ltls12sal1">[7]Parameters!$E$389</definedName>
    <definedName name="ltls13">[7]Parameters!$A$390</definedName>
    <definedName name="ltls13co">[7]Parameters!$G$390</definedName>
    <definedName name="ltls13name">[7]Parameters!$C$390</definedName>
    <definedName name="ltls13sal1">[7]Parameters!$E$390</definedName>
    <definedName name="ltls14">[7]Parameters!$A$391</definedName>
    <definedName name="ltls14co">[7]Parameters!$G$391</definedName>
    <definedName name="ltls14name">[7]Parameters!$C$391</definedName>
    <definedName name="ltls14sal1">[7]Parameters!$E$391</definedName>
    <definedName name="ltls15">[7]Parameters!$A$392</definedName>
    <definedName name="ltls16">[7]Parameters!$A$393</definedName>
    <definedName name="ltls17">[7]Parameters!$A$394</definedName>
    <definedName name="ltls18">[7]Parameters!$A$395</definedName>
    <definedName name="ltls19">[7]Parameters!$A$396</definedName>
    <definedName name="ltls1co">[7]Parameters!$G$378</definedName>
    <definedName name="ltls1name">[7]Parameters!$C$378</definedName>
    <definedName name="ltls1sal1">[7]Parameters!$E$378</definedName>
    <definedName name="ltls2">[7]Parameters!$A$379</definedName>
    <definedName name="ltls20">[7]Parameters!$A$397</definedName>
    <definedName name="ltls21">[7]Parameters!$A$398</definedName>
    <definedName name="ltls22">[7]Parameters!$A$399</definedName>
    <definedName name="ltls23">[7]Parameters!$A$400</definedName>
    <definedName name="ltls24">[7]Parameters!$A$401</definedName>
    <definedName name="ltls25">[7]Parameters!$A$402</definedName>
    <definedName name="ltls26">[7]Parameters!$A$403</definedName>
    <definedName name="ltls27">[7]Parameters!$A$404</definedName>
    <definedName name="ltls28">[7]Parameters!$A$405</definedName>
    <definedName name="ltls29">[7]Parameters!$A$406</definedName>
    <definedName name="ltls2co">[7]Parameters!$G$379</definedName>
    <definedName name="ltls2name">[7]Parameters!$C$379</definedName>
    <definedName name="ltls2sal1">[7]Parameters!$E$379</definedName>
    <definedName name="ltls3">[7]Parameters!$A$380</definedName>
    <definedName name="ltls30">[7]Parameters!$A$407</definedName>
    <definedName name="ltls31">[7]Parameters!$A$408</definedName>
    <definedName name="ltls32">[7]Parameters!$A$409</definedName>
    <definedName name="ltls33">[7]Parameters!$A$410</definedName>
    <definedName name="ltls34">[7]Parameters!$A$411</definedName>
    <definedName name="ltls35">[7]Parameters!$A$412</definedName>
    <definedName name="ltls36">[7]Parameters!$A$413</definedName>
    <definedName name="ltls37">[7]Parameters!$A$414</definedName>
    <definedName name="ltls38">[7]Parameters!$A$415</definedName>
    <definedName name="ltls39">[7]Parameters!$A$416</definedName>
    <definedName name="ltls3co">[7]Parameters!$G$380</definedName>
    <definedName name="ltls3name">[7]Parameters!$C$380</definedName>
    <definedName name="ltls3sal1">[7]Parameters!$E$380</definedName>
    <definedName name="ltls4">[7]Parameters!$A$381</definedName>
    <definedName name="ltls40">[7]Parameters!$A$417</definedName>
    <definedName name="ltls41">[7]Parameters!$A$418</definedName>
    <definedName name="ltls42">[7]Parameters!$A$419</definedName>
    <definedName name="ltls43">[7]Parameters!$A$420</definedName>
    <definedName name="ltls44">[7]Parameters!$A$421</definedName>
    <definedName name="ltls45">[7]Parameters!$A$422</definedName>
    <definedName name="ltls46">[7]Parameters!$A$423</definedName>
    <definedName name="ltls47">[7]Parameters!$A$424</definedName>
    <definedName name="ltls48">[7]Parameters!$A$425</definedName>
    <definedName name="ltls49">[7]Parameters!$A$426</definedName>
    <definedName name="ltls4co">[7]Parameters!$G$381</definedName>
    <definedName name="ltls4name">[7]Parameters!$C$381</definedName>
    <definedName name="ltls4sal1">[7]Parameters!$E$381</definedName>
    <definedName name="ltls5">[7]Parameters!$A$382</definedName>
    <definedName name="ltls50">[7]Parameters!$A$427</definedName>
    <definedName name="ltls51">[7]Parameters!$A$428</definedName>
    <definedName name="ltls52">[7]Parameters!$A$429</definedName>
    <definedName name="ltls5co">[7]Parameters!$G$382</definedName>
    <definedName name="ltls5name">[7]Parameters!$C$382</definedName>
    <definedName name="ltls5sal1">[7]Parameters!$E$382</definedName>
    <definedName name="ltls6">[7]Parameters!$A$383</definedName>
    <definedName name="ltls6co">[7]Parameters!$G$383</definedName>
    <definedName name="ltls6name">[7]Parameters!$C$383</definedName>
    <definedName name="ltls6sal1">[7]Parameters!$E$383</definedName>
    <definedName name="ltls7">[7]Parameters!$A$384</definedName>
    <definedName name="ltls7co">[7]Parameters!$G$384</definedName>
    <definedName name="ltls7name">[7]Parameters!$C$384</definedName>
    <definedName name="ltls7sal1">[7]Parameters!$E$384</definedName>
    <definedName name="ltls8">[7]Parameters!$A$385</definedName>
    <definedName name="ltls8co">[7]Parameters!$G$385</definedName>
    <definedName name="ltls8name">[7]Parameters!$C$385</definedName>
    <definedName name="ltls8sal1">[7]Parameters!$E$385</definedName>
    <definedName name="ltls9">[7]Parameters!$A$386</definedName>
    <definedName name="ltls9co">[7]Parameters!$G$386</definedName>
    <definedName name="ltls9name">[7]Parameters!$C$386</definedName>
    <definedName name="ltls9sal1">[7]Parameters!$E$386</definedName>
    <definedName name="ltlsco15">[7]Parameters!$G$392</definedName>
    <definedName name="ltlsco16">[7]Parameters!$G$393</definedName>
    <definedName name="ltlsco17">[7]Parameters!$G$394</definedName>
    <definedName name="ltlsco18">[7]Parameters!$G$395</definedName>
    <definedName name="ltlsco19">[7]Parameters!$G$396</definedName>
    <definedName name="ltlsco20">[7]Parameters!$G$397</definedName>
    <definedName name="ltlsco21">[7]Parameters!$G$398</definedName>
    <definedName name="ltlsco22">[7]Parameters!$G$399</definedName>
    <definedName name="ltlsco23">[7]Parameters!$G$400</definedName>
    <definedName name="ltlsco24">[7]Parameters!$G$401</definedName>
    <definedName name="ltlsco25">[7]Parameters!$G$402</definedName>
    <definedName name="ltlsco26">[7]Parameters!$G$403</definedName>
    <definedName name="ltlsco27">[7]Parameters!$G$404</definedName>
    <definedName name="ltlsco28">[7]Parameters!$G$405</definedName>
    <definedName name="ltlsco29">[7]Parameters!$G$406</definedName>
    <definedName name="ltlsco30">[7]Parameters!$G$407</definedName>
    <definedName name="ltlsco31">[7]Parameters!$G$408</definedName>
    <definedName name="ltlsco32">[7]Parameters!$G$409</definedName>
    <definedName name="ltlsco33">[7]Parameters!$G$410</definedName>
    <definedName name="ltlsco34">[7]Parameters!$G$411</definedName>
    <definedName name="ltlsco35">[7]Parameters!$G$412</definedName>
    <definedName name="ltlsco36">[7]Parameters!$G$413</definedName>
    <definedName name="ltlsco37">[7]Parameters!$G$414</definedName>
    <definedName name="ltlsco38">[7]Parameters!$G$415</definedName>
    <definedName name="ltlsco39">[7]Parameters!$G$416</definedName>
    <definedName name="ltlsco40">[7]Parameters!$G$417</definedName>
    <definedName name="ltlsco41">[7]Parameters!$G$418</definedName>
    <definedName name="ltlsco42">[7]Parameters!$G$419</definedName>
    <definedName name="ltlsco43">[7]Parameters!$G$420</definedName>
    <definedName name="ltlsco44">[7]Parameters!$G$421</definedName>
    <definedName name="ltlsco45">[7]Parameters!$G$422</definedName>
    <definedName name="ltlsco46">[7]Parameters!$G$423</definedName>
    <definedName name="ltlsco47">[7]Parameters!$G$424</definedName>
    <definedName name="ltlsco48">[7]Parameters!$G$425</definedName>
    <definedName name="ltlsco49">[7]Parameters!$G$426</definedName>
    <definedName name="ltlsco50">[7]Parameters!$G$427</definedName>
    <definedName name="ltlsco51">[7]Parameters!$G$428</definedName>
    <definedName name="ltlsjob1">[7]Parameters!$I$378</definedName>
    <definedName name="ltlsjob10">[7]Parameters!$I$387</definedName>
    <definedName name="ltlsjob11">[7]Parameters!$I$388</definedName>
    <definedName name="ltlsjob12">[7]Parameters!$I$389</definedName>
    <definedName name="ltlsjob13">[7]Parameters!$I$390</definedName>
    <definedName name="ltlsjob14">[7]Parameters!$I$391</definedName>
    <definedName name="ltlsjob15">[7]Parameters!$I$392</definedName>
    <definedName name="ltlsjob16">[7]Parameters!$I$393</definedName>
    <definedName name="ltlsjob17">[7]Parameters!$I$394</definedName>
    <definedName name="ltlsjob18">[7]Parameters!$I$395</definedName>
    <definedName name="ltlsjob19">[7]Parameters!$I$396</definedName>
    <definedName name="ltlsjob2">[7]Parameters!$I$379</definedName>
    <definedName name="ltlsjob20">[7]Parameters!$I$397</definedName>
    <definedName name="ltlsjob21">[7]Parameters!$I$398</definedName>
    <definedName name="ltlsjob22">[7]Parameters!$I$399</definedName>
    <definedName name="ltlsjob23">[7]Parameters!$I$400</definedName>
    <definedName name="ltlsjob24">[7]Parameters!$I$401</definedName>
    <definedName name="ltlsjob25">[7]Parameters!$I$402</definedName>
    <definedName name="ltlsjob26">[7]Parameters!$I$403</definedName>
    <definedName name="ltlsjob27">[7]Parameters!$I$404</definedName>
    <definedName name="ltlsjob28">[7]Parameters!$I$405</definedName>
    <definedName name="ltlsjob29">[7]Parameters!$I$406</definedName>
    <definedName name="ltlsjob3">[7]Parameters!$I$380</definedName>
    <definedName name="ltlsjob30">[7]Parameters!$I$407</definedName>
    <definedName name="ltlsjob31">[7]Parameters!$I$408</definedName>
    <definedName name="ltlsjob32">[7]Parameters!$I$409</definedName>
    <definedName name="ltlsjob33">[7]Parameters!$I$410</definedName>
    <definedName name="ltlsjob34">[7]Parameters!$I$411</definedName>
    <definedName name="ltlsjob35">[7]Parameters!$I$412</definedName>
    <definedName name="ltlsjob36">[7]Parameters!$I$413</definedName>
    <definedName name="ltlsjob37">[7]Parameters!$I$414</definedName>
    <definedName name="ltlsjob38">[7]Parameters!$I$415</definedName>
    <definedName name="ltlsjob39">[7]Parameters!$I$416</definedName>
    <definedName name="ltlsjob4">[7]Parameters!$I$381</definedName>
    <definedName name="ltlsjob40">[7]Parameters!$I$417</definedName>
    <definedName name="ltlsjob41">[7]Parameters!$I$418</definedName>
    <definedName name="ltlsjob42">[7]Parameters!$I$419</definedName>
    <definedName name="ltlsjob43">[7]Parameters!$I$420</definedName>
    <definedName name="ltlsjob44">[7]Parameters!$I$421</definedName>
    <definedName name="ltlsjob45">[7]Parameters!$I$422</definedName>
    <definedName name="ltlsjob46">[7]Parameters!$I$423</definedName>
    <definedName name="ltlsjob47">[7]Parameters!$I$424</definedName>
    <definedName name="ltlsjob48">[7]Parameters!$I$425</definedName>
    <definedName name="ltlsjob49">[7]Parameters!$I$426</definedName>
    <definedName name="ltlsjob5">[7]Parameters!$I$382</definedName>
    <definedName name="ltlsjob50">[7]Parameters!$I$427</definedName>
    <definedName name="ltlsjob51">[7]Parameters!$I$428</definedName>
    <definedName name="ltlsjob6">[7]Parameters!$I$383</definedName>
    <definedName name="ltlsjob7">[7]Parameters!$I$384</definedName>
    <definedName name="ltlsjob8">[7]Parameters!$I$385</definedName>
    <definedName name="ltlsjob9">[7]Parameters!$I$386</definedName>
    <definedName name="ltlsname15">[7]Parameters!$C$392</definedName>
    <definedName name="ltlsname16">[7]Parameters!$C$393</definedName>
    <definedName name="ltlsname17">[7]Parameters!$C$394</definedName>
    <definedName name="ltlsname18">[7]Parameters!$C$395</definedName>
    <definedName name="ltlsname19">[7]Parameters!$C$396</definedName>
    <definedName name="ltlsname20">[7]Parameters!$C$397</definedName>
    <definedName name="ltlsname21">[7]Parameters!$C$398</definedName>
    <definedName name="ltlsname22">[7]Parameters!$C$399</definedName>
    <definedName name="ltlsname23">[7]Parameters!$C$400</definedName>
    <definedName name="ltlsname24">[7]Parameters!$C$401</definedName>
    <definedName name="ltlsname25">[7]Parameters!$C$402</definedName>
    <definedName name="ltlsname26">[7]Parameters!$C$403</definedName>
    <definedName name="ltlsname27">[7]Parameters!$C$404</definedName>
    <definedName name="ltlsname28">[7]Parameters!$C$405</definedName>
    <definedName name="ltlsname29">[7]Parameters!$C$406</definedName>
    <definedName name="ltlsname30">[7]Parameters!$C$407</definedName>
    <definedName name="ltlsname31">[7]Parameters!$C$408</definedName>
    <definedName name="ltlsname32">[7]Parameters!$C$409</definedName>
    <definedName name="ltlsname33">[7]Parameters!$C$410</definedName>
    <definedName name="ltlsname34">[7]Parameters!$C$411</definedName>
    <definedName name="ltlsname35">[7]Parameters!$C$412</definedName>
    <definedName name="ltlsname36">[7]Parameters!$C$413</definedName>
    <definedName name="ltlsname37">[7]Parameters!$C$414</definedName>
    <definedName name="ltlsname38">[7]Parameters!$C$415</definedName>
    <definedName name="ltlsname39">[7]Parameters!$C$416</definedName>
    <definedName name="ltlsname40">[7]Parameters!$C$417</definedName>
    <definedName name="ltlsname41">[7]Parameters!$C$418</definedName>
    <definedName name="ltlsname42">[7]Parameters!$C$419</definedName>
    <definedName name="ltlsname43">[7]Parameters!$C$420</definedName>
    <definedName name="ltlsname44">[7]Parameters!$C$421</definedName>
    <definedName name="ltlsname45">[7]Parameters!$C$422</definedName>
    <definedName name="ltlsname46">[7]Parameters!$C$423</definedName>
    <definedName name="ltlsname47">[7]Parameters!$C$424</definedName>
    <definedName name="ltlsname48">[7]Parameters!$C$425</definedName>
    <definedName name="ltlsname49">[7]Parameters!$C$426</definedName>
    <definedName name="ltlsname50">[7]Parameters!$C$427</definedName>
    <definedName name="ltlsname51">[7]Parameters!$C$428</definedName>
    <definedName name="ltlssal15">[7]Parameters!$E$392</definedName>
    <definedName name="ltlssal16">[7]Parameters!$E$393</definedName>
    <definedName name="ltlssal17">[7]Parameters!$E$394</definedName>
    <definedName name="ltlssal18">[7]Parameters!$E$395</definedName>
    <definedName name="ltlssal19">[7]Parameters!$E$396</definedName>
    <definedName name="ltlssal20">[7]Parameters!$E$397</definedName>
    <definedName name="ltlssal21">[7]Parameters!$E$398</definedName>
    <definedName name="ltlssal22">[7]Parameters!$E$399</definedName>
    <definedName name="ltlssal23">[7]Parameters!$E$400</definedName>
    <definedName name="ltlssal24">[7]Parameters!$E$401</definedName>
    <definedName name="ltlssal25">[7]Parameters!$E$402</definedName>
    <definedName name="ltlssal26">[7]Parameters!$E$403</definedName>
    <definedName name="ltlssal27">[7]Parameters!$E$404</definedName>
    <definedName name="ltlssal28">[7]Parameters!$E$405</definedName>
    <definedName name="ltlssal29">[7]Parameters!$E$406</definedName>
    <definedName name="ltlssal30">[7]Parameters!$E$407</definedName>
    <definedName name="ltlssal31">[7]Parameters!$E$408</definedName>
    <definedName name="ltlssal32">[7]Parameters!$E$409</definedName>
    <definedName name="ltlssal33">[7]Parameters!$E$410</definedName>
    <definedName name="ltlssal34">[7]Parameters!$E$411</definedName>
    <definedName name="ltlssal35">[7]Parameters!$E$412</definedName>
    <definedName name="ltlssal36">[7]Parameters!$E$413</definedName>
    <definedName name="ltlssal37">[7]Parameters!$E$414</definedName>
    <definedName name="ltlssal38">[7]Parameters!$E$415</definedName>
    <definedName name="ltlssal39">[7]Parameters!$E$416</definedName>
    <definedName name="ltlssal40">[7]Parameters!$E$417</definedName>
    <definedName name="ltlssal41">[7]Parameters!$E$418</definedName>
    <definedName name="ltlssal42">[7]Parameters!$E$419</definedName>
    <definedName name="ltlssal43">[7]Parameters!$E$420</definedName>
    <definedName name="ltlssal44">[7]Parameters!$E$421</definedName>
    <definedName name="ltlssal45">[7]Parameters!$E$422</definedName>
    <definedName name="ltlssal46">[7]Parameters!$E$423</definedName>
    <definedName name="ltlssal47">[7]Parameters!$E$424</definedName>
    <definedName name="ltlssal48">[7]Parameters!$E$425</definedName>
    <definedName name="ltlssal49">[7]Parameters!$E$426</definedName>
    <definedName name="ltlssal50">[7]Parameters!$E$427</definedName>
    <definedName name="ltlssal51">[7]Parameters!$E$428</definedName>
    <definedName name="ltstravel">[33]Parameters!$C$53</definedName>
    <definedName name="LTTA">#REF!</definedName>
    <definedName name="lttravel">[33]Parameters!$C$52</definedName>
    <definedName name="Lttripfactor">[12]Sheet1!$C$17</definedName>
    <definedName name="mac_lg_UI_List">#REF!</definedName>
    <definedName name="MACROS">#REF!</definedName>
    <definedName name="MADAC">[23]formulas!#REF!</definedName>
    <definedName name="makeready">[12]Sheet1!$C$47</definedName>
    <definedName name="maliinflation">#REF!</definedName>
    <definedName name="malitravel">[12]Sheet1!$C$34</definedName>
    <definedName name="mapping">[34]mapping!$A$8:$I$532</definedName>
    <definedName name="MaritalStatus">#REF!</definedName>
    <definedName name="match">'[3]Detailed Budget-SAVE'!#REF!</definedName>
    <definedName name="maybe" localSheetId="0" hidden="1">{#N/A,#N/A,FALSE,"ManLoading"}</definedName>
    <definedName name="maybe" hidden="1">{#N/A,#N/A,FALSE,"ManLoading"}</definedName>
    <definedName name="ME">[5]Parameters!#REF!</definedName>
    <definedName name="med">#REF!</definedName>
    <definedName name="medevac">[5]Parameters!$D$17</definedName>
    <definedName name="medex">232</definedName>
    <definedName name="Merit">'[28]Detail-1'!$J$1</definedName>
    <definedName name="mh">#REF!</definedName>
    <definedName name="Mid_Level_CCNRate">[32]Assumptions!$B$15</definedName>
    <definedName name="Mid_Level_TCNRate">[32]Assumptions!$B$13</definedName>
    <definedName name="mie">#REF!</definedName>
    <definedName name="mielima">[5]Parameters!#REF!</definedName>
    <definedName name="mieother">[5]Parameters!#REF!</definedName>
    <definedName name="MOBIS_Schedule">#REF!</definedName>
    <definedName name="Moldova">#REF!</definedName>
    <definedName name="Moldova_F2F">#REF!</definedName>
    <definedName name="MonthHeader_Values" localSheetId="0">EOMONTH(DATE('[14]Yearly Planner'!StartYear,8,1),{0,1,2,3,4,5,6,7,8,9,10,11})+1</definedName>
    <definedName name="MonthHeader_Values">EOMONTH(DATE('[14]Yearly Planner'!StartYear,8,1),{0,1,2,3,4,5,6,7,8,9,10,11})+1</definedName>
    <definedName name="MSE">#REF!</definedName>
    <definedName name="msicoreclin1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[10]RATES!#REF!</definedName>
    <definedName name="Multiply5">[10]RATES!#REF!</definedName>
    <definedName name="name" localSheetId="0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>[10]RATES!#REF!</definedName>
    <definedName name="NAWGA">#N/A</definedName>
    <definedName name="New">[35]Sheet1!$M$3:$M$8</definedName>
    <definedName name="NFPA">#N/A</definedName>
    <definedName name="NICRA_GA">#REF!</definedName>
    <definedName name="NICRA_Overhead">#REF!</definedName>
    <definedName name="no" localSheetId="0" hidden="1">{#N/A,#N/A,FALSE,"ManLoading"}</definedName>
    <definedName name="no" hidden="1">{#N/A,#N/A,FALSE,"ManLoading"}</definedName>
    <definedName name="none" localSheetId="0" hidden="1">{#N/A,#N/A,FALSE,"ManLoading"}</definedName>
    <definedName name="none" hidden="1">{#N/A,#N/A,FALSE,"ManLoading"}</definedName>
    <definedName name="none1" localSheetId="0" hidden="1">{#N/A,#N/A,FALSE,"ManLoading"}</definedName>
    <definedName name="none1" hidden="1">{#N/A,#N/A,FALSE,"ManLoading"}</definedName>
    <definedName name="ODC">[10]RATES!#REF!</definedName>
    <definedName name="ODC_Escalation">#REF!</definedName>
    <definedName name="ODC_Escalation_DPK">[32]Assumptions!$B$10</definedName>
    <definedName name="ODCesc">[16]Assumptions!$H$14</definedName>
    <definedName name="OH">#REF!</definedName>
    <definedName name="OnCNFA">#REF!</definedName>
    <definedName name="Other_Direct_Costs">'[13]INPUTS Year 1'!#REF!</definedName>
    <definedName name="Other11">[10]RATES!#REF!</definedName>
    <definedName name="Other13">[10]RATES!#REF!</definedName>
    <definedName name="Othertotalpd">[17]Parameters!$B$32</definedName>
    <definedName name="overhead">#REF!</definedName>
    <definedName name="PAGE4" localSheetId="0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>[5]Parameters!$D$49</definedName>
    <definedName name="PDDAYS">#N/A</definedName>
    <definedName name="pdintl">[7]Parameters!$B$534</definedName>
    <definedName name="pdloc">[7]Parameters!$B$535</definedName>
    <definedName name="pdother">[5]Parameters!$D$50</definedName>
    <definedName name="pdotherdos">[5]Parameters!$D$54</definedName>
    <definedName name="pdpesh">[7]Parameters!$B$537</definedName>
    <definedName name="Per_Diem1">#REF!</definedName>
    <definedName name="Per_Diem2">#REF!</definedName>
    <definedName name="Per_Diem3">#REF!</definedName>
    <definedName name="Perdiem">[16]Assumptions!$B$23:$F$25</definedName>
    <definedName name="perdiembko">[12]Sheet1!$C$22</definedName>
    <definedName name="perdiemdays">[36]Info!$C$14</definedName>
    <definedName name="perdieme">[33]Parameters!$C$33</definedName>
    <definedName name="perdiemfactor">[12]Sheet1!$C$26</definedName>
    <definedName name="perdiemintl">[12]Sheet1!$C$24</definedName>
    <definedName name="perdiemoth">[12]Sheet1!$C$25</definedName>
    <definedName name="Person_Days">#REF!</definedName>
    <definedName name="Person_Year">#REF!</definedName>
    <definedName name="PIP">#N/A</definedName>
    <definedName name="PM">[10]RATES!#REF!</definedName>
    <definedName name="pmperdiem">#REF!</definedName>
    <definedName name="Policy11">[10]RATES!#REF!</definedName>
    <definedName name="Policy12">[10]RATES!#REF!</definedName>
    <definedName name="Policy13">[10]RATES!#REF!</definedName>
    <definedName name="Post_Differential">#REF!</definedName>
    <definedName name="postdiff">[5]Parameters!$D$55</definedName>
    <definedName name="_xlnm.Print_Area" localSheetId="0">'Activity XX'!$A$10:$X$86</definedName>
    <definedName name="_xlnm.Print_Area">#REF!</definedName>
    <definedName name="Print_Area_MI" localSheetId="0">#REF!</definedName>
    <definedName name="Print_Area_MI">#REF!</definedName>
    <definedName name="Print_Area2">#REF!</definedName>
    <definedName name="_xlnm.Print_Titles" localSheetId="0">'Activity XX'!$10:$11</definedName>
    <definedName name="_xlnm.Print_Titles">#N/A</definedName>
    <definedName name="Print_Titles_MI" localSheetId="0">#REF!</definedName>
    <definedName name="Print_Titles_MI">#REF!</definedName>
    <definedName name="Profit">#REF!</definedName>
    <definedName name="project">[7]Parameters!$B$5</definedName>
    <definedName name="Project_support_costs">#REF!</definedName>
    <definedName name="proposed" localSheetId="0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hidden="1">[2]IPA!#REF!</definedName>
    <definedName name="Regional_Offices">'[37] Program Support Costs'!#REF!</definedName>
    <definedName name="remit_zra">#REF!</definedName>
    <definedName name="RETdirectdeposit">#REF!</definedName>
    <definedName name="rfp">[5]Parameters!$B$4</definedName>
    <definedName name="RFPNo">[4]Parameters!$B$2</definedName>
    <definedName name="room">#REF!</definedName>
    <definedName name="rovercost">[5]Parameters!$H$30</definedName>
    <definedName name="rr">[5]Parameters!$D$25</definedName>
    <definedName name="rrair">[17]Parameters!$B$40</definedName>
    <definedName name="rrrrr">'[38]05TRANS'!$B$7:$L$34</definedName>
    <definedName name="rsa_inflation">#REF!</definedName>
    <definedName name="rtecon">[5]Parameters!$D$24</definedName>
    <definedName name="RYUK" localSheetId="0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>'[39]Formula Values'!$B$4</definedName>
    <definedName name="SALARYORHOURLY">#REF!</definedName>
    <definedName name="salesc">0.05</definedName>
    <definedName name="salinc">#REF!</definedName>
    <definedName name="salincr">[5]Parameters!$D$7</definedName>
    <definedName name="salincrease">[36]Info!$C$5</definedName>
    <definedName name="salincrloc">[7]Parameters!$B$503</definedName>
    <definedName name="salmaxes6">[7]Parameters!$B$559</definedName>
    <definedName name="salmaxfsn">[7]Parameters!$B$560</definedName>
    <definedName name="sanmarcos">#REF!</definedName>
    <definedName name="sc">[40]Sheet1!$M$3:$M$8</definedName>
    <definedName name="sda" localSheetId="0" hidden="1">{#N/A,#N/A,FALSE,"ManLoading"}</definedName>
    <definedName name="sda" hidden="1">{#N/A,#N/A,FALSE,"ManLoading"}</definedName>
    <definedName name="sdfg" localSheetId="0" hidden="1">{"PAGE1",#N/A,FALSE,"CPFFMSTR";"PAGE2",#N/A,FALSE,"CPFFMSTR"}</definedName>
    <definedName name="sdfg" hidden="1">{"PAGE1",#N/A,FALSE,"CPFFMSTR";"PAGE2",#N/A,FALSE,"CPFFMSTR"}</definedName>
    <definedName name="Senior_CCNRate">[32]Assumptions!$B$14</definedName>
    <definedName name="Senior_TCNRate">[32]Assumptions!$B$12</definedName>
    <definedName name="SEV">#REF!</definedName>
    <definedName name="severance">[5]Parameters!$D$64</definedName>
    <definedName name="severancedata">'[21]Summary Budget'!$O$34:$R$35</definedName>
    <definedName name="SEVPA">#REF!</definedName>
    <definedName name="SFG" localSheetId="0" hidden="1">{"PAGE1",#N/A,FALSE,"CPFFMSTR";"PAGE2",#N/A,FALSE,"CPFFMSTR"}</definedName>
    <definedName name="SFG" hidden="1">{"PAGE1",#N/A,FALSE,"CPFFMSTR";"PAGE2",#N/A,FALSE,"CPFFMSTR"}</definedName>
    <definedName name="sho">'[3]Detailed Budget-SAVE'!#REF!</definedName>
    <definedName name="Site">[10]RATES!#REF!</definedName>
    <definedName name="small">#REF!</definedName>
    <definedName name="staff">[41]Sheet1!$M$3:$M$8</definedName>
    <definedName name="staff_fringe">#REF!</definedName>
    <definedName name="stafffringe">#REF!</definedName>
    <definedName name="staffperdiem">#REF!</definedName>
    <definedName name="START">#N/A</definedName>
    <definedName name="startdate">#REF!</definedName>
    <definedName name="stexpercent">[5]Parameters!$D$30</definedName>
    <definedName name="stlp">[7]Parameters!$A$298</definedName>
    <definedName name="stlp1">[7]Parameters!$A$300</definedName>
    <definedName name="stlp10">[7]Parameters!$A$309</definedName>
    <definedName name="stlp10co">[7]Parameters!$G$309</definedName>
    <definedName name="stlp10name">[7]Parameters!$C$309</definedName>
    <definedName name="stlp10sal1">[7]Parameters!$E$309</definedName>
    <definedName name="stlp11">[7]Parameters!$A$310</definedName>
    <definedName name="stlp12">[7]Parameters!$A$311</definedName>
    <definedName name="stlp13">[7]Parameters!$A$312</definedName>
    <definedName name="stlp14">[7]Parameters!$A$313</definedName>
    <definedName name="stlp15">[7]Parameters!$A$314</definedName>
    <definedName name="stlp16">[7]Parameters!$A$315</definedName>
    <definedName name="stlp17">[7]Parameters!$A$316</definedName>
    <definedName name="stlp18">[7]Parameters!$A$317</definedName>
    <definedName name="stlp19">[7]Parameters!$A$318</definedName>
    <definedName name="stlp1co">[7]Parameters!$G$300</definedName>
    <definedName name="stlp1name">[7]Parameters!$C$300</definedName>
    <definedName name="stlp1sal1">[7]Parameters!$E$300</definedName>
    <definedName name="stlp2">[7]Parameters!$A$301</definedName>
    <definedName name="stlp20">[7]Parameters!$A$319</definedName>
    <definedName name="stlp21">[7]Parameters!$A$320</definedName>
    <definedName name="stlp22">[7]Parameters!$A$321</definedName>
    <definedName name="stlp23">[7]Parameters!$A$322</definedName>
    <definedName name="stlp24">[7]Parameters!$A$323</definedName>
    <definedName name="stlp25">[7]Parameters!$A$324</definedName>
    <definedName name="stlp26">[7]Parameters!$A$325</definedName>
    <definedName name="stlp27">[7]Parameters!$A$326</definedName>
    <definedName name="stlp28">[7]Parameters!$A$327</definedName>
    <definedName name="stlp29">[7]Parameters!$A$328</definedName>
    <definedName name="stlp2co">[7]Parameters!$G$301</definedName>
    <definedName name="stlp2name">[7]Parameters!$C$301</definedName>
    <definedName name="stlp2sal1">[7]Parameters!$E$301</definedName>
    <definedName name="stlp3">[7]Parameters!$A$302</definedName>
    <definedName name="stlp30">[7]Parameters!$A$329</definedName>
    <definedName name="stlp31">[7]Parameters!$A$330</definedName>
    <definedName name="stlp32">[7]Parameters!$A$331</definedName>
    <definedName name="stlp33">[7]Parameters!$A$332</definedName>
    <definedName name="stlp34">[7]Parameters!$A$333</definedName>
    <definedName name="stlp35">[7]Parameters!$A$334</definedName>
    <definedName name="stlp36">[7]Parameters!$A$335</definedName>
    <definedName name="stlp37">[7]Parameters!$A$336</definedName>
    <definedName name="stlp38">[7]Parameters!$A$337</definedName>
    <definedName name="stlp39">[7]Parameters!$A$338</definedName>
    <definedName name="stlp3co">[7]Parameters!$G$302</definedName>
    <definedName name="stlp3name">[7]Parameters!$C$302</definedName>
    <definedName name="stlp3sal1">[7]Parameters!$E$302</definedName>
    <definedName name="stlp4">[7]Parameters!$A$303</definedName>
    <definedName name="stlp40">[7]Parameters!$A$339</definedName>
    <definedName name="stlp41">[7]Parameters!$A$340</definedName>
    <definedName name="stlp42">[7]Parameters!$A$341</definedName>
    <definedName name="stlp43">[7]Parameters!$A$342</definedName>
    <definedName name="stlp44">[7]Parameters!$A$343</definedName>
    <definedName name="stlp45">[7]Parameters!$A$344</definedName>
    <definedName name="stlp46">[7]Parameters!$A$345</definedName>
    <definedName name="stlp47">[7]Parameters!$A$346</definedName>
    <definedName name="stlp48">[7]Parameters!$A$347</definedName>
    <definedName name="stlp49">[7]Parameters!$A$348</definedName>
    <definedName name="stlp4co">[7]Parameters!$G$303</definedName>
    <definedName name="stlp4name">[7]Parameters!$C$303</definedName>
    <definedName name="stlp4sal1">[7]Parameters!$E$303</definedName>
    <definedName name="stlp5">[7]Parameters!$A$304</definedName>
    <definedName name="stlp50">[7]Parameters!$A$349</definedName>
    <definedName name="stlp51">[7]Parameters!$A$350</definedName>
    <definedName name="stlp52">[7]Parameters!$A$351</definedName>
    <definedName name="stlp53">[7]Parameters!$A$352</definedName>
    <definedName name="stlp54">[7]Parameters!$A$353</definedName>
    <definedName name="stlp55">[7]Parameters!$A$354</definedName>
    <definedName name="stlp56">[7]Parameters!$A$355</definedName>
    <definedName name="stlp57">[7]Parameters!$A$356</definedName>
    <definedName name="stlp58">[7]Parameters!$A$357</definedName>
    <definedName name="stlp59">[7]Parameters!$A$358</definedName>
    <definedName name="stlp5co">[7]Parameters!$G$304</definedName>
    <definedName name="stlp5name">[7]Parameters!$C$304</definedName>
    <definedName name="stlp5sal1">[7]Parameters!$E$304</definedName>
    <definedName name="stlp6">[7]Parameters!$A$305</definedName>
    <definedName name="stlp60">[7]Parameters!$A$359</definedName>
    <definedName name="stlp61">[7]Parameters!$A$360</definedName>
    <definedName name="stlp62">[7]Parameters!$A$361</definedName>
    <definedName name="stlp63">[7]Parameters!$A$362</definedName>
    <definedName name="stlp64">[7]Parameters!$A$363</definedName>
    <definedName name="stlp65">[7]Parameters!$A$364</definedName>
    <definedName name="stlp66">[7]Parameters!$A$365</definedName>
    <definedName name="stlp67">[7]Parameters!$A$366</definedName>
    <definedName name="stlp68">[7]Parameters!$A$367</definedName>
    <definedName name="stlp69">[7]Parameters!$A$368</definedName>
    <definedName name="stlp6co">[7]Parameters!$G$305</definedName>
    <definedName name="stlp6name">[7]Parameters!$C$305</definedName>
    <definedName name="stlp6sal1">[7]Parameters!$E$305</definedName>
    <definedName name="stlp7">[7]Parameters!$A$306</definedName>
    <definedName name="stlp70">[7]Parameters!$A$369</definedName>
    <definedName name="stlp71">[7]Parameters!$A$370</definedName>
    <definedName name="stlp72">[7]Parameters!$A$371</definedName>
    <definedName name="stlp73">[7]Parameters!$A$372</definedName>
    <definedName name="stlp74">[7]Parameters!$A$373</definedName>
    <definedName name="stlp75">[7]Parameters!$A$374</definedName>
    <definedName name="stlp7co">[7]Parameters!$G$306</definedName>
    <definedName name="stlp7name">[7]Parameters!$C$306</definedName>
    <definedName name="stlp7sal1">[7]Parameters!$E$306</definedName>
    <definedName name="stlp8">[7]Parameters!$A$307</definedName>
    <definedName name="stlp8co">[7]Parameters!$G$307</definedName>
    <definedName name="stlp8name">[7]Parameters!$C$307</definedName>
    <definedName name="stlp8sal1">[7]Parameters!$E$307</definedName>
    <definedName name="stlp9">[7]Parameters!$A$308</definedName>
    <definedName name="stlp9co">[7]Parameters!$G$308</definedName>
    <definedName name="stlp9name">[7]Parameters!$C$308</definedName>
    <definedName name="stlp9sal1">[7]Parameters!$E$308</definedName>
    <definedName name="stlpco11">[7]Parameters!$G$310</definedName>
    <definedName name="stlpco12">[7]Parameters!$G$311</definedName>
    <definedName name="stlpco13">[7]Parameters!$G$312</definedName>
    <definedName name="stlpco14">[7]Parameters!$G$313</definedName>
    <definedName name="stlpco15">[7]Parameters!$G$314</definedName>
    <definedName name="stlpco16">[7]Parameters!$G$315</definedName>
    <definedName name="stlpco17">[7]Parameters!$G$316</definedName>
    <definedName name="stlpco18">[7]Parameters!$G$317</definedName>
    <definedName name="stlpco19">[7]Parameters!$G$318</definedName>
    <definedName name="stlpco20">[7]Parameters!$G$319</definedName>
    <definedName name="stlpco21">[7]Parameters!$G$320</definedName>
    <definedName name="stlpco22">[7]Parameters!$G$321</definedName>
    <definedName name="stlpco23">[7]Parameters!$G$322</definedName>
    <definedName name="stlpco24">[7]Parameters!$G$323</definedName>
    <definedName name="stlpco25">[7]Parameters!$G$324</definedName>
    <definedName name="stlpco26">[7]Parameters!$G$325</definedName>
    <definedName name="stlpco27">[7]Parameters!$G$326</definedName>
    <definedName name="stlpco28">[7]Parameters!$G$327</definedName>
    <definedName name="stlpco29">[7]Parameters!$G$328</definedName>
    <definedName name="stlpco30">[7]Parameters!$G$329</definedName>
    <definedName name="stlpco31">[7]Parameters!$G$330</definedName>
    <definedName name="stlpco32">[7]Parameters!$G$331</definedName>
    <definedName name="stlpco33">[7]Parameters!$G$332</definedName>
    <definedName name="stlpco34">[7]Parameters!$G$333</definedName>
    <definedName name="stlpco35">[7]Parameters!$G$334</definedName>
    <definedName name="stlpco36">[7]Parameters!$G$335</definedName>
    <definedName name="stlpco37">[7]Parameters!$G$336</definedName>
    <definedName name="stlpco38">[7]Parameters!$G$337</definedName>
    <definedName name="stlpco39">[7]Parameters!$G$338</definedName>
    <definedName name="stlpco40">[7]Parameters!$G$339</definedName>
    <definedName name="stlpco41">[7]Parameters!$G$340</definedName>
    <definedName name="stlpco42">[7]Parameters!$G$341</definedName>
    <definedName name="stlpco43">[7]Parameters!$G$342</definedName>
    <definedName name="stlpco44">[7]Parameters!$G$343</definedName>
    <definedName name="stlpco45">[7]Parameters!$G$344</definedName>
    <definedName name="stlpco46">[7]Parameters!$G$345</definedName>
    <definedName name="stlpco47">[7]Parameters!$G$346</definedName>
    <definedName name="stlpco48">[7]Parameters!$G$347</definedName>
    <definedName name="stlpco49">[7]Parameters!$G$348</definedName>
    <definedName name="stlpco50">[7]Parameters!$G$349</definedName>
    <definedName name="stlpco51">[7]Parameters!$G$350</definedName>
    <definedName name="stlpco52">[7]Parameters!$G$351</definedName>
    <definedName name="stlpco53">[7]Parameters!$G$352</definedName>
    <definedName name="stlpco54">[7]Parameters!$G$353</definedName>
    <definedName name="stlpco55">[7]Parameters!$G$354</definedName>
    <definedName name="stlpco56">[7]Parameters!$G$355</definedName>
    <definedName name="stlpco57">[7]Parameters!$G$356</definedName>
    <definedName name="stlpco58">[7]Parameters!$G$357</definedName>
    <definedName name="stlpco59">[7]Parameters!$G$358</definedName>
    <definedName name="stlpco60">[7]Parameters!$G$359</definedName>
    <definedName name="stlpco61">[7]Parameters!$G$360</definedName>
    <definedName name="stlpco62">[7]Parameters!$G$361</definedName>
    <definedName name="stlpco63">[7]Parameters!$G$362</definedName>
    <definedName name="stlpco64">[7]Parameters!$G$363</definedName>
    <definedName name="stlpco65">[7]Parameters!$G$364</definedName>
    <definedName name="stlpco66">[7]Parameters!$G$365</definedName>
    <definedName name="stlpco67">[7]Parameters!$G$366</definedName>
    <definedName name="stlpco68">[7]Parameters!$G$367</definedName>
    <definedName name="stlpco69">[7]Parameters!$G$368</definedName>
    <definedName name="stlpco70">[7]Parameters!$G$369</definedName>
    <definedName name="stlpco71">[7]Parameters!$G$370</definedName>
    <definedName name="stlpco72">[7]Parameters!$G$371</definedName>
    <definedName name="stlpco73">[7]Parameters!$G$372</definedName>
    <definedName name="stlpco74">[7]Parameters!$G$373</definedName>
    <definedName name="stlpco75">[7]Parameters!$G$374</definedName>
    <definedName name="stlpjob1">[7]Parameters!$I$300</definedName>
    <definedName name="stlpjob10">[7]Parameters!$I$309</definedName>
    <definedName name="stlpjob11">[7]Parameters!$I$310</definedName>
    <definedName name="stlpjob12">[7]Parameters!$I$311</definedName>
    <definedName name="stlpjob13">[7]Parameters!$I$312</definedName>
    <definedName name="stlpjob14">[7]Parameters!$I$313</definedName>
    <definedName name="stlpjob15">[7]Parameters!$I$314</definedName>
    <definedName name="stlpjob16">[7]Parameters!$I$315</definedName>
    <definedName name="stlpjob17">[7]Parameters!$I$316</definedName>
    <definedName name="stlpjob18">[7]Parameters!$I$317</definedName>
    <definedName name="stlpjob19">[7]Parameters!$I$318</definedName>
    <definedName name="stlpjob2">[7]Parameters!$I$301</definedName>
    <definedName name="stlpjob20">[7]Parameters!$I$319</definedName>
    <definedName name="stlpjob21">[7]Parameters!$I$320</definedName>
    <definedName name="stlpjob22">[7]Parameters!$I$321</definedName>
    <definedName name="stlpjob23">[7]Parameters!$I$322</definedName>
    <definedName name="stlpjob24">[7]Parameters!$I$323</definedName>
    <definedName name="stlpjob25">[7]Parameters!$I$324</definedName>
    <definedName name="stlpjob26">[7]Parameters!$I$325</definedName>
    <definedName name="stlpjob27">[7]Parameters!$I$326</definedName>
    <definedName name="stlpjob28">[7]Parameters!$I$327</definedName>
    <definedName name="stlpjob29">[7]Parameters!$I$328</definedName>
    <definedName name="stlpjob3">[7]Parameters!$I$302</definedName>
    <definedName name="stlpjob30">[7]Parameters!$I$329</definedName>
    <definedName name="stlpjob31">[7]Parameters!$I$330</definedName>
    <definedName name="stlpjob32">[7]Parameters!$I$331</definedName>
    <definedName name="stlpjob33">[7]Parameters!$I$332</definedName>
    <definedName name="stlpjob34">[7]Parameters!$I$333</definedName>
    <definedName name="stlpjob35">[7]Parameters!$I$334</definedName>
    <definedName name="stlpjob36">[7]Parameters!$I$335</definedName>
    <definedName name="stlpjob37">[7]Parameters!$I$336</definedName>
    <definedName name="stlpjob38">[7]Parameters!$I$337</definedName>
    <definedName name="stlpjob39">[7]Parameters!$I$338</definedName>
    <definedName name="stlpjob4">[7]Parameters!$I$303</definedName>
    <definedName name="stlpjob40">[7]Parameters!$I$339</definedName>
    <definedName name="stlpjob41">[7]Parameters!$I$340</definedName>
    <definedName name="stlpjob42">[7]Parameters!$I$341</definedName>
    <definedName name="stlpjob43">[7]Parameters!$I$342</definedName>
    <definedName name="stlpjob44">[7]Parameters!$I$343</definedName>
    <definedName name="stlpjob45">[7]Parameters!$I$344</definedName>
    <definedName name="stlpjob46">[7]Parameters!$I$345</definedName>
    <definedName name="stlpjob47">[7]Parameters!$I$346</definedName>
    <definedName name="stlpjob48">[7]Parameters!$I$347</definedName>
    <definedName name="stlpjob49">[7]Parameters!$I$348</definedName>
    <definedName name="stlpjob5">[7]Parameters!$I$304</definedName>
    <definedName name="stlpjob50">[7]Parameters!$I$349</definedName>
    <definedName name="stlpjob51">[7]Parameters!$I$350</definedName>
    <definedName name="stlpjob52">[7]Parameters!$I$351</definedName>
    <definedName name="stlpjob53">[7]Parameters!$I$352</definedName>
    <definedName name="stlpjob54">[7]Parameters!$I$353</definedName>
    <definedName name="stlpjob55">[7]Parameters!$I$354</definedName>
    <definedName name="stlpjob56">[7]Parameters!$I$355</definedName>
    <definedName name="stlpjob57">[7]Parameters!$I$356</definedName>
    <definedName name="stlpjob58">[7]Parameters!$I$357</definedName>
    <definedName name="stlpjob59">[7]Parameters!$I$358</definedName>
    <definedName name="stlpjob6">[7]Parameters!$I$305</definedName>
    <definedName name="stlpjob60">[7]Parameters!$I$359</definedName>
    <definedName name="stlpjob61">[7]Parameters!$I$360</definedName>
    <definedName name="stlpjob62">[7]Parameters!$I$361</definedName>
    <definedName name="stlpjob63">[7]Parameters!$I$362</definedName>
    <definedName name="stlpjob64">[7]Parameters!$I$363</definedName>
    <definedName name="stlpjob65">[7]Parameters!$I$364</definedName>
    <definedName name="stlpjob66">[7]Parameters!$I$365</definedName>
    <definedName name="stlpjob67">[7]Parameters!$I$366</definedName>
    <definedName name="stlpjob68">[7]Parameters!$I$367</definedName>
    <definedName name="stlpjob69">[7]Parameters!$I$368</definedName>
    <definedName name="stlpjob7">[7]Parameters!$I$306</definedName>
    <definedName name="stlpjob70">[7]Parameters!$I$369</definedName>
    <definedName name="stlpjob71">[7]Parameters!$I$370</definedName>
    <definedName name="stlpjob72">[7]Parameters!$I$371</definedName>
    <definedName name="stlpjob73">[7]Parameters!$I$372</definedName>
    <definedName name="stlpjob74">[7]Parameters!$I$373</definedName>
    <definedName name="stlpjob75">[7]Parameters!$I$374</definedName>
    <definedName name="stlpjob8">[7]Parameters!$I$307</definedName>
    <definedName name="stlpjob9">[7]Parameters!$I$308</definedName>
    <definedName name="stlpname11">[7]Parameters!$C$310</definedName>
    <definedName name="stlpname12">[7]Parameters!$C$311</definedName>
    <definedName name="stlpname13">[7]Parameters!$C$312</definedName>
    <definedName name="stlpname14">[7]Parameters!$C$313</definedName>
    <definedName name="stlpname15">[7]Parameters!$C$314</definedName>
    <definedName name="stlpname16">[7]Parameters!$C$315</definedName>
    <definedName name="stlpname17">[7]Parameters!$C$316</definedName>
    <definedName name="stlpname18">[7]Parameters!$C$317</definedName>
    <definedName name="stlpname19">[7]Parameters!$C$318</definedName>
    <definedName name="stlpname20">[7]Parameters!$C$319</definedName>
    <definedName name="stlpname21">[7]Parameters!$C$320</definedName>
    <definedName name="stlpname22">[7]Parameters!$C$321</definedName>
    <definedName name="stlpname23">[7]Parameters!$C$322</definedName>
    <definedName name="stlpname24">[7]Parameters!$C$323</definedName>
    <definedName name="stlpname25">[7]Parameters!$C$324</definedName>
    <definedName name="stlpname26">[7]Parameters!$C$325</definedName>
    <definedName name="stlpname27">[7]Parameters!$C$326</definedName>
    <definedName name="stlpname28">[7]Parameters!$C$327</definedName>
    <definedName name="stlpname29">[7]Parameters!$C$328</definedName>
    <definedName name="stlpname30">[7]Parameters!$C$329</definedName>
    <definedName name="stlpname31">[7]Parameters!$C$330</definedName>
    <definedName name="stlpname32">[7]Parameters!$C$331</definedName>
    <definedName name="stlpname33">[7]Parameters!$C$332</definedName>
    <definedName name="stlpname34">[7]Parameters!$C$333</definedName>
    <definedName name="stlpname35">[7]Parameters!$C$334</definedName>
    <definedName name="stlpname36">[7]Parameters!$C$335</definedName>
    <definedName name="stlpname37">[7]Parameters!$C$336</definedName>
    <definedName name="stlpname38">[7]Parameters!$C$337</definedName>
    <definedName name="stlpname39">[7]Parameters!$C$338</definedName>
    <definedName name="stlpname40">[7]Parameters!$C$339</definedName>
    <definedName name="stlpname41">[7]Parameters!$C$340</definedName>
    <definedName name="stlpname42">[7]Parameters!$C$341</definedName>
    <definedName name="stlpname43">[7]Parameters!$C$342</definedName>
    <definedName name="stlpname44">[7]Parameters!$C$343</definedName>
    <definedName name="stlpname45">[7]Parameters!$C$344</definedName>
    <definedName name="stlpname46">[7]Parameters!$C$345</definedName>
    <definedName name="stlpname47">[7]Parameters!$C$346</definedName>
    <definedName name="stlpname48">[7]Parameters!$C$347</definedName>
    <definedName name="stlpname49">[7]Parameters!$C$348</definedName>
    <definedName name="stlpname50">[7]Parameters!$C$349</definedName>
    <definedName name="stlpname51">[7]Parameters!$C$350</definedName>
    <definedName name="stlpname52">[7]Parameters!$C$351</definedName>
    <definedName name="stlpname53">[7]Parameters!$C$352</definedName>
    <definedName name="stlpname54">[7]Parameters!$C$353</definedName>
    <definedName name="stlpname55">[7]Parameters!$C$354</definedName>
    <definedName name="stlpname56">[7]Parameters!$C$355</definedName>
    <definedName name="stlpname57">[7]Parameters!$C$356</definedName>
    <definedName name="stlpname58">[7]Parameters!$C$357</definedName>
    <definedName name="stlpname59">[7]Parameters!$C$358</definedName>
    <definedName name="stlpname60">[7]Parameters!$C$359</definedName>
    <definedName name="stlpname61">[7]Parameters!$C$360</definedName>
    <definedName name="stlpname62">[7]Parameters!$C$361</definedName>
    <definedName name="stlpname63">[7]Parameters!$C$362</definedName>
    <definedName name="stlpname64">[7]Parameters!$C$363</definedName>
    <definedName name="stlpname65">[7]Parameters!$C$364</definedName>
    <definedName name="stlpname66">[7]Parameters!$C$365</definedName>
    <definedName name="stlpname67">[7]Parameters!$C$366</definedName>
    <definedName name="stlpname68">[7]Parameters!$C$367</definedName>
    <definedName name="stlpname69">[7]Parameters!$C$368</definedName>
    <definedName name="stlpname70">[7]Parameters!$C$369</definedName>
    <definedName name="stlpname71">[7]Parameters!$C$370</definedName>
    <definedName name="stlpname72">[7]Parameters!$C$371</definedName>
    <definedName name="stlpname73">[7]Parameters!$C$372</definedName>
    <definedName name="stlpname74">[7]Parameters!$C$373</definedName>
    <definedName name="stlpname75">[7]Parameters!$C$374</definedName>
    <definedName name="stlpsal11">[7]Parameters!$E$310</definedName>
    <definedName name="stlpsal12">[7]Parameters!$E$311</definedName>
    <definedName name="stlpsal13">[7]Parameters!$E$312</definedName>
    <definedName name="stlpsal14">[7]Parameters!$E$313</definedName>
    <definedName name="stlpsal15">[7]Parameters!$E$314</definedName>
    <definedName name="stlpsal16">[7]Parameters!$E$315</definedName>
    <definedName name="stlpsal17">[7]Parameters!$E$316</definedName>
    <definedName name="stlpsal18">[7]Parameters!$E$317</definedName>
    <definedName name="stlpsal19">[7]Parameters!$E$318</definedName>
    <definedName name="stlpsal20">[7]Parameters!$E$319</definedName>
    <definedName name="stlpsal21">[7]Parameters!$E$320</definedName>
    <definedName name="stlpsal22">[7]Parameters!$E$321</definedName>
    <definedName name="stlpsal23">[7]Parameters!$E$322</definedName>
    <definedName name="stlpsal24">[7]Parameters!$E$323</definedName>
    <definedName name="stlpsal25">[7]Parameters!$E$324</definedName>
    <definedName name="stlpsal26">[7]Parameters!$E$325</definedName>
    <definedName name="stlpsal27">[7]Parameters!$E$326</definedName>
    <definedName name="stlpsal28">[7]Parameters!$E$327</definedName>
    <definedName name="stlpsal29">[7]Parameters!$E$328</definedName>
    <definedName name="stlpsal30">[7]Parameters!$E$329</definedName>
    <definedName name="stlpsal31">[7]Parameters!$E$330</definedName>
    <definedName name="stlpsal32">[7]Parameters!$E$331</definedName>
    <definedName name="stlpsal33">[7]Parameters!$E$332</definedName>
    <definedName name="stlpsal34">[7]Parameters!$E$333</definedName>
    <definedName name="stlpsal35">[7]Parameters!$E$334</definedName>
    <definedName name="stlpsal36">[7]Parameters!$E$335</definedName>
    <definedName name="stlpsal37">[7]Parameters!$E$336</definedName>
    <definedName name="stlpsal38">[7]Parameters!$E$337</definedName>
    <definedName name="stlpsal39">[7]Parameters!$E$338</definedName>
    <definedName name="stlpsal40">[7]Parameters!$E$339</definedName>
    <definedName name="stlpsal41">[7]Parameters!$E$340</definedName>
    <definedName name="stlpsal42">[7]Parameters!$E$341</definedName>
    <definedName name="stlpsal43">[7]Parameters!$E$342</definedName>
    <definedName name="stlpsal44">[7]Parameters!$E$343</definedName>
    <definedName name="stlpsal45">[7]Parameters!$E$344</definedName>
    <definedName name="stlpsal46">[7]Parameters!$E$345</definedName>
    <definedName name="stlpsal47">[7]Parameters!$E$346</definedName>
    <definedName name="stlpsal48">[7]Parameters!$E$347</definedName>
    <definedName name="stlpsal49">[7]Parameters!$E$348</definedName>
    <definedName name="stlpsal50">[7]Parameters!$E$349</definedName>
    <definedName name="stlpsal51">[7]Parameters!$E$350</definedName>
    <definedName name="stlpsal52">[7]Parameters!$E$351</definedName>
    <definedName name="stlpsal53">[7]Parameters!$E$352</definedName>
    <definedName name="stlpsal54">[7]Parameters!$E$353</definedName>
    <definedName name="stlpsal55">[7]Parameters!$E$354</definedName>
    <definedName name="stlpsal56">[7]Parameters!$E$355</definedName>
    <definedName name="stlpsal57">[7]Parameters!$E$356</definedName>
    <definedName name="stlpsal58">[7]Parameters!$E$357</definedName>
    <definedName name="stlpsal59">[7]Parameters!$E$358</definedName>
    <definedName name="stlpsal60">[7]Parameters!$E$359</definedName>
    <definedName name="stlpsal61">[7]Parameters!$E$360</definedName>
    <definedName name="stlpsal62">[7]Parameters!$E$361</definedName>
    <definedName name="stlpsal63">[7]Parameters!$E$362</definedName>
    <definedName name="stlpsal64">[7]Parameters!$E$363</definedName>
    <definedName name="stlpsal65">[7]Parameters!$E$364</definedName>
    <definedName name="stlpsal66">[7]Parameters!$E$365</definedName>
    <definedName name="stlpsal67">[7]Parameters!$E$366</definedName>
    <definedName name="stlpsal68">[7]Parameters!$E$367</definedName>
    <definedName name="stlpsal69">[7]Parameters!$E$368</definedName>
    <definedName name="stlpsal70">[7]Parameters!$E$369</definedName>
    <definedName name="stlpsal71">[7]Parameters!$E$370</definedName>
    <definedName name="stlpsal72">[7]Parameters!$E$371</definedName>
    <definedName name="stlpsal73">[7]Parameters!$E$372</definedName>
    <definedName name="stlpsal74">[7]Parameters!$E$373</definedName>
    <definedName name="stlpsal75">[7]Parameters!$E$374</definedName>
    <definedName name="stmedevac">[5]Parameters!$D$18</definedName>
    <definedName name="STTA_Accra">[42]Assumptions!#REF!</definedName>
    <definedName name="STTA_Dayspertrip">[32]Assumptions!$B$25</definedName>
    <definedName name="STTA_Field">[42]Assumptions!#REF!</definedName>
    <definedName name="sttaperdiembam">#REF!</definedName>
    <definedName name="sttaperdiemother">#REF!</definedName>
    <definedName name="sttcn">[7]Parameters!$A$285</definedName>
    <definedName name="sttcn1">[7]Parameters!$A$287</definedName>
    <definedName name="sttcn10">[7]Parameters!$A$296</definedName>
    <definedName name="sttcn10co">[7]Parameters!$G$296</definedName>
    <definedName name="sttcn10name">[7]Parameters!$C$296</definedName>
    <definedName name="sttcn10sal1">[7]Parameters!$E$296</definedName>
    <definedName name="sttcn1co">[7]Parameters!$G$287</definedName>
    <definedName name="sttcn1name">[7]Parameters!$C$287</definedName>
    <definedName name="sttcn1sal1">[7]Parameters!$E$287</definedName>
    <definedName name="sttcn2">[7]Parameters!$A$288</definedName>
    <definedName name="sttcn2co">[7]Parameters!$G$288</definedName>
    <definedName name="sttcn2name">[7]Parameters!$C$288</definedName>
    <definedName name="sttcn2sal1">[7]Parameters!$E$288</definedName>
    <definedName name="sttcn3">[7]Parameters!$A$289</definedName>
    <definedName name="sttcn3co">[7]Parameters!$G$289</definedName>
    <definedName name="sttcn3name">[7]Parameters!$C$289</definedName>
    <definedName name="sttcn3sal1">[7]Parameters!$E$289</definedName>
    <definedName name="sttcn4">[7]Parameters!$A$290</definedName>
    <definedName name="sttcn4co">[7]Parameters!$G$290</definedName>
    <definedName name="sttcn4name">[7]Parameters!$C$290</definedName>
    <definedName name="sttcn4sal1">[7]Parameters!$E$290</definedName>
    <definedName name="sttcn5">[7]Parameters!$A$291</definedName>
    <definedName name="sttcn5co">[7]Parameters!$G$291</definedName>
    <definedName name="sttcn5name">[7]Parameters!$C$291</definedName>
    <definedName name="sttcn5sal1">[7]Parameters!$E$291</definedName>
    <definedName name="sttcn6">[7]Parameters!$A$292</definedName>
    <definedName name="sttcn6co">[7]Parameters!$G$292</definedName>
    <definedName name="sttcn6name">[7]Parameters!$C$292</definedName>
    <definedName name="sttcn6sal1">[7]Parameters!$E$292</definedName>
    <definedName name="sttcn7">[7]Parameters!$A$293</definedName>
    <definedName name="sttcn7co">[7]Parameters!$G$293</definedName>
    <definedName name="sttcn7name">[7]Parameters!$C$293</definedName>
    <definedName name="sttcn7sal1">[7]Parameters!$E$293</definedName>
    <definedName name="sttcn8">[7]Parameters!$A$294</definedName>
    <definedName name="sttcn8co">[7]Parameters!$G$294</definedName>
    <definedName name="sttcn8name">[7]Parameters!$C$294</definedName>
    <definedName name="sttcn8sal1">[7]Parameters!$E$294</definedName>
    <definedName name="sttcn9">[7]Parameters!$A$295</definedName>
    <definedName name="sttcn9co">[7]Parameters!$G$295</definedName>
    <definedName name="sttcn9name">[7]Parameters!$C$295</definedName>
    <definedName name="sttcn9sal1">[7]Parameters!$E$295</definedName>
    <definedName name="sttcnjob1">[7]Parameters!$I$287</definedName>
    <definedName name="sttcnjob10">[7]Parameters!$I$296</definedName>
    <definedName name="sttcnjob2">[7]Parameters!$I$288</definedName>
    <definedName name="sttcnjob3">[7]Parameters!$I$289</definedName>
    <definedName name="sttcnjob4">[7]Parameters!$I$290</definedName>
    <definedName name="sttcnjob5">[7]Parameters!$I$291</definedName>
    <definedName name="sttcnjob6">[7]Parameters!$I$292</definedName>
    <definedName name="sttcnjob7">[7]Parameters!$I$293</definedName>
    <definedName name="sttcnjob8">[7]Parameters!$I$294</definedName>
    <definedName name="sttcnjob9">[7]Parameters!$I$295</definedName>
    <definedName name="sttrip">[5]Parameters!$D$29</definedName>
    <definedName name="Sttripfactor">[12]Sheet1!$C$18</definedName>
    <definedName name="stus">[7]Parameters!$A$207</definedName>
    <definedName name="stus1">[7]Parameters!$A$209</definedName>
    <definedName name="stus10">[7]Parameters!$A$218</definedName>
    <definedName name="stus10co">[7]Parameters!$G$218</definedName>
    <definedName name="stus10name">[7]Parameters!$C$218</definedName>
    <definedName name="stus10sal1">[7]Parameters!$E$218</definedName>
    <definedName name="stus11">[7]Parameters!$A$219</definedName>
    <definedName name="stus12">[7]Parameters!$A$220</definedName>
    <definedName name="stus13">[7]Parameters!$A$221</definedName>
    <definedName name="stus14">[7]Parameters!$A$222</definedName>
    <definedName name="stus15">[7]Parameters!$A$223</definedName>
    <definedName name="stus16">[7]Parameters!$A$224</definedName>
    <definedName name="stus17">[7]Parameters!$A$225</definedName>
    <definedName name="stus18">[7]Parameters!$A$226</definedName>
    <definedName name="stus19">[7]Parameters!$A$227</definedName>
    <definedName name="stus1co">[7]Parameters!$G$209</definedName>
    <definedName name="stus1name">[7]Parameters!$C$209</definedName>
    <definedName name="stus1sal1">[7]Parameters!$E$209</definedName>
    <definedName name="stus2">[7]Parameters!$A$210</definedName>
    <definedName name="stus20">[7]Parameters!$A$228</definedName>
    <definedName name="stus21">[7]Parameters!$A$229</definedName>
    <definedName name="stus22">[7]Parameters!$A$230</definedName>
    <definedName name="stus23">[7]Parameters!$A$231</definedName>
    <definedName name="stus24">[7]Parameters!$A$232</definedName>
    <definedName name="stus25">[7]Parameters!$A$233</definedName>
    <definedName name="stus26">[7]Parameters!$A$234</definedName>
    <definedName name="stus27">[7]Parameters!$A$235</definedName>
    <definedName name="stus28">[7]Parameters!$A$236</definedName>
    <definedName name="stus29">[7]Parameters!$A$237</definedName>
    <definedName name="stus2co">[7]Parameters!$G$210</definedName>
    <definedName name="stus2name">[7]Parameters!$C$210</definedName>
    <definedName name="stus2sal1">[7]Parameters!$E$210</definedName>
    <definedName name="stus3">[7]Parameters!$A$211</definedName>
    <definedName name="stus30">[7]Parameters!$A$238</definedName>
    <definedName name="stus31">[7]Parameters!$A$239</definedName>
    <definedName name="stus32">[7]Parameters!$A$240</definedName>
    <definedName name="stus33">[7]Parameters!$A$241</definedName>
    <definedName name="stus34">[7]Parameters!$A$242</definedName>
    <definedName name="stus35">[7]Parameters!$A$243</definedName>
    <definedName name="stus36">[7]Parameters!$A$244</definedName>
    <definedName name="stus37">[7]Parameters!$A$245</definedName>
    <definedName name="stus38">[7]Parameters!$A$246</definedName>
    <definedName name="stus39">[7]Parameters!$A$247</definedName>
    <definedName name="stus3co">[7]Parameters!$G$211</definedName>
    <definedName name="stus3name">[7]Parameters!$C$211</definedName>
    <definedName name="stus3sal1">[7]Parameters!$E$211</definedName>
    <definedName name="stus4">[7]Parameters!$A$212</definedName>
    <definedName name="stus40">[7]Parameters!$A$248</definedName>
    <definedName name="stus41">[7]Parameters!$A$249</definedName>
    <definedName name="stus42">[7]Parameters!$A$250</definedName>
    <definedName name="stus43">[7]Parameters!$A$251</definedName>
    <definedName name="stus44">[7]Parameters!$A$252</definedName>
    <definedName name="stus45">[7]Parameters!$A$253</definedName>
    <definedName name="stus46">[7]Parameters!$A$254</definedName>
    <definedName name="stus47">[7]Parameters!$A$255</definedName>
    <definedName name="stus48">[7]Parameters!$A$256</definedName>
    <definedName name="stus49">[7]Parameters!$A$257</definedName>
    <definedName name="stus4co">[7]Parameters!$G$212</definedName>
    <definedName name="stus4name">[7]Parameters!$C$212</definedName>
    <definedName name="stus4sal1">[7]Parameters!$E$212</definedName>
    <definedName name="stus5">[7]Parameters!$A$213</definedName>
    <definedName name="stus50">[7]Parameters!$A$258</definedName>
    <definedName name="stus51">[7]Parameters!$A$259</definedName>
    <definedName name="stus52">[7]Parameters!$A$260</definedName>
    <definedName name="stus53">[7]Parameters!$A$261</definedName>
    <definedName name="stus54">[7]Parameters!$A$262</definedName>
    <definedName name="stus55">[7]Parameters!$A$263</definedName>
    <definedName name="stus56">[7]Parameters!$A$264</definedName>
    <definedName name="stus57">[7]Parameters!$A$265</definedName>
    <definedName name="stus58">[7]Parameters!$A$266</definedName>
    <definedName name="stus59">[7]Parameters!$A$267</definedName>
    <definedName name="stus5co">[7]Parameters!$G$213</definedName>
    <definedName name="stus5name">[7]Parameters!$C$213</definedName>
    <definedName name="stus5sal1">[7]Parameters!$E$213</definedName>
    <definedName name="stus6">[7]Parameters!$A$214</definedName>
    <definedName name="stus60">[7]Parameters!$A$268</definedName>
    <definedName name="stus61">[7]Parameters!$A$269</definedName>
    <definedName name="stus62">[7]Parameters!$A$270</definedName>
    <definedName name="stus63">[7]Parameters!$A$271</definedName>
    <definedName name="stus64">[7]Parameters!$A$272</definedName>
    <definedName name="stus65">[7]Parameters!$A$273</definedName>
    <definedName name="stus66">[7]Parameters!$A$274</definedName>
    <definedName name="stus67">[7]Parameters!$A$275</definedName>
    <definedName name="stus68">[7]Parameters!$A$276</definedName>
    <definedName name="stus69">[7]Parameters!$A$277</definedName>
    <definedName name="stus6co">[7]Parameters!$G$214</definedName>
    <definedName name="stus6name">[7]Parameters!$C$214</definedName>
    <definedName name="stus6sal1">[7]Parameters!$E$214</definedName>
    <definedName name="stus7">[7]Parameters!$A$215</definedName>
    <definedName name="stus70">[7]Parameters!$A$278</definedName>
    <definedName name="stus71">[7]Parameters!$A$279</definedName>
    <definedName name="stus72">[7]Parameters!$A$280</definedName>
    <definedName name="stus73">[7]Parameters!$A$281</definedName>
    <definedName name="stus74">[7]Parameters!$A$282</definedName>
    <definedName name="stus75">[7]Parameters!$A$283</definedName>
    <definedName name="stus7co">[7]Parameters!$G$215</definedName>
    <definedName name="stus7name">[7]Parameters!$C$215</definedName>
    <definedName name="stus7sal1">[7]Parameters!$E$215</definedName>
    <definedName name="stus8">[7]Parameters!$A$216</definedName>
    <definedName name="stus8co">[7]Parameters!$G$216</definedName>
    <definedName name="stus8name">[7]Parameters!$C$216</definedName>
    <definedName name="stus8sal1">[7]Parameters!$E$216</definedName>
    <definedName name="stus9">[7]Parameters!$A$217</definedName>
    <definedName name="stus9co">[7]Parameters!$G$217</definedName>
    <definedName name="stus9name">[7]Parameters!$C$217</definedName>
    <definedName name="stus9sal1">[7]Parameters!$E$217</definedName>
    <definedName name="stusco11">[7]Parameters!$G$219</definedName>
    <definedName name="stusco12">[7]Parameters!$G$220</definedName>
    <definedName name="stusco13">[7]Parameters!$G$221</definedName>
    <definedName name="stusco14">[7]Parameters!$G$222</definedName>
    <definedName name="stusco15">[7]Parameters!$G$223</definedName>
    <definedName name="stusco16">[7]Parameters!$G$224</definedName>
    <definedName name="stusco17">[7]Parameters!$G$225</definedName>
    <definedName name="stusco18">[7]Parameters!$G$226</definedName>
    <definedName name="stusco19">[7]Parameters!$G$227</definedName>
    <definedName name="stusco20">[7]Parameters!$G$228</definedName>
    <definedName name="stusco21">[7]Parameters!$G$229</definedName>
    <definedName name="stusco22">[7]Parameters!$G$230</definedName>
    <definedName name="stusco23">[7]Parameters!$G$231</definedName>
    <definedName name="stusco24">[7]Parameters!$G$232</definedName>
    <definedName name="stusco25">[7]Parameters!$G$233</definedName>
    <definedName name="stusco26">[7]Parameters!$G$234</definedName>
    <definedName name="stusco27">[7]Parameters!$G$235</definedName>
    <definedName name="stusco28">[7]Parameters!$G$236</definedName>
    <definedName name="stusco29">[7]Parameters!$G$237</definedName>
    <definedName name="stusco30">[7]Parameters!$G$238</definedName>
    <definedName name="stusco31">[7]Parameters!$G$239</definedName>
    <definedName name="stusco32">[7]Parameters!$G$240</definedName>
    <definedName name="stusco33">[7]Parameters!$G$241</definedName>
    <definedName name="stusco34">[7]Parameters!$G$242</definedName>
    <definedName name="stusco35">[7]Parameters!$G$243</definedName>
    <definedName name="stusco36">[7]Parameters!$G$244</definedName>
    <definedName name="stusco37">[7]Parameters!$G$245</definedName>
    <definedName name="stusco38">[7]Parameters!$G$246</definedName>
    <definedName name="stusco39">[7]Parameters!$G$247</definedName>
    <definedName name="stusco40">[7]Parameters!$G$248</definedName>
    <definedName name="stusco41">[7]Parameters!$G$249</definedName>
    <definedName name="stusco42">[7]Parameters!$G$250</definedName>
    <definedName name="stusco43">[7]Parameters!$G$251</definedName>
    <definedName name="stusco44">[7]Parameters!$G$252</definedName>
    <definedName name="stusco45">[7]Parameters!$G$253</definedName>
    <definedName name="stusco46">[7]Parameters!$G$254</definedName>
    <definedName name="stusco47">[7]Parameters!$G$255</definedName>
    <definedName name="stusco48">[7]Parameters!$G$256</definedName>
    <definedName name="stusco49">[7]Parameters!$G$257</definedName>
    <definedName name="stusco50">[7]Parameters!$G$258</definedName>
    <definedName name="stusco51">[7]Parameters!$G$259</definedName>
    <definedName name="stusco52">[7]Parameters!$G$260</definedName>
    <definedName name="stusco53">[7]Parameters!$G$261</definedName>
    <definedName name="stusco54">[7]Parameters!$G$262</definedName>
    <definedName name="stusco55">[7]Parameters!$G$263</definedName>
    <definedName name="stusco56">[7]Parameters!$G$264</definedName>
    <definedName name="stusco57">[7]Parameters!$G$265</definedName>
    <definedName name="stusco58">[7]Parameters!$G$266</definedName>
    <definedName name="stusco59">[7]Parameters!$G$267</definedName>
    <definedName name="stusco60">[7]Parameters!$G$268</definedName>
    <definedName name="stusco61">[7]Parameters!$G$269</definedName>
    <definedName name="stusco62">[7]Parameters!$G$270</definedName>
    <definedName name="stusco63">[7]Parameters!$G$271</definedName>
    <definedName name="stusco64">[7]Parameters!$G$272</definedName>
    <definedName name="stusco65">[7]Parameters!$G$273</definedName>
    <definedName name="stusco66">[7]Parameters!$G$274</definedName>
    <definedName name="stusco67">[7]Parameters!$G$275</definedName>
    <definedName name="stusco68">[7]Parameters!$G$276</definedName>
    <definedName name="stusco69">[7]Parameters!$G$277</definedName>
    <definedName name="stusco70">[7]Parameters!$G$278</definedName>
    <definedName name="stusco71">[7]Parameters!$G$279</definedName>
    <definedName name="stusco72">[7]Parameters!$G$280</definedName>
    <definedName name="stusco73">[7]Parameters!$G$281</definedName>
    <definedName name="stusco74">[7]Parameters!$G$282</definedName>
    <definedName name="stusco75">[7]Parameters!$G$283</definedName>
    <definedName name="stusjob1">[7]Parameters!$I$209</definedName>
    <definedName name="stusjob10">[7]Parameters!$I$218</definedName>
    <definedName name="stusjob11">[7]Parameters!$I$219</definedName>
    <definedName name="stusjob12">[7]Parameters!$I$220</definedName>
    <definedName name="stusjob13">[7]Parameters!$I$221</definedName>
    <definedName name="stusjob14">[7]Parameters!$I$222</definedName>
    <definedName name="stusjob15">[7]Parameters!$I$223</definedName>
    <definedName name="stusjob16">[7]Parameters!$I$224</definedName>
    <definedName name="stusjob17">[7]Parameters!$I$225</definedName>
    <definedName name="stusjob18">[7]Parameters!$I$226</definedName>
    <definedName name="stusjob19">[7]Parameters!$I$227</definedName>
    <definedName name="stusjob2">[7]Parameters!$I$210</definedName>
    <definedName name="stusjob20">[7]Parameters!$I$228</definedName>
    <definedName name="stusjob21">[7]Parameters!$I$229</definedName>
    <definedName name="stusjob22">[7]Parameters!$I$230</definedName>
    <definedName name="stusjob23">[7]Parameters!$I$231</definedName>
    <definedName name="stusjob24">[7]Parameters!$I$232</definedName>
    <definedName name="stusjob25">[7]Parameters!$I$233</definedName>
    <definedName name="stusjob26">[7]Parameters!$I$234</definedName>
    <definedName name="stusjob27">[7]Parameters!$I$235</definedName>
    <definedName name="stusjob28">[7]Parameters!$I$236</definedName>
    <definedName name="stusjob29">[7]Parameters!$I$237</definedName>
    <definedName name="stusjob3">[7]Parameters!$I$211</definedName>
    <definedName name="stusjob30">[7]Parameters!$I$238</definedName>
    <definedName name="stusjob31">[7]Parameters!$I$239</definedName>
    <definedName name="stusjob32">[7]Parameters!$I$240</definedName>
    <definedName name="stusjob33">[7]Parameters!$I$241</definedName>
    <definedName name="stusjob34">[7]Parameters!$I$242</definedName>
    <definedName name="stusjob35">[7]Parameters!$I$243</definedName>
    <definedName name="stusjob36">[7]Parameters!$I$244</definedName>
    <definedName name="stusjob37">[7]Parameters!$I$245</definedName>
    <definedName name="stusjob38">[7]Parameters!$I$246</definedName>
    <definedName name="stusjob39">[7]Parameters!$I$247</definedName>
    <definedName name="stusjob4">[7]Parameters!$I$212</definedName>
    <definedName name="stusjob40">[7]Parameters!$I$248</definedName>
    <definedName name="stusjob41">[7]Parameters!$I$249</definedName>
    <definedName name="stusjob42">[7]Parameters!$I$250</definedName>
    <definedName name="stusjob43">[7]Parameters!$I$251</definedName>
    <definedName name="stusjob44">[7]Parameters!$I$252</definedName>
    <definedName name="stusjob45">[7]Parameters!$I$253</definedName>
    <definedName name="stusjob46">[7]Parameters!$I$254</definedName>
    <definedName name="stusjob47">[7]Parameters!$I$255</definedName>
    <definedName name="stusjob48">[7]Parameters!$I$256</definedName>
    <definedName name="stusjob49">[7]Parameters!$I$257</definedName>
    <definedName name="stusjob5">[7]Parameters!$I$213</definedName>
    <definedName name="stusjob51">[7]Parameters!$I$259</definedName>
    <definedName name="stusjob52">[7]Parameters!$I$260</definedName>
    <definedName name="stusjob53">[7]Parameters!$I$261</definedName>
    <definedName name="stusjob54">[7]Parameters!$I$262</definedName>
    <definedName name="stusjob55">[7]Parameters!$I$263</definedName>
    <definedName name="stusjob56">[7]Parameters!$I$264</definedName>
    <definedName name="stusjob57">[7]Parameters!$I$265</definedName>
    <definedName name="stusjob58">[7]Parameters!$I$266</definedName>
    <definedName name="stusjob59">[7]Parameters!$I$267</definedName>
    <definedName name="stusjob6">[7]Parameters!$I$214</definedName>
    <definedName name="stusjob60">[7]Parameters!$I$268</definedName>
    <definedName name="stusjob61">[7]Parameters!$I$269</definedName>
    <definedName name="stusjob62">[7]Parameters!$I$270</definedName>
    <definedName name="stusjob63">[7]Parameters!$I$271</definedName>
    <definedName name="stusjob64">[7]Parameters!$I$272</definedName>
    <definedName name="stusjob65">[7]Parameters!$I$273</definedName>
    <definedName name="stusjob66">[7]Parameters!$I$274</definedName>
    <definedName name="stusjob67">[7]Parameters!$I$275</definedName>
    <definedName name="stusjob68">[7]Parameters!$I$276</definedName>
    <definedName name="stusjob69">[7]Parameters!$I$277</definedName>
    <definedName name="stusjob7">[7]Parameters!$I$215</definedName>
    <definedName name="stusjob70">[7]Parameters!$I$278</definedName>
    <definedName name="stusjob71">[7]Parameters!$I$279</definedName>
    <definedName name="stusjob72">[7]Parameters!$I$280</definedName>
    <definedName name="stusjob73">[7]Parameters!$I$281</definedName>
    <definedName name="stusjob74">[7]Parameters!$I$282</definedName>
    <definedName name="stusjob75">[7]Parameters!$I$283</definedName>
    <definedName name="stusjob8">[7]Parameters!$I$216</definedName>
    <definedName name="stusjob9">[7]Parameters!$I$217</definedName>
    <definedName name="stusname11">[7]Parameters!$C$219</definedName>
    <definedName name="stusname12">[7]Parameters!$C$220</definedName>
    <definedName name="stusname13">[7]Parameters!$C$221</definedName>
    <definedName name="stusname14">[7]Parameters!$C$222</definedName>
    <definedName name="stusname15">[7]Parameters!$C$223</definedName>
    <definedName name="stusname16">[7]Parameters!$C$224</definedName>
    <definedName name="stusname17">[7]Parameters!$C$225</definedName>
    <definedName name="stusname18">[7]Parameters!$C$226</definedName>
    <definedName name="stusname19">[7]Parameters!$C$227</definedName>
    <definedName name="stusname20">[7]Parameters!$C$228</definedName>
    <definedName name="stusname21">[7]Parameters!$C$229</definedName>
    <definedName name="stusname22">[7]Parameters!$C$230</definedName>
    <definedName name="stusname23">[7]Parameters!$C$231</definedName>
    <definedName name="stusname24">[7]Parameters!$C$232</definedName>
    <definedName name="stusname25">[7]Parameters!$C$233</definedName>
    <definedName name="stusname26">[7]Parameters!$C$234</definedName>
    <definedName name="stusname27">[7]Parameters!$C$235</definedName>
    <definedName name="stusname28">[7]Parameters!$C$236</definedName>
    <definedName name="stusname29">[7]Parameters!$C$237</definedName>
    <definedName name="stusname30">[7]Parameters!$C$238</definedName>
    <definedName name="stusname31">[7]Parameters!$C$239</definedName>
    <definedName name="stusname32">[7]Parameters!$C$240</definedName>
    <definedName name="stusname33">[7]Parameters!$C$241</definedName>
    <definedName name="stusname34">[7]Parameters!$C$242</definedName>
    <definedName name="stusname35">[7]Parameters!$C$243</definedName>
    <definedName name="stusname36">[7]Parameters!$C$244</definedName>
    <definedName name="stusname37">[7]Parameters!$C$245</definedName>
    <definedName name="stusname38">[7]Parameters!$C$246</definedName>
    <definedName name="stusname39">[7]Parameters!$C$247</definedName>
    <definedName name="stusname40">[7]Parameters!$C$248</definedName>
    <definedName name="stusname41">[7]Parameters!$C$249</definedName>
    <definedName name="stusname42">[7]Parameters!$C$250</definedName>
    <definedName name="stusname43">[7]Parameters!$C$251</definedName>
    <definedName name="stusname44">[7]Parameters!$C$252</definedName>
    <definedName name="stusname45">[7]Parameters!$C$253</definedName>
    <definedName name="stusname46">[7]Parameters!$C$254</definedName>
    <definedName name="stusname47">[7]Parameters!$C$255</definedName>
    <definedName name="stusname48">[7]Parameters!$C$256</definedName>
    <definedName name="stusname49">[7]Parameters!$C$257</definedName>
    <definedName name="stusname50">[7]Parameters!$C$258</definedName>
    <definedName name="stusname51">[7]Parameters!$C$259</definedName>
    <definedName name="stusname52">[7]Parameters!$C$260</definedName>
    <definedName name="stusname53">[7]Parameters!$C$261</definedName>
    <definedName name="stusname54">[7]Parameters!$C$262</definedName>
    <definedName name="stusname55">[7]Parameters!$C$263</definedName>
    <definedName name="stusname56">[7]Parameters!$C$264</definedName>
    <definedName name="stusname57">[7]Parameters!$C$265</definedName>
    <definedName name="stusname58">[7]Parameters!$C$266</definedName>
    <definedName name="stusname59">[7]Parameters!$C$267</definedName>
    <definedName name="stusname60">[7]Parameters!$C$268</definedName>
    <definedName name="stusname61">[7]Parameters!$C$269</definedName>
    <definedName name="stusname62">[7]Parameters!$C$270</definedName>
    <definedName name="stusname63">[7]Parameters!$C$271</definedName>
    <definedName name="stusname64">[7]Parameters!$C$272</definedName>
    <definedName name="stusname65">[7]Parameters!$C$273</definedName>
    <definedName name="stusname66">[7]Parameters!$C$274</definedName>
    <definedName name="stusname67">[7]Parameters!$C$275</definedName>
    <definedName name="stusname68">[7]Parameters!$C$276</definedName>
    <definedName name="stusname69">[7]Parameters!$C$277</definedName>
    <definedName name="stusname70">[7]Parameters!$C$278</definedName>
    <definedName name="stusname71">[7]Parameters!$C$279</definedName>
    <definedName name="stusname72">[7]Parameters!$C$280</definedName>
    <definedName name="stusname73">[7]Parameters!$C$281</definedName>
    <definedName name="stusname74">[7]Parameters!$C$282</definedName>
    <definedName name="stusname75">[7]Parameters!$C$283</definedName>
    <definedName name="stussal11">[7]Parameters!$E$219</definedName>
    <definedName name="stussal12">[7]Parameters!$E$220</definedName>
    <definedName name="stussal13">[7]Parameters!$E$221</definedName>
    <definedName name="stussal14">[7]Parameters!$E$222</definedName>
    <definedName name="stussal15">[7]Parameters!$E$223</definedName>
    <definedName name="stussal16">[7]Parameters!$E$224</definedName>
    <definedName name="stussal17">[7]Parameters!$E$225</definedName>
    <definedName name="stussal18">[7]Parameters!$E$226</definedName>
    <definedName name="stussal19">[7]Parameters!$E$227</definedName>
    <definedName name="stussal20">[7]Parameters!$E$228</definedName>
    <definedName name="stussal21">[7]Parameters!$E$229</definedName>
    <definedName name="stussal22">[7]Parameters!$E$230</definedName>
    <definedName name="stussal23">[7]Parameters!$E$231</definedName>
    <definedName name="stussal24">[7]Parameters!$E$232</definedName>
    <definedName name="stussal25">[7]Parameters!$E$233</definedName>
    <definedName name="stussal26">[7]Parameters!$E$234</definedName>
    <definedName name="stussal27">[7]Parameters!$E$235</definedName>
    <definedName name="stussal28">[7]Parameters!$E$236</definedName>
    <definedName name="stussal29">[7]Parameters!$E$237</definedName>
    <definedName name="stussal30">[7]Parameters!$E$238</definedName>
    <definedName name="stussal31">[7]Parameters!$E$239</definedName>
    <definedName name="stussal32">[7]Parameters!$E$240</definedName>
    <definedName name="stussal33">[7]Parameters!$E$241</definedName>
    <definedName name="stussal34">[7]Parameters!$E$242</definedName>
    <definedName name="stussal35">[7]Parameters!$E$243</definedName>
    <definedName name="stussal36">[7]Parameters!$E$244</definedName>
    <definedName name="stussal37">[7]Parameters!$E$245</definedName>
    <definedName name="stussal38">[7]Parameters!$E$246</definedName>
    <definedName name="stussal39">[7]Parameters!$E$247</definedName>
    <definedName name="stussal40">[7]Parameters!$E$248</definedName>
    <definedName name="stussal41">[7]Parameters!$E$249</definedName>
    <definedName name="stussal42">[7]Parameters!$E$250</definedName>
    <definedName name="stussal43">[7]Parameters!$E$251</definedName>
    <definedName name="stussal44">[7]Parameters!$E$252</definedName>
    <definedName name="stussal45">[7]Parameters!$E$253</definedName>
    <definedName name="stussal46">[7]Parameters!$E$254</definedName>
    <definedName name="stussal47">[7]Parameters!$E$255</definedName>
    <definedName name="stussal48">[7]Parameters!$E$256</definedName>
    <definedName name="stussal49">[7]Parameters!$E$257</definedName>
    <definedName name="stussal50">[7]Parameters!$E$258</definedName>
    <definedName name="stussal51">[7]Parameters!$E$259</definedName>
    <definedName name="stussal52">[7]Parameters!$E$260</definedName>
    <definedName name="stussal53">[7]Parameters!$E$261</definedName>
    <definedName name="stussal54">[7]Parameters!$E$262</definedName>
    <definedName name="stussal55">[7]Parameters!$E$263</definedName>
    <definedName name="stussal56">[7]Parameters!$E$264</definedName>
    <definedName name="stussal57">[7]Parameters!$E$265</definedName>
    <definedName name="stussal58">[7]Parameters!$E$266</definedName>
    <definedName name="stussal59">[7]Parameters!$E$267</definedName>
    <definedName name="stussal60">[7]Parameters!$E$268</definedName>
    <definedName name="stussal61">[7]Parameters!$E$269</definedName>
    <definedName name="stussal62">[7]Parameters!$E$270</definedName>
    <definedName name="stussal63">[7]Parameters!$E$271</definedName>
    <definedName name="stussal64">[7]Parameters!$E$272</definedName>
    <definedName name="stussal65">[7]Parameters!$E$273</definedName>
    <definedName name="stussal66">[7]Parameters!$E$274</definedName>
    <definedName name="stussal67">[7]Parameters!$E$275</definedName>
    <definedName name="stussal68">[7]Parameters!$E$276</definedName>
    <definedName name="stussal69">[7]Parameters!$E$277</definedName>
    <definedName name="stussal70">[7]Parameters!$E$278</definedName>
    <definedName name="stussal71">[7]Parameters!$E$279</definedName>
    <definedName name="stussal72">[7]Parameters!$E$280</definedName>
    <definedName name="stussal73">[7]Parameters!$E$281</definedName>
    <definedName name="stussal74">[7]Parameters!$E$282</definedName>
    <definedName name="stussal75">[7]Parameters!$E$283</definedName>
    <definedName name="Sub">[10]RATES!#REF!</definedName>
    <definedName name="sub10fee">[7]Parameters!$V$497</definedName>
    <definedName name="sub10fringeexp">[7]Parameters!$V$486</definedName>
    <definedName name="sub10fringeloc">[7]Parameters!$V$487</definedName>
    <definedName name="sub10ga">[7]Parameters!$V$494</definedName>
    <definedName name="sub10ohfo">[7]Parameters!$V$491</definedName>
    <definedName name="sub1name">[7]Parameters!$B$17</definedName>
    <definedName name="sub2name">[7]Parameters!$B$18</definedName>
    <definedName name="sub3name">[7]Parameters!$B$19</definedName>
    <definedName name="sub4name">[7]Parameters!$B$20</definedName>
    <definedName name="sub5name">[7]Parameters!$B$21</definedName>
    <definedName name="SUBCONTRACOR_IDs">#REF!</definedName>
    <definedName name="subcontractor">#REF!</definedName>
    <definedName name="subfee">#REF!</definedName>
    <definedName name="subho">[7]Parameters!$A$455</definedName>
    <definedName name="subho1">[7]Parameters!$A$457</definedName>
    <definedName name="subho10">[7]Parameters!$A$466</definedName>
    <definedName name="subho10co">[7]Parameters!$G$466</definedName>
    <definedName name="subho10name">[7]Parameters!$C$466</definedName>
    <definedName name="subho10sal1">[7]Parameters!$E$466</definedName>
    <definedName name="subho1co">[7]Parameters!$G$457</definedName>
    <definedName name="subho1name">[7]Parameters!$C$457</definedName>
    <definedName name="subho1sal1">[7]Parameters!$E$457</definedName>
    <definedName name="subho2">[7]Parameters!$A$458</definedName>
    <definedName name="subho2co">[7]Parameters!$G$458</definedName>
    <definedName name="subho2name">[7]Parameters!$C$458</definedName>
    <definedName name="subho2sal1">[7]Parameters!$E$458</definedName>
    <definedName name="subho3">[7]Parameters!$A$459</definedName>
    <definedName name="subho3co">[7]Parameters!$G$459</definedName>
    <definedName name="subho3name">[7]Parameters!$C$459</definedName>
    <definedName name="subho3sal1">[7]Parameters!$E$459</definedName>
    <definedName name="subho4">[7]Parameters!$A$460</definedName>
    <definedName name="subho4co">[7]Parameters!$G$460</definedName>
    <definedName name="subho4name">[7]Parameters!$C$460</definedName>
    <definedName name="subho4sal1">[7]Parameters!$E$460</definedName>
    <definedName name="subho5">[7]Parameters!$A$461</definedName>
    <definedName name="subho5co">[7]Parameters!$G$461</definedName>
    <definedName name="subho5name">[7]Parameters!$C$461</definedName>
    <definedName name="subho5sal1">[7]Parameters!$E$461</definedName>
    <definedName name="subho6">[7]Parameters!$A$462</definedName>
    <definedName name="subho6co">[7]Parameters!$G$462</definedName>
    <definedName name="subho6name">[7]Parameters!$C$462</definedName>
    <definedName name="subho6sal1">[7]Parameters!$E$462</definedName>
    <definedName name="subho7">[7]Parameters!$A$463</definedName>
    <definedName name="subho7co">[7]Parameters!$G$463</definedName>
    <definedName name="subho7name">[7]Parameters!$C$463</definedName>
    <definedName name="subho7sal1">[7]Parameters!$E$463</definedName>
    <definedName name="subho8">[7]Parameters!$A$464</definedName>
    <definedName name="subho8co">[7]Parameters!$G$464</definedName>
    <definedName name="subho8name">[7]Parameters!$C$464</definedName>
    <definedName name="subho8sal1">[7]Parameters!$E$464</definedName>
    <definedName name="subho9">[7]Parameters!$A$465</definedName>
    <definedName name="subho9co">[7]Parameters!$G$465</definedName>
    <definedName name="subho9name">[7]Parameters!$C$465</definedName>
    <definedName name="subho9sal1">[7]Parameters!$E$465</definedName>
    <definedName name="subhojob1">[7]Parameters!$I$457</definedName>
    <definedName name="subhojob10">[7]Parameters!$I$466</definedName>
    <definedName name="subhojob2">[7]Parameters!$I$458</definedName>
    <definedName name="subhojob3">[7]Parameters!$I$459</definedName>
    <definedName name="subhojob4">[7]Parameters!$I$460</definedName>
    <definedName name="subhojob5">[7]Parameters!$I$461</definedName>
    <definedName name="subhojob6">[7]Parameters!$I$462</definedName>
    <definedName name="subhojob7">[7]Parameters!$I$463</definedName>
    <definedName name="subhojob8">[7]Parameters!$I$464</definedName>
    <definedName name="subhojob9">[7]Parameters!$I$465</definedName>
    <definedName name="submulti">1.09*1.12</definedName>
    <definedName name="subname10">[7]Parameters!$B$26</definedName>
    <definedName name="subname11">[7]Parameters!$B$27</definedName>
    <definedName name="subname12">[7]Parameters!$B$28</definedName>
    <definedName name="subname13">[7]Parameters!$B$29</definedName>
    <definedName name="subname14">[7]Parameters!$B$30</definedName>
    <definedName name="subname15">[7]Parameters!$B$31</definedName>
    <definedName name="subname6">[7]Parameters!$B$22</definedName>
    <definedName name="subname7">[7]Parameters!$B$23</definedName>
    <definedName name="subname8">[7]Parameters!$B$24</definedName>
    <definedName name="subname9">[7]Parameters!$B$25</definedName>
    <definedName name="SUMMARY">#REF!</definedName>
    <definedName name="SUMSHELL">#REF!</definedName>
    <definedName name="SV">[43]Sheet1!$M$3:$M$8</definedName>
    <definedName name="tcn">[7]Parameters!$A$115</definedName>
    <definedName name="TCN_CCN">#REF!</definedName>
    <definedName name="TCN_Fringe">#REF!</definedName>
    <definedName name="tcn10co">[7]Parameters!$G$126</definedName>
    <definedName name="tcn10name">[7]Parameters!$C$126</definedName>
    <definedName name="tcn10sal1">[7]Parameters!$E$126</definedName>
    <definedName name="tcn1co">[7]Parameters!$G$117</definedName>
    <definedName name="tcn1name">[7]Parameters!$C$117</definedName>
    <definedName name="tcn1sal1">[7]Parameters!$E$117</definedName>
    <definedName name="tcn2co">[7]Parameters!$G$118</definedName>
    <definedName name="tcn2name">[7]Parameters!$C$118</definedName>
    <definedName name="tcn2sal1">[7]Parameters!$E$118</definedName>
    <definedName name="tcn3co">[7]Parameters!$G$119</definedName>
    <definedName name="tcn3name">[7]Parameters!$C$119</definedName>
    <definedName name="tcn3sal1">[7]Parameters!$E$119</definedName>
    <definedName name="tcn4co">[7]Parameters!$G$120</definedName>
    <definedName name="tcn4name">[7]Parameters!$C$120</definedName>
    <definedName name="tcn4sal1">[7]Parameters!$E$120</definedName>
    <definedName name="tcn5co">[7]Parameters!$G$121</definedName>
    <definedName name="tcn5name">[7]Parameters!$C$121</definedName>
    <definedName name="tcn5sal1">[7]Parameters!$E$121</definedName>
    <definedName name="tcn6co">[7]Parameters!$G$122</definedName>
    <definedName name="tcn6name">[7]Parameters!$C$122</definedName>
    <definedName name="tcn6sal1">[7]Parameters!$E$122</definedName>
    <definedName name="tcn7co">[7]Parameters!$G$123</definedName>
    <definedName name="tcn7name">[7]Parameters!$C$123</definedName>
    <definedName name="tcn7sal1">[7]Parameters!$E$123</definedName>
    <definedName name="tcn8co">[7]Parameters!$G$124</definedName>
    <definedName name="tcn8name">[7]Parameters!$C$124</definedName>
    <definedName name="tcn8sal1">[7]Parameters!$E$124</definedName>
    <definedName name="tcn9co">[7]Parameters!$G$125</definedName>
    <definedName name="tcn9name">[7]Parameters!$C$125</definedName>
    <definedName name="tcn9sal1">[7]Parameters!$E$125</definedName>
    <definedName name="TCNCCNSTTA_DaysYr1">'[44]B. Local Hire and TCNs'!$I$20</definedName>
    <definedName name="TCNCCNSTTA_DaysYr2">'[44]B. Local Hire and TCNs'!$K$20</definedName>
    <definedName name="TCNCCNSTTA_DaysYr3">'[44]B. Local Hire and TCNs'!$M$20</definedName>
    <definedName name="TCNCCNSTTA_DaysYr4">'[44]B. Local Hire and TCNs'!$O$20</definedName>
    <definedName name="TCNCCNSTTA_DaysYr5">'[44]B. Local Hire and TCNs'!$Q$20</definedName>
    <definedName name="tcnjob1">[7]Parameters!$I$117</definedName>
    <definedName name="tcnjob10">[7]Parameters!$I$126</definedName>
    <definedName name="tcnjob2">[7]Parameters!$I$118</definedName>
    <definedName name="tcnjob3">[7]Parameters!$I$119</definedName>
    <definedName name="tcnjob4">[7]Parameters!$I$120</definedName>
    <definedName name="tcnjob5">[7]Parameters!$I$121</definedName>
    <definedName name="tcnjob6">[7]Parameters!$I$122</definedName>
    <definedName name="tcnjob7">[7]Parameters!$I$123</definedName>
    <definedName name="tcnjob8">[7]Parameters!$I$124</definedName>
    <definedName name="tcnjob9">[7]Parameters!$I$125</definedName>
    <definedName name="Telephone">#REF!</definedName>
    <definedName name="Temp" localSheetId="0" hidden="1">{#N/A,#N/A,FALSE,"ManLoading"}</definedName>
    <definedName name="Temp" hidden="1">{#N/A,#N/A,FALSE,"ManLoading"}</definedName>
    <definedName name="Test">#REF!</definedName>
    <definedName name="Title">[12]Sheet1!$C$15</definedName>
    <definedName name="TOPA">'[45]SF 1411'!#REF!</definedName>
    <definedName name="topost">[5]Parameters!$D$23</definedName>
    <definedName name="totonicapan">#REF!</definedName>
    <definedName name="Trade11">[10]RATES!#REF!</definedName>
    <definedName name="Trade12">[10]RATES!#REF!</definedName>
    <definedName name="Trade13">[10]RATES!#REF!</definedName>
    <definedName name="Trade41">[10]RATES!#REF!</definedName>
    <definedName name="Trade42">[10]RATES!#REF!</definedName>
    <definedName name="Trade43">[10]RATES!#REF!</definedName>
    <definedName name="Trade51">[10]RATES!#REF!</definedName>
    <definedName name="Trade52">[10]RATES!#REF!</definedName>
    <definedName name="Trade53">[10]RATES!#REF!</definedName>
    <definedName name="Transit">#REF!</definedName>
    <definedName name="TRAVEL">#REF!</definedName>
    <definedName name="traveldays">[16]Assumptions!$D$28</definedName>
    <definedName name="TRG">#N/A</definedName>
    <definedName name="TRIPS">#N/A</definedName>
    <definedName name="TRM">#REF!</definedName>
    <definedName name="trsty" localSheetId="0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0" hidden="1">{#N/A,#N/A,FALSE,"ManLoading"}</definedName>
    <definedName name="Unsure" hidden="1">{#N/A,#N/A,FALSE,"ManLoading"}</definedName>
    <definedName name="UODC">#N/A</definedName>
    <definedName name="us">[7]Parameters!$A$37</definedName>
    <definedName name="us10co">[7]Parameters!$G$48</definedName>
    <definedName name="us10name">[7]Parameters!$C$48</definedName>
    <definedName name="us10sal1">[7]Parameters!$E$48</definedName>
    <definedName name="us1co">[7]Parameters!$G$39</definedName>
    <definedName name="us1name">[7]Parameters!$C$39</definedName>
    <definedName name="us1sal1">[7]Parameters!$E$39</definedName>
    <definedName name="us2co">[7]Parameters!$G$40</definedName>
    <definedName name="us2name">[7]Parameters!$C$40</definedName>
    <definedName name="us2sal1">[7]Parameters!$E$40</definedName>
    <definedName name="us3co">[7]Parameters!$G$41</definedName>
    <definedName name="us3name">[7]Parameters!$C$41</definedName>
    <definedName name="us3sal1">[7]Parameters!$E$41</definedName>
    <definedName name="us4co">[7]Parameters!$G$42</definedName>
    <definedName name="us4name">[7]Parameters!$C$42</definedName>
    <definedName name="us4sal1">[7]Parameters!$E$42</definedName>
    <definedName name="us5co">[7]Parameters!$G$43</definedName>
    <definedName name="us5name">[7]Parameters!$C$43</definedName>
    <definedName name="us5sal1">[7]Parameters!$E$43</definedName>
    <definedName name="us6co">[7]Parameters!$G$44</definedName>
    <definedName name="us6name">[7]Parameters!$C$44</definedName>
    <definedName name="us6sal1">[7]Parameters!$E$44</definedName>
    <definedName name="us7co">[7]Parameters!$G$45</definedName>
    <definedName name="us7name">[7]Parameters!$C$45</definedName>
    <definedName name="us7sal1">[7]Parameters!$E$45</definedName>
    <definedName name="us8co">[7]Parameters!$G$46</definedName>
    <definedName name="us8name">[7]Parameters!$C$46</definedName>
    <definedName name="us8sal1">[7]Parameters!$E$46</definedName>
    <definedName name="us9co">[7]Parameters!$G$47</definedName>
    <definedName name="us9name">[7]Parameters!$C$47</definedName>
    <definedName name="us9sal1">[7]Parameters!$E$47</definedName>
    <definedName name="usco11">[7]Parameters!$G$49</definedName>
    <definedName name="usco12">[7]Parameters!$G$50</definedName>
    <definedName name="usco13">[7]Parameters!$G$51</definedName>
    <definedName name="usco14">[7]Parameters!$G$52</definedName>
    <definedName name="usco15">[7]Parameters!$G$53</definedName>
    <definedName name="usco16">[7]Parameters!$G$54</definedName>
    <definedName name="usco17">[7]Parameters!$G$55</definedName>
    <definedName name="usco18">[7]Parameters!$G$56</definedName>
    <definedName name="usco19">[7]Parameters!$G$57</definedName>
    <definedName name="usco20">[7]Parameters!$G$58</definedName>
    <definedName name="usco21">[7]Parameters!$G$59</definedName>
    <definedName name="usco22">[7]Parameters!$G$60</definedName>
    <definedName name="usco23">[7]Parameters!$G$61</definedName>
    <definedName name="usco24">[7]Parameters!$G$62</definedName>
    <definedName name="usco25">[7]Parameters!$G$63</definedName>
    <definedName name="usco26">[7]Parameters!$G$64</definedName>
    <definedName name="usco27">[7]Parameters!$G$65</definedName>
    <definedName name="usco28">[7]Parameters!$G$66</definedName>
    <definedName name="usco29">[7]Parameters!$G$67</definedName>
    <definedName name="usco30">[7]Parameters!$G$68</definedName>
    <definedName name="usco31">[7]Parameters!$G$69</definedName>
    <definedName name="usco32">[7]Parameters!$G$70</definedName>
    <definedName name="usco33">[7]Parameters!$G$71</definedName>
    <definedName name="usco34">[7]Parameters!$G$72</definedName>
    <definedName name="usco35">[7]Parameters!$G$73</definedName>
    <definedName name="usco36">[7]Parameters!$G$74</definedName>
    <definedName name="usco37">[7]Parameters!$G$75</definedName>
    <definedName name="usco38">[7]Parameters!$G$76</definedName>
    <definedName name="usco39">[7]Parameters!$G$77</definedName>
    <definedName name="usco40">[7]Parameters!$G$78</definedName>
    <definedName name="usco41">[7]Parameters!$G$79</definedName>
    <definedName name="usco42">[7]Parameters!$G$80</definedName>
    <definedName name="usco43">[7]Parameters!$G$81</definedName>
    <definedName name="usco44">[7]Parameters!$G$82</definedName>
    <definedName name="usco45">[7]Parameters!$G$83</definedName>
    <definedName name="usco46">[7]Parameters!$G$84</definedName>
    <definedName name="usco47">[7]Parameters!$G$85</definedName>
    <definedName name="usco48">[7]Parameters!$G$86</definedName>
    <definedName name="usco49">[7]Parameters!$G$87</definedName>
    <definedName name="usco50">[7]Parameters!$G$88</definedName>
    <definedName name="usco51">[7]Parameters!$G$89</definedName>
    <definedName name="usco52">[7]Parameters!$G$90</definedName>
    <definedName name="usco53">[7]Parameters!$G$91</definedName>
    <definedName name="usco54">[7]Parameters!$G$92</definedName>
    <definedName name="usco55">[7]Parameters!$G$93</definedName>
    <definedName name="usco56">[7]Parameters!$G$94</definedName>
    <definedName name="usco57">[7]Parameters!$G$95</definedName>
    <definedName name="usco58">[7]Parameters!$G$96</definedName>
    <definedName name="usco59">[7]Parameters!$G$97</definedName>
    <definedName name="usco60">[7]Parameters!$G$98</definedName>
    <definedName name="usco61">[7]Parameters!$G$99</definedName>
    <definedName name="usco62">[7]Parameters!$G$100</definedName>
    <definedName name="usco63">[7]Parameters!$G$101</definedName>
    <definedName name="usco64">[7]Parameters!$G$102</definedName>
    <definedName name="usco65">[7]Parameters!$G$103</definedName>
    <definedName name="usco66">[7]Parameters!$G$104</definedName>
    <definedName name="usco67">[7]Parameters!$G$105</definedName>
    <definedName name="usco68">[7]Parameters!$G$106</definedName>
    <definedName name="usco69">[7]Parameters!$G$107</definedName>
    <definedName name="usco70">[7]Parameters!$G$108</definedName>
    <definedName name="usco71">[7]Parameters!$G$109</definedName>
    <definedName name="usco72">[7]Parameters!$G$110</definedName>
    <definedName name="usco73">[7]Parameters!$G$111</definedName>
    <definedName name="usco74">[7]Parameters!$G$112</definedName>
    <definedName name="usco75">[7]Parameters!$G$113</definedName>
    <definedName name="usd">#REF!</definedName>
    <definedName name="usinf">0.035</definedName>
    <definedName name="usjob1">[7]Parameters!$I$39</definedName>
    <definedName name="usjob10">[7]Parameters!$I$48</definedName>
    <definedName name="usjob11">[7]Parameters!$I$49</definedName>
    <definedName name="usjob12">[7]Parameters!$I$50</definedName>
    <definedName name="usjob13">[7]Parameters!$I$51</definedName>
    <definedName name="usjob14">[7]Parameters!$I$52</definedName>
    <definedName name="usjob15">[7]Parameters!$I$53</definedName>
    <definedName name="usjob16">[7]Parameters!$I$54</definedName>
    <definedName name="usjob17">[7]Parameters!$I$55</definedName>
    <definedName name="usjob18">[7]Parameters!$I$56</definedName>
    <definedName name="usjob19">[7]Parameters!$I$57</definedName>
    <definedName name="usjob2">[7]Parameters!$I$40</definedName>
    <definedName name="usjob20">[7]Parameters!$I$58</definedName>
    <definedName name="usjob21">[7]Parameters!$I$59</definedName>
    <definedName name="usjob22">[7]Parameters!$I$60</definedName>
    <definedName name="usjob23">[7]Parameters!$I$61</definedName>
    <definedName name="usjob24">[7]Parameters!$I$62</definedName>
    <definedName name="usjob25">[7]Parameters!$I$63</definedName>
    <definedName name="usjob26">[7]Parameters!$I$64</definedName>
    <definedName name="usjob27">[7]Parameters!$I$65</definedName>
    <definedName name="usjob28">[7]Parameters!$I$66</definedName>
    <definedName name="usjob29">[7]Parameters!$I$67</definedName>
    <definedName name="usjob3">[7]Parameters!$I$41</definedName>
    <definedName name="usjob30">[7]Parameters!$I$68</definedName>
    <definedName name="usjob31">[7]Parameters!$I$69</definedName>
    <definedName name="usjob32">[7]Parameters!$I$70</definedName>
    <definedName name="usjob33">[7]Parameters!$I$71</definedName>
    <definedName name="usjob34">[7]Parameters!$I$72</definedName>
    <definedName name="usjob35">[7]Parameters!$I$73</definedName>
    <definedName name="usjob36">[7]Parameters!$I$74</definedName>
    <definedName name="usjob37">[7]Parameters!$I$75</definedName>
    <definedName name="usjob38">[7]Parameters!$I$76</definedName>
    <definedName name="usjob39">[7]Parameters!$I$77</definedName>
    <definedName name="usjob4">[7]Parameters!$I$42</definedName>
    <definedName name="usjob40">[7]Parameters!$I$78</definedName>
    <definedName name="usjob41">[7]Parameters!$I$79</definedName>
    <definedName name="usjob42">[7]Parameters!$I$80</definedName>
    <definedName name="usjob43">[7]Parameters!$I$81</definedName>
    <definedName name="usjob44">[7]Parameters!$I$82</definedName>
    <definedName name="usjob45">[7]Parameters!$I$83</definedName>
    <definedName name="usjob46">[7]Parameters!$I$84</definedName>
    <definedName name="usjob47">[7]Parameters!$I$85</definedName>
    <definedName name="usjob48">[7]Parameters!$I$86</definedName>
    <definedName name="usjob49">[7]Parameters!$I$87</definedName>
    <definedName name="usjob5">[7]Parameters!$I$43</definedName>
    <definedName name="usjob50">[7]Parameters!$I$88</definedName>
    <definedName name="usjob51">[7]Parameters!$I$89</definedName>
    <definedName name="usjob52">[7]Parameters!$I$90</definedName>
    <definedName name="usjob53">[7]Parameters!$I$91</definedName>
    <definedName name="usjob54">[7]Parameters!$I$92</definedName>
    <definedName name="usjob55">[7]Parameters!$I$93</definedName>
    <definedName name="usjob56">[7]Parameters!$I$94</definedName>
    <definedName name="usjob57">[7]Parameters!$I$95</definedName>
    <definedName name="usjob58">[7]Parameters!$I$96</definedName>
    <definedName name="usjob59">[7]Parameters!$I$97</definedName>
    <definedName name="usjob6">[7]Parameters!$I$44</definedName>
    <definedName name="usjob60">[7]Parameters!$I$98</definedName>
    <definedName name="usjob61">[7]Parameters!$I$99</definedName>
    <definedName name="usjob62">[7]Parameters!$I$100</definedName>
    <definedName name="usjob63">[7]Parameters!$I$101</definedName>
    <definedName name="usjob64">[7]Parameters!$I$102</definedName>
    <definedName name="usjob65">[7]Parameters!$I$103</definedName>
    <definedName name="usjob66">[7]Parameters!$I$104</definedName>
    <definedName name="usjob67">[7]Parameters!$I$105</definedName>
    <definedName name="usjob68">[7]Parameters!$I$106</definedName>
    <definedName name="usjob69">[7]Parameters!$I$107</definedName>
    <definedName name="usjob7">[7]Parameters!$I$45</definedName>
    <definedName name="usjob70">[7]Parameters!$I$108</definedName>
    <definedName name="usjob71">[7]Parameters!$I$109</definedName>
    <definedName name="usjob72">[7]Parameters!$I$110</definedName>
    <definedName name="usjob73">[7]Parameters!$I$111</definedName>
    <definedName name="usjob74">[7]Parameters!$I$112</definedName>
    <definedName name="usjob75">[7]Parameters!$I$113</definedName>
    <definedName name="usjob8">[7]Parameters!$I$46</definedName>
    <definedName name="usjob9">[7]Parameters!$I$47</definedName>
    <definedName name="usname11">[7]Parameters!$C$49</definedName>
    <definedName name="usname12">[7]Parameters!$C$50</definedName>
    <definedName name="usname13">[7]Parameters!$C$51</definedName>
    <definedName name="usname14">[7]Parameters!$C$52</definedName>
    <definedName name="usname15">[7]Parameters!$C$53</definedName>
    <definedName name="usname16">[7]Parameters!$C$54</definedName>
    <definedName name="usname17">[7]Parameters!$C$55</definedName>
    <definedName name="usname18">[7]Parameters!$C$56</definedName>
    <definedName name="usname19">[7]Parameters!$C$57</definedName>
    <definedName name="usname20">[7]Parameters!$C$58</definedName>
    <definedName name="usname21">[7]Parameters!$C$59</definedName>
    <definedName name="usname22">[7]Parameters!$C$60</definedName>
    <definedName name="usname23">[7]Parameters!$C$61</definedName>
    <definedName name="usname24">[7]Parameters!$C$62</definedName>
    <definedName name="usname25">[7]Parameters!$C$63</definedName>
    <definedName name="usname26">[7]Parameters!$C$64</definedName>
    <definedName name="usname27">[7]Parameters!$C$65</definedName>
    <definedName name="usname28">[7]Parameters!$C$66</definedName>
    <definedName name="usname29">[7]Parameters!$C$67</definedName>
    <definedName name="usname30">[7]Parameters!$C$68</definedName>
    <definedName name="usname31">[7]Parameters!$C$69</definedName>
    <definedName name="usname32">[7]Parameters!$C$70</definedName>
    <definedName name="usname33">[7]Parameters!$C$71</definedName>
    <definedName name="usname34">[7]Parameters!$C$72</definedName>
    <definedName name="usname35">[7]Parameters!$C$73</definedName>
    <definedName name="usname36">[7]Parameters!$C$74</definedName>
    <definedName name="usname37">[7]Parameters!$C$75</definedName>
    <definedName name="usname38">[7]Parameters!$C$76</definedName>
    <definedName name="usname39">[7]Parameters!$C$77</definedName>
    <definedName name="usname40">[7]Parameters!$C$78</definedName>
    <definedName name="usname41">[7]Parameters!$C$79</definedName>
    <definedName name="usname42">[7]Parameters!$C$80</definedName>
    <definedName name="usname43">[7]Parameters!$C$81</definedName>
    <definedName name="usname44">[7]Parameters!$C$82</definedName>
    <definedName name="usname45">[7]Parameters!$C$83</definedName>
    <definedName name="usname46">[7]Parameters!$C$84</definedName>
    <definedName name="usname47">[7]Parameters!$C$85</definedName>
    <definedName name="usname48">[7]Parameters!$C$86</definedName>
    <definedName name="usname49">[7]Parameters!$C$87</definedName>
    <definedName name="usname50">[7]Parameters!$C$88</definedName>
    <definedName name="usname51">[7]Parameters!$C$89</definedName>
    <definedName name="usname52">[7]Parameters!$C$90</definedName>
    <definedName name="usname53">[7]Parameters!$C$91</definedName>
    <definedName name="usname54">[7]Parameters!$C$92</definedName>
    <definedName name="usname55">[7]Parameters!$C$93</definedName>
    <definedName name="usname56">[7]Parameters!$C$94</definedName>
    <definedName name="usname57">[7]Parameters!$C$95</definedName>
    <definedName name="usname58">[7]Parameters!$C$96</definedName>
    <definedName name="usname59">[7]Parameters!$C$97</definedName>
    <definedName name="usname60">[7]Parameters!$C$98</definedName>
    <definedName name="usname61">[7]Parameters!$C$99</definedName>
    <definedName name="usname62">[7]Parameters!$C$100</definedName>
    <definedName name="usname63">[7]Parameters!$C$101</definedName>
    <definedName name="usname64">[7]Parameters!$C$102</definedName>
    <definedName name="usname65">[7]Parameters!$C$103</definedName>
    <definedName name="usname66">[7]Parameters!$C$104</definedName>
    <definedName name="usname67">[7]Parameters!$C$105</definedName>
    <definedName name="usname68">[7]Parameters!$C$106</definedName>
    <definedName name="usname69">[7]Parameters!$C$107</definedName>
    <definedName name="usname70">[7]Parameters!$C$108</definedName>
    <definedName name="usname71">[7]Parameters!$C$109</definedName>
    <definedName name="usname72">[7]Parameters!$C$110</definedName>
    <definedName name="usname73">[7]Parameters!$C$111</definedName>
    <definedName name="usname74">[7]Parameters!$C$112</definedName>
    <definedName name="usname75">[7]Parameters!$C$113</definedName>
    <definedName name="USperdiem">[16]Assumptions!$D$29</definedName>
    <definedName name="ussal11">[7]Parameters!$E$49</definedName>
    <definedName name="ussal12">[7]Parameters!$E$50</definedName>
    <definedName name="ussal13">[7]Parameters!$E$51</definedName>
    <definedName name="ussal14">[7]Parameters!$E$52</definedName>
    <definedName name="ussal15">[7]Parameters!$E$53</definedName>
    <definedName name="ussal16">[7]Parameters!$E$54</definedName>
    <definedName name="ussal17">[7]Parameters!$E$55</definedName>
    <definedName name="ussal18">[7]Parameters!$E$56</definedName>
    <definedName name="ussal19">[7]Parameters!$E$57</definedName>
    <definedName name="ussal20">[7]Parameters!$E$58</definedName>
    <definedName name="ussal21">[7]Parameters!$E$59</definedName>
    <definedName name="ussal22">[7]Parameters!$E$60</definedName>
    <definedName name="ussal23">[7]Parameters!$E$61</definedName>
    <definedName name="ussal24">[7]Parameters!$E$62</definedName>
    <definedName name="ussal25">[7]Parameters!$E$63</definedName>
    <definedName name="ussal26">[7]Parameters!$E$64</definedName>
    <definedName name="ussal27">[7]Parameters!$E$65</definedName>
    <definedName name="ussal28">[7]Parameters!$E$66</definedName>
    <definedName name="ussal29">[7]Parameters!$E$67</definedName>
    <definedName name="ussal30">[7]Parameters!$E$68</definedName>
    <definedName name="ussal31">[7]Parameters!$E$69</definedName>
    <definedName name="ussal32">[7]Parameters!$E$70</definedName>
    <definedName name="ussal33">[7]Parameters!$E$71</definedName>
    <definedName name="ussal34">[7]Parameters!$E$72</definedName>
    <definedName name="ussal35">[7]Parameters!$E$73</definedName>
    <definedName name="ussal36">[7]Parameters!$E$74</definedName>
    <definedName name="ussal37">[7]Parameters!$E$75</definedName>
    <definedName name="ussal38">[7]Parameters!$E$76</definedName>
    <definedName name="ussal39">[7]Parameters!$E$77</definedName>
    <definedName name="ussal40">[7]Parameters!$E$78</definedName>
    <definedName name="ussal41">[7]Parameters!$E$79</definedName>
    <definedName name="ussal42">[7]Parameters!$E$80</definedName>
    <definedName name="ussal43">[7]Parameters!$E$81</definedName>
    <definedName name="ussal44">[7]Parameters!$E$82</definedName>
    <definedName name="ussal45">[7]Parameters!$E$83</definedName>
    <definedName name="ussal46">[7]Parameters!$E$84</definedName>
    <definedName name="ussal47">[7]Parameters!$E$85</definedName>
    <definedName name="ussal48">[7]Parameters!$E$86</definedName>
    <definedName name="ussal49">[7]Parameters!$E$87</definedName>
    <definedName name="ussal50">[7]Parameters!$E$88</definedName>
    <definedName name="ussal51">[7]Parameters!$E$89</definedName>
    <definedName name="ussal52">[7]Parameters!$E$90</definedName>
    <definedName name="ussal53">[7]Parameters!$E$91</definedName>
    <definedName name="ussal54">[7]Parameters!$E$92</definedName>
    <definedName name="ussal55">[7]Parameters!$E$93</definedName>
    <definedName name="ussal56">[7]Parameters!$E$94</definedName>
    <definedName name="ussal57">[7]Parameters!$E$95</definedName>
    <definedName name="ussal58">[7]Parameters!$E$96</definedName>
    <definedName name="ussal59">[7]Parameters!$E$97</definedName>
    <definedName name="ussal60">[7]Parameters!$E$98</definedName>
    <definedName name="ussal61">[7]Parameters!$E$99</definedName>
    <definedName name="ussal62">[7]Parameters!$E$100</definedName>
    <definedName name="ussal63">[7]Parameters!$E$101</definedName>
    <definedName name="ussal64">[7]Parameters!$E$102</definedName>
    <definedName name="ussal65">[7]Parameters!$E$103</definedName>
    <definedName name="ussal66">[7]Parameters!$E$104</definedName>
    <definedName name="ussal67">[7]Parameters!$E$105</definedName>
    <definedName name="ussal68">[7]Parameters!$E$106</definedName>
    <definedName name="ussal69">[7]Parameters!$E$107</definedName>
    <definedName name="ussal70">[7]Parameters!$E$108</definedName>
    <definedName name="ussal71">[7]Parameters!$E$109</definedName>
    <definedName name="ussal72">[7]Parameters!$E$110</definedName>
    <definedName name="ussal73">[7]Parameters!$E$111</definedName>
    <definedName name="ussal74">[7]Parameters!$E$112</definedName>
    <definedName name="ussal75">[7]Parameters!$E$113</definedName>
    <definedName name="ustaxi">[12]Sheet1!$C$35</definedName>
    <definedName name="UTOT">#N/A</definedName>
    <definedName name="Vc_Days">#REF!</definedName>
    <definedName name="WD">#REF!</definedName>
    <definedName name="WDA">#N/A</definedName>
    <definedName name="WERT" localSheetId="0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>[7]Parameters!$B$509</definedName>
    <definedName name="workdaysST">[7]Parameters!$B$510</definedName>
    <definedName name="Works">#REF!</definedName>
    <definedName name="WORKSHEET">#REF!</definedName>
    <definedName name="WORTH">#N/A</definedName>
    <definedName name="wrn.ACC_Cars_125K_Co1." localSheetId="0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0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0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0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0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0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0" hidden="1">{#N/A,#N/A,FALSE,"Proposal"}</definedName>
    <definedName name="wrn.BTables." hidden="1">{#N/A,#N/A,FALSE,"Proposal"}</definedName>
    <definedName name="wrn.CCB_JDISS.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0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0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0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0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0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0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0" hidden="1">{#N/A,#N/A,FALSE,"ManLoading"}</definedName>
    <definedName name="wrn.Man._.Loading._.Sheet." hidden="1">{#N/A,#N/A,FALSE,"ManLoading"}</definedName>
    <definedName name="wrn.Pearson_Co1." localSheetId="0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0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T._.ALL." localSheetId="0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0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0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0" hidden="1">{"One Year",#N/A,FALSE,"Summary"}</definedName>
    <definedName name="wrn.Summary._.1._.Year." hidden="1">{"One Year",#N/A,FALSE,"Summary"}</definedName>
    <definedName name="wrn.workpapers." localSheetId="0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0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>[46]DETAIL!$R$2</definedName>
    <definedName name="XFDTGH" localSheetId="0" hidden="1">{"PAGE1",#N/A,FALSE,"CPFFMSTR";"PAGE2",#N/A,FALSE,"CPFFMSTR"}</definedName>
    <definedName name="XFDTGH" hidden="1">{"PAGE1",#N/A,FALSE,"CPFFMSTR";"PAGE2",#N/A,FALSE,"CPFFMSTR"}</definedName>
    <definedName name="XGH" localSheetId="0" hidden="1">{"PAGE1",#N/A,FALSE,"CPFFMSTR";"PAGE2",#N/A,FALSE,"CPFFMSTR"}</definedName>
    <definedName name="XGH" hidden="1">{"PAGE1",#N/A,FALSE,"CPFFMSTR";"PAGE2",#N/A,FALSE,"CPFFMSTR"}</definedName>
    <definedName name="XGHXF" localSheetId="0" hidden="1">{"PAGE1",#N/A,FALSE,"CPFFMSTR";"PAGE2",#N/A,FALSE,"CPFFMSTR"}</definedName>
    <definedName name="XGHXF" hidden="1">{"PAGE1",#N/A,FALSE,"CPFFMSTR";"PAGE2",#N/A,FALSE,"CPFFMSTR"}</definedName>
    <definedName name="xvcb" localSheetId="0" hidden="1">{"PAGE1",#N/A,FALSE,"CPFFMSTR";"PAGE2",#N/A,FALSE,"CPFFMSTR"}</definedName>
    <definedName name="xvcb" hidden="1">{"PAGE1",#N/A,FALSE,"CPFFMSTR";"PAGE2",#N/A,FALSE,"CPFFMSTR"}</definedName>
    <definedName name="xxx" localSheetId="0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0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>[15]INDIRECTS!$S$3:$S$15</definedName>
    <definedName name="Year_2_BAH_Fee">[15]INDIRECTS!#REF!</definedName>
    <definedName name="Year_2_Cost_Centers">[15]INDIRECTS!#REF!</definedName>
    <definedName name="Year_2_Subcontractor_Fee">[15]INDIRECTS!#REF!</definedName>
    <definedName name="Year_3_BAH_Fee">[15]INDIRECTS!#REF!</definedName>
    <definedName name="Year_3_Cost_Centers">[15]INDIRECTS!#REF!</definedName>
    <definedName name="Year_3_Subcontractor_Fee">[15]INDIRECTS!#REF!</definedName>
    <definedName name="Year_4_BAH_Fee">[15]INDIRECTS!#REF!</definedName>
    <definedName name="Year_4_Cost_Centers">[15]INDIRECTS!#REF!</definedName>
    <definedName name="Year_4_Subcontractor_Fee">[15]INDIRECTS!#REF!</definedName>
    <definedName name="Year_5_BAH_Fee">[15]INDIRECTS!#REF!</definedName>
    <definedName name="Year_5_Cost_Centers">[15]INDIRECTS!#REF!</definedName>
    <definedName name="Year_5_Subcontractor_Fee">[15]INDIRECTS!#REF!</definedName>
    <definedName name="YEARS">#REF!</definedName>
    <definedName name="yes" localSheetId="0" hidden="1">{#N/A,#N/A,FALSE,"ManLoading"}</definedName>
    <definedName name="yes" hidden="1">{#N/A,#N/A,FALSE,"ManLoading"}</definedName>
    <definedName name="yes1" localSheetId="0" hidden="1">{#N/A,#N/A,FALSE,"ManLoading"}</definedName>
    <definedName name="yes1" hidden="1">{#N/A,#N/A,FALSE,"ManLoading"}</definedName>
    <definedName name="YORN">#REF!</definedName>
    <definedName name="Yr1Consult">[47]DETAIL!$G$4</definedName>
    <definedName name="Yr1FI">[47]DETAIL!$G$8</definedName>
    <definedName name="Yr1ODC">[47]DETAIL!$G$7</definedName>
    <definedName name="Yr1Sal">[47]DETAIL!$G$3</definedName>
    <definedName name="Yr1Travel">[47]DETAIL!$G$6</definedName>
    <definedName name="Yr1Travel_Air">[47]DETAIL!$G$5</definedName>
    <definedName name="Yr2Consult">[47]DETAIL!$H$4</definedName>
    <definedName name="Yr2FI">[47]DETAIL!$H$8</definedName>
    <definedName name="Yr2FIfk">'[48]AED DETAILED BUDGET'!$H$7</definedName>
    <definedName name="Yr2ODC">[47]DETAIL!$H$7</definedName>
    <definedName name="Yr2ODCfk">'[48]AED DETAILED BUDGET'!$H$6</definedName>
    <definedName name="Yr2Sal">[47]DETAIL!$H$3</definedName>
    <definedName name="Yr2Travel">[47]DETAIL!$H$6</definedName>
    <definedName name="Yr2Travel_Air">[47]DETAIL!$H$5</definedName>
    <definedName name="Yr2travelfk">'[48]AED DETAILED BUDGET'!$H$5</definedName>
    <definedName name="Yr3Consult">[47]DETAIL!$J$4</definedName>
    <definedName name="Yr3FI">[47]DETAIL!$J$8</definedName>
    <definedName name="Yr3FIfk">'[48]AED DETAILED BUDGET'!$J$7</definedName>
    <definedName name="Yr3ODC">[47]DETAIL!$J$7</definedName>
    <definedName name="Yr3ODCfk">'[48]AED DETAILED BUDGET'!$J$6</definedName>
    <definedName name="Yr3Sal">[47]DETAIL!$J$3</definedName>
    <definedName name="Yr3Travel">[47]DETAIL!$J$6</definedName>
    <definedName name="Yr3Travel_Air">[47]DETAIL!$J$5</definedName>
    <definedName name="Yr4Consult">[47]DETAIL!$L$4</definedName>
    <definedName name="Yr4FI">[47]DETAIL!$L$8</definedName>
    <definedName name="Yr4FIfk">'[48]AED DETAILED BUDGET'!$L$7</definedName>
    <definedName name="Yr4ODC">[47]DETAIL!$L$7</definedName>
    <definedName name="Yr4ODCfk">'[48]AED DETAILED BUDGET'!$L$6</definedName>
    <definedName name="Yr4Sal">[47]DETAIL!$L$3</definedName>
    <definedName name="Yr4Salfk">'[48]AED DETAILED BUDGET'!$L$3</definedName>
    <definedName name="Yr4Travel">[47]DETAIL!$L$6</definedName>
    <definedName name="Yr4Travel_Air">[47]DETAIL!$L$5</definedName>
    <definedName name="Yr5Consult">[47]DETAIL!$N$4</definedName>
    <definedName name="Yr5FI">[47]DETAIL!$N$8</definedName>
    <definedName name="Yr5FIfk">'[48]AED DETAILED BUDGET'!$N$7</definedName>
    <definedName name="Yr5ODC">[47]DETAIL!$N$7</definedName>
    <definedName name="Yr5ODCfk">'[48]AED DETAILED BUDGET'!$N$6</definedName>
    <definedName name="Yr5Sal">[47]DETAIL!$N$3</definedName>
    <definedName name="Yr5Salfk">'[48]AED DETAILED BUDGET'!$N$3</definedName>
    <definedName name="Yr5Travel">[47]DETAIL!$N$6</definedName>
    <definedName name="Yr5Travel_Air">[47]DETAIL!$N$5</definedName>
    <definedName name="z">#REF!</definedName>
    <definedName name="ZDFR" localSheetId="0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2" i="1" l="1"/>
  <c r="P72" i="1"/>
  <c r="T72" i="1"/>
  <c r="T75" i="1"/>
  <c r="T74" i="1"/>
  <c r="T73" i="1"/>
  <c r="T67" i="1"/>
  <c r="T66" i="1"/>
  <c r="T61" i="1"/>
  <c r="T62" i="1"/>
  <c r="T63" i="1"/>
  <c r="T60" i="1"/>
  <c r="T44" i="1"/>
  <c r="T42" i="1"/>
  <c r="T40" i="1"/>
  <c r="T39" i="1"/>
  <c r="T49" i="1"/>
  <c r="P75" i="1"/>
  <c r="P74" i="1"/>
  <c r="P73" i="1"/>
  <c r="P67" i="1"/>
  <c r="P66" i="1"/>
  <c r="P61" i="1"/>
  <c r="P62" i="1"/>
  <c r="P63" i="1"/>
  <c r="P60" i="1"/>
  <c r="P44" i="1"/>
  <c r="P42" i="1"/>
  <c r="P40" i="1"/>
  <c r="P39" i="1"/>
  <c r="L39" i="1"/>
  <c r="L75" i="1"/>
  <c r="L74" i="1"/>
  <c r="L73" i="1"/>
  <c r="L67" i="1"/>
  <c r="L66" i="1"/>
  <c r="L61" i="1"/>
  <c r="L62" i="1"/>
  <c r="L63" i="1"/>
  <c r="L60" i="1"/>
  <c r="H75" i="1"/>
  <c r="H74" i="1"/>
  <c r="H73" i="1"/>
  <c r="H72" i="1"/>
  <c r="H67" i="1"/>
  <c r="H66" i="1"/>
  <c r="H61" i="1"/>
  <c r="H62" i="1"/>
  <c r="H63" i="1"/>
  <c r="H60" i="1"/>
  <c r="G57" i="1"/>
  <c r="K57" i="1"/>
  <c r="O57" i="1"/>
  <c r="S57" i="1"/>
  <c r="W57" i="1"/>
  <c r="X57" i="1"/>
  <c r="L40" i="1"/>
  <c r="L42" i="1"/>
  <c r="L44" i="1"/>
  <c r="H44" i="1"/>
  <c r="H42" i="1"/>
  <c r="H40" i="1"/>
  <c r="H39" i="1"/>
  <c r="L22" i="1"/>
  <c r="P22" i="1" s="1"/>
  <c r="T22" i="1" s="1"/>
  <c r="L30" i="1"/>
  <c r="P30" i="1" s="1"/>
  <c r="T30" i="1" s="1"/>
  <c r="H16" i="1"/>
  <c r="L16" i="1" s="1"/>
  <c r="P16" i="1" s="1"/>
  <c r="T16" i="1" s="1"/>
  <c r="H17" i="1"/>
  <c r="L17" i="1" s="1"/>
  <c r="P17" i="1" s="1"/>
  <c r="T17" i="1" s="1"/>
  <c r="H18" i="1"/>
  <c r="L18" i="1" s="1"/>
  <c r="P18" i="1" s="1"/>
  <c r="T18" i="1" s="1"/>
  <c r="H19" i="1"/>
  <c r="L19" i="1" s="1"/>
  <c r="P19" i="1" s="1"/>
  <c r="T19" i="1" s="1"/>
  <c r="H20" i="1"/>
  <c r="L20" i="1" s="1"/>
  <c r="P20" i="1" s="1"/>
  <c r="T20" i="1" s="1"/>
  <c r="H21" i="1"/>
  <c r="L21" i="1" s="1"/>
  <c r="P21" i="1" s="1"/>
  <c r="T21" i="1" s="1"/>
  <c r="H22" i="1"/>
  <c r="H23" i="1"/>
  <c r="L23" i="1" s="1"/>
  <c r="P23" i="1" s="1"/>
  <c r="T23" i="1" s="1"/>
  <c r="H24" i="1"/>
  <c r="L24" i="1" s="1"/>
  <c r="P24" i="1" s="1"/>
  <c r="T24" i="1" s="1"/>
  <c r="H25" i="1"/>
  <c r="L25" i="1" s="1"/>
  <c r="P25" i="1" s="1"/>
  <c r="T25" i="1" s="1"/>
  <c r="H26" i="1"/>
  <c r="L26" i="1" s="1"/>
  <c r="P26" i="1" s="1"/>
  <c r="T26" i="1" s="1"/>
  <c r="H27" i="1"/>
  <c r="L27" i="1" s="1"/>
  <c r="P27" i="1" s="1"/>
  <c r="T27" i="1" s="1"/>
  <c r="H28" i="1"/>
  <c r="L28" i="1" s="1"/>
  <c r="P28" i="1" s="1"/>
  <c r="T28" i="1" s="1"/>
  <c r="H29" i="1"/>
  <c r="L29" i="1" s="1"/>
  <c r="P29" i="1" s="1"/>
  <c r="T29" i="1" s="1"/>
  <c r="H30" i="1"/>
  <c r="H31" i="1"/>
  <c r="L31" i="1" s="1"/>
  <c r="P31" i="1" s="1"/>
  <c r="T31" i="1" s="1"/>
  <c r="H15" i="1"/>
  <c r="L15" i="1" s="1"/>
  <c r="P15" i="1" s="1"/>
  <c r="T15" i="1" s="1"/>
  <c r="S87" i="1" l="1"/>
  <c r="S58" i="1"/>
  <c r="S43" i="1"/>
  <c r="C33" i="1"/>
  <c r="S15" i="1"/>
  <c r="G75" i="1"/>
  <c r="S75" i="1"/>
  <c r="K74" i="1"/>
  <c r="G74" i="1"/>
  <c r="G73" i="1"/>
  <c r="S73" i="1"/>
  <c r="G62" i="1"/>
  <c r="G61" i="1"/>
  <c r="G60" i="1"/>
  <c r="W87" i="1"/>
  <c r="O87" i="1"/>
  <c r="K87" i="1"/>
  <c r="G87" i="1"/>
  <c r="S66" i="1"/>
  <c r="K58" i="1"/>
  <c r="G58" i="1"/>
  <c r="C58" i="1"/>
  <c r="H53" i="1"/>
  <c r="P53" i="1" s="1"/>
  <c r="S53" i="1" s="1"/>
  <c r="H50" i="1"/>
  <c r="P50" i="1" s="1"/>
  <c r="S50" i="1" s="1"/>
  <c r="H49" i="1"/>
  <c r="P49" i="1" s="1"/>
  <c r="S49" i="1" s="1"/>
  <c r="W43" i="1"/>
  <c r="O43" i="1"/>
  <c r="K43" i="1"/>
  <c r="G43" i="1"/>
  <c r="S39" i="1"/>
  <c r="J35" i="1"/>
  <c r="N35" i="1" s="1"/>
  <c r="V35" i="1" s="1"/>
  <c r="W35" i="1" s="1"/>
  <c r="W37" i="1" s="1"/>
  <c r="S31" i="1"/>
  <c r="S30" i="1"/>
  <c r="S29" i="1"/>
  <c r="G28" i="1"/>
  <c r="S23" i="1"/>
  <c r="S22" i="1"/>
  <c r="S21" i="1"/>
  <c r="G20" i="1"/>
  <c r="X87" i="1" l="1"/>
  <c r="X43" i="1"/>
  <c r="R35" i="1"/>
  <c r="S35" i="1" s="1"/>
  <c r="S37" i="1" s="1"/>
  <c r="S63" i="1"/>
  <c r="S74" i="1"/>
  <c r="C64" i="1"/>
  <c r="W74" i="1"/>
  <c r="K73" i="1"/>
  <c r="K75" i="1"/>
  <c r="S62" i="1"/>
  <c r="G63" i="1"/>
  <c r="W63" i="1"/>
  <c r="O63" i="1"/>
  <c r="K63" i="1"/>
  <c r="G23" i="1"/>
  <c r="G31" i="1"/>
  <c r="G15" i="1"/>
  <c r="K23" i="1"/>
  <c r="K66" i="1"/>
  <c r="S18" i="1"/>
  <c r="G18" i="1"/>
  <c r="K31" i="1"/>
  <c r="S67" i="1"/>
  <c r="S69" i="1" s="1"/>
  <c r="G67" i="1"/>
  <c r="S72" i="1"/>
  <c r="S77" i="1" s="1"/>
  <c r="G72" i="1"/>
  <c r="K30" i="1"/>
  <c r="S40" i="1"/>
  <c r="G40" i="1"/>
  <c r="K15" i="1"/>
  <c r="S17" i="1"/>
  <c r="G17" i="1"/>
  <c r="K22" i="1"/>
  <c r="S27" i="1"/>
  <c r="G27" i="1"/>
  <c r="K29" i="1"/>
  <c r="K39" i="1"/>
  <c r="K49" i="1"/>
  <c r="L49" i="1"/>
  <c r="S25" i="1"/>
  <c r="G25" i="1"/>
  <c r="H51" i="1"/>
  <c r="P51" i="1" s="1"/>
  <c r="S51" i="1" s="1"/>
  <c r="G51" i="1"/>
  <c r="S19" i="1"/>
  <c r="G19" i="1"/>
  <c r="K21" i="1"/>
  <c r="L50" i="1"/>
  <c r="K50" i="1"/>
  <c r="S26" i="1"/>
  <c r="G26" i="1"/>
  <c r="K53" i="1"/>
  <c r="L53" i="1"/>
  <c r="S20" i="1"/>
  <c r="S28" i="1"/>
  <c r="O58" i="1"/>
  <c r="W58" i="1"/>
  <c r="G49" i="1"/>
  <c r="G53" i="1"/>
  <c r="G22" i="1"/>
  <c r="G30" i="1"/>
  <c r="G21" i="1"/>
  <c r="G29" i="1"/>
  <c r="G39" i="1"/>
  <c r="G50" i="1"/>
  <c r="G66" i="1"/>
  <c r="W61" i="1" l="1"/>
  <c r="S61" i="1"/>
  <c r="G64" i="1"/>
  <c r="X63" i="1"/>
  <c r="G77" i="1"/>
  <c r="O60" i="1"/>
  <c r="S60" i="1"/>
  <c r="O74" i="1"/>
  <c r="X74" i="1" s="1"/>
  <c r="K61" i="1"/>
  <c r="O61" i="1"/>
  <c r="W75" i="1"/>
  <c r="O75" i="1"/>
  <c r="W73" i="1"/>
  <c r="O73" i="1"/>
  <c r="K60" i="1"/>
  <c r="K62" i="1"/>
  <c r="G69" i="1"/>
  <c r="C46" i="1"/>
  <c r="X58" i="1"/>
  <c r="S44" i="1"/>
  <c r="G44" i="1"/>
  <c r="W21" i="1"/>
  <c r="O21" i="1"/>
  <c r="K17" i="1"/>
  <c r="C69" i="1"/>
  <c r="S42" i="1"/>
  <c r="G42" i="1"/>
  <c r="T53" i="1"/>
  <c r="W53" i="1" s="1"/>
  <c r="O53" i="1"/>
  <c r="L51" i="1"/>
  <c r="K51" i="1"/>
  <c r="W29" i="1"/>
  <c r="O29" i="1"/>
  <c r="K18" i="1"/>
  <c r="W15" i="1"/>
  <c r="O15" i="1"/>
  <c r="W30" i="1"/>
  <c r="O30" i="1"/>
  <c r="C55" i="1"/>
  <c r="K28" i="1"/>
  <c r="K19" i="1"/>
  <c r="K25" i="1"/>
  <c r="S24" i="1"/>
  <c r="G24" i="1"/>
  <c r="W49" i="1"/>
  <c r="O49" i="1"/>
  <c r="X49" i="1" s="1"/>
  <c r="K27" i="1"/>
  <c r="K20" i="1"/>
  <c r="T50" i="1"/>
  <c r="W50" i="1" s="1"/>
  <c r="O50" i="1"/>
  <c r="K72" i="1"/>
  <c r="K77" i="1" s="1"/>
  <c r="W66" i="1"/>
  <c r="O66" i="1"/>
  <c r="H52" i="1"/>
  <c r="P52" i="1" s="1"/>
  <c r="S52" i="1" s="1"/>
  <c r="G52" i="1"/>
  <c r="S16" i="1"/>
  <c r="G16" i="1"/>
  <c r="K26" i="1"/>
  <c r="W22" i="1"/>
  <c r="O22" i="1"/>
  <c r="W31" i="1"/>
  <c r="O31" i="1"/>
  <c r="C77" i="1"/>
  <c r="H48" i="1"/>
  <c r="P48" i="1" s="1"/>
  <c r="S48" i="1" s="1"/>
  <c r="G48" i="1"/>
  <c r="W39" i="1"/>
  <c r="O39" i="1"/>
  <c r="K40" i="1"/>
  <c r="K67" i="1"/>
  <c r="K69" i="1" s="1"/>
  <c r="W23" i="1"/>
  <c r="O23" i="1"/>
  <c r="X75" i="1" l="1"/>
  <c r="X39" i="1"/>
  <c r="X15" i="1"/>
  <c r="X50" i="1"/>
  <c r="X30" i="1"/>
  <c r="X73" i="1"/>
  <c r="X66" i="1"/>
  <c r="S55" i="1"/>
  <c r="X31" i="1"/>
  <c r="X21" i="1"/>
  <c r="X23" i="1"/>
  <c r="X29" i="1"/>
  <c r="X53" i="1"/>
  <c r="S64" i="1"/>
  <c r="S46" i="1"/>
  <c r="X22" i="1"/>
  <c r="G33" i="1"/>
  <c r="W60" i="1"/>
  <c r="X60" i="1" s="1"/>
  <c r="S33" i="1"/>
  <c r="X61" i="1"/>
  <c r="K64" i="1"/>
  <c r="W62" i="1"/>
  <c r="O62" i="1"/>
  <c r="C37" i="1"/>
  <c r="C79" i="1" s="1"/>
  <c r="W40" i="1"/>
  <c r="O40" i="1"/>
  <c r="O20" i="1"/>
  <c r="W20" i="1"/>
  <c r="W18" i="1"/>
  <c r="O18" i="1"/>
  <c r="W17" i="1"/>
  <c r="O17" i="1"/>
  <c r="W26" i="1"/>
  <c r="O26" i="1"/>
  <c r="K24" i="1"/>
  <c r="K16" i="1"/>
  <c r="W72" i="1"/>
  <c r="W77" i="1" s="1"/>
  <c r="O72" i="1"/>
  <c r="X72" i="1" s="1"/>
  <c r="O28" i="1"/>
  <c r="W28" i="1"/>
  <c r="K42" i="1"/>
  <c r="W19" i="1"/>
  <c r="O19" i="1"/>
  <c r="W27" i="1"/>
  <c r="O27" i="1"/>
  <c r="K44" i="1"/>
  <c r="T51" i="1"/>
  <c r="W51" i="1" s="1"/>
  <c r="O51" i="1"/>
  <c r="G55" i="1"/>
  <c r="L52" i="1"/>
  <c r="K52" i="1"/>
  <c r="W25" i="1"/>
  <c r="O25" i="1"/>
  <c r="W67" i="1"/>
  <c r="W69" i="1" s="1"/>
  <c r="O67" i="1"/>
  <c r="O69" i="1" s="1"/>
  <c r="L48" i="1"/>
  <c r="K48" i="1"/>
  <c r="G46" i="1"/>
  <c r="X62" i="1" l="1"/>
  <c r="X17" i="1"/>
  <c r="X27" i="1"/>
  <c r="X20" i="1"/>
  <c r="X28" i="1"/>
  <c r="X19" i="1"/>
  <c r="X18" i="1"/>
  <c r="W64" i="1"/>
  <c r="X51" i="1"/>
  <c r="X67" i="1"/>
  <c r="X69" i="1" s="1"/>
  <c r="X26" i="1"/>
  <c r="X25" i="1"/>
  <c r="S79" i="1"/>
  <c r="P82" i="1" s="1"/>
  <c r="S82" i="1" s="1"/>
  <c r="S84" i="1" s="1"/>
  <c r="S86" i="1" s="1"/>
  <c r="S88" i="1" s="1"/>
  <c r="X40" i="1"/>
  <c r="K33" i="1"/>
  <c r="X64" i="1"/>
  <c r="O64" i="1"/>
  <c r="K46" i="1"/>
  <c r="K55" i="1"/>
  <c r="O77" i="1"/>
  <c r="X77" i="1" s="1"/>
  <c r="W16" i="1"/>
  <c r="O16" i="1"/>
  <c r="W42" i="1"/>
  <c r="O42" i="1"/>
  <c r="G35" i="1"/>
  <c r="W44" i="1"/>
  <c r="O44" i="1"/>
  <c r="T48" i="1"/>
  <c r="W48" i="1" s="1"/>
  <c r="O48" i="1"/>
  <c r="T52" i="1"/>
  <c r="W52" i="1" s="1"/>
  <c r="O52" i="1"/>
  <c r="W24" i="1"/>
  <c r="O24" i="1"/>
  <c r="X24" i="1" l="1"/>
  <c r="X48" i="1"/>
  <c r="X16" i="1"/>
  <c r="X44" i="1"/>
  <c r="X52" i="1"/>
  <c r="X42" i="1"/>
  <c r="X33" i="1"/>
  <c r="G37" i="1"/>
  <c r="G79" i="1" s="1"/>
  <c r="O33" i="1"/>
  <c r="W33" i="1"/>
  <c r="W46" i="1"/>
  <c r="O46" i="1"/>
  <c r="C84" i="1"/>
  <c r="O55" i="1"/>
  <c r="K35" i="1"/>
  <c r="K37" i="1" s="1"/>
  <c r="K79" i="1" s="1"/>
  <c r="W55" i="1"/>
  <c r="C86" i="1" l="1"/>
  <c r="C88" i="1" s="1"/>
  <c r="X46" i="1"/>
  <c r="X55" i="1"/>
  <c r="O35" i="1"/>
  <c r="O37" i="1" s="1"/>
  <c r="X35" i="1" l="1"/>
  <c r="W79" i="1"/>
  <c r="T82" i="1" s="1"/>
  <c r="W82" i="1" s="1"/>
  <c r="W84" i="1" s="1"/>
  <c r="W86" i="1" s="1"/>
  <c r="W88" i="1" s="1"/>
  <c r="H82" i="1"/>
  <c r="K82" i="1" s="1"/>
  <c r="K84" i="1" s="1"/>
  <c r="K86" i="1" s="1"/>
  <c r="K88" i="1" s="1"/>
  <c r="X37" i="1"/>
  <c r="G82" i="1" l="1"/>
  <c r="O79" i="1" l="1"/>
  <c r="L82" i="1" s="1"/>
  <c r="O82" i="1" s="1"/>
  <c r="O84" i="1" s="1"/>
  <c r="O86" i="1" s="1"/>
  <c r="O88" i="1" s="1"/>
  <c r="X79" i="1"/>
  <c r="G84" i="1"/>
  <c r="G86" i="1" s="1"/>
  <c r="X82" i="1" l="1"/>
  <c r="X84" i="1" s="1"/>
  <c r="G88" i="1"/>
  <c r="X88" i="1" s="1"/>
  <c r="X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tc={B33AEE7A-97EB-4823-88DE-B2408D6DB986}</author>
  </authors>
  <commentList>
    <comment ref="C10" authorId="0" shapeId="0" xr:uid="{B33AEE7A-97EB-4823-88DE-B2408D6DB98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reflect actuals, plus projections through 9/30/24</t>
      </text>
    </comment>
  </commentList>
</comments>
</file>

<file path=xl/sharedStrings.xml><?xml version="1.0" encoding="utf-8"?>
<sst xmlns="http://schemas.openxmlformats.org/spreadsheetml/2006/main" count="200" uniqueCount="85">
  <si>
    <t>Item</t>
  </si>
  <si>
    <t>Type of Unit</t>
  </si>
  <si>
    <t>Year 1 -4 Total inception through 09/30/2024</t>
  </si>
  <si>
    <t>Total</t>
  </si>
  <si>
    <t>Cost</t>
  </si>
  <si>
    <t>Quantity</t>
  </si>
  <si>
    <t>Percent Allocated</t>
  </si>
  <si>
    <t>Chart of Accounts</t>
  </si>
  <si>
    <t xml:space="preserve">Direct Costs </t>
  </si>
  <si>
    <t>Line#</t>
  </si>
  <si>
    <t>Account</t>
  </si>
  <si>
    <t>Account Name</t>
  </si>
  <si>
    <t>Salaries</t>
  </si>
  <si>
    <t>CCN Staff</t>
  </si>
  <si>
    <t/>
  </si>
  <si>
    <t>XXX</t>
  </si>
  <si>
    <t>Month</t>
  </si>
  <si>
    <t>50-01-2-020</t>
  </si>
  <si>
    <t>DIR-USN (Expat) Labor</t>
  </si>
  <si>
    <t>Subtotal: Salaries &amp; Wages</t>
  </si>
  <si>
    <t xml:space="preserve"> Fringe</t>
  </si>
  <si>
    <t>%</t>
  </si>
  <si>
    <t>50-03-0-050</t>
  </si>
  <si>
    <t>DIR-CCN Fringe</t>
  </si>
  <si>
    <t>Subtotal: Benefits</t>
  </si>
  <si>
    <t>51-04-2-050</t>
  </si>
  <si>
    <t>DIR-Int Travel Other</t>
  </si>
  <si>
    <t>Local Travel</t>
  </si>
  <si>
    <t>Local Transportation for Trainings</t>
  </si>
  <si>
    <t>Trip</t>
  </si>
  <si>
    <t>Transport Stipends for XXX</t>
  </si>
  <si>
    <t>Participant</t>
  </si>
  <si>
    <t>Vehicle Fuel</t>
  </si>
  <si>
    <t>Motorcycle and Vehicle Fuel Expense</t>
  </si>
  <si>
    <t>Per Diem</t>
  </si>
  <si>
    <t>Lodging and M&amp;IE for Trainings</t>
  </si>
  <si>
    <t>Day</t>
  </si>
  <si>
    <t>Subtotal: Travel</t>
  </si>
  <si>
    <t>Professional Services</t>
  </si>
  <si>
    <t>XXXX</t>
  </si>
  <si>
    <t>Unit</t>
  </si>
  <si>
    <t>Year</t>
  </si>
  <si>
    <t>Contract</t>
  </si>
  <si>
    <t>Subtotal: Professional Services/Contractual</t>
  </si>
  <si>
    <t>Equipment (&gt;$5000/unit)</t>
  </si>
  <si>
    <t>None</t>
  </si>
  <si>
    <t>51-05-1-003</t>
  </si>
  <si>
    <t>DIR-Furniture</t>
  </si>
  <si>
    <t>Subtotal: Equipment</t>
  </si>
  <si>
    <t>Office</t>
  </si>
  <si>
    <t>Subtotal: Office</t>
  </si>
  <si>
    <t>51-02-1-001</t>
  </si>
  <si>
    <t>DIR-Prof. Serv Labor</t>
  </si>
  <si>
    <t>Supplies</t>
  </si>
  <si>
    <t>Office Supplies</t>
  </si>
  <si>
    <t>Subtotal: Supplies</t>
  </si>
  <si>
    <t>Other Direct Cost</t>
  </si>
  <si>
    <t>Training</t>
  </si>
  <si>
    <t>Subtotal: Other Direct Cost</t>
  </si>
  <si>
    <t>51-02-2-008</t>
  </si>
  <si>
    <t>DIR-Security</t>
  </si>
  <si>
    <t>51-08-1-002</t>
  </si>
  <si>
    <t>DIR-Office Make Ready</t>
  </si>
  <si>
    <t>Total Direct Cost</t>
  </si>
  <si>
    <t>51-08-1-003</t>
  </si>
  <si>
    <t>DIR-Office Maintenance</t>
  </si>
  <si>
    <t>Indirect Costs</t>
  </si>
  <si>
    <t>ICR on Activities</t>
  </si>
  <si>
    <t>Subtotal Indirect Cost</t>
  </si>
  <si>
    <t>Total Estimated Cost (Direct Cost + Indirect Cost)</t>
  </si>
  <si>
    <t>Total Cost Share (for reference)</t>
  </si>
  <si>
    <t>Total Estimated Cost (Direct Cost + Indirect Cost+ Cost Share)</t>
  </si>
  <si>
    <t>Anticipated Program Income (baked in costs and this is for reference)</t>
  </si>
  <si>
    <t>Year 1</t>
  </si>
  <si>
    <t>Year 2</t>
  </si>
  <si>
    <t>Year 3</t>
  </si>
  <si>
    <t>Year 4</t>
  </si>
  <si>
    <t>Year 5</t>
  </si>
  <si>
    <t>Country of Operation: XX</t>
  </si>
  <si>
    <t>Implementing Organization: XXX</t>
  </si>
  <si>
    <t>Budget Assumptions</t>
  </si>
  <si>
    <t>Inflation - Locally Purchased Goods/Services - XXXX%</t>
  </si>
  <si>
    <t>Merit Based Increases for Staff - 5%</t>
  </si>
  <si>
    <t xml:space="preserve"> Budget FFPr</t>
  </si>
  <si>
    <t xml:space="preserve"> Project Dates: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</si>
</sst>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#,##0.0"/>
    <numFmt numFmtId="167" formatCode="&quot;$&quot;#,##0.00"/>
    <numFmt numFmtId="168" formatCode="\$#,##0.00;\$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0000"/>
      <name val="Times New Roman"/>
      <family val="1"/>
    </font>
    <font>
      <b/>
      <sz val="11"/>
      <color theme="9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Times New Roman"/>
      <family val="1"/>
    </font>
    <font>
      <sz val="14"/>
      <name val="Calibri"/>
      <family val="2"/>
      <scheme val="minor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6"/>
      <color theme="1"/>
      <name val="Times New Roman"/>
      <family val="1"/>
    </font>
    <font>
      <sz val="16"/>
      <name val="Calibri"/>
      <family val="2"/>
      <scheme val="minor"/>
    </font>
    <font>
      <b/>
      <i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</borders>
  <cellStyleXfs count="8">
    <xf numFmtId="0" fontId="0" fillId="0" borderId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Border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1" applyNumberFormat="1" applyFont="1"/>
    <xf numFmtId="44" fontId="3" fillId="0" borderId="0" xfId="2" applyFont="1"/>
    <xf numFmtId="2" fontId="3" fillId="0" borderId="0" xfId="1" applyNumberFormat="1" applyFont="1"/>
    <xf numFmtId="10" fontId="3" fillId="0" borderId="0" xfId="1" applyNumberFormat="1" applyFont="1"/>
    <xf numFmtId="9" fontId="3" fillId="0" borderId="0" xfId="3" applyFont="1"/>
    <xf numFmtId="37" fontId="3" fillId="0" borderId="0" xfId="2" applyNumberFormat="1" applyFont="1" applyAlignment="1">
      <alignment horizontal="center"/>
    </xf>
    <xf numFmtId="37" fontId="7" fillId="0" borderId="0" xfId="2" applyNumberFormat="1" applyFont="1" applyAlignment="1">
      <alignment horizontal="center"/>
    </xf>
    <xf numFmtId="44" fontId="5" fillId="3" borderId="8" xfId="2" applyFont="1" applyFill="1" applyBorder="1" applyAlignment="1">
      <alignment horizontal="center" vertical="center" wrapText="1"/>
    </xf>
    <xf numFmtId="2" fontId="5" fillId="3" borderId="8" xfId="4" applyNumberFormat="1" applyFont="1" applyFill="1" applyBorder="1" applyAlignment="1">
      <alignment horizontal="center" vertical="center" wrapText="1"/>
    </xf>
    <xf numFmtId="10" fontId="5" fillId="3" borderId="8" xfId="4" applyNumberFormat="1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44" fontId="5" fillId="3" borderId="9" xfId="2" applyFont="1" applyFill="1" applyBorder="1" applyAlignment="1">
      <alignment horizontal="center" vertical="center" wrapText="1"/>
    </xf>
    <xf numFmtId="164" fontId="6" fillId="4" borderId="10" xfId="4" applyNumberFormat="1" applyFont="1" applyFill="1" applyBorder="1" applyAlignment="1">
      <alignment horizontal="center"/>
    </xf>
    <xf numFmtId="164" fontId="8" fillId="4" borderId="11" xfId="4" applyNumberFormat="1" applyFont="1" applyFill="1" applyBorder="1"/>
    <xf numFmtId="44" fontId="8" fillId="4" borderId="12" xfId="2" applyFont="1" applyFill="1" applyBorder="1"/>
    <xf numFmtId="2" fontId="8" fillId="4" borderId="8" xfId="4" applyNumberFormat="1" applyFont="1" applyFill="1" applyBorder="1"/>
    <xf numFmtId="10" fontId="8" fillId="4" borderId="8" xfId="4" applyNumberFormat="1" applyFont="1" applyFill="1" applyBorder="1"/>
    <xf numFmtId="164" fontId="8" fillId="4" borderId="9" xfId="4" applyNumberFormat="1" applyFont="1" applyFill="1" applyBorder="1"/>
    <xf numFmtId="9" fontId="8" fillId="4" borderId="8" xfId="3" applyFont="1" applyFill="1" applyBorder="1"/>
    <xf numFmtId="44" fontId="8" fillId="4" borderId="9" xfId="2" applyFont="1" applyFill="1" applyBorder="1"/>
    <xf numFmtId="44" fontId="8" fillId="4" borderId="8" xfId="2" applyFont="1" applyFill="1" applyBorder="1"/>
    <xf numFmtId="44" fontId="8" fillId="4" borderId="13" xfId="2" applyFont="1" applyFill="1" applyBorder="1"/>
    <xf numFmtId="164" fontId="8" fillId="5" borderId="9" xfId="4" applyNumberFormat="1" applyFont="1" applyFill="1" applyBorder="1" applyAlignment="1">
      <alignment horizontal="center"/>
    </xf>
    <xf numFmtId="164" fontId="9" fillId="0" borderId="14" xfId="1" applyNumberFormat="1" applyFont="1" applyBorder="1"/>
    <xf numFmtId="164" fontId="8" fillId="0" borderId="15" xfId="1" applyNumberFormat="1" applyFont="1" applyBorder="1"/>
    <xf numFmtId="44" fontId="8" fillId="0" borderId="0" xfId="2" applyFont="1" applyAlignment="1">
      <alignment horizontal="right"/>
    </xf>
    <xf numFmtId="2" fontId="8" fillId="0" borderId="0" xfId="1" applyNumberFormat="1" applyFont="1" applyAlignment="1">
      <alignment horizontal="right"/>
    </xf>
    <xf numFmtId="10" fontId="8" fillId="0" borderId="0" xfId="1" applyNumberFormat="1" applyFont="1" applyAlignment="1">
      <alignment horizontal="right"/>
    </xf>
    <xf numFmtId="164" fontId="8" fillId="0" borderId="16" xfId="1" applyNumberFormat="1" applyFont="1" applyBorder="1" applyAlignment="1">
      <alignment horizontal="right"/>
    </xf>
    <xf numFmtId="9" fontId="8" fillId="0" borderId="0" xfId="3" applyFont="1" applyAlignment="1">
      <alignment horizontal="right"/>
    </xf>
    <xf numFmtId="44" fontId="8" fillId="0" borderId="16" xfId="2" applyFont="1" applyBorder="1" applyAlignment="1">
      <alignment horizontal="right"/>
    </xf>
    <xf numFmtId="44" fontId="8" fillId="0" borderId="16" xfId="2" quotePrefix="1" applyFont="1" applyBorder="1" applyAlignment="1">
      <alignment horizontal="right"/>
    </xf>
    <xf numFmtId="164" fontId="10" fillId="0" borderId="0" xfId="1" applyNumberFormat="1" applyFont="1"/>
    <xf numFmtId="164" fontId="8" fillId="0" borderId="0" xfId="1" applyNumberFormat="1" applyFont="1"/>
    <xf numFmtId="164" fontId="11" fillId="0" borderId="14" xfId="1" applyNumberFormat="1" applyFont="1" applyBorder="1"/>
    <xf numFmtId="164" fontId="8" fillId="0" borderId="17" xfId="1" applyNumberFormat="1" applyFont="1" applyBorder="1"/>
    <xf numFmtId="166" fontId="10" fillId="0" borderId="0" xfId="1" applyNumberFormat="1" applyFont="1" applyAlignment="1">
      <alignment horizontal="left"/>
    </xf>
    <xf numFmtId="0" fontId="12" fillId="0" borderId="16" xfId="6" applyFont="1" applyBorder="1" applyAlignment="1">
      <alignment horizontal="left" vertical="top" wrapText="1"/>
    </xf>
    <xf numFmtId="164" fontId="3" fillId="0" borderId="16" xfId="1" applyNumberFormat="1" applyFont="1" applyBorder="1"/>
    <xf numFmtId="44" fontId="3" fillId="0" borderId="0" xfId="2" applyFont="1" applyAlignment="1">
      <alignment horizontal="right"/>
    </xf>
    <xf numFmtId="2" fontId="3" fillId="0" borderId="0" xfId="3" applyNumberFormat="1" applyFont="1" applyAlignment="1">
      <alignment horizontal="right"/>
    </xf>
    <xf numFmtId="10" fontId="3" fillId="0" borderId="0" xfId="1" applyNumberFormat="1" applyFont="1" applyAlignment="1">
      <alignment horizontal="right"/>
    </xf>
    <xf numFmtId="164" fontId="3" fillId="0" borderId="16" xfId="5" applyNumberFormat="1" applyFont="1" applyBorder="1"/>
    <xf numFmtId="9" fontId="3" fillId="0" borderId="0" xfId="3" applyFont="1" applyAlignment="1">
      <alignment horizontal="right"/>
    </xf>
    <xf numFmtId="3" fontId="10" fillId="0" borderId="0" xfId="1" applyNumberFormat="1" applyFont="1" applyAlignment="1">
      <alignment horizontal="left"/>
    </xf>
    <xf numFmtId="164" fontId="13" fillId="0" borderId="0" xfId="1" applyNumberFormat="1" applyFont="1"/>
    <xf numFmtId="164" fontId="3" fillId="6" borderId="16" xfId="4" quotePrefix="1" applyNumberFormat="1" applyFont="1" applyFill="1" applyBorder="1" applyAlignment="1">
      <alignment horizontal="center"/>
    </xf>
    <xf numFmtId="167" fontId="3" fillId="0" borderId="0" xfId="1" applyNumberFormat="1" applyFont="1"/>
    <xf numFmtId="49" fontId="3" fillId="0" borderId="0" xfId="1" applyNumberFormat="1" applyFont="1"/>
    <xf numFmtId="164" fontId="9" fillId="0" borderId="10" xfId="1" applyNumberFormat="1" applyFont="1" applyBorder="1" applyAlignment="1">
      <alignment horizontal="left"/>
    </xf>
    <xf numFmtId="164" fontId="3" fillId="0" borderId="18" xfId="4" quotePrefix="1" applyNumberFormat="1" applyFont="1" applyFill="1" applyBorder="1" applyAlignment="1">
      <alignment horizontal="center"/>
    </xf>
    <xf numFmtId="44" fontId="3" fillId="7" borderId="19" xfId="2" applyFont="1" applyFill="1" applyBorder="1"/>
    <xf numFmtId="2" fontId="3" fillId="7" borderId="19" xfId="5" applyNumberFormat="1" applyFont="1" applyFill="1" applyBorder="1"/>
    <xf numFmtId="10" fontId="3" fillId="0" borderId="19" xfId="1" applyNumberFormat="1" applyFont="1" applyBorder="1"/>
    <xf numFmtId="164" fontId="8" fillId="0" borderId="13" xfId="5" applyNumberFormat="1" applyFont="1" applyBorder="1"/>
    <xf numFmtId="9" fontId="3" fillId="0" borderId="19" xfId="3" applyFont="1" applyBorder="1"/>
    <xf numFmtId="165" fontId="8" fillId="7" borderId="9" xfId="2" applyNumberFormat="1" applyFont="1" applyFill="1" applyBorder="1"/>
    <xf numFmtId="164" fontId="3" fillId="0" borderId="17" xfId="4" quotePrefix="1" applyNumberFormat="1" applyFont="1" applyFill="1" applyBorder="1" applyAlignment="1">
      <alignment horizontal="center"/>
    </xf>
    <xf numFmtId="44" fontId="3" fillId="0" borderId="0" xfId="2" applyFont="1" applyBorder="1"/>
    <xf numFmtId="2" fontId="3" fillId="0" borderId="0" xfId="5" applyNumberFormat="1" applyFont="1" applyBorder="1"/>
    <xf numFmtId="10" fontId="14" fillId="0" borderId="0" xfId="1" applyNumberFormat="1" applyFont="1"/>
    <xf numFmtId="9" fontId="14" fillId="0" borderId="0" xfId="3" applyFont="1"/>
    <xf numFmtId="44" fontId="3" fillId="0" borderId="16" xfId="2" applyFont="1" applyBorder="1"/>
    <xf numFmtId="165" fontId="3" fillId="0" borderId="16" xfId="2" applyNumberFormat="1" applyFont="1" applyFill="1" applyBorder="1"/>
    <xf numFmtId="165" fontId="3" fillId="0" borderId="16" xfId="2" applyNumberFormat="1" applyFont="1" applyBorder="1"/>
    <xf numFmtId="164" fontId="3" fillId="0" borderId="14" xfId="4" applyNumberFormat="1" applyFont="1" applyFill="1" applyBorder="1" applyAlignment="1">
      <alignment horizontal="left" indent="1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164" fontId="9" fillId="8" borderId="10" xfId="4" applyNumberFormat="1" applyFont="1" applyFill="1" applyBorder="1"/>
    <xf numFmtId="164" fontId="8" fillId="8" borderId="18" xfId="4" applyNumberFormat="1" applyFont="1" applyFill="1" applyBorder="1"/>
    <xf numFmtId="44" fontId="8" fillId="8" borderId="19" xfId="2" applyFont="1" applyFill="1" applyBorder="1"/>
    <xf numFmtId="2" fontId="8" fillId="8" borderId="19" xfId="5" applyNumberFormat="1" applyFont="1" applyFill="1" applyBorder="1"/>
    <xf numFmtId="10" fontId="8" fillId="8" borderId="19" xfId="5" applyNumberFormat="1" applyFont="1" applyFill="1" applyBorder="1"/>
    <xf numFmtId="164" fontId="8" fillId="8" borderId="13" xfId="5" applyNumberFormat="1" applyFont="1" applyFill="1" applyBorder="1"/>
    <xf numFmtId="9" fontId="8" fillId="8" borderId="19" xfId="3" applyFont="1" applyFill="1" applyBorder="1"/>
    <xf numFmtId="164" fontId="8" fillId="8" borderId="13" xfId="2" applyNumberFormat="1" applyFont="1" applyFill="1" applyBorder="1"/>
    <xf numFmtId="37" fontId="7" fillId="0" borderId="8" xfId="2" applyNumberFormat="1" applyFont="1" applyBorder="1" applyAlignment="1">
      <alignment horizontal="center"/>
    </xf>
    <xf numFmtId="164" fontId="3" fillId="0" borderId="8" xfId="1" applyNumberFormat="1" applyFont="1" applyBorder="1"/>
    <xf numFmtId="164" fontId="8" fillId="0" borderId="8" xfId="1" applyNumberFormat="1" applyFont="1" applyBorder="1"/>
    <xf numFmtId="164" fontId="17" fillId="0" borderId="14" xfId="4" applyNumberFormat="1" applyFont="1" applyFill="1" applyBorder="1" applyAlignment="1">
      <alignment horizontal="left" indent="1"/>
    </xf>
    <xf numFmtId="164" fontId="3" fillId="0" borderId="0" xfId="2" applyNumberFormat="1" applyFont="1" applyBorder="1"/>
    <xf numFmtId="37" fontId="7" fillId="0" borderId="0" xfId="2" applyNumberFormat="1" applyFont="1" applyFill="1" applyAlignment="1">
      <alignment horizontal="center"/>
    </xf>
    <xf numFmtId="164" fontId="3" fillId="0" borderId="16" xfId="4" quotePrefix="1" applyNumberFormat="1" applyFont="1" applyFill="1" applyBorder="1" applyAlignment="1">
      <alignment horizontal="center"/>
    </xf>
    <xf numFmtId="164" fontId="3" fillId="0" borderId="16" xfId="4" applyNumberFormat="1" applyFont="1" applyFill="1" applyBorder="1"/>
    <xf numFmtId="44" fontId="3" fillId="0" borderId="16" xfId="2" applyFont="1" applyFill="1" applyBorder="1"/>
    <xf numFmtId="164" fontId="9" fillId="8" borderId="6" xfId="4" applyNumberFormat="1" applyFont="1" applyFill="1" applyBorder="1"/>
    <xf numFmtId="164" fontId="8" fillId="8" borderId="7" xfId="4" applyNumberFormat="1" applyFont="1" applyFill="1" applyBorder="1"/>
    <xf numFmtId="44" fontId="8" fillId="8" borderId="8" xfId="2" applyFont="1" applyFill="1" applyBorder="1"/>
    <xf numFmtId="2" fontId="8" fillId="8" borderId="8" xfId="5" applyNumberFormat="1" applyFont="1" applyFill="1" applyBorder="1"/>
    <xf numFmtId="10" fontId="8" fillId="8" borderId="8" xfId="5" applyNumberFormat="1" applyFont="1" applyFill="1" applyBorder="1"/>
    <xf numFmtId="164" fontId="8" fillId="8" borderId="9" xfId="5" applyNumberFormat="1" applyFont="1" applyFill="1" applyBorder="1"/>
    <xf numFmtId="9" fontId="8" fillId="8" borderId="8" xfId="3" applyFont="1" applyFill="1" applyBorder="1"/>
    <xf numFmtId="164" fontId="3" fillId="6" borderId="9" xfId="4" quotePrefix="1" applyNumberFormat="1" applyFont="1" applyFill="1" applyBorder="1" applyAlignment="1">
      <alignment horizontal="center"/>
    </xf>
    <xf numFmtId="37" fontId="15" fillId="0" borderId="8" xfId="2" applyNumberFormat="1" applyFont="1" applyBorder="1" applyAlignment="1">
      <alignment horizontal="center"/>
    </xf>
    <xf numFmtId="164" fontId="18" fillId="0" borderId="8" xfId="1" applyNumberFormat="1" applyFont="1" applyBorder="1"/>
    <xf numFmtId="37" fontId="15" fillId="0" borderId="0" xfId="2" applyNumberFormat="1" applyFont="1" applyAlignment="1">
      <alignment horizontal="center"/>
    </xf>
    <xf numFmtId="164" fontId="18" fillId="0" borderId="0" xfId="1" applyNumberFormat="1" applyFont="1"/>
    <xf numFmtId="164" fontId="3" fillId="0" borderId="17" xfId="1" applyNumberFormat="1" applyFont="1" applyBorder="1" applyAlignment="1">
      <alignment horizontal="left" indent="1"/>
    </xf>
    <xf numFmtId="164" fontId="9" fillId="8" borderId="18" xfId="4" applyNumberFormat="1" applyFont="1" applyFill="1" applyBorder="1"/>
    <xf numFmtId="2" fontId="8" fillId="8" borderId="19" xfId="4" applyNumberFormat="1" applyFont="1" applyFill="1" applyBorder="1"/>
    <xf numFmtId="10" fontId="8" fillId="8" borderId="19" xfId="4" applyNumberFormat="1" applyFont="1" applyFill="1" applyBorder="1"/>
    <xf numFmtId="164" fontId="3" fillId="0" borderId="17" xfId="4" applyNumberFormat="1" applyFont="1" applyFill="1" applyBorder="1"/>
    <xf numFmtId="2" fontId="3" fillId="0" borderId="0" xfId="5" applyNumberFormat="1" applyFont="1"/>
    <xf numFmtId="10" fontId="3" fillId="0" borderId="0" xfId="4" applyNumberFormat="1" applyFont="1" applyFill="1"/>
    <xf numFmtId="9" fontId="3" fillId="0" borderId="0" xfId="3" applyFont="1" applyFill="1"/>
    <xf numFmtId="164" fontId="3" fillId="6" borderId="17" xfId="4" quotePrefix="1" applyNumberFormat="1" applyFont="1" applyFill="1" applyBorder="1" applyAlignment="1">
      <alignment horizontal="center"/>
    </xf>
    <xf numFmtId="164" fontId="17" fillId="0" borderId="17" xfId="4" applyNumberFormat="1" applyFont="1" applyFill="1" applyBorder="1" applyAlignment="1">
      <alignment horizontal="left" indent="1"/>
    </xf>
    <xf numFmtId="164" fontId="3" fillId="0" borderId="15" xfId="4" quotePrefix="1" applyNumberFormat="1" applyFont="1" applyFill="1" applyBorder="1" applyAlignment="1">
      <alignment horizontal="center"/>
    </xf>
    <xf numFmtId="2" fontId="3" fillId="0" borderId="0" xfId="3" applyNumberFormat="1" applyFont="1"/>
    <xf numFmtId="164" fontId="19" fillId="0" borderId="16" xfId="1" applyNumberFormat="1" applyFont="1" applyBorder="1"/>
    <xf numFmtId="44" fontId="3" fillId="0" borderId="0" xfId="2" applyFont="1" applyFill="1" applyBorder="1"/>
    <xf numFmtId="2" fontId="3" fillId="0" borderId="0" xfId="5" applyNumberFormat="1" applyFont="1" applyFill="1" applyBorder="1"/>
    <xf numFmtId="164" fontId="17" fillId="0" borderId="9" xfId="4" applyNumberFormat="1" applyFont="1" applyFill="1" applyBorder="1" applyAlignment="1">
      <alignment horizontal="left" indent="1"/>
    </xf>
    <xf numFmtId="164" fontId="3" fillId="0" borderId="7" xfId="4" quotePrefix="1" applyNumberFormat="1" applyFont="1" applyFill="1" applyBorder="1" applyAlignment="1">
      <alignment horizontal="center"/>
    </xf>
    <xf numFmtId="44" fontId="3" fillId="0" borderId="8" xfId="2" applyFont="1" applyFill="1" applyBorder="1"/>
    <xf numFmtId="2" fontId="3" fillId="0" borderId="8" xfId="5" applyNumberFormat="1" applyFont="1" applyFill="1" applyBorder="1"/>
    <xf numFmtId="10" fontId="3" fillId="0" borderId="8" xfId="1" applyNumberFormat="1" applyFont="1" applyBorder="1"/>
    <xf numFmtId="164" fontId="3" fillId="0" borderId="9" xfId="5" applyNumberFormat="1" applyFont="1" applyBorder="1"/>
    <xf numFmtId="164" fontId="9" fillId="8" borderId="7" xfId="4" applyNumberFormat="1" applyFont="1" applyFill="1" applyBorder="1"/>
    <xf numFmtId="10" fontId="8" fillId="8" borderId="8" xfId="4" applyNumberFormat="1" applyFont="1" applyFill="1" applyBorder="1"/>
    <xf numFmtId="164" fontId="17" fillId="0" borderId="20" xfId="4" applyNumberFormat="1" applyFont="1" applyFill="1" applyBorder="1" applyAlignment="1">
      <alignment horizontal="left" indent="1"/>
    </xf>
    <xf numFmtId="164" fontId="9" fillId="9" borderId="18" xfId="5" applyNumberFormat="1" applyFont="1" applyFill="1" applyBorder="1"/>
    <xf numFmtId="164" fontId="8" fillId="9" borderId="13" xfId="4" applyNumberFormat="1" applyFont="1" applyFill="1" applyBorder="1" applyAlignment="1">
      <alignment horizontal="center"/>
    </xf>
    <xf numFmtId="44" fontId="8" fillId="9" borderId="19" xfId="2" applyFont="1" applyFill="1" applyBorder="1"/>
    <xf numFmtId="2" fontId="8" fillId="9" borderId="19" xfId="4" applyNumberFormat="1" applyFont="1" applyFill="1" applyBorder="1"/>
    <xf numFmtId="10" fontId="8" fillId="9" borderId="19" xfId="4" applyNumberFormat="1" applyFont="1" applyFill="1" applyBorder="1"/>
    <xf numFmtId="164" fontId="8" fillId="9" borderId="13" xfId="5" applyNumberFormat="1" applyFont="1" applyFill="1" applyBorder="1"/>
    <xf numFmtId="9" fontId="8" fillId="9" borderId="19" xfId="3" applyFont="1" applyFill="1" applyBorder="1"/>
    <xf numFmtId="164" fontId="3" fillId="0" borderId="16" xfId="4" applyNumberFormat="1" applyFont="1" applyFill="1" applyBorder="1" applyAlignment="1">
      <alignment horizontal="left" indent="1"/>
    </xf>
    <xf numFmtId="164" fontId="6" fillId="10" borderId="18" xfId="4" applyNumberFormat="1" applyFont="1" applyFill="1" applyBorder="1"/>
    <xf numFmtId="164" fontId="9" fillId="10" borderId="13" xfId="4" applyNumberFormat="1" applyFont="1" applyFill="1" applyBorder="1"/>
    <xf numFmtId="164" fontId="9" fillId="10" borderId="19" xfId="4" applyNumberFormat="1" applyFont="1" applyFill="1" applyBorder="1"/>
    <xf numFmtId="0" fontId="20" fillId="0" borderId="21" xfId="6" applyFont="1" applyBorder="1" applyAlignment="1">
      <alignment horizontal="left" vertical="top" wrapText="1"/>
    </xf>
    <xf numFmtId="164" fontId="21" fillId="0" borderId="16" xfId="4" applyNumberFormat="1" applyFont="1" applyFill="1" applyBorder="1" applyAlignment="1">
      <alignment horizontal="left"/>
    </xf>
    <xf numFmtId="0" fontId="22" fillId="0" borderId="22" xfId="6" applyFont="1" applyBorder="1" applyAlignment="1">
      <alignment horizontal="left" vertical="top" wrapText="1"/>
    </xf>
    <xf numFmtId="44" fontId="3" fillId="0" borderId="0" xfId="2" applyFont="1" applyFill="1"/>
    <xf numFmtId="2" fontId="3" fillId="0" borderId="0" xfId="3" applyNumberFormat="1" applyFont="1" applyFill="1"/>
    <xf numFmtId="10" fontId="3" fillId="0" borderId="0" xfId="7" applyNumberFormat="1" applyFont="1" applyAlignment="1">
      <alignment horizontal="right"/>
    </xf>
    <xf numFmtId="164" fontId="9" fillId="3" borderId="7" xfId="5" applyNumberFormat="1" applyFont="1" applyFill="1" applyBorder="1"/>
    <xf numFmtId="164" fontId="8" fillId="3" borderId="9" xfId="5" applyNumberFormat="1" applyFont="1" applyFill="1" applyBorder="1" applyAlignment="1">
      <alignment horizontal="center"/>
    </xf>
    <xf numFmtId="44" fontId="8" fillId="3" borderId="8" xfId="2" applyFont="1" applyFill="1" applyBorder="1"/>
    <xf numFmtId="2" fontId="8" fillId="3" borderId="8" xfId="5" applyNumberFormat="1" applyFont="1" applyFill="1" applyBorder="1"/>
    <xf numFmtId="10" fontId="8" fillId="3" borderId="8" xfId="5" applyNumberFormat="1" applyFont="1" applyFill="1" applyBorder="1"/>
    <xf numFmtId="164" fontId="8" fillId="3" borderId="9" xfId="5" applyNumberFormat="1" applyFont="1" applyFill="1" applyBorder="1"/>
    <xf numFmtId="9" fontId="8" fillId="3" borderId="8" xfId="3" applyFont="1" applyFill="1" applyBorder="1"/>
    <xf numFmtId="164" fontId="8" fillId="3" borderId="7" xfId="2" applyNumberFormat="1" applyFont="1" applyFill="1" applyBorder="1"/>
    <xf numFmtId="164" fontId="17" fillId="0" borderId="9" xfId="1" applyNumberFormat="1" applyFont="1" applyBorder="1"/>
    <xf numFmtId="164" fontId="3" fillId="0" borderId="9" xfId="1" applyNumberFormat="1" applyFont="1" applyBorder="1"/>
    <xf numFmtId="44" fontId="3" fillId="0" borderId="8" xfId="2" applyFont="1" applyBorder="1"/>
    <xf numFmtId="2" fontId="3" fillId="0" borderId="8" xfId="1" applyNumberFormat="1" applyFont="1" applyBorder="1"/>
    <xf numFmtId="9" fontId="3" fillId="0" borderId="8" xfId="3" applyFont="1" applyBorder="1"/>
    <xf numFmtId="164" fontId="19" fillId="11" borderId="18" xfId="4" applyNumberFormat="1" applyFont="1" applyFill="1" applyBorder="1" applyAlignment="1">
      <alignment horizontal="left" wrapText="1"/>
    </xf>
    <xf numFmtId="164" fontId="3" fillId="11" borderId="13" xfId="1" applyNumberFormat="1" applyFont="1" applyFill="1" applyBorder="1" applyAlignment="1">
      <alignment horizontal="center"/>
    </xf>
    <xf numFmtId="44" fontId="3" fillId="11" borderId="19" xfId="2" applyFont="1" applyFill="1" applyBorder="1"/>
    <xf numFmtId="2" fontId="3" fillId="11" borderId="19" xfId="1" applyNumberFormat="1" applyFont="1" applyFill="1" applyBorder="1"/>
    <xf numFmtId="10" fontId="3" fillId="11" borderId="19" xfId="1" applyNumberFormat="1" applyFont="1" applyFill="1" applyBorder="1"/>
    <xf numFmtId="164" fontId="3" fillId="11" borderId="13" xfId="1" applyNumberFormat="1" applyFont="1" applyFill="1" applyBorder="1"/>
    <xf numFmtId="9" fontId="3" fillId="11" borderId="19" xfId="3" applyFont="1" applyFill="1" applyBorder="1"/>
    <xf numFmtId="44" fontId="3" fillId="11" borderId="13" xfId="2" applyFont="1" applyFill="1" applyBorder="1"/>
    <xf numFmtId="0" fontId="23" fillId="0" borderId="0" xfId="0" applyFont="1" applyAlignment="1">
      <alignment horizontal="right"/>
    </xf>
    <xf numFmtId="168" fontId="24" fillId="0" borderId="0" xfId="0" applyNumberFormat="1" applyFont="1" applyAlignment="1">
      <alignment horizontal="left"/>
    </xf>
    <xf numFmtId="0" fontId="25" fillId="0" borderId="0" xfId="0" applyFont="1"/>
    <xf numFmtId="0" fontId="26" fillId="0" borderId="0" xfId="0" applyFont="1"/>
    <xf numFmtId="44" fontId="28" fillId="0" borderId="0" xfId="2" applyFont="1"/>
    <xf numFmtId="2" fontId="28" fillId="0" borderId="0" xfId="1" applyNumberFormat="1" applyFont="1"/>
    <xf numFmtId="9" fontId="28" fillId="0" borderId="0" xfId="3" applyFont="1"/>
    <xf numFmtId="10" fontId="28" fillId="0" borderId="0" xfId="1" applyNumberFormat="1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6" fillId="0" borderId="18" xfId="0" applyFont="1" applyBorder="1" applyAlignment="1">
      <alignment wrapText="1"/>
    </xf>
    <xf numFmtId="9" fontId="26" fillId="12" borderId="18" xfId="7" applyFont="1" applyFill="1" applyBorder="1" applyAlignment="1">
      <alignment horizontal="center" wrapText="1"/>
    </xf>
    <xf numFmtId="0" fontId="27" fillId="0" borderId="0" xfId="0" applyFont="1" applyAlignment="1">
      <alignment horizontal="center"/>
    </xf>
    <xf numFmtId="164" fontId="5" fillId="3" borderId="3" xfId="4" applyNumberFormat="1" applyFont="1" applyFill="1" applyBorder="1" applyAlignment="1">
      <alignment horizontal="center" vertical="center" wrapText="1"/>
    </xf>
    <xf numFmtId="164" fontId="5" fillId="3" borderId="4" xfId="4" applyNumberFormat="1" applyFont="1" applyFill="1" applyBorder="1" applyAlignment="1">
      <alignment horizontal="center" vertical="center" wrapText="1"/>
    </xf>
    <xf numFmtId="164" fontId="5" fillId="3" borderId="5" xfId="4" applyNumberFormat="1" applyFont="1" applyFill="1" applyBorder="1" applyAlignment="1">
      <alignment horizontal="center" vertical="center" wrapText="1"/>
    </xf>
    <xf numFmtId="44" fontId="6" fillId="3" borderId="2" xfId="2" applyFont="1" applyFill="1" applyBorder="1" applyAlignment="1">
      <alignment horizontal="center" vertical="center" wrapText="1"/>
    </xf>
    <xf numFmtId="44" fontId="6" fillId="3" borderId="7" xfId="2" applyFont="1" applyFill="1" applyBorder="1" applyAlignment="1">
      <alignment horizontal="center" vertical="center" wrapText="1"/>
    </xf>
    <xf numFmtId="164" fontId="5" fillId="3" borderId="2" xfId="5" applyNumberFormat="1" applyFont="1" applyFill="1" applyBorder="1" applyAlignment="1">
      <alignment horizontal="center" vertical="center" wrapText="1"/>
    </xf>
    <xf numFmtId="164" fontId="5" fillId="3" borderId="7" xfId="5" applyNumberFormat="1" applyFont="1" applyFill="1" applyBorder="1" applyAlignment="1">
      <alignment horizontal="center" vertical="center" wrapText="1"/>
    </xf>
    <xf numFmtId="164" fontId="5" fillId="3" borderId="1" xfId="4" applyNumberFormat="1" applyFont="1" applyFill="1" applyBorder="1" applyAlignment="1">
      <alignment horizontal="left"/>
    </xf>
    <xf numFmtId="164" fontId="5" fillId="3" borderId="6" xfId="4" applyNumberFormat="1" applyFont="1" applyFill="1" applyBorder="1" applyAlignment="1">
      <alignment horizontal="left"/>
    </xf>
    <xf numFmtId="164" fontId="5" fillId="3" borderId="2" xfId="4" applyNumberFormat="1" applyFont="1" applyFill="1" applyBorder="1" applyAlignment="1">
      <alignment horizontal="center" wrapText="1"/>
    </xf>
    <xf numFmtId="164" fontId="5" fillId="3" borderId="7" xfId="4" applyNumberFormat="1" applyFont="1" applyFill="1" applyBorder="1" applyAlignment="1">
      <alignment horizontal="center" wrapText="1"/>
    </xf>
  </cellXfs>
  <cellStyles count="8">
    <cellStyle name="Currency 11" xfId="2" xr:uid="{9B0BEA5B-8415-4384-828A-B4E36CC2E1C7}"/>
    <cellStyle name="Currency 2 4" xfId="5" xr:uid="{8B5F802F-CCB1-4C91-9100-B68F1AB21597}"/>
    <cellStyle name="Normal" xfId="0" builtinId="0"/>
    <cellStyle name="Normal 2 23" xfId="1" xr:uid="{259035EA-6B95-4A2A-8593-14A2AE6B4950}"/>
    <cellStyle name="Normal 41" xfId="6" xr:uid="{C676D68A-6FE3-4BE2-A16A-2889D5BBE5F8}"/>
    <cellStyle name="Normal_UKRAINE SME BUDGET" xfId="4" xr:uid="{5FA181F0-808D-4D10-A884-FE446669811E}"/>
    <cellStyle name="Percent 10" xfId="3" xr:uid="{DD5734C4-1C65-4426-97D8-32ECF3C84308}"/>
    <cellStyle name="Percent 2 4" xfId="7" xr:uid="{00844E2B-BAD1-4DEA-A1BC-1E8BF4E79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microsoft.com/office/2017/10/relationships/person" Target="persons/person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customXml" Target="../customXml/item2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C%20disk\vahan.CP\Desktop\Acc%20CPI\300_Salary\Salary%20Calculatin\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Karen\Desktop\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.chemonics.net\regions\eaf\Proposals\Ethiopia_SIPED_II\Cost\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4\Q1\I3R\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backup3\lgasparian\Desktop\Training\Trackers%20and%20templates\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3\Q4_2003\I3RH\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lgasparian\Desktop\Training\Trackers%20and%20templates\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AP-MF"/>
      <sheetName val="DAI Budget 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5E4E0133-F257-4086-B65B-7289D9738735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4-05-23T20:20:43.75" personId="{5E4E0133-F257-4086-B65B-7289D9738735}" id="{B33AEE7A-97EB-4823-88DE-B2408D6DB986}">
    <text>should reflect actuals, plus projections through 9/30/24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73EC-2A63-4767-A0AD-BE5EC0B78A25}">
  <sheetPr>
    <tabColor theme="6" tint="0.39997558519241921"/>
    <pageSetUpPr fitToPage="1"/>
  </sheetPr>
  <dimension ref="A2:AK90"/>
  <sheetViews>
    <sheetView tabSelected="1" showOutlineSymbols="0" showWhiteSpace="0" zoomScale="70" zoomScaleNormal="70" workbookViewId="0">
      <pane xSplit="2" ySplit="11" topLeftCell="D75" activePane="bottomRight" state="frozen"/>
      <selection pane="topRight"/>
      <selection pane="bottomLeft"/>
      <selection pane="bottomRight" activeCell="D6" sqref="D6"/>
    </sheetView>
  </sheetViews>
  <sheetFormatPr defaultRowHeight="14.4" outlineLevelRow="1" outlineLevelCol="1" x14ac:dyDescent="0.55000000000000004"/>
  <cols>
    <col min="1" max="1" width="55.578125" style="1" customWidth="1"/>
    <col min="2" max="2" width="12.26171875" style="1" customWidth="1"/>
    <col min="3" max="3" width="26" style="1" hidden="1" customWidth="1"/>
    <col min="4" max="4" width="26.68359375" style="2" bestFit="1" customWidth="1" outlineLevel="1"/>
    <col min="5" max="5" width="14.41796875" style="3" customWidth="1" outlineLevel="1"/>
    <col min="6" max="6" width="14.41796875" style="5" customWidth="1" outlineLevel="1"/>
    <col min="7" max="7" width="14.41796875" style="2" customWidth="1"/>
    <col min="8" max="8" width="14.41796875" style="2" customWidth="1" outlineLevel="1"/>
    <col min="9" max="9" width="14.41796875" style="3" customWidth="1" outlineLevel="1"/>
    <col min="10" max="10" width="14.41796875" style="4" customWidth="1" outlineLevel="1"/>
    <col min="11" max="11" width="14.41796875" style="2" customWidth="1"/>
    <col min="12" max="12" width="14.41796875" style="2" customWidth="1" outlineLevel="1"/>
    <col min="13" max="13" width="14.41796875" style="3" customWidth="1" outlineLevel="1"/>
    <col min="14" max="14" width="14.41796875" style="5" customWidth="1" outlineLevel="1"/>
    <col min="15" max="15" width="14.41796875" style="2" customWidth="1"/>
    <col min="16" max="16" width="14.41796875" style="2" customWidth="1" outlineLevel="1"/>
    <col min="17" max="17" width="14.41796875" style="3" customWidth="1" outlineLevel="1"/>
    <col min="18" max="18" width="14.41796875" style="5" customWidth="1" outlineLevel="1"/>
    <col min="19" max="19" width="15.26171875" style="2" customWidth="1"/>
    <col min="20" max="20" width="14.41796875" style="2" customWidth="1" outlineLevel="1"/>
    <col min="21" max="21" width="14.41796875" style="3" customWidth="1" outlineLevel="1"/>
    <col min="22" max="22" width="14.41796875" style="5" customWidth="1" outlineLevel="1"/>
    <col min="23" max="23" width="15.26171875" style="2" customWidth="1"/>
    <col min="24" max="24" width="16.578125" style="2" customWidth="1"/>
    <col min="25" max="25" width="8.578125" style="1" customWidth="1"/>
    <col min="26" max="26" width="8.26171875" style="1" customWidth="1"/>
    <col min="27" max="27" width="10.26171875" style="1" customWidth="1"/>
    <col min="28" max="28" width="8.26171875" style="1" customWidth="1"/>
    <col min="29" max="29" width="10.26171875" style="1" customWidth="1"/>
    <col min="30" max="30" width="4.578125" style="1" customWidth="1"/>
    <col min="31" max="31" width="4.578125" style="1" hidden="1" customWidth="1"/>
    <col min="32" max="32" width="6.578125" style="6" hidden="1" customWidth="1"/>
    <col min="33" max="33" width="18.26171875" style="1" hidden="1" customWidth="1"/>
    <col min="34" max="34" width="32.15625" style="1" hidden="1" customWidth="1"/>
    <col min="35" max="35" width="9.15625" style="1" hidden="1" customWidth="1"/>
    <col min="36" max="36" width="9.15625" style="1" customWidth="1"/>
    <col min="37" max="37" width="13.578125" style="1" customWidth="1"/>
    <col min="38" max="265" width="8.83984375" style="1"/>
    <col min="266" max="266" width="36.26171875" style="1" customWidth="1"/>
    <col min="267" max="267" width="22.15625" style="1" bestFit="1" customWidth="1"/>
    <col min="268" max="269" width="8.68359375" style="1" customWidth="1"/>
    <col min="270" max="270" width="10.68359375" style="1" bestFit="1" customWidth="1"/>
    <col min="271" max="271" width="13.68359375" style="1" bestFit="1" customWidth="1"/>
    <col min="272" max="272" width="7.68359375" style="1" customWidth="1"/>
    <col min="273" max="273" width="10.26171875" style="1" bestFit="1" customWidth="1"/>
    <col min="274" max="274" width="11.578125" style="1" bestFit="1" customWidth="1"/>
    <col min="275" max="275" width="8.68359375" style="1" customWidth="1"/>
    <col min="276" max="276" width="10.26171875" style="1" bestFit="1" customWidth="1"/>
    <col min="277" max="277" width="11.578125" style="1" bestFit="1" customWidth="1"/>
    <col min="278" max="278" width="7.578125" style="1" customWidth="1"/>
    <col min="279" max="279" width="10.26171875" style="1" bestFit="1" customWidth="1"/>
    <col min="280" max="280" width="11.578125" style="1" bestFit="1" customWidth="1"/>
    <col min="281" max="281" width="7.68359375" style="1" bestFit="1" customWidth="1"/>
    <col min="282" max="282" width="10.26171875" style="1" bestFit="1" customWidth="1"/>
    <col min="283" max="283" width="11.578125" style="1" bestFit="1" customWidth="1"/>
    <col min="284" max="284" width="17.26171875" style="1" bestFit="1" customWidth="1"/>
    <col min="285" max="285" width="10.26171875" style="1" bestFit="1" customWidth="1"/>
    <col min="286" max="521" width="8.83984375" style="1"/>
    <col min="522" max="522" width="36.26171875" style="1" customWidth="1"/>
    <col min="523" max="523" width="22.15625" style="1" bestFit="1" customWidth="1"/>
    <col min="524" max="525" width="8.68359375" style="1" customWidth="1"/>
    <col min="526" max="526" width="10.68359375" style="1" bestFit="1" customWidth="1"/>
    <col min="527" max="527" width="13.68359375" style="1" bestFit="1" customWidth="1"/>
    <col min="528" max="528" width="7.68359375" style="1" customWidth="1"/>
    <col min="529" max="529" width="10.26171875" style="1" bestFit="1" customWidth="1"/>
    <col min="530" max="530" width="11.578125" style="1" bestFit="1" customWidth="1"/>
    <col min="531" max="531" width="8.68359375" style="1" customWidth="1"/>
    <col min="532" max="532" width="10.26171875" style="1" bestFit="1" customWidth="1"/>
    <col min="533" max="533" width="11.578125" style="1" bestFit="1" customWidth="1"/>
    <col min="534" max="534" width="7.578125" style="1" customWidth="1"/>
    <col min="535" max="535" width="10.26171875" style="1" bestFit="1" customWidth="1"/>
    <col min="536" max="536" width="11.578125" style="1" bestFit="1" customWidth="1"/>
    <col min="537" max="537" width="7.68359375" style="1" bestFit="1" customWidth="1"/>
    <col min="538" max="538" width="10.26171875" style="1" bestFit="1" customWidth="1"/>
    <col min="539" max="539" width="11.578125" style="1" bestFit="1" customWidth="1"/>
    <col min="540" max="540" width="17.26171875" style="1" bestFit="1" customWidth="1"/>
    <col min="541" max="541" width="10.26171875" style="1" bestFit="1" customWidth="1"/>
    <col min="542" max="777" width="8.83984375" style="1"/>
    <col min="778" max="778" width="36.26171875" style="1" customWidth="1"/>
    <col min="779" max="779" width="22.15625" style="1" bestFit="1" customWidth="1"/>
    <col min="780" max="781" width="8.68359375" style="1" customWidth="1"/>
    <col min="782" max="782" width="10.68359375" style="1" bestFit="1" customWidth="1"/>
    <col min="783" max="783" width="13.68359375" style="1" bestFit="1" customWidth="1"/>
    <col min="784" max="784" width="7.68359375" style="1" customWidth="1"/>
    <col min="785" max="785" width="10.26171875" style="1" bestFit="1" customWidth="1"/>
    <col min="786" max="786" width="11.578125" style="1" bestFit="1" customWidth="1"/>
    <col min="787" max="787" width="8.68359375" style="1" customWidth="1"/>
    <col min="788" max="788" width="10.26171875" style="1" bestFit="1" customWidth="1"/>
    <col min="789" max="789" width="11.578125" style="1" bestFit="1" customWidth="1"/>
    <col min="790" max="790" width="7.578125" style="1" customWidth="1"/>
    <col min="791" max="791" width="10.26171875" style="1" bestFit="1" customWidth="1"/>
    <col min="792" max="792" width="11.578125" style="1" bestFit="1" customWidth="1"/>
    <col min="793" max="793" width="7.68359375" style="1" bestFit="1" customWidth="1"/>
    <col min="794" max="794" width="10.26171875" style="1" bestFit="1" customWidth="1"/>
    <col min="795" max="795" width="11.578125" style="1" bestFit="1" customWidth="1"/>
    <col min="796" max="796" width="17.26171875" style="1" bestFit="1" customWidth="1"/>
    <col min="797" max="797" width="10.26171875" style="1" bestFit="1" customWidth="1"/>
    <col min="798" max="1033" width="8.83984375" style="1"/>
    <col min="1034" max="1034" width="36.26171875" style="1" customWidth="1"/>
    <col min="1035" max="1035" width="22.15625" style="1" bestFit="1" customWidth="1"/>
    <col min="1036" max="1037" width="8.68359375" style="1" customWidth="1"/>
    <col min="1038" max="1038" width="10.68359375" style="1" bestFit="1" customWidth="1"/>
    <col min="1039" max="1039" width="13.68359375" style="1" bestFit="1" customWidth="1"/>
    <col min="1040" max="1040" width="7.68359375" style="1" customWidth="1"/>
    <col min="1041" max="1041" width="10.26171875" style="1" bestFit="1" customWidth="1"/>
    <col min="1042" max="1042" width="11.578125" style="1" bestFit="1" customWidth="1"/>
    <col min="1043" max="1043" width="8.68359375" style="1" customWidth="1"/>
    <col min="1044" max="1044" width="10.26171875" style="1" bestFit="1" customWidth="1"/>
    <col min="1045" max="1045" width="11.578125" style="1" bestFit="1" customWidth="1"/>
    <col min="1046" max="1046" width="7.578125" style="1" customWidth="1"/>
    <col min="1047" max="1047" width="10.26171875" style="1" bestFit="1" customWidth="1"/>
    <col min="1048" max="1048" width="11.578125" style="1" bestFit="1" customWidth="1"/>
    <col min="1049" max="1049" width="7.68359375" style="1" bestFit="1" customWidth="1"/>
    <col min="1050" max="1050" width="10.26171875" style="1" bestFit="1" customWidth="1"/>
    <col min="1051" max="1051" width="11.578125" style="1" bestFit="1" customWidth="1"/>
    <col min="1052" max="1052" width="17.26171875" style="1" bestFit="1" customWidth="1"/>
    <col min="1053" max="1053" width="10.26171875" style="1" bestFit="1" customWidth="1"/>
    <col min="1054" max="1289" width="8.83984375" style="1"/>
    <col min="1290" max="1290" width="36.26171875" style="1" customWidth="1"/>
    <col min="1291" max="1291" width="22.15625" style="1" bestFit="1" customWidth="1"/>
    <col min="1292" max="1293" width="8.68359375" style="1" customWidth="1"/>
    <col min="1294" max="1294" width="10.68359375" style="1" bestFit="1" customWidth="1"/>
    <col min="1295" max="1295" width="13.68359375" style="1" bestFit="1" customWidth="1"/>
    <col min="1296" max="1296" width="7.68359375" style="1" customWidth="1"/>
    <col min="1297" max="1297" width="10.26171875" style="1" bestFit="1" customWidth="1"/>
    <col min="1298" max="1298" width="11.578125" style="1" bestFit="1" customWidth="1"/>
    <col min="1299" max="1299" width="8.68359375" style="1" customWidth="1"/>
    <col min="1300" max="1300" width="10.26171875" style="1" bestFit="1" customWidth="1"/>
    <col min="1301" max="1301" width="11.578125" style="1" bestFit="1" customWidth="1"/>
    <col min="1302" max="1302" width="7.578125" style="1" customWidth="1"/>
    <col min="1303" max="1303" width="10.26171875" style="1" bestFit="1" customWidth="1"/>
    <col min="1304" max="1304" width="11.578125" style="1" bestFit="1" customWidth="1"/>
    <col min="1305" max="1305" width="7.68359375" style="1" bestFit="1" customWidth="1"/>
    <col min="1306" max="1306" width="10.26171875" style="1" bestFit="1" customWidth="1"/>
    <col min="1307" max="1307" width="11.578125" style="1" bestFit="1" customWidth="1"/>
    <col min="1308" max="1308" width="17.26171875" style="1" bestFit="1" customWidth="1"/>
    <col min="1309" max="1309" width="10.26171875" style="1" bestFit="1" customWidth="1"/>
    <col min="1310" max="1545" width="8.83984375" style="1"/>
    <col min="1546" max="1546" width="36.26171875" style="1" customWidth="1"/>
    <col min="1547" max="1547" width="22.15625" style="1" bestFit="1" customWidth="1"/>
    <col min="1548" max="1549" width="8.68359375" style="1" customWidth="1"/>
    <col min="1550" max="1550" width="10.68359375" style="1" bestFit="1" customWidth="1"/>
    <col min="1551" max="1551" width="13.68359375" style="1" bestFit="1" customWidth="1"/>
    <col min="1552" max="1552" width="7.68359375" style="1" customWidth="1"/>
    <col min="1553" max="1553" width="10.26171875" style="1" bestFit="1" customWidth="1"/>
    <col min="1554" max="1554" width="11.578125" style="1" bestFit="1" customWidth="1"/>
    <col min="1555" max="1555" width="8.68359375" style="1" customWidth="1"/>
    <col min="1556" max="1556" width="10.26171875" style="1" bestFit="1" customWidth="1"/>
    <col min="1557" max="1557" width="11.578125" style="1" bestFit="1" customWidth="1"/>
    <col min="1558" max="1558" width="7.578125" style="1" customWidth="1"/>
    <col min="1559" max="1559" width="10.26171875" style="1" bestFit="1" customWidth="1"/>
    <col min="1560" max="1560" width="11.578125" style="1" bestFit="1" customWidth="1"/>
    <col min="1561" max="1561" width="7.68359375" style="1" bestFit="1" customWidth="1"/>
    <col min="1562" max="1562" width="10.26171875" style="1" bestFit="1" customWidth="1"/>
    <col min="1563" max="1563" width="11.578125" style="1" bestFit="1" customWidth="1"/>
    <col min="1564" max="1564" width="17.26171875" style="1" bestFit="1" customWidth="1"/>
    <col min="1565" max="1565" width="10.26171875" style="1" bestFit="1" customWidth="1"/>
    <col min="1566" max="1801" width="8.83984375" style="1"/>
    <col min="1802" max="1802" width="36.26171875" style="1" customWidth="1"/>
    <col min="1803" max="1803" width="22.15625" style="1" bestFit="1" customWidth="1"/>
    <col min="1804" max="1805" width="8.68359375" style="1" customWidth="1"/>
    <col min="1806" max="1806" width="10.68359375" style="1" bestFit="1" customWidth="1"/>
    <col min="1807" max="1807" width="13.68359375" style="1" bestFit="1" customWidth="1"/>
    <col min="1808" max="1808" width="7.68359375" style="1" customWidth="1"/>
    <col min="1809" max="1809" width="10.26171875" style="1" bestFit="1" customWidth="1"/>
    <col min="1810" max="1810" width="11.578125" style="1" bestFit="1" customWidth="1"/>
    <col min="1811" max="1811" width="8.68359375" style="1" customWidth="1"/>
    <col min="1812" max="1812" width="10.26171875" style="1" bestFit="1" customWidth="1"/>
    <col min="1813" max="1813" width="11.578125" style="1" bestFit="1" customWidth="1"/>
    <col min="1814" max="1814" width="7.578125" style="1" customWidth="1"/>
    <col min="1815" max="1815" width="10.26171875" style="1" bestFit="1" customWidth="1"/>
    <col min="1816" max="1816" width="11.578125" style="1" bestFit="1" customWidth="1"/>
    <col min="1817" max="1817" width="7.68359375" style="1" bestFit="1" customWidth="1"/>
    <col min="1818" max="1818" width="10.26171875" style="1" bestFit="1" customWidth="1"/>
    <col min="1819" max="1819" width="11.578125" style="1" bestFit="1" customWidth="1"/>
    <col min="1820" max="1820" width="17.26171875" style="1" bestFit="1" customWidth="1"/>
    <col min="1821" max="1821" width="10.26171875" style="1" bestFit="1" customWidth="1"/>
    <col min="1822" max="2057" width="8.83984375" style="1"/>
    <col min="2058" max="2058" width="36.26171875" style="1" customWidth="1"/>
    <col min="2059" max="2059" width="22.15625" style="1" bestFit="1" customWidth="1"/>
    <col min="2060" max="2061" width="8.68359375" style="1" customWidth="1"/>
    <col min="2062" max="2062" width="10.68359375" style="1" bestFit="1" customWidth="1"/>
    <col min="2063" max="2063" width="13.68359375" style="1" bestFit="1" customWidth="1"/>
    <col min="2064" max="2064" width="7.68359375" style="1" customWidth="1"/>
    <col min="2065" max="2065" width="10.26171875" style="1" bestFit="1" customWidth="1"/>
    <col min="2066" max="2066" width="11.578125" style="1" bestFit="1" customWidth="1"/>
    <col min="2067" max="2067" width="8.68359375" style="1" customWidth="1"/>
    <col min="2068" max="2068" width="10.26171875" style="1" bestFit="1" customWidth="1"/>
    <col min="2069" max="2069" width="11.578125" style="1" bestFit="1" customWidth="1"/>
    <col min="2070" max="2070" width="7.578125" style="1" customWidth="1"/>
    <col min="2071" max="2071" width="10.26171875" style="1" bestFit="1" customWidth="1"/>
    <col min="2072" max="2072" width="11.578125" style="1" bestFit="1" customWidth="1"/>
    <col min="2073" max="2073" width="7.68359375" style="1" bestFit="1" customWidth="1"/>
    <col min="2074" max="2074" width="10.26171875" style="1" bestFit="1" customWidth="1"/>
    <col min="2075" max="2075" width="11.578125" style="1" bestFit="1" customWidth="1"/>
    <col min="2076" max="2076" width="17.26171875" style="1" bestFit="1" customWidth="1"/>
    <col min="2077" max="2077" width="10.26171875" style="1" bestFit="1" customWidth="1"/>
    <col min="2078" max="2313" width="8.83984375" style="1"/>
    <col min="2314" max="2314" width="36.26171875" style="1" customWidth="1"/>
    <col min="2315" max="2315" width="22.15625" style="1" bestFit="1" customWidth="1"/>
    <col min="2316" max="2317" width="8.68359375" style="1" customWidth="1"/>
    <col min="2318" max="2318" width="10.68359375" style="1" bestFit="1" customWidth="1"/>
    <col min="2319" max="2319" width="13.68359375" style="1" bestFit="1" customWidth="1"/>
    <col min="2320" max="2320" width="7.68359375" style="1" customWidth="1"/>
    <col min="2321" max="2321" width="10.26171875" style="1" bestFit="1" customWidth="1"/>
    <col min="2322" max="2322" width="11.578125" style="1" bestFit="1" customWidth="1"/>
    <col min="2323" max="2323" width="8.68359375" style="1" customWidth="1"/>
    <col min="2324" max="2324" width="10.26171875" style="1" bestFit="1" customWidth="1"/>
    <col min="2325" max="2325" width="11.578125" style="1" bestFit="1" customWidth="1"/>
    <col min="2326" max="2326" width="7.578125" style="1" customWidth="1"/>
    <col min="2327" max="2327" width="10.26171875" style="1" bestFit="1" customWidth="1"/>
    <col min="2328" max="2328" width="11.578125" style="1" bestFit="1" customWidth="1"/>
    <col min="2329" max="2329" width="7.68359375" style="1" bestFit="1" customWidth="1"/>
    <col min="2330" max="2330" width="10.26171875" style="1" bestFit="1" customWidth="1"/>
    <col min="2331" max="2331" width="11.578125" style="1" bestFit="1" customWidth="1"/>
    <col min="2332" max="2332" width="17.26171875" style="1" bestFit="1" customWidth="1"/>
    <col min="2333" max="2333" width="10.26171875" style="1" bestFit="1" customWidth="1"/>
    <col min="2334" max="2569" width="8.83984375" style="1"/>
    <col min="2570" max="2570" width="36.26171875" style="1" customWidth="1"/>
    <col min="2571" max="2571" width="22.15625" style="1" bestFit="1" customWidth="1"/>
    <col min="2572" max="2573" width="8.68359375" style="1" customWidth="1"/>
    <col min="2574" max="2574" width="10.68359375" style="1" bestFit="1" customWidth="1"/>
    <col min="2575" max="2575" width="13.68359375" style="1" bestFit="1" customWidth="1"/>
    <col min="2576" max="2576" width="7.68359375" style="1" customWidth="1"/>
    <col min="2577" max="2577" width="10.26171875" style="1" bestFit="1" customWidth="1"/>
    <col min="2578" max="2578" width="11.578125" style="1" bestFit="1" customWidth="1"/>
    <col min="2579" max="2579" width="8.68359375" style="1" customWidth="1"/>
    <col min="2580" max="2580" width="10.26171875" style="1" bestFit="1" customWidth="1"/>
    <col min="2581" max="2581" width="11.578125" style="1" bestFit="1" customWidth="1"/>
    <col min="2582" max="2582" width="7.578125" style="1" customWidth="1"/>
    <col min="2583" max="2583" width="10.26171875" style="1" bestFit="1" customWidth="1"/>
    <col min="2584" max="2584" width="11.578125" style="1" bestFit="1" customWidth="1"/>
    <col min="2585" max="2585" width="7.68359375" style="1" bestFit="1" customWidth="1"/>
    <col min="2586" max="2586" width="10.26171875" style="1" bestFit="1" customWidth="1"/>
    <col min="2587" max="2587" width="11.578125" style="1" bestFit="1" customWidth="1"/>
    <col min="2588" max="2588" width="17.26171875" style="1" bestFit="1" customWidth="1"/>
    <col min="2589" max="2589" width="10.26171875" style="1" bestFit="1" customWidth="1"/>
    <col min="2590" max="2825" width="8.83984375" style="1"/>
    <col min="2826" max="2826" width="36.26171875" style="1" customWidth="1"/>
    <col min="2827" max="2827" width="22.15625" style="1" bestFit="1" customWidth="1"/>
    <col min="2828" max="2829" width="8.68359375" style="1" customWidth="1"/>
    <col min="2830" max="2830" width="10.68359375" style="1" bestFit="1" customWidth="1"/>
    <col min="2831" max="2831" width="13.68359375" style="1" bestFit="1" customWidth="1"/>
    <col min="2832" max="2832" width="7.68359375" style="1" customWidth="1"/>
    <col min="2833" max="2833" width="10.26171875" style="1" bestFit="1" customWidth="1"/>
    <col min="2834" max="2834" width="11.578125" style="1" bestFit="1" customWidth="1"/>
    <col min="2835" max="2835" width="8.68359375" style="1" customWidth="1"/>
    <col min="2836" max="2836" width="10.26171875" style="1" bestFit="1" customWidth="1"/>
    <col min="2837" max="2837" width="11.578125" style="1" bestFit="1" customWidth="1"/>
    <col min="2838" max="2838" width="7.578125" style="1" customWidth="1"/>
    <col min="2839" max="2839" width="10.26171875" style="1" bestFit="1" customWidth="1"/>
    <col min="2840" max="2840" width="11.578125" style="1" bestFit="1" customWidth="1"/>
    <col min="2841" max="2841" width="7.68359375" style="1" bestFit="1" customWidth="1"/>
    <col min="2842" max="2842" width="10.26171875" style="1" bestFit="1" customWidth="1"/>
    <col min="2843" max="2843" width="11.578125" style="1" bestFit="1" customWidth="1"/>
    <col min="2844" max="2844" width="17.26171875" style="1" bestFit="1" customWidth="1"/>
    <col min="2845" max="2845" width="10.26171875" style="1" bestFit="1" customWidth="1"/>
    <col min="2846" max="3081" width="8.83984375" style="1"/>
    <col min="3082" max="3082" width="36.26171875" style="1" customWidth="1"/>
    <col min="3083" max="3083" width="22.15625" style="1" bestFit="1" customWidth="1"/>
    <col min="3084" max="3085" width="8.68359375" style="1" customWidth="1"/>
    <col min="3086" max="3086" width="10.68359375" style="1" bestFit="1" customWidth="1"/>
    <col min="3087" max="3087" width="13.68359375" style="1" bestFit="1" customWidth="1"/>
    <col min="3088" max="3088" width="7.68359375" style="1" customWidth="1"/>
    <col min="3089" max="3089" width="10.26171875" style="1" bestFit="1" customWidth="1"/>
    <col min="3090" max="3090" width="11.578125" style="1" bestFit="1" customWidth="1"/>
    <col min="3091" max="3091" width="8.68359375" style="1" customWidth="1"/>
    <col min="3092" max="3092" width="10.26171875" style="1" bestFit="1" customWidth="1"/>
    <col min="3093" max="3093" width="11.578125" style="1" bestFit="1" customWidth="1"/>
    <col min="3094" max="3094" width="7.578125" style="1" customWidth="1"/>
    <col min="3095" max="3095" width="10.26171875" style="1" bestFit="1" customWidth="1"/>
    <col min="3096" max="3096" width="11.578125" style="1" bestFit="1" customWidth="1"/>
    <col min="3097" max="3097" width="7.68359375" style="1" bestFit="1" customWidth="1"/>
    <col min="3098" max="3098" width="10.26171875" style="1" bestFit="1" customWidth="1"/>
    <col min="3099" max="3099" width="11.578125" style="1" bestFit="1" customWidth="1"/>
    <col min="3100" max="3100" width="17.26171875" style="1" bestFit="1" customWidth="1"/>
    <col min="3101" max="3101" width="10.26171875" style="1" bestFit="1" customWidth="1"/>
    <col min="3102" max="3337" width="8.83984375" style="1"/>
    <col min="3338" max="3338" width="36.26171875" style="1" customWidth="1"/>
    <col min="3339" max="3339" width="22.15625" style="1" bestFit="1" customWidth="1"/>
    <col min="3340" max="3341" width="8.68359375" style="1" customWidth="1"/>
    <col min="3342" max="3342" width="10.68359375" style="1" bestFit="1" customWidth="1"/>
    <col min="3343" max="3343" width="13.68359375" style="1" bestFit="1" customWidth="1"/>
    <col min="3344" max="3344" width="7.68359375" style="1" customWidth="1"/>
    <col min="3345" max="3345" width="10.26171875" style="1" bestFit="1" customWidth="1"/>
    <col min="3346" max="3346" width="11.578125" style="1" bestFit="1" customWidth="1"/>
    <col min="3347" max="3347" width="8.68359375" style="1" customWidth="1"/>
    <col min="3348" max="3348" width="10.26171875" style="1" bestFit="1" customWidth="1"/>
    <col min="3349" max="3349" width="11.578125" style="1" bestFit="1" customWidth="1"/>
    <col min="3350" max="3350" width="7.578125" style="1" customWidth="1"/>
    <col min="3351" max="3351" width="10.26171875" style="1" bestFit="1" customWidth="1"/>
    <col min="3352" max="3352" width="11.578125" style="1" bestFit="1" customWidth="1"/>
    <col min="3353" max="3353" width="7.68359375" style="1" bestFit="1" customWidth="1"/>
    <col min="3354" max="3354" width="10.26171875" style="1" bestFit="1" customWidth="1"/>
    <col min="3355" max="3355" width="11.578125" style="1" bestFit="1" customWidth="1"/>
    <col min="3356" max="3356" width="17.26171875" style="1" bestFit="1" customWidth="1"/>
    <col min="3357" max="3357" width="10.26171875" style="1" bestFit="1" customWidth="1"/>
    <col min="3358" max="3593" width="8.83984375" style="1"/>
    <col min="3594" max="3594" width="36.26171875" style="1" customWidth="1"/>
    <col min="3595" max="3595" width="22.15625" style="1" bestFit="1" customWidth="1"/>
    <col min="3596" max="3597" width="8.68359375" style="1" customWidth="1"/>
    <col min="3598" max="3598" width="10.68359375" style="1" bestFit="1" customWidth="1"/>
    <col min="3599" max="3599" width="13.68359375" style="1" bestFit="1" customWidth="1"/>
    <col min="3600" max="3600" width="7.68359375" style="1" customWidth="1"/>
    <col min="3601" max="3601" width="10.26171875" style="1" bestFit="1" customWidth="1"/>
    <col min="3602" max="3602" width="11.578125" style="1" bestFit="1" customWidth="1"/>
    <col min="3603" max="3603" width="8.68359375" style="1" customWidth="1"/>
    <col min="3604" max="3604" width="10.26171875" style="1" bestFit="1" customWidth="1"/>
    <col min="3605" max="3605" width="11.578125" style="1" bestFit="1" customWidth="1"/>
    <col min="3606" max="3606" width="7.578125" style="1" customWidth="1"/>
    <col min="3607" max="3607" width="10.26171875" style="1" bestFit="1" customWidth="1"/>
    <col min="3608" max="3608" width="11.578125" style="1" bestFit="1" customWidth="1"/>
    <col min="3609" max="3609" width="7.68359375" style="1" bestFit="1" customWidth="1"/>
    <col min="3610" max="3610" width="10.26171875" style="1" bestFit="1" customWidth="1"/>
    <col min="3611" max="3611" width="11.578125" style="1" bestFit="1" customWidth="1"/>
    <col min="3612" max="3612" width="17.26171875" style="1" bestFit="1" customWidth="1"/>
    <col min="3613" max="3613" width="10.26171875" style="1" bestFit="1" customWidth="1"/>
    <col min="3614" max="3849" width="8.83984375" style="1"/>
    <col min="3850" max="3850" width="36.26171875" style="1" customWidth="1"/>
    <col min="3851" max="3851" width="22.15625" style="1" bestFit="1" customWidth="1"/>
    <col min="3852" max="3853" width="8.68359375" style="1" customWidth="1"/>
    <col min="3854" max="3854" width="10.68359375" style="1" bestFit="1" customWidth="1"/>
    <col min="3855" max="3855" width="13.68359375" style="1" bestFit="1" customWidth="1"/>
    <col min="3856" max="3856" width="7.68359375" style="1" customWidth="1"/>
    <col min="3857" max="3857" width="10.26171875" style="1" bestFit="1" customWidth="1"/>
    <col min="3858" max="3858" width="11.578125" style="1" bestFit="1" customWidth="1"/>
    <col min="3859" max="3859" width="8.68359375" style="1" customWidth="1"/>
    <col min="3860" max="3860" width="10.26171875" style="1" bestFit="1" customWidth="1"/>
    <col min="3861" max="3861" width="11.578125" style="1" bestFit="1" customWidth="1"/>
    <col min="3862" max="3862" width="7.578125" style="1" customWidth="1"/>
    <col min="3863" max="3863" width="10.26171875" style="1" bestFit="1" customWidth="1"/>
    <col min="3864" max="3864" width="11.578125" style="1" bestFit="1" customWidth="1"/>
    <col min="3865" max="3865" width="7.68359375" style="1" bestFit="1" customWidth="1"/>
    <col min="3866" max="3866" width="10.26171875" style="1" bestFit="1" customWidth="1"/>
    <col min="3867" max="3867" width="11.578125" style="1" bestFit="1" customWidth="1"/>
    <col min="3868" max="3868" width="17.26171875" style="1" bestFit="1" customWidth="1"/>
    <col min="3869" max="3869" width="10.26171875" style="1" bestFit="1" customWidth="1"/>
    <col min="3870" max="4105" width="8.83984375" style="1"/>
    <col min="4106" max="4106" width="36.26171875" style="1" customWidth="1"/>
    <col min="4107" max="4107" width="22.15625" style="1" bestFit="1" customWidth="1"/>
    <col min="4108" max="4109" width="8.68359375" style="1" customWidth="1"/>
    <col min="4110" max="4110" width="10.68359375" style="1" bestFit="1" customWidth="1"/>
    <col min="4111" max="4111" width="13.68359375" style="1" bestFit="1" customWidth="1"/>
    <col min="4112" max="4112" width="7.68359375" style="1" customWidth="1"/>
    <col min="4113" max="4113" width="10.26171875" style="1" bestFit="1" customWidth="1"/>
    <col min="4114" max="4114" width="11.578125" style="1" bestFit="1" customWidth="1"/>
    <col min="4115" max="4115" width="8.68359375" style="1" customWidth="1"/>
    <col min="4116" max="4116" width="10.26171875" style="1" bestFit="1" customWidth="1"/>
    <col min="4117" max="4117" width="11.578125" style="1" bestFit="1" customWidth="1"/>
    <col min="4118" max="4118" width="7.578125" style="1" customWidth="1"/>
    <col min="4119" max="4119" width="10.26171875" style="1" bestFit="1" customWidth="1"/>
    <col min="4120" max="4120" width="11.578125" style="1" bestFit="1" customWidth="1"/>
    <col min="4121" max="4121" width="7.68359375" style="1" bestFit="1" customWidth="1"/>
    <col min="4122" max="4122" width="10.26171875" style="1" bestFit="1" customWidth="1"/>
    <col min="4123" max="4123" width="11.578125" style="1" bestFit="1" customWidth="1"/>
    <col min="4124" max="4124" width="17.26171875" style="1" bestFit="1" customWidth="1"/>
    <col min="4125" max="4125" width="10.26171875" style="1" bestFit="1" customWidth="1"/>
    <col min="4126" max="4361" width="8.83984375" style="1"/>
    <col min="4362" max="4362" width="36.26171875" style="1" customWidth="1"/>
    <col min="4363" max="4363" width="22.15625" style="1" bestFit="1" customWidth="1"/>
    <col min="4364" max="4365" width="8.68359375" style="1" customWidth="1"/>
    <col min="4366" max="4366" width="10.68359375" style="1" bestFit="1" customWidth="1"/>
    <col min="4367" max="4367" width="13.68359375" style="1" bestFit="1" customWidth="1"/>
    <col min="4368" max="4368" width="7.68359375" style="1" customWidth="1"/>
    <col min="4369" max="4369" width="10.26171875" style="1" bestFit="1" customWidth="1"/>
    <col min="4370" max="4370" width="11.578125" style="1" bestFit="1" customWidth="1"/>
    <col min="4371" max="4371" width="8.68359375" style="1" customWidth="1"/>
    <col min="4372" max="4372" width="10.26171875" style="1" bestFit="1" customWidth="1"/>
    <col min="4373" max="4373" width="11.578125" style="1" bestFit="1" customWidth="1"/>
    <col min="4374" max="4374" width="7.578125" style="1" customWidth="1"/>
    <col min="4375" max="4375" width="10.26171875" style="1" bestFit="1" customWidth="1"/>
    <col min="4376" max="4376" width="11.578125" style="1" bestFit="1" customWidth="1"/>
    <col min="4377" max="4377" width="7.68359375" style="1" bestFit="1" customWidth="1"/>
    <col min="4378" max="4378" width="10.26171875" style="1" bestFit="1" customWidth="1"/>
    <col min="4379" max="4379" width="11.578125" style="1" bestFit="1" customWidth="1"/>
    <col min="4380" max="4380" width="17.26171875" style="1" bestFit="1" customWidth="1"/>
    <col min="4381" max="4381" width="10.26171875" style="1" bestFit="1" customWidth="1"/>
    <col min="4382" max="4617" width="8.83984375" style="1"/>
    <col min="4618" max="4618" width="36.26171875" style="1" customWidth="1"/>
    <col min="4619" max="4619" width="22.15625" style="1" bestFit="1" customWidth="1"/>
    <col min="4620" max="4621" width="8.68359375" style="1" customWidth="1"/>
    <col min="4622" max="4622" width="10.68359375" style="1" bestFit="1" customWidth="1"/>
    <col min="4623" max="4623" width="13.68359375" style="1" bestFit="1" customWidth="1"/>
    <col min="4624" max="4624" width="7.68359375" style="1" customWidth="1"/>
    <col min="4625" max="4625" width="10.26171875" style="1" bestFit="1" customWidth="1"/>
    <col min="4626" max="4626" width="11.578125" style="1" bestFit="1" customWidth="1"/>
    <col min="4627" max="4627" width="8.68359375" style="1" customWidth="1"/>
    <col min="4628" max="4628" width="10.26171875" style="1" bestFit="1" customWidth="1"/>
    <col min="4629" max="4629" width="11.578125" style="1" bestFit="1" customWidth="1"/>
    <col min="4630" max="4630" width="7.578125" style="1" customWidth="1"/>
    <col min="4631" max="4631" width="10.26171875" style="1" bestFit="1" customWidth="1"/>
    <col min="4632" max="4632" width="11.578125" style="1" bestFit="1" customWidth="1"/>
    <col min="4633" max="4633" width="7.68359375" style="1" bestFit="1" customWidth="1"/>
    <col min="4634" max="4634" width="10.26171875" style="1" bestFit="1" customWidth="1"/>
    <col min="4635" max="4635" width="11.578125" style="1" bestFit="1" customWidth="1"/>
    <col min="4636" max="4636" width="17.26171875" style="1" bestFit="1" customWidth="1"/>
    <col min="4637" max="4637" width="10.26171875" style="1" bestFit="1" customWidth="1"/>
    <col min="4638" max="4873" width="8.83984375" style="1"/>
    <col min="4874" max="4874" width="36.26171875" style="1" customWidth="1"/>
    <col min="4875" max="4875" width="22.15625" style="1" bestFit="1" customWidth="1"/>
    <col min="4876" max="4877" width="8.68359375" style="1" customWidth="1"/>
    <col min="4878" max="4878" width="10.68359375" style="1" bestFit="1" customWidth="1"/>
    <col min="4879" max="4879" width="13.68359375" style="1" bestFit="1" customWidth="1"/>
    <col min="4880" max="4880" width="7.68359375" style="1" customWidth="1"/>
    <col min="4881" max="4881" width="10.26171875" style="1" bestFit="1" customWidth="1"/>
    <col min="4882" max="4882" width="11.578125" style="1" bestFit="1" customWidth="1"/>
    <col min="4883" max="4883" width="8.68359375" style="1" customWidth="1"/>
    <col min="4884" max="4884" width="10.26171875" style="1" bestFit="1" customWidth="1"/>
    <col min="4885" max="4885" width="11.578125" style="1" bestFit="1" customWidth="1"/>
    <col min="4886" max="4886" width="7.578125" style="1" customWidth="1"/>
    <col min="4887" max="4887" width="10.26171875" style="1" bestFit="1" customWidth="1"/>
    <col min="4888" max="4888" width="11.578125" style="1" bestFit="1" customWidth="1"/>
    <col min="4889" max="4889" width="7.68359375" style="1" bestFit="1" customWidth="1"/>
    <col min="4890" max="4890" width="10.26171875" style="1" bestFit="1" customWidth="1"/>
    <col min="4891" max="4891" width="11.578125" style="1" bestFit="1" customWidth="1"/>
    <col min="4892" max="4892" width="17.26171875" style="1" bestFit="1" customWidth="1"/>
    <col min="4893" max="4893" width="10.26171875" style="1" bestFit="1" customWidth="1"/>
    <col min="4894" max="5129" width="8.83984375" style="1"/>
    <col min="5130" max="5130" width="36.26171875" style="1" customWidth="1"/>
    <col min="5131" max="5131" width="22.15625" style="1" bestFit="1" customWidth="1"/>
    <col min="5132" max="5133" width="8.68359375" style="1" customWidth="1"/>
    <col min="5134" max="5134" width="10.68359375" style="1" bestFit="1" customWidth="1"/>
    <col min="5135" max="5135" width="13.68359375" style="1" bestFit="1" customWidth="1"/>
    <col min="5136" max="5136" width="7.68359375" style="1" customWidth="1"/>
    <col min="5137" max="5137" width="10.26171875" style="1" bestFit="1" customWidth="1"/>
    <col min="5138" max="5138" width="11.578125" style="1" bestFit="1" customWidth="1"/>
    <col min="5139" max="5139" width="8.68359375" style="1" customWidth="1"/>
    <col min="5140" max="5140" width="10.26171875" style="1" bestFit="1" customWidth="1"/>
    <col min="5141" max="5141" width="11.578125" style="1" bestFit="1" customWidth="1"/>
    <col min="5142" max="5142" width="7.578125" style="1" customWidth="1"/>
    <col min="5143" max="5143" width="10.26171875" style="1" bestFit="1" customWidth="1"/>
    <col min="5144" max="5144" width="11.578125" style="1" bestFit="1" customWidth="1"/>
    <col min="5145" max="5145" width="7.68359375" style="1" bestFit="1" customWidth="1"/>
    <col min="5146" max="5146" width="10.26171875" style="1" bestFit="1" customWidth="1"/>
    <col min="5147" max="5147" width="11.578125" style="1" bestFit="1" customWidth="1"/>
    <col min="5148" max="5148" width="17.26171875" style="1" bestFit="1" customWidth="1"/>
    <col min="5149" max="5149" width="10.26171875" style="1" bestFit="1" customWidth="1"/>
    <col min="5150" max="5385" width="8.83984375" style="1"/>
    <col min="5386" max="5386" width="36.26171875" style="1" customWidth="1"/>
    <col min="5387" max="5387" width="22.15625" style="1" bestFit="1" customWidth="1"/>
    <col min="5388" max="5389" width="8.68359375" style="1" customWidth="1"/>
    <col min="5390" max="5390" width="10.68359375" style="1" bestFit="1" customWidth="1"/>
    <col min="5391" max="5391" width="13.68359375" style="1" bestFit="1" customWidth="1"/>
    <col min="5392" max="5392" width="7.68359375" style="1" customWidth="1"/>
    <col min="5393" max="5393" width="10.26171875" style="1" bestFit="1" customWidth="1"/>
    <col min="5394" max="5394" width="11.578125" style="1" bestFit="1" customWidth="1"/>
    <col min="5395" max="5395" width="8.68359375" style="1" customWidth="1"/>
    <col min="5396" max="5396" width="10.26171875" style="1" bestFit="1" customWidth="1"/>
    <col min="5397" max="5397" width="11.578125" style="1" bestFit="1" customWidth="1"/>
    <col min="5398" max="5398" width="7.578125" style="1" customWidth="1"/>
    <col min="5399" max="5399" width="10.26171875" style="1" bestFit="1" customWidth="1"/>
    <col min="5400" max="5400" width="11.578125" style="1" bestFit="1" customWidth="1"/>
    <col min="5401" max="5401" width="7.68359375" style="1" bestFit="1" customWidth="1"/>
    <col min="5402" max="5402" width="10.26171875" style="1" bestFit="1" customWidth="1"/>
    <col min="5403" max="5403" width="11.578125" style="1" bestFit="1" customWidth="1"/>
    <col min="5404" max="5404" width="17.26171875" style="1" bestFit="1" customWidth="1"/>
    <col min="5405" max="5405" width="10.26171875" style="1" bestFit="1" customWidth="1"/>
    <col min="5406" max="5641" width="8.83984375" style="1"/>
    <col min="5642" max="5642" width="36.26171875" style="1" customWidth="1"/>
    <col min="5643" max="5643" width="22.15625" style="1" bestFit="1" customWidth="1"/>
    <col min="5644" max="5645" width="8.68359375" style="1" customWidth="1"/>
    <col min="5646" max="5646" width="10.68359375" style="1" bestFit="1" customWidth="1"/>
    <col min="5647" max="5647" width="13.68359375" style="1" bestFit="1" customWidth="1"/>
    <col min="5648" max="5648" width="7.68359375" style="1" customWidth="1"/>
    <col min="5649" max="5649" width="10.26171875" style="1" bestFit="1" customWidth="1"/>
    <col min="5650" max="5650" width="11.578125" style="1" bestFit="1" customWidth="1"/>
    <col min="5651" max="5651" width="8.68359375" style="1" customWidth="1"/>
    <col min="5652" max="5652" width="10.26171875" style="1" bestFit="1" customWidth="1"/>
    <col min="5653" max="5653" width="11.578125" style="1" bestFit="1" customWidth="1"/>
    <col min="5654" max="5654" width="7.578125" style="1" customWidth="1"/>
    <col min="5655" max="5655" width="10.26171875" style="1" bestFit="1" customWidth="1"/>
    <col min="5656" max="5656" width="11.578125" style="1" bestFit="1" customWidth="1"/>
    <col min="5657" max="5657" width="7.68359375" style="1" bestFit="1" customWidth="1"/>
    <col min="5658" max="5658" width="10.26171875" style="1" bestFit="1" customWidth="1"/>
    <col min="5659" max="5659" width="11.578125" style="1" bestFit="1" customWidth="1"/>
    <col min="5660" max="5660" width="17.26171875" style="1" bestFit="1" customWidth="1"/>
    <col min="5661" max="5661" width="10.26171875" style="1" bestFit="1" customWidth="1"/>
    <col min="5662" max="5897" width="8.83984375" style="1"/>
    <col min="5898" max="5898" width="36.26171875" style="1" customWidth="1"/>
    <col min="5899" max="5899" width="22.15625" style="1" bestFit="1" customWidth="1"/>
    <col min="5900" max="5901" width="8.68359375" style="1" customWidth="1"/>
    <col min="5902" max="5902" width="10.68359375" style="1" bestFit="1" customWidth="1"/>
    <col min="5903" max="5903" width="13.68359375" style="1" bestFit="1" customWidth="1"/>
    <col min="5904" max="5904" width="7.68359375" style="1" customWidth="1"/>
    <col min="5905" max="5905" width="10.26171875" style="1" bestFit="1" customWidth="1"/>
    <col min="5906" max="5906" width="11.578125" style="1" bestFit="1" customWidth="1"/>
    <col min="5907" max="5907" width="8.68359375" style="1" customWidth="1"/>
    <col min="5908" max="5908" width="10.26171875" style="1" bestFit="1" customWidth="1"/>
    <col min="5909" max="5909" width="11.578125" style="1" bestFit="1" customWidth="1"/>
    <col min="5910" max="5910" width="7.578125" style="1" customWidth="1"/>
    <col min="5911" max="5911" width="10.26171875" style="1" bestFit="1" customWidth="1"/>
    <col min="5912" max="5912" width="11.578125" style="1" bestFit="1" customWidth="1"/>
    <col min="5913" max="5913" width="7.68359375" style="1" bestFit="1" customWidth="1"/>
    <col min="5914" max="5914" width="10.26171875" style="1" bestFit="1" customWidth="1"/>
    <col min="5915" max="5915" width="11.578125" style="1" bestFit="1" customWidth="1"/>
    <col min="5916" max="5916" width="17.26171875" style="1" bestFit="1" customWidth="1"/>
    <col min="5917" max="5917" width="10.26171875" style="1" bestFit="1" customWidth="1"/>
    <col min="5918" max="6153" width="8.83984375" style="1"/>
    <col min="6154" max="6154" width="36.26171875" style="1" customWidth="1"/>
    <col min="6155" max="6155" width="22.15625" style="1" bestFit="1" customWidth="1"/>
    <col min="6156" max="6157" width="8.68359375" style="1" customWidth="1"/>
    <col min="6158" max="6158" width="10.68359375" style="1" bestFit="1" customWidth="1"/>
    <col min="6159" max="6159" width="13.68359375" style="1" bestFit="1" customWidth="1"/>
    <col min="6160" max="6160" width="7.68359375" style="1" customWidth="1"/>
    <col min="6161" max="6161" width="10.26171875" style="1" bestFit="1" customWidth="1"/>
    <col min="6162" max="6162" width="11.578125" style="1" bestFit="1" customWidth="1"/>
    <col min="6163" max="6163" width="8.68359375" style="1" customWidth="1"/>
    <col min="6164" max="6164" width="10.26171875" style="1" bestFit="1" customWidth="1"/>
    <col min="6165" max="6165" width="11.578125" style="1" bestFit="1" customWidth="1"/>
    <col min="6166" max="6166" width="7.578125" style="1" customWidth="1"/>
    <col min="6167" max="6167" width="10.26171875" style="1" bestFit="1" customWidth="1"/>
    <col min="6168" max="6168" width="11.578125" style="1" bestFit="1" customWidth="1"/>
    <col min="6169" max="6169" width="7.68359375" style="1" bestFit="1" customWidth="1"/>
    <col min="6170" max="6170" width="10.26171875" style="1" bestFit="1" customWidth="1"/>
    <col min="6171" max="6171" width="11.578125" style="1" bestFit="1" customWidth="1"/>
    <col min="6172" max="6172" width="17.26171875" style="1" bestFit="1" customWidth="1"/>
    <col min="6173" max="6173" width="10.26171875" style="1" bestFit="1" customWidth="1"/>
    <col min="6174" max="6409" width="8.83984375" style="1"/>
    <col min="6410" max="6410" width="36.26171875" style="1" customWidth="1"/>
    <col min="6411" max="6411" width="22.15625" style="1" bestFit="1" customWidth="1"/>
    <col min="6412" max="6413" width="8.68359375" style="1" customWidth="1"/>
    <col min="6414" max="6414" width="10.68359375" style="1" bestFit="1" customWidth="1"/>
    <col min="6415" max="6415" width="13.68359375" style="1" bestFit="1" customWidth="1"/>
    <col min="6416" max="6416" width="7.68359375" style="1" customWidth="1"/>
    <col min="6417" max="6417" width="10.26171875" style="1" bestFit="1" customWidth="1"/>
    <col min="6418" max="6418" width="11.578125" style="1" bestFit="1" customWidth="1"/>
    <col min="6419" max="6419" width="8.68359375" style="1" customWidth="1"/>
    <col min="6420" max="6420" width="10.26171875" style="1" bestFit="1" customWidth="1"/>
    <col min="6421" max="6421" width="11.578125" style="1" bestFit="1" customWidth="1"/>
    <col min="6422" max="6422" width="7.578125" style="1" customWidth="1"/>
    <col min="6423" max="6423" width="10.26171875" style="1" bestFit="1" customWidth="1"/>
    <col min="6424" max="6424" width="11.578125" style="1" bestFit="1" customWidth="1"/>
    <col min="6425" max="6425" width="7.68359375" style="1" bestFit="1" customWidth="1"/>
    <col min="6426" max="6426" width="10.26171875" style="1" bestFit="1" customWidth="1"/>
    <col min="6427" max="6427" width="11.578125" style="1" bestFit="1" customWidth="1"/>
    <col min="6428" max="6428" width="17.26171875" style="1" bestFit="1" customWidth="1"/>
    <col min="6429" max="6429" width="10.26171875" style="1" bestFit="1" customWidth="1"/>
    <col min="6430" max="6665" width="8.83984375" style="1"/>
    <col min="6666" max="6666" width="36.26171875" style="1" customWidth="1"/>
    <col min="6667" max="6667" width="22.15625" style="1" bestFit="1" customWidth="1"/>
    <col min="6668" max="6669" width="8.68359375" style="1" customWidth="1"/>
    <col min="6670" max="6670" width="10.68359375" style="1" bestFit="1" customWidth="1"/>
    <col min="6671" max="6671" width="13.68359375" style="1" bestFit="1" customWidth="1"/>
    <col min="6672" max="6672" width="7.68359375" style="1" customWidth="1"/>
    <col min="6673" max="6673" width="10.26171875" style="1" bestFit="1" customWidth="1"/>
    <col min="6674" max="6674" width="11.578125" style="1" bestFit="1" customWidth="1"/>
    <col min="6675" max="6675" width="8.68359375" style="1" customWidth="1"/>
    <col min="6676" max="6676" width="10.26171875" style="1" bestFit="1" customWidth="1"/>
    <col min="6677" max="6677" width="11.578125" style="1" bestFit="1" customWidth="1"/>
    <col min="6678" max="6678" width="7.578125" style="1" customWidth="1"/>
    <col min="6679" max="6679" width="10.26171875" style="1" bestFit="1" customWidth="1"/>
    <col min="6680" max="6680" width="11.578125" style="1" bestFit="1" customWidth="1"/>
    <col min="6681" max="6681" width="7.68359375" style="1" bestFit="1" customWidth="1"/>
    <col min="6682" max="6682" width="10.26171875" style="1" bestFit="1" customWidth="1"/>
    <col min="6683" max="6683" width="11.578125" style="1" bestFit="1" customWidth="1"/>
    <col min="6684" max="6684" width="17.26171875" style="1" bestFit="1" customWidth="1"/>
    <col min="6685" max="6685" width="10.26171875" style="1" bestFit="1" customWidth="1"/>
    <col min="6686" max="6921" width="8.83984375" style="1"/>
    <col min="6922" max="6922" width="36.26171875" style="1" customWidth="1"/>
    <col min="6923" max="6923" width="22.15625" style="1" bestFit="1" customWidth="1"/>
    <col min="6924" max="6925" width="8.68359375" style="1" customWidth="1"/>
    <col min="6926" max="6926" width="10.68359375" style="1" bestFit="1" customWidth="1"/>
    <col min="6927" max="6927" width="13.68359375" style="1" bestFit="1" customWidth="1"/>
    <col min="6928" max="6928" width="7.68359375" style="1" customWidth="1"/>
    <col min="6929" max="6929" width="10.26171875" style="1" bestFit="1" customWidth="1"/>
    <col min="6930" max="6930" width="11.578125" style="1" bestFit="1" customWidth="1"/>
    <col min="6931" max="6931" width="8.68359375" style="1" customWidth="1"/>
    <col min="6932" max="6932" width="10.26171875" style="1" bestFit="1" customWidth="1"/>
    <col min="6933" max="6933" width="11.578125" style="1" bestFit="1" customWidth="1"/>
    <col min="6934" max="6934" width="7.578125" style="1" customWidth="1"/>
    <col min="6935" max="6935" width="10.26171875" style="1" bestFit="1" customWidth="1"/>
    <col min="6936" max="6936" width="11.578125" style="1" bestFit="1" customWidth="1"/>
    <col min="6937" max="6937" width="7.68359375" style="1" bestFit="1" customWidth="1"/>
    <col min="6938" max="6938" width="10.26171875" style="1" bestFit="1" customWidth="1"/>
    <col min="6939" max="6939" width="11.578125" style="1" bestFit="1" customWidth="1"/>
    <col min="6940" max="6940" width="17.26171875" style="1" bestFit="1" customWidth="1"/>
    <col min="6941" max="6941" width="10.26171875" style="1" bestFit="1" customWidth="1"/>
    <col min="6942" max="7177" width="8.83984375" style="1"/>
    <col min="7178" max="7178" width="36.26171875" style="1" customWidth="1"/>
    <col min="7179" max="7179" width="22.15625" style="1" bestFit="1" customWidth="1"/>
    <col min="7180" max="7181" width="8.68359375" style="1" customWidth="1"/>
    <col min="7182" max="7182" width="10.68359375" style="1" bestFit="1" customWidth="1"/>
    <col min="7183" max="7183" width="13.68359375" style="1" bestFit="1" customWidth="1"/>
    <col min="7184" max="7184" width="7.68359375" style="1" customWidth="1"/>
    <col min="7185" max="7185" width="10.26171875" style="1" bestFit="1" customWidth="1"/>
    <col min="7186" max="7186" width="11.578125" style="1" bestFit="1" customWidth="1"/>
    <col min="7187" max="7187" width="8.68359375" style="1" customWidth="1"/>
    <col min="7188" max="7188" width="10.26171875" style="1" bestFit="1" customWidth="1"/>
    <col min="7189" max="7189" width="11.578125" style="1" bestFit="1" customWidth="1"/>
    <col min="7190" max="7190" width="7.578125" style="1" customWidth="1"/>
    <col min="7191" max="7191" width="10.26171875" style="1" bestFit="1" customWidth="1"/>
    <col min="7192" max="7192" width="11.578125" style="1" bestFit="1" customWidth="1"/>
    <col min="7193" max="7193" width="7.68359375" style="1" bestFit="1" customWidth="1"/>
    <col min="7194" max="7194" width="10.26171875" style="1" bestFit="1" customWidth="1"/>
    <col min="7195" max="7195" width="11.578125" style="1" bestFit="1" customWidth="1"/>
    <col min="7196" max="7196" width="17.26171875" style="1" bestFit="1" customWidth="1"/>
    <col min="7197" max="7197" width="10.26171875" style="1" bestFit="1" customWidth="1"/>
    <col min="7198" max="7433" width="8.83984375" style="1"/>
    <col min="7434" max="7434" width="36.26171875" style="1" customWidth="1"/>
    <col min="7435" max="7435" width="22.15625" style="1" bestFit="1" customWidth="1"/>
    <col min="7436" max="7437" width="8.68359375" style="1" customWidth="1"/>
    <col min="7438" max="7438" width="10.68359375" style="1" bestFit="1" customWidth="1"/>
    <col min="7439" max="7439" width="13.68359375" style="1" bestFit="1" customWidth="1"/>
    <col min="7440" max="7440" width="7.68359375" style="1" customWidth="1"/>
    <col min="7441" max="7441" width="10.26171875" style="1" bestFit="1" customWidth="1"/>
    <col min="7442" max="7442" width="11.578125" style="1" bestFit="1" customWidth="1"/>
    <col min="7443" max="7443" width="8.68359375" style="1" customWidth="1"/>
    <col min="7444" max="7444" width="10.26171875" style="1" bestFit="1" customWidth="1"/>
    <col min="7445" max="7445" width="11.578125" style="1" bestFit="1" customWidth="1"/>
    <col min="7446" max="7446" width="7.578125" style="1" customWidth="1"/>
    <col min="7447" max="7447" width="10.26171875" style="1" bestFit="1" customWidth="1"/>
    <col min="7448" max="7448" width="11.578125" style="1" bestFit="1" customWidth="1"/>
    <col min="7449" max="7449" width="7.68359375" style="1" bestFit="1" customWidth="1"/>
    <col min="7450" max="7450" width="10.26171875" style="1" bestFit="1" customWidth="1"/>
    <col min="7451" max="7451" width="11.578125" style="1" bestFit="1" customWidth="1"/>
    <col min="7452" max="7452" width="17.26171875" style="1" bestFit="1" customWidth="1"/>
    <col min="7453" max="7453" width="10.26171875" style="1" bestFit="1" customWidth="1"/>
    <col min="7454" max="7689" width="8.83984375" style="1"/>
    <col min="7690" max="7690" width="36.26171875" style="1" customWidth="1"/>
    <col min="7691" max="7691" width="22.15625" style="1" bestFit="1" customWidth="1"/>
    <col min="7692" max="7693" width="8.68359375" style="1" customWidth="1"/>
    <col min="7694" max="7694" width="10.68359375" style="1" bestFit="1" customWidth="1"/>
    <col min="7695" max="7695" width="13.68359375" style="1" bestFit="1" customWidth="1"/>
    <col min="7696" max="7696" width="7.68359375" style="1" customWidth="1"/>
    <col min="7697" max="7697" width="10.26171875" style="1" bestFit="1" customWidth="1"/>
    <col min="7698" max="7698" width="11.578125" style="1" bestFit="1" customWidth="1"/>
    <col min="7699" max="7699" width="8.68359375" style="1" customWidth="1"/>
    <col min="7700" max="7700" width="10.26171875" style="1" bestFit="1" customWidth="1"/>
    <col min="7701" max="7701" width="11.578125" style="1" bestFit="1" customWidth="1"/>
    <col min="7702" max="7702" width="7.578125" style="1" customWidth="1"/>
    <col min="7703" max="7703" width="10.26171875" style="1" bestFit="1" customWidth="1"/>
    <col min="7704" max="7704" width="11.578125" style="1" bestFit="1" customWidth="1"/>
    <col min="7705" max="7705" width="7.68359375" style="1" bestFit="1" customWidth="1"/>
    <col min="7706" max="7706" width="10.26171875" style="1" bestFit="1" customWidth="1"/>
    <col min="7707" max="7707" width="11.578125" style="1" bestFit="1" customWidth="1"/>
    <col min="7708" max="7708" width="17.26171875" style="1" bestFit="1" customWidth="1"/>
    <col min="7709" max="7709" width="10.26171875" style="1" bestFit="1" customWidth="1"/>
    <col min="7710" max="7945" width="8.83984375" style="1"/>
    <col min="7946" max="7946" width="36.26171875" style="1" customWidth="1"/>
    <col min="7947" max="7947" width="22.15625" style="1" bestFit="1" customWidth="1"/>
    <col min="7948" max="7949" width="8.68359375" style="1" customWidth="1"/>
    <col min="7950" max="7950" width="10.68359375" style="1" bestFit="1" customWidth="1"/>
    <col min="7951" max="7951" width="13.68359375" style="1" bestFit="1" customWidth="1"/>
    <col min="7952" max="7952" width="7.68359375" style="1" customWidth="1"/>
    <col min="7953" max="7953" width="10.26171875" style="1" bestFit="1" customWidth="1"/>
    <col min="7954" max="7954" width="11.578125" style="1" bestFit="1" customWidth="1"/>
    <col min="7955" max="7955" width="8.68359375" style="1" customWidth="1"/>
    <col min="7956" max="7956" width="10.26171875" style="1" bestFit="1" customWidth="1"/>
    <col min="7957" max="7957" width="11.578125" style="1" bestFit="1" customWidth="1"/>
    <col min="7958" max="7958" width="7.578125" style="1" customWidth="1"/>
    <col min="7959" max="7959" width="10.26171875" style="1" bestFit="1" customWidth="1"/>
    <col min="7960" max="7960" width="11.578125" style="1" bestFit="1" customWidth="1"/>
    <col min="7961" max="7961" width="7.68359375" style="1" bestFit="1" customWidth="1"/>
    <col min="7962" max="7962" width="10.26171875" style="1" bestFit="1" customWidth="1"/>
    <col min="7963" max="7963" width="11.578125" style="1" bestFit="1" customWidth="1"/>
    <col min="7964" max="7964" width="17.26171875" style="1" bestFit="1" customWidth="1"/>
    <col min="7965" max="7965" width="10.26171875" style="1" bestFit="1" customWidth="1"/>
    <col min="7966" max="8201" width="8.83984375" style="1"/>
    <col min="8202" max="8202" width="36.26171875" style="1" customWidth="1"/>
    <col min="8203" max="8203" width="22.15625" style="1" bestFit="1" customWidth="1"/>
    <col min="8204" max="8205" width="8.68359375" style="1" customWidth="1"/>
    <col min="8206" max="8206" width="10.68359375" style="1" bestFit="1" customWidth="1"/>
    <col min="8207" max="8207" width="13.68359375" style="1" bestFit="1" customWidth="1"/>
    <col min="8208" max="8208" width="7.68359375" style="1" customWidth="1"/>
    <col min="8209" max="8209" width="10.26171875" style="1" bestFit="1" customWidth="1"/>
    <col min="8210" max="8210" width="11.578125" style="1" bestFit="1" customWidth="1"/>
    <col min="8211" max="8211" width="8.68359375" style="1" customWidth="1"/>
    <col min="8212" max="8212" width="10.26171875" style="1" bestFit="1" customWidth="1"/>
    <col min="8213" max="8213" width="11.578125" style="1" bestFit="1" customWidth="1"/>
    <col min="8214" max="8214" width="7.578125" style="1" customWidth="1"/>
    <col min="8215" max="8215" width="10.26171875" style="1" bestFit="1" customWidth="1"/>
    <col min="8216" max="8216" width="11.578125" style="1" bestFit="1" customWidth="1"/>
    <col min="8217" max="8217" width="7.68359375" style="1" bestFit="1" customWidth="1"/>
    <col min="8218" max="8218" width="10.26171875" style="1" bestFit="1" customWidth="1"/>
    <col min="8219" max="8219" width="11.578125" style="1" bestFit="1" customWidth="1"/>
    <col min="8220" max="8220" width="17.26171875" style="1" bestFit="1" customWidth="1"/>
    <col min="8221" max="8221" width="10.26171875" style="1" bestFit="1" customWidth="1"/>
    <col min="8222" max="8457" width="8.83984375" style="1"/>
    <col min="8458" max="8458" width="36.26171875" style="1" customWidth="1"/>
    <col min="8459" max="8459" width="22.15625" style="1" bestFit="1" customWidth="1"/>
    <col min="8460" max="8461" width="8.68359375" style="1" customWidth="1"/>
    <col min="8462" max="8462" width="10.68359375" style="1" bestFit="1" customWidth="1"/>
    <col min="8463" max="8463" width="13.68359375" style="1" bestFit="1" customWidth="1"/>
    <col min="8464" max="8464" width="7.68359375" style="1" customWidth="1"/>
    <col min="8465" max="8465" width="10.26171875" style="1" bestFit="1" customWidth="1"/>
    <col min="8466" max="8466" width="11.578125" style="1" bestFit="1" customWidth="1"/>
    <col min="8467" max="8467" width="8.68359375" style="1" customWidth="1"/>
    <col min="8468" max="8468" width="10.26171875" style="1" bestFit="1" customWidth="1"/>
    <col min="8469" max="8469" width="11.578125" style="1" bestFit="1" customWidth="1"/>
    <col min="8470" max="8470" width="7.578125" style="1" customWidth="1"/>
    <col min="8471" max="8471" width="10.26171875" style="1" bestFit="1" customWidth="1"/>
    <col min="8472" max="8472" width="11.578125" style="1" bestFit="1" customWidth="1"/>
    <col min="8473" max="8473" width="7.68359375" style="1" bestFit="1" customWidth="1"/>
    <col min="8474" max="8474" width="10.26171875" style="1" bestFit="1" customWidth="1"/>
    <col min="8475" max="8475" width="11.578125" style="1" bestFit="1" customWidth="1"/>
    <col min="8476" max="8476" width="17.26171875" style="1" bestFit="1" customWidth="1"/>
    <col min="8477" max="8477" width="10.26171875" style="1" bestFit="1" customWidth="1"/>
    <col min="8478" max="8713" width="8.83984375" style="1"/>
    <col min="8714" max="8714" width="36.26171875" style="1" customWidth="1"/>
    <col min="8715" max="8715" width="22.15625" style="1" bestFit="1" customWidth="1"/>
    <col min="8716" max="8717" width="8.68359375" style="1" customWidth="1"/>
    <col min="8718" max="8718" width="10.68359375" style="1" bestFit="1" customWidth="1"/>
    <col min="8719" max="8719" width="13.68359375" style="1" bestFit="1" customWidth="1"/>
    <col min="8720" max="8720" width="7.68359375" style="1" customWidth="1"/>
    <col min="8721" max="8721" width="10.26171875" style="1" bestFit="1" customWidth="1"/>
    <col min="8722" max="8722" width="11.578125" style="1" bestFit="1" customWidth="1"/>
    <col min="8723" max="8723" width="8.68359375" style="1" customWidth="1"/>
    <col min="8724" max="8724" width="10.26171875" style="1" bestFit="1" customWidth="1"/>
    <col min="8725" max="8725" width="11.578125" style="1" bestFit="1" customWidth="1"/>
    <col min="8726" max="8726" width="7.578125" style="1" customWidth="1"/>
    <col min="8727" max="8727" width="10.26171875" style="1" bestFit="1" customWidth="1"/>
    <col min="8728" max="8728" width="11.578125" style="1" bestFit="1" customWidth="1"/>
    <col min="8729" max="8729" width="7.68359375" style="1" bestFit="1" customWidth="1"/>
    <col min="8730" max="8730" width="10.26171875" style="1" bestFit="1" customWidth="1"/>
    <col min="8731" max="8731" width="11.578125" style="1" bestFit="1" customWidth="1"/>
    <col min="8732" max="8732" width="17.26171875" style="1" bestFit="1" customWidth="1"/>
    <col min="8733" max="8733" width="10.26171875" style="1" bestFit="1" customWidth="1"/>
    <col min="8734" max="8969" width="8.83984375" style="1"/>
    <col min="8970" max="8970" width="36.26171875" style="1" customWidth="1"/>
    <col min="8971" max="8971" width="22.15625" style="1" bestFit="1" customWidth="1"/>
    <col min="8972" max="8973" width="8.68359375" style="1" customWidth="1"/>
    <col min="8974" max="8974" width="10.68359375" style="1" bestFit="1" customWidth="1"/>
    <col min="8975" max="8975" width="13.68359375" style="1" bestFit="1" customWidth="1"/>
    <col min="8976" max="8976" width="7.68359375" style="1" customWidth="1"/>
    <col min="8977" max="8977" width="10.26171875" style="1" bestFit="1" customWidth="1"/>
    <col min="8978" max="8978" width="11.578125" style="1" bestFit="1" customWidth="1"/>
    <col min="8979" max="8979" width="8.68359375" style="1" customWidth="1"/>
    <col min="8980" max="8980" width="10.26171875" style="1" bestFit="1" customWidth="1"/>
    <col min="8981" max="8981" width="11.578125" style="1" bestFit="1" customWidth="1"/>
    <col min="8982" max="8982" width="7.578125" style="1" customWidth="1"/>
    <col min="8983" max="8983" width="10.26171875" style="1" bestFit="1" customWidth="1"/>
    <col min="8984" max="8984" width="11.578125" style="1" bestFit="1" customWidth="1"/>
    <col min="8985" max="8985" width="7.68359375" style="1" bestFit="1" customWidth="1"/>
    <col min="8986" max="8986" width="10.26171875" style="1" bestFit="1" customWidth="1"/>
    <col min="8987" max="8987" width="11.578125" style="1" bestFit="1" customWidth="1"/>
    <col min="8988" max="8988" width="17.26171875" style="1" bestFit="1" customWidth="1"/>
    <col min="8989" max="8989" width="10.26171875" style="1" bestFit="1" customWidth="1"/>
    <col min="8990" max="9225" width="8.83984375" style="1"/>
    <col min="9226" max="9226" width="36.26171875" style="1" customWidth="1"/>
    <col min="9227" max="9227" width="22.15625" style="1" bestFit="1" customWidth="1"/>
    <col min="9228" max="9229" width="8.68359375" style="1" customWidth="1"/>
    <col min="9230" max="9230" width="10.68359375" style="1" bestFit="1" customWidth="1"/>
    <col min="9231" max="9231" width="13.68359375" style="1" bestFit="1" customWidth="1"/>
    <col min="9232" max="9232" width="7.68359375" style="1" customWidth="1"/>
    <col min="9233" max="9233" width="10.26171875" style="1" bestFit="1" customWidth="1"/>
    <col min="9234" max="9234" width="11.578125" style="1" bestFit="1" customWidth="1"/>
    <col min="9235" max="9235" width="8.68359375" style="1" customWidth="1"/>
    <col min="9236" max="9236" width="10.26171875" style="1" bestFit="1" customWidth="1"/>
    <col min="9237" max="9237" width="11.578125" style="1" bestFit="1" customWidth="1"/>
    <col min="9238" max="9238" width="7.578125" style="1" customWidth="1"/>
    <col min="9239" max="9239" width="10.26171875" style="1" bestFit="1" customWidth="1"/>
    <col min="9240" max="9240" width="11.578125" style="1" bestFit="1" customWidth="1"/>
    <col min="9241" max="9241" width="7.68359375" style="1" bestFit="1" customWidth="1"/>
    <col min="9242" max="9242" width="10.26171875" style="1" bestFit="1" customWidth="1"/>
    <col min="9243" max="9243" width="11.578125" style="1" bestFit="1" customWidth="1"/>
    <col min="9244" max="9244" width="17.26171875" style="1" bestFit="1" customWidth="1"/>
    <col min="9245" max="9245" width="10.26171875" style="1" bestFit="1" customWidth="1"/>
    <col min="9246" max="9481" width="8.83984375" style="1"/>
    <col min="9482" max="9482" width="36.26171875" style="1" customWidth="1"/>
    <col min="9483" max="9483" width="22.15625" style="1" bestFit="1" customWidth="1"/>
    <col min="9484" max="9485" width="8.68359375" style="1" customWidth="1"/>
    <col min="9486" max="9486" width="10.68359375" style="1" bestFit="1" customWidth="1"/>
    <col min="9487" max="9487" width="13.68359375" style="1" bestFit="1" customWidth="1"/>
    <col min="9488" max="9488" width="7.68359375" style="1" customWidth="1"/>
    <col min="9489" max="9489" width="10.26171875" style="1" bestFit="1" customWidth="1"/>
    <col min="9490" max="9490" width="11.578125" style="1" bestFit="1" customWidth="1"/>
    <col min="9491" max="9491" width="8.68359375" style="1" customWidth="1"/>
    <col min="9492" max="9492" width="10.26171875" style="1" bestFit="1" customWidth="1"/>
    <col min="9493" max="9493" width="11.578125" style="1" bestFit="1" customWidth="1"/>
    <col min="9494" max="9494" width="7.578125" style="1" customWidth="1"/>
    <col min="9495" max="9495" width="10.26171875" style="1" bestFit="1" customWidth="1"/>
    <col min="9496" max="9496" width="11.578125" style="1" bestFit="1" customWidth="1"/>
    <col min="9497" max="9497" width="7.68359375" style="1" bestFit="1" customWidth="1"/>
    <col min="9498" max="9498" width="10.26171875" style="1" bestFit="1" customWidth="1"/>
    <col min="9499" max="9499" width="11.578125" style="1" bestFit="1" customWidth="1"/>
    <col min="9500" max="9500" width="17.26171875" style="1" bestFit="1" customWidth="1"/>
    <col min="9501" max="9501" width="10.26171875" style="1" bestFit="1" customWidth="1"/>
    <col min="9502" max="9737" width="8.83984375" style="1"/>
    <col min="9738" max="9738" width="36.26171875" style="1" customWidth="1"/>
    <col min="9739" max="9739" width="22.15625" style="1" bestFit="1" customWidth="1"/>
    <col min="9740" max="9741" width="8.68359375" style="1" customWidth="1"/>
    <col min="9742" max="9742" width="10.68359375" style="1" bestFit="1" customWidth="1"/>
    <col min="9743" max="9743" width="13.68359375" style="1" bestFit="1" customWidth="1"/>
    <col min="9744" max="9744" width="7.68359375" style="1" customWidth="1"/>
    <col min="9745" max="9745" width="10.26171875" style="1" bestFit="1" customWidth="1"/>
    <col min="9746" max="9746" width="11.578125" style="1" bestFit="1" customWidth="1"/>
    <col min="9747" max="9747" width="8.68359375" style="1" customWidth="1"/>
    <col min="9748" max="9748" width="10.26171875" style="1" bestFit="1" customWidth="1"/>
    <col min="9749" max="9749" width="11.578125" style="1" bestFit="1" customWidth="1"/>
    <col min="9750" max="9750" width="7.578125" style="1" customWidth="1"/>
    <col min="9751" max="9751" width="10.26171875" style="1" bestFit="1" customWidth="1"/>
    <col min="9752" max="9752" width="11.578125" style="1" bestFit="1" customWidth="1"/>
    <col min="9753" max="9753" width="7.68359375" style="1" bestFit="1" customWidth="1"/>
    <col min="9754" max="9754" width="10.26171875" style="1" bestFit="1" customWidth="1"/>
    <col min="9755" max="9755" width="11.578125" style="1" bestFit="1" customWidth="1"/>
    <col min="9756" max="9756" width="17.26171875" style="1" bestFit="1" customWidth="1"/>
    <col min="9757" max="9757" width="10.26171875" style="1" bestFit="1" customWidth="1"/>
    <col min="9758" max="9993" width="8.83984375" style="1"/>
    <col min="9994" max="9994" width="36.26171875" style="1" customWidth="1"/>
    <col min="9995" max="9995" width="22.15625" style="1" bestFit="1" customWidth="1"/>
    <col min="9996" max="9997" width="8.68359375" style="1" customWidth="1"/>
    <col min="9998" max="9998" width="10.68359375" style="1" bestFit="1" customWidth="1"/>
    <col min="9999" max="9999" width="13.68359375" style="1" bestFit="1" customWidth="1"/>
    <col min="10000" max="10000" width="7.68359375" style="1" customWidth="1"/>
    <col min="10001" max="10001" width="10.26171875" style="1" bestFit="1" customWidth="1"/>
    <col min="10002" max="10002" width="11.578125" style="1" bestFit="1" customWidth="1"/>
    <col min="10003" max="10003" width="8.68359375" style="1" customWidth="1"/>
    <col min="10004" max="10004" width="10.26171875" style="1" bestFit="1" customWidth="1"/>
    <col min="10005" max="10005" width="11.578125" style="1" bestFit="1" customWidth="1"/>
    <col min="10006" max="10006" width="7.578125" style="1" customWidth="1"/>
    <col min="10007" max="10007" width="10.26171875" style="1" bestFit="1" customWidth="1"/>
    <col min="10008" max="10008" width="11.578125" style="1" bestFit="1" customWidth="1"/>
    <col min="10009" max="10009" width="7.68359375" style="1" bestFit="1" customWidth="1"/>
    <col min="10010" max="10010" width="10.26171875" style="1" bestFit="1" customWidth="1"/>
    <col min="10011" max="10011" width="11.578125" style="1" bestFit="1" customWidth="1"/>
    <col min="10012" max="10012" width="17.26171875" style="1" bestFit="1" customWidth="1"/>
    <col min="10013" max="10013" width="10.26171875" style="1" bestFit="1" customWidth="1"/>
    <col min="10014" max="10249" width="8.83984375" style="1"/>
    <col min="10250" max="10250" width="36.26171875" style="1" customWidth="1"/>
    <col min="10251" max="10251" width="22.15625" style="1" bestFit="1" customWidth="1"/>
    <col min="10252" max="10253" width="8.68359375" style="1" customWidth="1"/>
    <col min="10254" max="10254" width="10.68359375" style="1" bestFit="1" customWidth="1"/>
    <col min="10255" max="10255" width="13.68359375" style="1" bestFit="1" customWidth="1"/>
    <col min="10256" max="10256" width="7.68359375" style="1" customWidth="1"/>
    <col min="10257" max="10257" width="10.26171875" style="1" bestFit="1" customWidth="1"/>
    <col min="10258" max="10258" width="11.578125" style="1" bestFit="1" customWidth="1"/>
    <col min="10259" max="10259" width="8.68359375" style="1" customWidth="1"/>
    <col min="10260" max="10260" width="10.26171875" style="1" bestFit="1" customWidth="1"/>
    <col min="10261" max="10261" width="11.578125" style="1" bestFit="1" customWidth="1"/>
    <col min="10262" max="10262" width="7.578125" style="1" customWidth="1"/>
    <col min="10263" max="10263" width="10.26171875" style="1" bestFit="1" customWidth="1"/>
    <col min="10264" max="10264" width="11.578125" style="1" bestFit="1" customWidth="1"/>
    <col min="10265" max="10265" width="7.68359375" style="1" bestFit="1" customWidth="1"/>
    <col min="10266" max="10266" width="10.26171875" style="1" bestFit="1" customWidth="1"/>
    <col min="10267" max="10267" width="11.578125" style="1" bestFit="1" customWidth="1"/>
    <col min="10268" max="10268" width="17.26171875" style="1" bestFit="1" customWidth="1"/>
    <col min="10269" max="10269" width="10.26171875" style="1" bestFit="1" customWidth="1"/>
    <col min="10270" max="10505" width="8.83984375" style="1"/>
    <col min="10506" max="10506" width="36.26171875" style="1" customWidth="1"/>
    <col min="10507" max="10507" width="22.15625" style="1" bestFit="1" customWidth="1"/>
    <col min="10508" max="10509" width="8.68359375" style="1" customWidth="1"/>
    <col min="10510" max="10510" width="10.68359375" style="1" bestFit="1" customWidth="1"/>
    <col min="10511" max="10511" width="13.68359375" style="1" bestFit="1" customWidth="1"/>
    <col min="10512" max="10512" width="7.68359375" style="1" customWidth="1"/>
    <col min="10513" max="10513" width="10.26171875" style="1" bestFit="1" customWidth="1"/>
    <col min="10514" max="10514" width="11.578125" style="1" bestFit="1" customWidth="1"/>
    <col min="10515" max="10515" width="8.68359375" style="1" customWidth="1"/>
    <col min="10516" max="10516" width="10.26171875" style="1" bestFit="1" customWidth="1"/>
    <col min="10517" max="10517" width="11.578125" style="1" bestFit="1" customWidth="1"/>
    <col min="10518" max="10518" width="7.578125" style="1" customWidth="1"/>
    <col min="10519" max="10519" width="10.26171875" style="1" bestFit="1" customWidth="1"/>
    <col min="10520" max="10520" width="11.578125" style="1" bestFit="1" customWidth="1"/>
    <col min="10521" max="10521" width="7.68359375" style="1" bestFit="1" customWidth="1"/>
    <col min="10522" max="10522" width="10.26171875" style="1" bestFit="1" customWidth="1"/>
    <col min="10523" max="10523" width="11.578125" style="1" bestFit="1" customWidth="1"/>
    <col min="10524" max="10524" width="17.26171875" style="1" bestFit="1" customWidth="1"/>
    <col min="10525" max="10525" width="10.26171875" style="1" bestFit="1" customWidth="1"/>
    <col min="10526" max="10761" width="8.83984375" style="1"/>
    <col min="10762" max="10762" width="36.26171875" style="1" customWidth="1"/>
    <col min="10763" max="10763" width="22.15625" style="1" bestFit="1" customWidth="1"/>
    <col min="10764" max="10765" width="8.68359375" style="1" customWidth="1"/>
    <col min="10766" max="10766" width="10.68359375" style="1" bestFit="1" customWidth="1"/>
    <col min="10767" max="10767" width="13.68359375" style="1" bestFit="1" customWidth="1"/>
    <col min="10768" max="10768" width="7.68359375" style="1" customWidth="1"/>
    <col min="10769" max="10769" width="10.26171875" style="1" bestFit="1" customWidth="1"/>
    <col min="10770" max="10770" width="11.578125" style="1" bestFit="1" customWidth="1"/>
    <col min="10771" max="10771" width="8.68359375" style="1" customWidth="1"/>
    <col min="10772" max="10772" width="10.26171875" style="1" bestFit="1" customWidth="1"/>
    <col min="10773" max="10773" width="11.578125" style="1" bestFit="1" customWidth="1"/>
    <col min="10774" max="10774" width="7.578125" style="1" customWidth="1"/>
    <col min="10775" max="10775" width="10.26171875" style="1" bestFit="1" customWidth="1"/>
    <col min="10776" max="10776" width="11.578125" style="1" bestFit="1" customWidth="1"/>
    <col min="10777" max="10777" width="7.68359375" style="1" bestFit="1" customWidth="1"/>
    <col min="10778" max="10778" width="10.26171875" style="1" bestFit="1" customWidth="1"/>
    <col min="10779" max="10779" width="11.578125" style="1" bestFit="1" customWidth="1"/>
    <col min="10780" max="10780" width="17.26171875" style="1" bestFit="1" customWidth="1"/>
    <col min="10781" max="10781" width="10.26171875" style="1" bestFit="1" customWidth="1"/>
    <col min="10782" max="11017" width="8.83984375" style="1"/>
    <col min="11018" max="11018" width="36.26171875" style="1" customWidth="1"/>
    <col min="11019" max="11019" width="22.15625" style="1" bestFit="1" customWidth="1"/>
    <col min="11020" max="11021" width="8.68359375" style="1" customWidth="1"/>
    <col min="11022" max="11022" width="10.68359375" style="1" bestFit="1" customWidth="1"/>
    <col min="11023" max="11023" width="13.68359375" style="1" bestFit="1" customWidth="1"/>
    <col min="11024" max="11024" width="7.68359375" style="1" customWidth="1"/>
    <col min="11025" max="11025" width="10.26171875" style="1" bestFit="1" customWidth="1"/>
    <col min="11026" max="11026" width="11.578125" style="1" bestFit="1" customWidth="1"/>
    <col min="11027" max="11027" width="8.68359375" style="1" customWidth="1"/>
    <col min="11028" max="11028" width="10.26171875" style="1" bestFit="1" customWidth="1"/>
    <col min="11029" max="11029" width="11.578125" style="1" bestFit="1" customWidth="1"/>
    <col min="11030" max="11030" width="7.578125" style="1" customWidth="1"/>
    <col min="11031" max="11031" width="10.26171875" style="1" bestFit="1" customWidth="1"/>
    <col min="11032" max="11032" width="11.578125" style="1" bestFit="1" customWidth="1"/>
    <col min="11033" max="11033" width="7.68359375" style="1" bestFit="1" customWidth="1"/>
    <col min="11034" max="11034" width="10.26171875" style="1" bestFit="1" customWidth="1"/>
    <col min="11035" max="11035" width="11.578125" style="1" bestFit="1" customWidth="1"/>
    <col min="11036" max="11036" width="17.26171875" style="1" bestFit="1" customWidth="1"/>
    <col min="11037" max="11037" width="10.26171875" style="1" bestFit="1" customWidth="1"/>
    <col min="11038" max="11273" width="8.83984375" style="1"/>
    <col min="11274" max="11274" width="36.26171875" style="1" customWidth="1"/>
    <col min="11275" max="11275" width="22.15625" style="1" bestFit="1" customWidth="1"/>
    <col min="11276" max="11277" width="8.68359375" style="1" customWidth="1"/>
    <col min="11278" max="11278" width="10.68359375" style="1" bestFit="1" customWidth="1"/>
    <col min="11279" max="11279" width="13.68359375" style="1" bestFit="1" customWidth="1"/>
    <col min="11280" max="11280" width="7.68359375" style="1" customWidth="1"/>
    <col min="11281" max="11281" width="10.26171875" style="1" bestFit="1" customWidth="1"/>
    <col min="11282" max="11282" width="11.578125" style="1" bestFit="1" customWidth="1"/>
    <col min="11283" max="11283" width="8.68359375" style="1" customWidth="1"/>
    <col min="11284" max="11284" width="10.26171875" style="1" bestFit="1" customWidth="1"/>
    <col min="11285" max="11285" width="11.578125" style="1" bestFit="1" customWidth="1"/>
    <col min="11286" max="11286" width="7.578125" style="1" customWidth="1"/>
    <col min="11287" max="11287" width="10.26171875" style="1" bestFit="1" customWidth="1"/>
    <col min="11288" max="11288" width="11.578125" style="1" bestFit="1" customWidth="1"/>
    <col min="11289" max="11289" width="7.68359375" style="1" bestFit="1" customWidth="1"/>
    <col min="11290" max="11290" width="10.26171875" style="1" bestFit="1" customWidth="1"/>
    <col min="11291" max="11291" width="11.578125" style="1" bestFit="1" customWidth="1"/>
    <col min="11292" max="11292" width="17.26171875" style="1" bestFit="1" customWidth="1"/>
    <col min="11293" max="11293" width="10.26171875" style="1" bestFit="1" customWidth="1"/>
    <col min="11294" max="11529" width="8.83984375" style="1"/>
    <col min="11530" max="11530" width="36.26171875" style="1" customWidth="1"/>
    <col min="11531" max="11531" width="22.15625" style="1" bestFit="1" customWidth="1"/>
    <col min="11532" max="11533" width="8.68359375" style="1" customWidth="1"/>
    <col min="11534" max="11534" width="10.68359375" style="1" bestFit="1" customWidth="1"/>
    <col min="11535" max="11535" width="13.68359375" style="1" bestFit="1" customWidth="1"/>
    <col min="11536" max="11536" width="7.68359375" style="1" customWidth="1"/>
    <col min="11537" max="11537" width="10.26171875" style="1" bestFit="1" customWidth="1"/>
    <col min="11538" max="11538" width="11.578125" style="1" bestFit="1" customWidth="1"/>
    <col min="11539" max="11539" width="8.68359375" style="1" customWidth="1"/>
    <col min="11540" max="11540" width="10.26171875" style="1" bestFit="1" customWidth="1"/>
    <col min="11541" max="11541" width="11.578125" style="1" bestFit="1" customWidth="1"/>
    <col min="11542" max="11542" width="7.578125" style="1" customWidth="1"/>
    <col min="11543" max="11543" width="10.26171875" style="1" bestFit="1" customWidth="1"/>
    <col min="11544" max="11544" width="11.578125" style="1" bestFit="1" customWidth="1"/>
    <col min="11545" max="11545" width="7.68359375" style="1" bestFit="1" customWidth="1"/>
    <col min="11546" max="11546" width="10.26171875" style="1" bestFit="1" customWidth="1"/>
    <col min="11547" max="11547" width="11.578125" style="1" bestFit="1" customWidth="1"/>
    <col min="11548" max="11548" width="17.26171875" style="1" bestFit="1" customWidth="1"/>
    <col min="11549" max="11549" width="10.26171875" style="1" bestFit="1" customWidth="1"/>
    <col min="11550" max="11785" width="8.83984375" style="1"/>
    <col min="11786" max="11786" width="36.26171875" style="1" customWidth="1"/>
    <col min="11787" max="11787" width="22.15625" style="1" bestFit="1" customWidth="1"/>
    <col min="11788" max="11789" width="8.68359375" style="1" customWidth="1"/>
    <col min="11790" max="11790" width="10.68359375" style="1" bestFit="1" customWidth="1"/>
    <col min="11791" max="11791" width="13.68359375" style="1" bestFit="1" customWidth="1"/>
    <col min="11792" max="11792" width="7.68359375" style="1" customWidth="1"/>
    <col min="11793" max="11793" width="10.26171875" style="1" bestFit="1" customWidth="1"/>
    <col min="11794" max="11794" width="11.578125" style="1" bestFit="1" customWidth="1"/>
    <col min="11795" max="11795" width="8.68359375" style="1" customWidth="1"/>
    <col min="11796" max="11796" width="10.26171875" style="1" bestFit="1" customWidth="1"/>
    <col min="11797" max="11797" width="11.578125" style="1" bestFit="1" customWidth="1"/>
    <col min="11798" max="11798" width="7.578125" style="1" customWidth="1"/>
    <col min="11799" max="11799" width="10.26171875" style="1" bestFit="1" customWidth="1"/>
    <col min="11800" max="11800" width="11.578125" style="1" bestFit="1" customWidth="1"/>
    <col min="11801" max="11801" width="7.68359375" style="1" bestFit="1" customWidth="1"/>
    <col min="11802" max="11802" width="10.26171875" style="1" bestFit="1" customWidth="1"/>
    <col min="11803" max="11803" width="11.578125" style="1" bestFit="1" customWidth="1"/>
    <col min="11804" max="11804" width="17.26171875" style="1" bestFit="1" customWidth="1"/>
    <col min="11805" max="11805" width="10.26171875" style="1" bestFit="1" customWidth="1"/>
    <col min="11806" max="12041" width="8.83984375" style="1"/>
    <col min="12042" max="12042" width="36.26171875" style="1" customWidth="1"/>
    <col min="12043" max="12043" width="22.15625" style="1" bestFit="1" customWidth="1"/>
    <col min="12044" max="12045" width="8.68359375" style="1" customWidth="1"/>
    <col min="12046" max="12046" width="10.68359375" style="1" bestFit="1" customWidth="1"/>
    <col min="12047" max="12047" width="13.68359375" style="1" bestFit="1" customWidth="1"/>
    <col min="12048" max="12048" width="7.68359375" style="1" customWidth="1"/>
    <col min="12049" max="12049" width="10.26171875" style="1" bestFit="1" customWidth="1"/>
    <col min="12050" max="12050" width="11.578125" style="1" bestFit="1" customWidth="1"/>
    <col min="12051" max="12051" width="8.68359375" style="1" customWidth="1"/>
    <col min="12052" max="12052" width="10.26171875" style="1" bestFit="1" customWidth="1"/>
    <col min="12053" max="12053" width="11.578125" style="1" bestFit="1" customWidth="1"/>
    <col min="12054" max="12054" width="7.578125" style="1" customWidth="1"/>
    <col min="12055" max="12055" width="10.26171875" style="1" bestFit="1" customWidth="1"/>
    <col min="12056" max="12056" width="11.578125" style="1" bestFit="1" customWidth="1"/>
    <col min="12057" max="12057" width="7.68359375" style="1" bestFit="1" customWidth="1"/>
    <col min="12058" max="12058" width="10.26171875" style="1" bestFit="1" customWidth="1"/>
    <col min="12059" max="12059" width="11.578125" style="1" bestFit="1" customWidth="1"/>
    <col min="12060" max="12060" width="17.26171875" style="1" bestFit="1" customWidth="1"/>
    <col min="12061" max="12061" width="10.26171875" style="1" bestFit="1" customWidth="1"/>
    <col min="12062" max="12297" width="8.83984375" style="1"/>
    <col min="12298" max="12298" width="36.26171875" style="1" customWidth="1"/>
    <col min="12299" max="12299" width="22.15625" style="1" bestFit="1" customWidth="1"/>
    <col min="12300" max="12301" width="8.68359375" style="1" customWidth="1"/>
    <col min="12302" max="12302" width="10.68359375" style="1" bestFit="1" customWidth="1"/>
    <col min="12303" max="12303" width="13.68359375" style="1" bestFit="1" customWidth="1"/>
    <col min="12304" max="12304" width="7.68359375" style="1" customWidth="1"/>
    <col min="12305" max="12305" width="10.26171875" style="1" bestFit="1" customWidth="1"/>
    <col min="12306" max="12306" width="11.578125" style="1" bestFit="1" customWidth="1"/>
    <col min="12307" max="12307" width="8.68359375" style="1" customWidth="1"/>
    <col min="12308" max="12308" width="10.26171875" style="1" bestFit="1" customWidth="1"/>
    <col min="12309" max="12309" width="11.578125" style="1" bestFit="1" customWidth="1"/>
    <col min="12310" max="12310" width="7.578125" style="1" customWidth="1"/>
    <col min="12311" max="12311" width="10.26171875" style="1" bestFit="1" customWidth="1"/>
    <col min="12312" max="12312" width="11.578125" style="1" bestFit="1" customWidth="1"/>
    <col min="12313" max="12313" width="7.68359375" style="1" bestFit="1" customWidth="1"/>
    <col min="12314" max="12314" width="10.26171875" style="1" bestFit="1" customWidth="1"/>
    <col min="12315" max="12315" width="11.578125" style="1" bestFit="1" customWidth="1"/>
    <col min="12316" max="12316" width="17.26171875" style="1" bestFit="1" customWidth="1"/>
    <col min="12317" max="12317" width="10.26171875" style="1" bestFit="1" customWidth="1"/>
    <col min="12318" max="12553" width="8.83984375" style="1"/>
    <col min="12554" max="12554" width="36.26171875" style="1" customWidth="1"/>
    <col min="12555" max="12555" width="22.15625" style="1" bestFit="1" customWidth="1"/>
    <col min="12556" max="12557" width="8.68359375" style="1" customWidth="1"/>
    <col min="12558" max="12558" width="10.68359375" style="1" bestFit="1" customWidth="1"/>
    <col min="12559" max="12559" width="13.68359375" style="1" bestFit="1" customWidth="1"/>
    <col min="12560" max="12560" width="7.68359375" style="1" customWidth="1"/>
    <col min="12561" max="12561" width="10.26171875" style="1" bestFit="1" customWidth="1"/>
    <col min="12562" max="12562" width="11.578125" style="1" bestFit="1" customWidth="1"/>
    <col min="12563" max="12563" width="8.68359375" style="1" customWidth="1"/>
    <col min="12564" max="12564" width="10.26171875" style="1" bestFit="1" customWidth="1"/>
    <col min="12565" max="12565" width="11.578125" style="1" bestFit="1" customWidth="1"/>
    <col min="12566" max="12566" width="7.578125" style="1" customWidth="1"/>
    <col min="12567" max="12567" width="10.26171875" style="1" bestFit="1" customWidth="1"/>
    <col min="12568" max="12568" width="11.578125" style="1" bestFit="1" customWidth="1"/>
    <col min="12569" max="12569" width="7.68359375" style="1" bestFit="1" customWidth="1"/>
    <col min="12570" max="12570" width="10.26171875" style="1" bestFit="1" customWidth="1"/>
    <col min="12571" max="12571" width="11.578125" style="1" bestFit="1" customWidth="1"/>
    <col min="12572" max="12572" width="17.26171875" style="1" bestFit="1" customWidth="1"/>
    <col min="12573" max="12573" width="10.26171875" style="1" bestFit="1" customWidth="1"/>
    <col min="12574" max="12809" width="8.83984375" style="1"/>
    <col min="12810" max="12810" width="36.26171875" style="1" customWidth="1"/>
    <col min="12811" max="12811" width="22.15625" style="1" bestFit="1" customWidth="1"/>
    <col min="12812" max="12813" width="8.68359375" style="1" customWidth="1"/>
    <col min="12814" max="12814" width="10.68359375" style="1" bestFit="1" customWidth="1"/>
    <col min="12815" max="12815" width="13.68359375" style="1" bestFit="1" customWidth="1"/>
    <col min="12816" max="12816" width="7.68359375" style="1" customWidth="1"/>
    <col min="12817" max="12817" width="10.26171875" style="1" bestFit="1" customWidth="1"/>
    <col min="12818" max="12818" width="11.578125" style="1" bestFit="1" customWidth="1"/>
    <col min="12819" max="12819" width="8.68359375" style="1" customWidth="1"/>
    <col min="12820" max="12820" width="10.26171875" style="1" bestFit="1" customWidth="1"/>
    <col min="12821" max="12821" width="11.578125" style="1" bestFit="1" customWidth="1"/>
    <col min="12822" max="12822" width="7.578125" style="1" customWidth="1"/>
    <col min="12823" max="12823" width="10.26171875" style="1" bestFit="1" customWidth="1"/>
    <col min="12824" max="12824" width="11.578125" style="1" bestFit="1" customWidth="1"/>
    <col min="12825" max="12825" width="7.68359375" style="1" bestFit="1" customWidth="1"/>
    <col min="12826" max="12826" width="10.26171875" style="1" bestFit="1" customWidth="1"/>
    <col min="12827" max="12827" width="11.578125" style="1" bestFit="1" customWidth="1"/>
    <col min="12828" max="12828" width="17.26171875" style="1" bestFit="1" customWidth="1"/>
    <col min="12829" max="12829" width="10.26171875" style="1" bestFit="1" customWidth="1"/>
    <col min="12830" max="13065" width="8.83984375" style="1"/>
    <col min="13066" max="13066" width="36.26171875" style="1" customWidth="1"/>
    <col min="13067" max="13067" width="22.15625" style="1" bestFit="1" customWidth="1"/>
    <col min="13068" max="13069" width="8.68359375" style="1" customWidth="1"/>
    <col min="13070" max="13070" width="10.68359375" style="1" bestFit="1" customWidth="1"/>
    <col min="13071" max="13071" width="13.68359375" style="1" bestFit="1" customWidth="1"/>
    <col min="13072" max="13072" width="7.68359375" style="1" customWidth="1"/>
    <col min="13073" max="13073" width="10.26171875" style="1" bestFit="1" customWidth="1"/>
    <col min="13074" max="13074" width="11.578125" style="1" bestFit="1" customWidth="1"/>
    <col min="13075" max="13075" width="8.68359375" style="1" customWidth="1"/>
    <col min="13076" max="13076" width="10.26171875" style="1" bestFit="1" customWidth="1"/>
    <col min="13077" max="13077" width="11.578125" style="1" bestFit="1" customWidth="1"/>
    <col min="13078" max="13078" width="7.578125" style="1" customWidth="1"/>
    <col min="13079" max="13079" width="10.26171875" style="1" bestFit="1" customWidth="1"/>
    <col min="13080" max="13080" width="11.578125" style="1" bestFit="1" customWidth="1"/>
    <col min="13081" max="13081" width="7.68359375" style="1" bestFit="1" customWidth="1"/>
    <col min="13082" max="13082" width="10.26171875" style="1" bestFit="1" customWidth="1"/>
    <col min="13083" max="13083" width="11.578125" style="1" bestFit="1" customWidth="1"/>
    <col min="13084" max="13084" width="17.26171875" style="1" bestFit="1" customWidth="1"/>
    <col min="13085" max="13085" width="10.26171875" style="1" bestFit="1" customWidth="1"/>
    <col min="13086" max="13321" width="8.83984375" style="1"/>
    <col min="13322" max="13322" width="36.26171875" style="1" customWidth="1"/>
    <col min="13323" max="13323" width="22.15625" style="1" bestFit="1" customWidth="1"/>
    <col min="13324" max="13325" width="8.68359375" style="1" customWidth="1"/>
    <col min="13326" max="13326" width="10.68359375" style="1" bestFit="1" customWidth="1"/>
    <col min="13327" max="13327" width="13.68359375" style="1" bestFit="1" customWidth="1"/>
    <col min="13328" max="13328" width="7.68359375" style="1" customWidth="1"/>
    <col min="13329" max="13329" width="10.26171875" style="1" bestFit="1" customWidth="1"/>
    <col min="13330" max="13330" width="11.578125" style="1" bestFit="1" customWidth="1"/>
    <col min="13331" max="13331" width="8.68359375" style="1" customWidth="1"/>
    <col min="13332" max="13332" width="10.26171875" style="1" bestFit="1" customWidth="1"/>
    <col min="13333" max="13333" width="11.578125" style="1" bestFit="1" customWidth="1"/>
    <col min="13334" max="13334" width="7.578125" style="1" customWidth="1"/>
    <col min="13335" max="13335" width="10.26171875" style="1" bestFit="1" customWidth="1"/>
    <col min="13336" max="13336" width="11.578125" style="1" bestFit="1" customWidth="1"/>
    <col min="13337" max="13337" width="7.68359375" style="1" bestFit="1" customWidth="1"/>
    <col min="13338" max="13338" width="10.26171875" style="1" bestFit="1" customWidth="1"/>
    <col min="13339" max="13339" width="11.578125" style="1" bestFit="1" customWidth="1"/>
    <col min="13340" max="13340" width="17.26171875" style="1" bestFit="1" customWidth="1"/>
    <col min="13341" max="13341" width="10.26171875" style="1" bestFit="1" customWidth="1"/>
    <col min="13342" max="13577" width="8.83984375" style="1"/>
    <col min="13578" max="13578" width="36.26171875" style="1" customWidth="1"/>
    <col min="13579" max="13579" width="22.15625" style="1" bestFit="1" customWidth="1"/>
    <col min="13580" max="13581" width="8.68359375" style="1" customWidth="1"/>
    <col min="13582" max="13582" width="10.68359375" style="1" bestFit="1" customWidth="1"/>
    <col min="13583" max="13583" width="13.68359375" style="1" bestFit="1" customWidth="1"/>
    <col min="13584" max="13584" width="7.68359375" style="1" customWidth="1"/>
    <col min="13585" max="13585" width="10.26171875" style="1" bestFit="1" customWidth="1"/>
    <col min="13586" max="13586" width="11.578125" style="1" bestFit="1" customWidth="1"/>
    <col min="13587" max="13587" width="8.68359375" style="1" customWidth="1"/>
    <col min="13588" max="13588" width="10.26171875" style="1" bestFit="1" customWidth="1"/>
    <col min="13589" max="13589" width="11.578125" style="1" bestFit="1" customWidth="1"/>
    <col min="13590" max="13590" width="7.578125" style="1" customWidth="1"/>
    <col min="13591" max="13591" width="10.26171875" style="1" bestFit="1" customWidth="1"/>
    <col min="13592" max="13592" width="11.578125" style="1" bestFit="1" customWidth="1"/>
    <col min="13593" max="13593" width="7.68359375" style="1" bestFit="1" customWidth="1"/>
    <col min="13594" max="13594" width="10.26171875" style="1" bestFit="1" customWidth="1"/>
    <col min="13595" max="13595" width="11.578125" style="1" bestFit="1" customWidth="1"/>
    <col min="13596" max="13596" width="17.26171875" style="1" bestFit="1" customWidth="1"/>
    <col min="13597" max="13597" width="10.26171875" style="1" bestFit="1" customWidth="1"/>
    <col min="13598" max="13833" width="8.83984375" style="1"/>
    <col min="13834" max="13834" width="36.26171875" style="1" customWidth="1"/>
    <col min="13835" max="13835" width="22.15625" style="1" bestFit="1" customWidth="1"/>
    <col min="13836" max="13837" width="8.68359375" style="1" customWidth="1"/>
    <col min="13838" max="13838" width="10.68359375" style="1" bestFit="1" customWidth="1"/>
    <col min="13839" max="13839" width="13.68359375" style="1" bestFit="1" customWidth="1"/>
    <col min="13840" max="13840" width="7.68359375" style="1" customWidth="1"/>
    <col min="13841" max="13841" width="10.26171875" style="1" bestFit="1" customWidth="1"/>
    <col min="13842" max="13842" width="11.578125" style="1" bestFit="1" customWidth="1"/>
    <col min="13843" max="13843" width="8.68359375" style="1" customWidth="1"/>
    <col min="13844" max="13844" width="10.26171875" style="1" bestFit="1" customWidth="1"/>
    <col min="13845" max="13845" width="11.578125" style="1" bestFit="1" customWidth="1"/>
    <col min="13846" max="13846" width="7.578125" style="1" customWidth="1"/>
    <col min="13847" max="13847" width="10.26171875" style="1" bestFit="1" customWidth="1"/>
    <col min="13848" max="13848" width="11.578125" style="1" bestFit="1" customWidth="1"/>
    <col min="13849" max="13849" width="7.68359375" style="1" bestFit="1" customWidth="1"/>
    <col min="13850" max="13850" width="10.26171875" style="1" bestFit="1" customWidth="1"/>
    <col min="13851" max="13851" width="11.578125" style="1" bestFit="1" customWidth="1"/>
    <col min="13852" max="13852" width="17.26171875" style="1" bestFit="1" customWidth="1"/>
    <col min="13853" max="13853" width="10.26171875" style="1" bestFit="1" customWidth="1"/>
    <col min="13854" max="14089" width="8.83984375" style="1"/>
    <col min="14090" max="14090" width="36.26171875" style="1" customWidth="1"/>
    <col min="14091" max="14091" width="22.15625" style="1" bestFit="1" customWidth="1"/>
    <col min="14092" max="14093" width="8.68359375" style="1" customWidth="1"/>
    <col min="14094" max="14094" width="10.68359375" style="1" bestFit="1" customWidth="1"/>
    <col min="14095" max="14095" width="13.68359375" style="1" bestFit="1" customWidth="1"/>
    <col min="14096" max="14096" width="7.68359375" style="1" customWidth="1"/>
    <col min="14097" max="14097" width="10.26171875" style="1" bestFit="1" customWidth="1"/>
    <col min="14098" max="14098" width="11.578125" style="1" bestFit="1" customWidth="1"/>
    <col min="14099" max="14099" width="8.68359375" style="1" customWidth="1"/>
    <col min="14100" max="14100" width="10.26171875" style="1" bestFit="1" customWidth="1"/>
    <col min="14101" max="14101" width="11.578125" style="1" bestFit="1" customWidth="1"/>
    <col min="14102" max="14102" width="7.578125" style="1" customWidth="1"/>
    <col min="14103" max="14103" width="10.26171875" style="1" bestFit="1" customWidth="1"/>
    <col min="14104" max="14104" width="11.578125" style="1" bestFit="1" customWidth="1"/>
    <col min="14105" max="14105" width="7.68359375" style="1" bestFit="1" customWidth="1"/>
    <col min="14106" max="14106" width="10.26171875" style="1" bestFit="1" customWidth="1"/>
    <col min="14107" max="14107" width="11.578125" style="1" bestFit="1" customWidth="1"/>
    <col min="14108" max="14108" width="17.26171875" style="1" bestFit="1" customWidth="1"/>
    <col min="14109" max="14109" width="10.26171875" style="1" bestFit="1" customWidth="1"/>
    <col min="14110" max="14345" width="8.83984375" style="1"/>
    <col min="14346" max="14346" width="36.26171875" style="1" customWidth="1"/>
    <col min="14347" max="14347" width="22.15625" style="1" bestFit="1" customWidth="1"/>
    <col min="14348" max="14349" width="8.68359375" style="1" customWidth="1"/>
    <col min="14350" max="14350" width="10.68359375" style="1" bestFit="1" customWidth="1"/>
    <col min="14351" max="14351" width="13.68359375" style="1" bestFit="1" customWidth="1"/>
    <col min="14352" max="14352" width="7.68359375" style="1" customWidth="1"/>
    <col min="14353" max="14353" width="10.26171875" style="1" bestFit="1" customWidth="1"/>
    <col min="14354" max="14354" width="11.578125" style="1" bestFit="1" customWidth="1"/>
    <col min="14355" max="14355" width="8.68359375" style="1" customWidth="1"/>
    <col min="14356" max="14356" width="10.26171875" style="1" bestFit="1" customWidth="1"/>
    <col min="14357" max="14357" width="11.578125" style="1" bestFit="1" customWidth="1"/>
    <col min="14358" max="14358" width="7.578125" style="1" customWidth="1"/>
    <col min="14359" max="14359" width="10.26171875" style="1" bestFit="1" customWidth="1"/>
    <col min="14360" max="14360" width="11.578125" style="1" bestFit="1" customWidth="1"/>
    <col min="14361" max="14361" width="7.68359375" style="1" bestFit="1" customWidth="1"/>
    <col min="14362" max="14362" width="10.26171875" style="1" bestFit="1" customWidth="1"/>
    <col min="14363" max="14363" width="11.578125" style="1" bestFit="1" customWidth="1"/>
    <col min="14364" max="14364" width="17.26171875" style="1" bestFit="1" customWidth="1"/>
    <col min="14365" max="14365" width="10.26171875" style="1" bestFit="1" customWidth="1"/>
    <col min="14366" max="14601" width="8.83984375" style="1"/>
    <col min="14602" max="14602" width="36.26171875" style="1" customWidth="1"/>
    <col min="14603" max="14603" width="22.15625" style="1" bestFit="1" customWidth="1"/>
    <col min="14604" max="14605" width="8.68359375" style="1" customWidth="1"/>
    <col min="14606" max="14606" width="10.68359375" style="1" bestFit="1" customWidth="1"/>
    <col min="14607" max="14607" width="13.68359375" style="1" bestFit="1" customWidth="1"/>
    <col min="14608" max="14608" width="7.68359375" style="1" customWidth="1"/>
    <col min="14609" max="14609" width="10.26171875" style="1" bestFit="1" customWidth="1"/>
    <col min="14610" max="14610" width="11.578125" style="1" bestFit="1" customWidth="1"/>
    <col min="14611" max="14611" width="8.68359375" style="1" customWidth="1"/>
    <col min="14612" max="14612" width="10.26171875" style="1" bestFit="1" customWidth="1"/>
    <col min="14613" max="14613" width="11.578125" style="1" bestFit="1" customWidth="1"/>
    <col min="14614" max="14614" width="7.578125" style="1" customWidth="1"/>
    <col min="14615" max="14615" width="10.26171875" style="1" bestFit="1" customWidth="1"/>
    <col min="14616" max="14616" width="11.578125" style="1" bestFit="1" customWidth="1"/>
    <col min="14617" max="14617" width="7.68359375" style="1" bestFit="1" customWidth="1"/>
    <col min="14618" max="14618" width="10.26171875" style="1" bestFit="1" customWidth="1"/>
    <col min="14619" max="14619" width="11.578125" style="1" bestFit="1" customWidth="1"/>
    <col min="14620" max="14620" width="17.26171875" style="1" bestFit="1" customWidth="1"/>
    <col min="14621" max="14621" width="10.26171875" style="1" bestFit="1" customWidth="1"/>
    <col min="14622" max="14857" width="8.83984375" style="1"/>
    <col min="14858" max="14858" width="36.26171875" style="1" customWidth="1"/>
    <col min="14859" max="14859" width="22.15625" style="1" bestFit="1" customWidth="1"/>
    <col min="14860" max="14861" width="8.68359375" style="1" customWidth="1"/>
    <col min="14862" max="14862" width="10.68359375" style="1" bestFit="1" customWidth="1"/>
    <col min="14863" max="14863" width="13.68359375" style="1" bestFit="1" customWidth="1"/>
    <col min="14864" max="14864" width="7.68359375" style="1" customWidth="1"/>
    <col min="14865" max="14865" width="10.26171875" style="1" bestFit="1" customWidth="1"/>
    <col min="14866" max="14866" width="11.578125" style="1" bestFit="1" customWidth="1"/>
    <col min="14867" max="14867" width="8.68359375" style="1" customWidth="1"/>
    <col min="14868" max="14868" width="10.26171875" style="1" bestFit="1" customWidth="1"/>
    <col min="14869" max="14869" width="11.578125" style="1" bestFit="1" customWidth="1"/>
    <col min="14870" max="14870" width="7.578125" style="1" customWidth="1"/>
    <col min="14871" max="14871" width="10.26171875" style="1" bestFit="1" customWidth="1"/>
    <col min="14872" max="14872" width="11.578125" style="1" bestFit="1" customWidth="1"/>
    <col min="14873" max="14873" width="7.68359375" style="1" bestFit="1" customWidth="1"/>
    <col min="14874" max="14874" width="10.26171875" style="1" bestFit="1" customWidth="1"/>
    <col min="14875" max="14875" width="11.578125" style="1" bestFit="1" customWidth="1"/>
    <col min="14876" max="14876" width="17.26171875" style="1" bestFit="1" customWidth="1"/>
    <col min="14877" max="14877" width="10.26171875" style="1" bestFit="1" customWidth="1"/>
    <col min="14878" max="15113" width="8.83984375" style="1"/>
    <col min="15114" max="15114" width="36.26171875" style="1" customWidth="1"/>
    <col min="15115" max="15115" width="22.15625" style="1" bestFit="1" customWidth="1"/>
    <col min="15116" max="15117" width="8.68359375" style="1" customWidth="1"/>
    <col min="15118" max="15118" width="10.68359375" style="1" bestFit="1" customWidth="1"/>
    <col min="15119" max="15119" width="13.68359375" style="1" bestFit="1" customWidth="1"/>
    <col min="15120" max="15120" width="7.68359375" style="1" customWidth="1"/>
    <col min="15121" max="15121" width="10.26171875" style="1" bestFit="1" customWidth="1"/>
    <col min="15122" max="15122" width="11.578125" style="1" bestFit="1" customWidth="1"/>
    <col min="15123" max="15123" width="8.68359375" style="1" customWidth="1"/>
    <col min="15124" max="15124" width="10.26171875" style="1" bestFit="1" customWidth="1"/>
    <col min="15125" max="15125" width="11.578125" style="1" bestFit="1" customWidth="1"/>
    <col min="15126" max="15126" width="7.578125" style="1" customWidth="1"/>
    <col min="15127" max="15127" width="10.26171875" style="1" bestFit="1" customWidth="1"/>
    <col min="15128" max="15128" width="11.578125" style="1" bestFit="1" customWidth="1"/>
    <col min="15129" max="15129" width="7.68359375" style="1" bestFit="1" customWidth="1"/>
    <col min="15130" max="15130" width="10.26171875" style="1" bestFit="1" customWidth="1"/>
    <col min="15131" max="15131" width="11.578125" style="1" bestFit="1" customWidth="1"/>
    <col min="15132" max="15132" width="17.26171875" style="1" bestFit="1" customWidth="1"/>
    <col min="15133" max="15133" width="10.26171875" style="1" bestFit="1" customWidth="1"/>
    <col min="15134" max="15369" width="8.83984375" style="1"/>
    <col min="15370" max="15370" width="36.26171875" style="1" customWidth="1"/>
    <col min="15371" max="15371" width="22.15625" style="1" bestFit="1" customWidth="1"/>
    <col min="15372" max="15373" width="8.68359375" style="1" customWidth="1"/>
    <col min="15374" max="15374" width="10.68359375" style="1" bestFit="1" customWidth="1"/>
    <col min="15375" max="15375" width="13.68359375" style="1" bestFit="1" customWidth="1"/>
    <col min="15376" max="15376" width="7.68359375" style="1" customWidth="1"/>
    <col min="15377" max="15377" width="10.26171875" style="1" bestFit="1" customWidth="1"/>
    <col min="15378" max="15378" width="11.578125" style="1" bestFit="1" customWidth="1"/>
    <col min="15379" max="15379" width="8.68359375" style="1" customWidth="1"/>
    <col min="15380" max="15380" width="10.26171875" style="1" bestFit="1" customWidth="1"/>
    <col min="15381" max="15381" width="11.578125" style="1" bestFit="1" customWidth="1"/>
    <col min="15382" max="15382" width="7.578125" style="1" customWidth="1"/>
    <col min="15383" max="15383" width="10.26171875" style="1" bestFit="1" customWidth="1"/>
    <col min="15384" max="15384" width="11.578125" style="1" bestFit="1" customWidth="1"/>
    <col min="15385" max="15385" width="7.68359375" style="1" bestFit="1" customWidth="1"/>
    <col min="15386" max="15386" width="10.26171875" style="1" bestFit="1" customWidth="1"/>
    <col min="15387" max="15387" width="11.578125" style="1" bestFit="1" customWidth="1"/>
    <col min="15388" max="15388" width="17.26171875" style="1" bestFit="1" customWidth="1"/>
    <col min="15389" max="15389" width="10.26171875" style="1" bestFit="1" customWidth="1"/>
    <col min="15390" max="15625" width="8.83984375" style="1"/>
    <col min="15626" max="15626" width="36.26171875" style="1" customWidth="1"/>
    <col min="15627" max="15627" width="22.15625" style="1" bestFit="1" customWidth="1"/>
    <col min="15628" max="15629" width="8.68359375" style="1" customWidth="1"/>
    <col min="15630" max="15630" width="10.68359375" style="1" bestFit="1" customWidth="1"/>
    <col min="15631" max="15631" width="13.68359375" style="1" bestFit="1" customWidth="1"/>
    <col min="15632" max="15632" width="7.68359375" style="1" customWidth="1"/>
    <col min="15633" max="15633" width="10.26171875" style="1" bestFit="1" customWidth="1"/>
    <col min="15634" max="15634" width="11.578125" style="1" bestFit="1" customWidth="1"/>
    <col min="15635" max="15635" width="8.68359375" style="1" customWidth="1"/>
    <col min="15636" max="15636" width="10.26171875" style="1" bestFit="1" customWidth="1"/>
    <col min="15637" max="15637" width="11.578125" style="1" bestFit="1" customWidth="1"/>
    <col min="15638" max="15638" width="7.578125" style="1" customWidth="1"/>
    <col min="15639" max="15639" width="10.26171875" style="1" bestFit="1" customWidth="1"/>
    <col min="15640" max="15640" width="11.578125" style="1" bestFit="1" customWidth="1"/>
    <col min="15641" max="15641" width="7.68359375" style="1" bestFit="1" customWidth="1"/>
    <col min="15642" max="15642" width="10.26171875" style="1" bestFit="1" customWidth="1"/>
    <col min="15643" max="15643" width="11.578125" style="1" bestFit="1" customWidth="1"/>
    <col min="15644" max="15644" width="17.26171875" style="1" bestFit="1" customWidth="1"/>
    <col min="15645" max="15645" width="10.26171875" style="1" bestFit="1" customWidth="1"/>
    <col min="15646" max="15881" width="8.83984375" style="1"/>
    <col min="15882" max="15882" width="36.26171875" style="1" customWidth="1"/>
    <col min="15883" max="15883" width="22.15625" style="1" bestFit="1" customWidth="1"/>
    <col min="15884" max="15885" width="8.68359375" style="1" customWidth="1"/>
    <col min="15886" max="15886" width="10.68359375" style="1" bestFit="1" customWidth="1"/>
    <col min="15887" max="15887" width="13.68359375" style="1" bestFit="1" customWidth="1"/>
    <col min="15888" max="15888" width="7.68359375" style="1" customWidth="1"/>
    <col min="15889" max="15889" width="10.26171875" style="1" bestFit="1" customWidth="1"/>
    <col min="15890" max="15890" width="11.578125" style="1" bestFit="1" customWidth="1"/>
    <col min="15891" max="15891" width="8.68359375" style="1" customWidth="1"/>
    <col min="15892" max="15892" width="10.26171875" style="1" bestFit="1" customWidth="1"/>
    <col min="15893" max="15893" width="11.578125" style="1" bestFit="1" customWidth="1"/>
    <col min="15894" max="15894" width="7.578125" style="1" customWidth="1"/>
    <col min="15895" max="15895" width="10.26171875" style="1" bestFit="1" customWidth="1"/>
    <col min="15896" max="15896" width="11.578125" style="1" bestFit="1" customWidth="1"/>
    <col min="15897" max="15897" width="7.68359375" style="1" bestFit="1" customWidth="1"/>
    <col min="15898" max="15898" width="10.26171875" style="1" bestFit="1" customWidth="1"/>
    <col min="15899" max="15899" width="11.578125" style="1" bestFit="1" customWidth="1"/>
    <col min="15900" max="15900" width="17.26171875" style="1" bestFit="1" customWidth="1"/>
    <col min="15901" max="15901" width="10.26171875" style="1" bestFit="1" customWidth="1"/>
    <col min="15902" max="16137" width="8.83984375" style="1"/>
    <col min="16138" max="16138" width="36.26171875" style="1" customWidth="1"/>
    <col min="16139" max="16139" width="22.15625" style="1" bestFit="1" customWidth="1"/>
    <col min="16140" max="16141" width="8.68359375" style="1" customWidth="1"/>
    <col min="16142" max="16142" width="10.68359375" style="1" bestFit="1" customWidth="1"/>
    <col min="16143" max="16143" width="13.68359375" style="1" bestFit="1" customWidth="1"/>
    <col min="16144" max="16144" width="7.68359375" style="1" customWidth="1"/>
    <col min="16145" max="16145" width="10.26171875" style="1" bestFit="1" customWidth="1"/>
    <col min="16146" max="16146" width="11.578125" style="1" bestFit="1" customWidth="1"/>
    <col min="16147" max="16147" width="8.68359375" style="1" customWidth="1"/>
    <col min="16148" max="16148" width="10.26171875" style="1" bestFit="1" customWidth="1"/>
    <col min="16149" max="16149" width="11.578125" style="1" bestFit="1" customWidth="1"/>
    <col min="16150" max="16150" width="7.578125" style="1" customWidth="1"/>
    <col min="16151" max="16151" width="10.26171875" style="1" bestFit="1" customWidth="1"/>
    <col min="16152" max="16152" width="11.578125" style="1" bestFit="1" customWidth="1"/>
    <col min="16153" max="16153" width="7.68359375" style="1" bestFit="1" customWidth="1"/>
    <col min="16154" max="16154" width="10.26171875" style="1" bestFit="1" customWidth="1"/>
    <col min="16155" max="16155" width="11.578125" style="1" bestFit="1" customWidth="1"/>
    <col min="16156" max="16156" width="17.26171875" style="1" bestFit="1" customWidth="1"/>
    <col min="16157" max="16157" width="10.26171875" style="1" bestFit="1" customWidth="1"/>
    <col min="16158" max="16384" width="8.83984375" style="1"/>
  </cols>
  <sheetData>
    <row r="2" spans="1:37" s="163" customFormat="1" ht="19.8" x14ac:dyDescent="0.65">
      <c r="A2" s="160"/>
      <c r="B2" s="161"/>
      <c r="C2" s="162"/>
      <c r="D2" s="172" t="s">
        <v>83</v>
      </c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</row>
    <row r="3" spans="1:37" s="163" customFormat="1" ht="19.8" x14ac:dyDescent="0.65">
      <c r="A3" s="160"/>
      <c r="B3" s="161"/>
      <c r="C3" s="162"/>
      <c r="D3" s="172" t="s">
        <v>78</v>
      </c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</row>
    <row r="4" spans="1:37" s="163" customFormat="1" ht="19.8" x14ac:dyDescent="0.65">
      <c r="A4" s="160"/>
      <c r="B4" s="161"/>
      <c r="C4" s="162"/>
      <c r="D4" s="172" t="s">
        <v>79</v>
      </c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</row>
    <row r="5" spans="1:37" s="163" customFormat="1" ht="19.8" x14ac:dyDescent="0.65">
      <c r="A5" s="160"/>
      <c r="B5" s="161"/>
      <c r="C5" s="162"/>
      <c r="D5" s="172" t="s">
        <v>84</v>
      </c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</row>
    <row r="6" spans="1:37" ht="20.399999999999999" x14ac:dyDescent="0.75">
      <c r="A6" s="168" t="s">
        <v>80</v>
      </c>
      <c r="B6" s="169"/>
      <c r="D6" s="164"/>
      <c r="E6" s="165"/>
      <c r="F6" s="166"/>
      <c r="G6" s="164"/>
      <c r="H6" s="164"/>
      <c r="I6" s="165"/>
      <c r="J6" s="167"/>
      <c r="K6" s="164"/>
      <c r="L6" s="164"/>
      <c r="M6" s="165"/>
      <c r="N6" s="166"/>
      <c r="O6" s="164"/>
      <c r="P6" s="164"/>
      <c r="Q6" s="165"/>
      <c r="R6" s="166"/>
      <c r="S6" s="164"/>
      <c r="T6" s="164"/>
      <c r="U6" s="165"/>
      <c r="V6" s="166"/>
      <c r="W6" s="164"/>
      <c r="X6" s="164"/>
    </row>
    <row r="7" spans="1:37" x14ac:dyDescent="0.55000000000000004">
      <c r="A7" s="170" t="s">
        <v>81</v>
      </c>
      <c r="B7" s="171">
        <v>1</v>
      </c>
    </row>
    <row r="8" spans="1:37" x14ac:dyDescent="0.55000000000000004">
      <c r="A8" s="170" t="s">
        <v>82</v>
      </c>
      <c r="B8" s="171">
        <v>1.05</v>
      </c>
    </row>
    <row r="9" spans="1:37" ht="14.7" thickBot="1" x14ac:dyDescent="0.6"/>
    <row r="10" spans="1:37" ht="23.5" customHeight="1" x14ac:dyDescent="0.55000000000000004">
      <c r="A10" s="180" t="s">
        <v>0</v>
      </c>
      <c r="B10" s="182" t="s">
        <v>1</v>
      </c>
      <c r="C10" s="178" t="s">
        <v>2</v>
      </c>
      <c r="D10" s="173" t="s">
        <v>73</v>
      </c>
      <c r="E10" s="174"/>
      <c r="F10" s="174"/>
      <c r="G10" s="175"/>
      <c r="H10" s="173" t="s">
        <v>74</v>
      </c>
      <c r="I10" s="174"/>
      <c r="J10" s="174"/>
      <c r="K10" s="175"/>
      <c r="L10" s="173" t="s">
        <v>75</v>
      </c>
      <c r="M10" s="174"/>
      <c r="N10" s="174"/>
      <c r="O10" s="175"/>
      <c r="P10" s="173" t="s">
        <v>76</v>
      </c>
      <c r="Q10" s="174"/>
      <c r="R10" s="174"/>
      <c r="S10" s="175"/>
      <c r="T10" s="173" t="s">
        <v>77</v>
      </c>
      <c r="U10" s="174"/>
      <c r="V10" s="174"/>
      <c r="W10" s="175"/>
      <c r="X10" s="176" t="s">
        <v>3</v>
      </c>
      <c r="AF10" s="7"/>
    </row>
    <row r="11" spans="1:37" ht="47.65" customHeight="1" x14ac:dyDescent="0.55000000000000004">
      <c r="A11" s="181"/>
      <c r="B11" s="183"/>
      <c r="C11" s="179"/>
      <c r="D11" s="8" t="s">
        <v>4</v>
      </c>
      <c r="E11" s="9" t="s">
        <v>5</v>
      </c>
      <c r="F11" s="11" t="s">
        <v>6</v>
      </c>
      <c r="G11" s="12" t="s">
        <v>3</v>
      </c>
      <c r="H11" s="8" t="s">
        <v>4</v>
      </c>
      <c r="I11" s="9" t="s">
        <v>5</v>
      </c>
      <c r="J11" s="10" t="s">
        <v>6</v>
      </c>
      <c r="K11" s="12" t="s">
        <v>3</v>
      </c>
      <c r="L11" s="8" t="s">
        <v>4</v>
      </c>
      <c r="M11" s="9" t="s">
        <v>5</v>
      </c>
      <c r="N11" s="11" t="s">
        <v>6</v>
      </c>
      <c r="O11" s="12" t="s">
        <v>3</v>
      </c>
      <c r="P11" s="8" t="s">
        <v>4</v>
      </c>
      <c r="Q11" s="9" t="s">
        <v>5</v>
      </c>
      <c r="R11" s="11" t="s">
        <v>6</v>
      </c>
      <c r="S11" s="12" t="s">
        <v>3</v>
      </c>
      <c r="T11" s="8" t="s">
        <v>4</v>
      </c>
      <c r="U11" s="9" t="s">
        <v>5</v>
      </c>
      <c r="V11" s="11" t="s">
        <v>6</v>
      </c>
      <c r="W11" s="12" t="s">
        <v>3</v>
      </c>
      <c r="X11" s="177"/>
      <c r="AF11" s="7"/>
      <c r="AG11" s="1" t="s">
        <v>7</v>
      </c>
    </row>
    <row r="12" spans="1:37" ht="20.399999999999999" x14ac:dyDescent="0.75">
      <c r="A12" s="13" t="s">
        <v>8</v>
      </c>
      <c r="B12" s="14"/>
      <c r="C12" s="18"/>
      <c r="D12" s="15"/>
      <c r="E12" s="16"/>
      <c r="F12" s="19"/>
      <c r="G12" s="20"/>
      <c r="H12" s="15"/>
      <c r="I12" s="16"/>
      <c r="J12" s="17"/>
      <c r="K12" s="20"/>
      <c r="L12" s="21"/>
      <c r="M12" s="16"/>
      <c r="N12" s="19"/>
      <c r="O12" s="20"/>
      <c r="P12" s="21"/>
      <c r="Q12" s="16"/>
      <c r="R12" s="19"/>
      <c r="S12" s="22"/>
      <c r="T12" s="21"/>
      <c r="U12" s="16"/>
      <c r="V12" s="19"/>
      <c r="W12" s="22"/>
      <c r="X12" s="20"/>
      <c r="AF12" s="23" t="s">
        <v>9</v>
      </c>
      <c r="AG12" s="23" t="s">
        <v>10</v>
      </c>
      <c r="AH12" s="23" t="s">
        <v>11</v>
      </c>
    </row>
    <row r="13" spans="1:37" s="34" customFormat="1" ht="15" customHeight="1" outlineLevel="1" x14ac:dyDescent="0.7">
      <c r="A13" s="24" t="s">
        <v>12</v>
      </c>
      <c r="B13" s="25"/>
      <c r="C13" s="29"/>
      <c r="D13" s="26"/>
      <c r="E13" s="27"/>
      <c r="F13" s="30"/>
      <c r="G13" s="31"/>
      <c r="H13" s="26"/>
      <c r="I13" s="27"/>
      <c r="J13" s="28"/>
      <c r="K13" s="31"/>
      <c r="L13" s="26"/>
      <c r="M13" s="27"/>
      <c r="N13" s="30"/>
      <c r="O13" s="31"/>
      <c r="P13" s="26"/>
      <c r="Q13" s="27"/>
      <c r="R13" s="30"/>
      <c r="S13" s="31"/>
      <c r="T13" s="26"/>
      <c r="U13" s="27"/>
      <c r="V13" s="30"/>
      <c r="W13" s="31"/>
      <c r="X13" s="32"/>
      <c r="Y13" s="33"/>
      <c r="Z13" s="1"/>
      <c r="AA13" s="1"/>
      <c r="AB13" s="1"/>
      <c r="AC13" s="1"/>
      <c r="AD13" s="1"/>
      <c r="AE13" s="1"/>
      <c r="AF13" s="7"/>
    </row>
    <row r="14" spans="1:37" ht="15" customHeight="1" outlineLevel="1" x14ac:dyDescent="0.6">
      <c r="A14" s="35" t="s">
        <v>13</v>
      </c>
      <c r="B14" s="58"/>
      <c r="C14" s="43"/>
      <c r="D14" s="59"/>
      <c r="E14" s="60"/>
      <c r="F14" s="62"/>
      <c r="G14" s="63"/>
      <c r="H14" s="59"/>
      <c r="I14" s="60"/>
      <c r="J14" s="61"/>
      <c r="K14" s="63"/>
      <c r="L14" s="59"/>
      <c r="M14" s="60"/>
      <c r="N14" s="62"/>
      <c r="O14" s="63"/>
      <c r="P14" s="59"/>
      <c r="Q14" s="60"/>
      <c r="R14" s="62"/>
      <c r="S14" s="63"/>
      <c r="T14" s="59"/>
      <c r="U14" s="60"/>
      <c r="V14" s="62"/>
      <c r="W14" s="63"/>
      <c r="X14" s="64"/>
      <c r="Y14" s="37"/>
      <c r="AF14" s="7"/>
      <c r="AG14" s="47"/>
      <c r="AH14" s="47" t="s">
        <v>14</v>
      </c>
      <c r="AK14" s="49"/>
    </row>
    <row r="15" spans="1:37" ht="15" customHeight="1" outlineLevel="1" x14ac:dyDescent="0.55000000000000004">
      <c r="A15" s="38" t="s">
        <v>15</v>
      </c>
      <c r="B15" s="39" t="s">
        <v>16</v>
      </c>
      <c r="C15" s="43">
        <v>0</v>
      </c>
      <c r="D15" s="40">
        <v>0</v>
      </c>
      <c r="E15" s="41">
        <v>0</v>
      </c>
      <c r="F15" s="42">
        <v>0</v>
      </c>
      <c r="G15" s="43">
        <f>D15*E15*F15</f>
        <v>0</v>
      </c>
      <c r="H15" s="40">
        <f>D15*$B$8</f>
        <v>0</v>
      </c>
      <c r="I15" s="41">
        <v>0</v>
      </c>
      <c r="J15" s="42">
        <v>0</v>
      </c>
      <c r="K15" s="43">
        <f>H15*I15*J15</f>
        <v>0</v>
      </c>
      <c r="L15" s="40">
        <f>H15*$B$8</f>
        <v>0</v>
      </c>
      <c r="M15" s="41">
        <v>0</v>
      </c>
      <c r="N15" s="42">
        <v>0</v>
      </c>
      <c r="O15" s="43">
        <f>L15*M15*N15</f>
        <v>0</v>
      </c>
      <c r="P15" s="40">
        <f>L15*$B$8</f>
        <v>0</v>
      </c>
      <c r="Q15" s="41">
        <v>0</v>
      </c>
      <c r="R15" s="42">
        <v>0</v>
      </c>
      <c r="S15" s="43">
        <f>P15*Q15*R15</f>
        <v>0</v>
      </c>
      <c r="T15" s="40">
        <f>P15*$B$8</f>
        <v>0</v>
      </c>
      <c r="U15" s="41">
        <v>0</v>
      </c>
      <c r="V15" s="42">
        <v>0</v>
      </c>
      <c r="W15" s="43">
        <f>T15*U15*V15</f>
        <v>0</v>
      </c>
      <c r="X15" s="65">
        <f>C15+G15+K15+O15+W15+S15</f>
        <v>0</v>
      </c>
      <c r="Y15" s="45"/>
      <c r="Z15" s="33"/>
      <c r="AA15" s="46"/>
      <c r="AB15" s="46"/>
      <c r="AF15" s="7">
        <v>180</v>
      </c>
      <c r="AG15" s="47" t="s">
        <v>17</v>
      </c>
      <c r="AH15" s="47" t="s">
        <v>18</v>
      </c>
      <c r="AI15" s="48"/>
      <c r="AK15" s="49"/>
    </row>
    <row r="16" spans="1:37" ht="15" customHeight="1" outlineLevel="1" x14ac:dyDescent="0.55000000000000004">
      <c r="A16" s="38" t="s">
        <v>15</v>
      </c>
      <c r="B16" s="39" t="s">
        <v>16</v>
      </c>
      <c r="C16" s="43">
        <v>0</v>
      </c>
      <c r="D16" s="40">
        <v>0</v>
      </c>
      <c r="E16" s="41">
        <v>0</v>
      </c>
      <c r="F16" s="42">
        <v>0</v>
      </c>
      <c r="G16" s="43">
        <f t="shared" ref="G16:G31" si="0">D16*E16*F16</f>
        <v>0</v>
      </c>
      <c r="H16" s="40">
        <f t="shared" ref="H16:H31" si="1">D16*$B$8</f>
        <v>0</v>
      </c>
      <c r="I16" s="41">
        <v>0</v>
      </c>
      <c r="J16" s="42">
        <v>0</v>
      </c>
      <c r="K16" s="43">
        <f t="shared" ref="K16:K31" si="2">H16*I16*J16</f>
        <v>0</v>
      </c>
      <c r="L16" s="40">
        <f t="shared" ref="L16:L31" si="3">H16*$B$8</f>
        <v>0</v>
      </c>
      <c r="M16" s="41">
        <v>0</v>
      </c>
      <c r="N16" s="42">
        <v>0</v>
      </c>
      <c r="O16" s="43">
        <f t="shared" ref="O16:O31" si="4">L16*M16*N16</f>
        <v>0</v>
      </c>
      <c r="P16" s="40">
        <f t="shared" ref="P16:P31" si="5">L16*$B$8</f>
        <v>0</v>
      </c>
      <c r="Q16" s="41">
        <v>0</v>
      </c>
      <c r="R16" s="42">
        <v>0</v>
      </c>
      <c r="S16" s="43">
        <f t="shared" ref="S16:S31" si="6">P16*Q16*R16</f>
        <v>0</v>
      </c>
      <c r="T16" s="40">
        <f t="shared" ref="T16:T31" si="7">P16*$B$8</f>
        <v>0</v>
      </c>
      <c r="U16" s="41">
        <v>0</v>
      </c>
      <c r="V16" s="42">
        <v>0</v>
      </c>
      <c r="W16" s="43">
        <f t="shared" ref="W16:W31" si="8">T16*U16*V16</f>
        <v>0</v>
      </c>
      <c r="X16" s="65">
        <f t="shared" ref="X16:X31" si="9">C16+G16+K16+O16+W16+S16</f>
        <v>0</v>
      </c>
      <c r="Y16" s="45"/>
      <c r="Z16" s="33"/>
      <c r="AA16" s="46"/>
      <c r="AB16" s="46"/>
      <c r="AF16" s="7">
        <v>180</v>
      </c>
      <c r="AG16" s="47" t="s">
        <v>17</v>
      </c>
      <c r="AH16" s="47" t="s">
        <v>18</v>
      </c>
      <c r="AI16" s="48"/>
      <c r="AK16" s="49"/>
    </row>
    <row r="17" spans="1:37" ht="15" customHeight="1" outlineLevel="1" x14ac:dyDescent="0.55000000000000004">
      <c r="A17" s="38" t="s">
        <v>15</v>
      </c>
      <c r="B17" s="39" t="s">
        <v>16</v>
      </c>
      <c r="C17" s="43">
        <v>0</v>
      </c>
      <c r="D17" s="40">
        <v>0</v>
      </c>
      <c r="E17" s="41">
        <v>0</v>
      </c>
      <c r="F17" s="42">
        <v>0</v>
      </c>
      <c r="G17" s="43">
        <f t="shared" si="0"/>
        <v>0</v>
      </c>
      <c r="H17" s="40">
        <f t="shared" si="1"/>
        <v>0</v>
      </c>
      <c r="I17" s="41">
        <v>0</v>
      </c>
      <c r="J17" s="42">
        <v>0</v>
      </c>
      <c r="K17" s="43">
        <f t="shared" si="2"/>
        <v>0</v>
      </c>
      <c r="L17" s="40">
        <f t="shared" si="3"/>
        <v>0</v>
      </c>
      <c r="M17" s="41">
        <v>0</v>
      </c>
      <c r="N17" s="42">
        <v>0</v>
      </c>
      <c r="O17" s="43">
        <f t="shared" si="4"/>
        <v>0</v>
      </c>
      <c r="P17" s="40">
        <f t="shared" si="5"/>
        <v>0</v>
      </c>
      <c r="Q17" s="41">
        <v>0</v>
      </c>
      <c r="R17" s="42">
        <v>0</v>
      </c>
      <c r="S17" s="43">
        <f t="shared" si="6"/>
        <v>0</v>
      </c>
      <c r="T17" s="40">
        <f t="shared" si="7"/>
        <v>0</v>
      </c>
      <c r="U17" s="41">
        <v>0</v>
      </c>
      <c r="V17" s="42">
        <v>0</v>
      </c>
      <c r="W17" s="43">
        <f t="shared" si="8"/>
        <v>0</v>
      </c>
      <c r="X17" s="65">
        <f t="shared" si="9"/>
        <v>0</v>
      </c>
      <c r="Y17" s="45"/>
      <c r="Z17" s="33"/>
      <c r="AA17" s="46"/>
      <c r="AB17" s="46"/>
      <c r="AF17" s="7">
        <v>180</v>
      </c>
      <c r="AG17" s="47" t="s">
        <v>17</v>
      </c>
      <c r="AH17" s="47" t="s">
        <v>18</v>
      </c>
      <c r="AI17" s="48"/>
      <c r="AK17" s="49"/>
    </row>
    <row r="18" spans="1:37" ht="15" customHeight="1" outlineLevel="1" x14ac:dyDescent="0.55000000000000004">
      <c r="A18" s="38" t="s">
        <v>15</v>
      </c>
      <c r="B18" s="39" t="s">
        <v>16</v>
      </c>
      <c r="C18" s="43">
        <v>0</v>
      </c>
      <c r="D18" s="40">
        <v>0</v>
      </c>
      <c r="E18" s="41">
        <v>0</v>
      </c>
      <c r="F18" s="42">
        <v>0</v>
      </c>
      <c r="G18" s="43">
        <f t="shared" si="0"/>
        <v>0</v>
      </c>
      <c r="H18" s="40">
        <f t="shared" si="1"/>
        <v>0</v>
      </c>
      <c r="I18" s="41">
        <v>0</v>
      </c>
      <c r="J18" s="42">
        <v>0</v>
      </c>
      <c r="K18" s="43">
        <f t="shared" si="2"/>
        <v>0</v>
      </c>
      <c r="L18" s="40">
        <f t="shared" si="3"/>
        <v>0</v>
      </c>
      <c r="M18" s="41">
        <v>0</v>
      </c>
      <c r="N18" s="42">
        <v>0</v>
      </c>
      <c r="O18" s="43">
        <f t="shared" si="4"/>
        <v>0</v>
      </c>
      <c r="P18" s="40">
        <f t="shared" si="5"/>
        <v>0</v>
      </c>
      <c r="Q18" s="41">
        <v>0</v>
      </c>
      <c r="R18" s="42">
        <v>0</v>
      </c>
      <c r="S18" s="43">
        <f t="shared" si="6"/>
        <v>0</v>
      </c>
      <c r="T18" s="40">
        <f t="shared" si="7"/>
        <v>0</v>
      </c>
      <c r="U18" s="41">
        <v>0</v>
      </c>
      <c r="V18" s="42">
        <v>0</v>
      </c>
      <c r="W18" s="43">
        <f t="shared" si="8"/>
        <v>0</v>
      </c>
      <c r="X18" s="65">
        <f t="shared" si="9"/>
        <v>0</v>
      </c>
      <c r="Y18" s="45"/>
      <c r="Z18" s="33"/>
      <c r="AA18" s="46"/>
      <c r="AB18" s="46"/>
      <c r="AF18" s="7">
        <v>180</v>
      </c>
      <c r="AG18" s="47" t="s">
        <v>17</v>
      </c>
      <c r="AH18" s="47" t="s">
        <v>18</v>
      </c>
      <c r="AI18" s="48"/>
      <c r="AK18" s="49"/>
    </row>
    <row r="19" spans="1:37" ht="15" customHeight="1" outlineLevel="1" x14ac:dyDescent="0.55000000000000004">
      <c r="A19" s="38" t="s">
        <v>15</v>
      </c>
      <c r="B19" s="39" t="s">
        <v>16</v>
      </c>
      <c r="C19" s="43">
        <v>0</v>
      </c>
      <c r="D19" s="40">
        <v>0</v>
      </c>
      <c r="E19" s="41">
        <v>0</v>
      </c>
      <c r="F19" s="42">
        <v>0</v>
      </c>
      <c r="G19" s="43">
        <f t="shared" si="0"/>
        <v>0</v>
      </c>
      <c r="H19" s="40">
        <f t="shared" si="1"/>
        <v>0</v>
      </c>
      <c r="I19" s="41">
        <v>0</v>
      </c>
      <c r="J19" s="42">
        <v>0</v>
      </c>
      <c r="K19" s="43">
        <f t="shared" si="2"/>
        <v>0</v>
      </c>
      <c r="L19" s="40">
        <f t="shared" si="3"/>
        <v>0</v>
      </c>
      <c r="M19" s="41">
        <v>0</v>
      </c>
      <c r="N19" s="42">
        <v>0</v>
      </c>
      <c r="O19" s="43">
        <f t="shared" si="4"/>
        <v>0</v>
      </c>
      <c r="P19" s="40">
        <f t="shared" si="5"/>
        <v>0</v>
      </c>
      <c r="Q19" s="41">
        <v>0</v>
      </c>
      <c r="R19" s="42">
        <v>0</v>
      </c>
      <c r="S19" s="43">
        <f t="shared" si="6"/>
        <v>0</v>
      </c>
      <c r="T19" s="40">
        <f t="shared" si="7"/>
        <v>0</v>
      </c>
      <c r="U19" s="41">
        <v>0</v>
      </c>
      <c r="V19" s="42">
        <v>0</v>
      </c>
      <c r="W19" s="43">
        <f t="shared" si="8"/>
        <v>0</v>
      </c>
      <c r="X19" s="65">
        <f t="shared" si="9"/>
        <v>0</v>
      </c>
      <c r="Y19" s="45"/>
      <c r="Z19" s="33"/>
      <c r="AA19" s="46"/>
      <c r="AB19" s="46"/>
      <c r="AF19" s="7"/>
      <c r="AG19" s="47"/>
      <c r="AH19" s="47"/>
      <c r="AI19" s="48"/>
      <c r="AK19" s="49"/>
    </row>
    <row r="20" spans="1:37" ht="15" customHeight="1" outlineLevel="1" x14ac:dyDescent="0.55000000000000004">
      <c r="A20" s="38" t="s">
        <v>15</v>
      </c>
      <c r="B20" s="39" t="s">
        <v>16</v>
      </c>
      <c r="C20" s="43">
        <v>0</v>
      </c>
      <c r="D20" s="40">
        <v>0</v>
      </c>
      <c r="E20" s="41">
        <v>0</v>
      </c>
      <c r="F20" s="42">
        <v>0</v>
      </c>
      <c r="G20" s="43">
        <f t="shared" si="0"/>
        <v>0</v>
      </c>
      <c r="H20" s="40">
        <f t="shared" si="1"/>
        <v>0</v>
      </c>
      <c r="I20" s="41">
        <v>0</v>
      </c>
      <c r="J20" s="42">
        <v>0</v>
      </c>
      <c r="K20" s="43">
        <f t="shared" si="2"/>
        <v>0</v>
      </c>
      <c r="L20" s="40">
        <f t="shared" si="3"/>
        <v>0</v>
      </c>
      <c r="M20" s="41">
        <v>0</v>
      </c>
      <c r="N20" s="42">
        <v>0</v>
      </c>
      <c r="O20" s="43">
        <f t="shared" si="4"/>
        <v>0</v>
      </c>
      <c r="P20" s="40">
        <f t="shared" si="5"/>
        <v>0</v>
      </c>
      <c r="Q20" s="41">
        <v>0</v>
      </c>
      <c r="R20" s="42">
        <v>0</v>
      </c>
      <c r="S20" s="43">
        <f t="shared" si="6"/>
        <v>0</v>
      </c>
      <c r="T20" s="40">
        <f t="shared" si="7"/>
        <v>0</v>
      </c>
      <c r="U20" s="41">
        <v>0</v>
      </c>
      <c r="V20" s="42">
        <v>0</v>
      </c>
      <c r="W20" s="43">
        <f t="shared" si="8"/>
        <v>0</v>
      </c>
      <c r="X20" s="65">
        <f t="shared" si="9"/>
        <v>0</v>
      </c>
      <c r="Y20" s="45"/>
      <c r="Z20" s="33"/>
      <c r="AA20" s="46"/>
      <c r="AB20" s="46"/>
      <c r="AF20" s="7"/>
      <c r="AG20" s="47"/>
      <c r="AH20" s="47"/>
      <c r="AI20" s="48"/>
      <c r="AK20" s="49"/>
    </row>
    <row r="21" spans="1:37" ht="15" customHeight="1" outlineLevel="1" x14ac:dyDescent="0.55000000000000004">
      <c r="A21" s="38" t="s">
        <v>15</v>
      </c>
      <c r="B21" s="39" t="s">
        <v>16</v>
      </c>
      <c r="C21" s="43">
        <v>0</v>
      </c>
      <c r="D21" s="40">
        <v>0</v>
      </c>
      <c r="E21" s="41">
        <v>0</v>
      </c>
      <c r="F21" s="42">
        <v>0</v>
      </c>
      <c r="G21" s="43">
        <f t="shared" si="0"/>
        <v>0</v>
      </c>
      <c r="H21" s="40">
        <f t="shared" si="1"/>
        <v>0</v>
      </c>
      <c r="I21" s="41">
        <v>0</v>
      </c>
      <c r="J21" s="42">
        <v>0</v>
      </c>
      <c r="K21" s="43">
        <f t="shared" si="2"/>
        <v>0</v>
      </c>
      <c r="L21" s="40">
        <f t="shared" si="3"/>
        <v>0</v>
      </c>
      <c r="M21" s="41">
        <v>0</v>
      </c>
      <c r="N21" s="42">
        <v>0</v>
      </c>
      <c r="O21" s="43">
        <f t="shared" si="4"/>
        <v>0</v>
      </c>
      <c r="P21" s="40">
        <f t="shared" si="5"/>
        <v>0</v>
      </c>
      <c r="Q21" s="41">
        <v>0</v>
      </c>
      <c r="R21" s="42">
        <v>0</v>
      </c>
      <c r="S21" s="43">
        <f t="shared" si="6"/>
        <v>0</v>
      </c>
      <c r="T21" s="40">
        <f>P21*$B$8</f>
        <v>0</v>
      </c>
      <c r="U21" s="41">
        <v>0</v>
      </c>
      <c r="V21" s="42">
        <v>0</v>
      </c>
      <c r="W21" s="43">
        <f t="shared" si="8"/>
        <v>0</v>
      </c>
      <c r="X21" s="65">
        <f t="shared" si="9"/>
        <v>0</v>
      </c>
      <c r="Y21" s="45"/>
      <c r="Z21" s="33"/>
      <c r="AA21" s="46"/>
      <c r="AB21" s="46"/>
      <c r="AF21" s="7"/>
      <c r="AG21" s="47"/>
      <c r="AH21" s="47"/>
      <c r="AI21" s="48"/>
      <c r="AK21" s="49"/>
    </row>
    <row r="22" spans="1:37" ht="15" customHeight="1" outlineLevel="1" x14ac:dyDescent="0.55000000000000004">
      <c r="A22" s="38" t="s">
        <v>15</v>
      </c>
      <c r="B22" s="39" t="s">
        <v>16</v>
      </c>
      <c r="C22" s="43">
        <v>0</v>
      </c>
      <c r="D22" s="40">
        <v>0</v>
      </c>
      <c r="E22" s="41">
        <v>0</v>
      </c>
      <c r="F22" s="42">
        <v>0</v>
      </c>
      <c r="G22" s="43">
        <f t="shared" si="0"/>
        <v>0</v>
      </c>
      <c r="H22" s="40">
        <f t="shared" si="1"/>
        <v>0</v>
      </c>
      <c r="I22" s="41">
        <v>0</v>
      </c>
      <c r="J22" s="42">
        <v>0</v>
      </c>
      <c r="K22" s="43">
        <f t="shared" si="2"/>
        <v>0</v>
      </c>
      <c r="L22" s="40">
        <f t="shared" si="3"/>
        <v>0</v>
      </c>
      <c r="M22" s="41">
        <v>0</v>
      </c>
      <c r="N22" s="42">
        <v>0</v>
      </c>
      <c r="O22" s="43">
        <f t="shared" si="4"/>
        <v>0</v>
      </c>
      <c r="P22" s="40">
        <f t="shared" si="5"/>
        <v>0</v>
      </c>
      <c r="Q22" s="41">
        <v>0</v>
      </c>
      <c r="R22" s="42">
        <v>0</v>
      </c>
      <c r="S22" s="43">
        <f t="shared" si="6"/>
        <v>0</v>
      </c>
      <c r="T22" s="40">
        <f t="shared" si="7"/>
        <v>0</v>
      </c>
      <c r="U22" s="41">
        <v>0</v>
      </c>
      <c r="V22" s="42">
        <v>0</v>
      </c>
      <c r="W22" s="43">
        <f t="shared" si="8"/>
        <v>0</v>
      </c>
      <c r="X22" s="65">
        <f t="shared" si="9"/>
        <v>0</v>
      </c>
      <c r="Y22" s="45"/>
      <c r="Z22" s="33"/>
      <c r="AA22" s="46"/>
      <c r="AB22" s="46"/>
      <c r="AF22" s="7">
        <v>180</v>
      </c>
      <c r="AG22" s="47" t="s">
        <v>17</v>
      </c>
      <c r="AH22" s="47" t="s">
        <v>18</v>
      </c>
      <c r="AI22" s="48"/>
      <c r="AK22" s="49"/>
    </row>
    <row r="23" spans="1:37" ht="15" customHeight="1" outlineLevel="1" x14ac:dyDescent="0.55000000000000004">
      <c r="A23" s="38" t="s">
        <v>15</v>
      </c>
      <c r="B23" s="39" t="s">
        <v>16</v>
      </c>
      <c r="C23" s="43">
        <v>0</v>
      </c>
      <c r="D23" s="40">
        <v>0</v>
      </c>
      <c r="E23" s="41">
        <v>0</v>
      </c>
      <c r="F23" s="42">
        <v>0</v>
      </c>
      <c r="G23" s="43">
        <f t="shared" si="0"/>
        <v>0</v>
      </c>
      <c r="H23" s="40">
        <f t="shared" si="1"/>
        <v>0</v>
      </c>
      <c r="I23" s="41">
        <v>0</v>
      </c>
      <c r="J23" s="42">
        <v>0</v>
      </c>
      <c r="K23" s="43">
        <f t="shared" si="2"/>
        <v>0</v>
      </c>
      <c r="L23" s="40">
        <f t="shared" si="3"/>
        <v>0</v>
      </c>
      <c r="M23" s="41">
        <v>0</v>
      </c>
      <c r="N23" s="42">
        <v>0</v>
      </c>
      <c r="O23" s="43">
        <f t="shared" si="4"/>
        <v>0</v>
      </c>
      <c r="P23" s="40">
        <f t="shared" si="5"/>
        <v>0</v>
      </c>
      <c r="Q23" s="41">
        <v>0</v>
      </c>
      <c r="R23" s="42">
        <v>0</v>
      </c>
      <c r="S23" s="43">
        <f t="shared" si="6"/>
        <v>0</v>
      </c>
      <c r="T23" s="40">
        <f t="shared" si="7"/>
        <v>0</v>
      </c>
      <c r="U23" s="41">
        <v>0</v>
      </c>
      <c r="V23" s="42">
        <v>0</v>
      </c>
      <c r="W23" s="43">
        <f t="shared" si="8"/>
        <v>0</v>
      </c>
      <c r="X23" s="65">
        <f t="shared" si="9"/>
        <v>0</v>
      </c>
      <c r="Y23" s="45"/>
      <c r="Z23" s="33"/>
      <c r="AA23" s="46"/>
      <c r="AB23" s="46"/>
      <c r="AF23" s="7">
        <v>180</v>
      </c>
      <c r="AG23" s="47" t="s">
        <v>17</v>
      </c>
      <c r="AH23" s="47" t="s">
        <v>18</v>
      </c>
      <c r="AI23" s="48"/>
      <c r="AK23" s="49"/>
    </row>
    <row r="24" spans="1:37" ht="15" customHeight="1" outlineLevel="1" x14ac:dyDescent="0.55000000000000004">
      <c r="A24" s="38" t="s">
        <v>15</v>
      </c>
      <c r="B24" s="39" t="s">
        <v>16</v>
      </c>
      <c r="C24" s="43">
        <v>0</v>
      </c>
      <c r="D24" s="40">
        <v>0</v>
      </c>
      <c r="E24" s="41">
        <v>0</v>
      </c>
      <c r="F24" s="42">
        <v>0</v>
      </c>
      <c r="G24" s="43">
        <f t="shared" si="0"/>
        <v>0</v>
      </c>
      <c r="H24" s="40">
        <f t="shared" si="1"/>
        <v>0</v>
      </c>
      <c r="I24" s="41">
        <v>0</v>
      </c>
      <c r="J24" s="42">
        <v>0</v>
      </c>
      <c r="K24" s="43">
        <f t="shared" si="2"/>
        <v>0</v>
      </c>
      <c r="L24" s="40">
        <f t="shared" si="3"/>
        <v>0</v>
      </c>
      <c r="M24" s="41">
        <v>0</v>
      </c>
      <c r="N24" s="42">
        <v>0</v>
      </c>
      <c r="O24" s="43">
        <f t="shared" si="4"/>
        <v>0</v>
      </c>
      <c r="P24" s="40">
        <f t="shared" si="5"/>
        <v>0</v>
      </c>
      <c r="Q24" s="41">
        <v>0</v>
      </c>
      <c r="R24" s="42">
        <v>0</v>
      </c>
      <c r="S24" s="43">
        <f t="shared" si="6"/>
        <v>0</v>
      </c>
      <c r="T24" s="40">
        <f t="shared" si="7"/>
        <v>0</v>
      </c>
      <c r="U24" s="41">
        <v>0</v>
      </c>
      <c r="V24" s="42">
        <v>0</v>
      </c>
      <c r="W24" s="43">
        <f t="shared" si="8"/>
        <v>0</v>
      </c>
      <c r="X24" s="65">
        <f t="shared" si="9"/>
        <v>0</v>
      </c>
      <c r="Y24" s="45"/>
      <c r="Z24" s="33"/>
      <c r="AA24" s="46"/>
      <c r="AB24" s="46"/>
      <c r="AF24" s="7">
        <v>180</v>
      </c>
      <c r="AG24" s="47" t="s">
        <v>17</v>
      </c>
      <c r="AH24" s="47" t="s">
        <v>18</v>
      </c>
      <c r="AI24" s="48"/>
      <c r="AK24" s="49"/>
    </row>
    <row r="25" spans="1:37" ht="15" customHeight="1" outlineLevel="1" x14ac:dyDescent="0.55000000000000004">
      <c r="A25" s="38" t="s">
        <v>15</v>
      </c>
      <c r="B25" s="39" t="s">
        <v>16</v>
      </c>
      <c r="C25" s="43">
        <v>0</v>
      </c>
      <c r="D25" s="40">
        <v>0</v>
      </c>
      <c r="E25" s="41">
        <v>0</v>
      </c>
      <c r="F25" s="42">
        <v>0</v>
      </c>
      <c r="G25" s="43">
        <f t="shared" si="0"/>
        <v>0</v>
      </c>
      <c r="H25" s="40">
        <f t="shared" si="1"/>
        <v>0</v>
      </c>
      <c r="I25" s="41">
        <v>0</v>
      </c>
      <c r="J25" s="42">
        <v>0</v>
      </c>
      <c r="K25" s="43">
        <f t="shared" si="2"/>
        <v>0</v>
      </c>
      <c r="L25" s="40">
        <f t="shared" si="3"/>
        <v>0</v>
      </c>
      <c r="M25" s="41">
        <v>0</v>
      </c>
      <c r="N25" s="42">
        <v>0</v>
      </c>
      <c r="O25" s="43">
        <f t="shared" si="4"/>
        <v>0</v>
      </c>
      <c r="P25" s="40">
        <f t="shared" si="5"/>
        <v>0</v>
      </c>
      <c r="Q25" s="41">
        <v>0</v>
      </c>
      <c r="R25" s="42">
        <v>0</v>
      </c>
      <c r="S25" s="43">
        <f t="shared" si="6"/>
        <v>0</v>
      </c>
      <c r="T25" s="40">
        <f t="shared" si="7"/>
        <v>0</v>
      </c>
      <c r="U25" s="41">
        <v>0</v>
      </c>
      <c r="V25" s="42">
        <v>0</v>
      </c>
      <c r="W25" s="43">
        <f t="shared" si="8"/>
        <v>0</v>
      </c>
      <c r="X25" s="65">
        <f t="shared" si="9"/>
        <v>0</v>
      </c>
      <c r="Y25" s="45"/>
      <c r="Z25" s="33"/>
      <c r="AA25" s="46"/>
      <c r="AB25" s="46"/>
      <c r="AF25" s="7">
        <v>180</v>
      </c>
      <c r="AG25" s="47" t="s">
        <v>17</v>
      </c>
      <c r="AH25" s="47" t="s">
        <v>18</v>
      </c>
      <c r="AI25" s="48"/>
      <c r="AK25" s="49"/>
    </row>
    <row r="26" spans="1:37" ht="15" customHeight="1" outlineLevel="1" x14ac:dyDescent="0.55000000000000004">
      <c r="A26" s="38" t="s">
        <v>15</v>
      </c>
      <c r="B26" s="39" t="s">
        <v>16</v>
      </c>
      <c r="C26" s="43">
        <v>0</v>
      </c>
      <c r="D26" s="40">
        <v>0</v>
      </c>
      <c r="E26" s="41">
        <v>0</v>
      </c>
      <c r="F26" s="42">
        <v>0</v>
      </c>
      <c r="G26" s="43">
        <f t="shared" si="0"/>
        <v>0</v>
      </c>
      <c r="H26" s="40">
        <f t="shared" si="1"/>
        <v>0</v>
      </c>
      <c r="I26" s="41">
        <v>0</v>
      </c>
      <c r="J26" s="42">
        <v>0</v>
      </c>
      <c r="K26" s="43">
        <f t="shared" si="2"/>
        <v>0</v>
      </c>
      <c r="L26" s="40">
        <f t="shared" si="3"/>
        <v>0</v>
      </c>
      <c r="M26" s="41">
        <v>0</v>
      </c>
      <c r="N26" s="42">
        <v>0</v>
      </c>
      <c r="O26" s="43">
        <f t="shared" si="4"/>
        <v>0</v>
      </c>
      <c r="P26" s="40">
        <f t="shared" si="5"/>
        <v>0</v>
      </c>
      <c r="Q26" s="41">
        <v>0</v>
      </c>
      <c r="R26" s="42">
        <v>0</v>
      </c>
      <c r="S26" s="43">
        <f t="shared" si="6"/>
        <v>0</v>
      </c>
      <c r="T26" s="40">
        <f t="shared" si="7"/>
        <v>0</v>
      </c>
      <c r="U26" s="41">
        <v>0</v>
      </c>
      <c r="V26" s="42">
        <v>0</v>
      </c>
      <c r="W26" s="43">
        <f t="shared" si="8"/>
        <v>0</v>
      </c>
      <c r="X26" s="65">
        <f t="shared" si="9"/>
        <v>0</v>
      </c>
      <c r="Y26" s="45"/>
      <c r="Z26" s="33"/>
      <c r="AA26" s="46"/>
      <c r="AB26" s="46"/>
      <c r="AF26" s="7"/>
      <c r="AG26" s="47"/>
      <c r="AH26" s="47"/>
      <c r="AI26" s="48"/>
      <c r="AK26" s="49"/>
    </row>
    <row r="27" spans="1:37" ht="15" customHeight="1" outlineLevel="1" x14ac:dyDescent="0.55000000000000004">
      <c r="A27" s="38" t="s">
        <v>15</v>
      </c>
      <c r="B27" s="39" t="s">
        <v>16</v>
      </c>
      <c r="C27" s="43">
        <v>0</v>
      </c>
      <c r="D27" s="40">
        <v>0</v>
      </c>
      <c r="E27" s="41">
        <v>0</v>
      </c>
      <c r="F27" s="42">
        <v>0</v>
      </c>
      <c r="G27" s="43">
        <f t="shared" si="0"/>
        <v>0</v>
      </c>
      <c r="H27" s="40">
        <f t="shared" si="1"/>
        <v>0</v>
      </c>
      <c r="I27" s="41">
        <v>0</v>
      </c>
      <c r="J27" s="42">
        <v>0</v>
      </c>
      <c r="K27" s="43">
        <f t="shared" si="2"/>
        <v>0</v>
      </c>
      <c r="L27" s="40">
        <f t="shared" si="3"/>
        <v>0</v>
      </c>
      <c r="M27" s="41">
        <v>0</v>
      </c>
      <c r="N27" s="42">
        <v>0</v>
      </c>
      <c r="O27" s="43">
        <f t="shared" si="4"/>
        <v>0</v>
      </c>
      <c r="P27" s="40">
        <f t="shared" si="5"/>
        <v>0</v>
      </c>
      <c r="Q27" s="41">
        <v>0</v>
      </c>
      <c r="R27" s="42">
        <v>0</v>
      </c>
      <c r="S27" s="43">
        <f t="shared" si="6"/>
        <v>0</v>
      </c>
      <c r="T27" s="40">
        <f t="shared" si="7"/>
        <v>0</v>
      </c>
      <c r="U27" s="41">
        <v>0</v>
      </c>
      <c r="V27" s="42">
        <v>0</v>
      </c>
      <c r="W27" s="43">
        <f t="shared" si="8"/>
        <v>0</v>
      </c>
      <c r="X27" s="65">
        <f t="shared" si="9"/>
        <v>0</v>
      </c>
      <c r="Y27" s="45"/>
      <c r="Z27" s="33"/>
      <c r="AA27" s="46"/>
      <c r="AB27" s="46"/>
      <c r="AF27" s="7">
        <v>180</v>
      </c>
      <c r="AG27" s="47" t="s">
        <v>17</v>
      </c>
      <c r="AH27" s="47" t="s">
        <v>18</v>
      </c>
      <c r="AI27" s="48"/>
      <c r="AK27" s="49"/>
    </row>
    <row r="28" spans="1:37" ht="15" customHeight="1" outlineLevel="1" x14ac:dyDescent="0.55000000000000004">
      <c r="A28" s="38" t="s">
        <v>15</v>
      </c>
      <c r="B28" s="39" t="s">
        <v>16</v>
      </c>
      <c r="C28" s="43">
        <v>0</v>
      </c>
      <c r="D28" s="40">
        <v>0</v>
      </c>
      <c r="E28" s="41">
        <v>0</v>
      </c>
      <c r="F28" s="42">
        <v>0</v>
      </c>
      <c r="G28" s="43">
        <f t="shared" si="0"/>
        <v>0</v>
      </c>
      <c r="H28" s="40">
        <f t="shared" si="1"/>
        <v>0</v>
      </c>
      <c r="I28" s="41">
        <v>0</v>
      </c>
      <c r="J28" s="42">
        <v>0</v>
      </c>
      <c r="K28" s="43">
        <f t="shared" si="2"/>
        <v>0</v>
      </c>
      <c r="L28" s="40">
        <f t="shared" si="3"/>
        <v>0</v>
      </c>
      <c r="M28" s="41">
        <v>0</v>
      </c>
      <c r="N28" s="42">
        <v>0</v>
      </c>
      <c r="O28" s="43">
        <f t="shared" si="4"/>
        <v>0</v>
      </c>
      <c r="P28" s="40">
        <f t="shared" si="5"/>
        <v>0</v>
      </c>
      <c r="Q28" s="41">
        <v>0</v>
      </c>
      <c r="R28" s="42">
        <v>0</v>
      </c>
      <c r="S28" s="43">
        <f t="shared" si="6"/>
        <v>0</v>
      </c>
      <c r="T28" s="40">
        <f t="shared" si="7"/>
        <v>0</v>
      </c>
      <c r="U28" s="41">
        <v>0</v>
      </c>
      <c r="V28" s="42">
        <v>0</v>
      </c>
      <c r="W28" s="43">
        <f t="shared" si="8"/>
        <v>0</v>
      </c>
      <c r="X28" s="65">
        <f t="shared" si="9"/>
        <v>0</v>
      </c>
      <c r="Y28" s="45"/>
      <c r="Z28" s="33"/>
      <c r="AA28" s="46"/>
      <c r="AB28" s="46"/>
      <c r="AF28" s="7">
        <v>180</v>
      </c>
      <c r="AG28" s="47" t="s">
        <v>17</v>
      </c>
      <c r="AH28" s="47" t="s">
        <v>18</v>
      </c>
      <c r="AI28" s="48"/>
      <c r="AK28" s="49"/>
    </row>
    <row r="29" spans="1:37" ht="15" customHeight="1" outlineLevel="1" x14ac:dyDescent="0.55000000000000004">
      <c r="A29" s="38" t="s">
        <v>15</v>
      </c>
      <c r="B29" s="39" t="s">
        <v>16</v>
      </c>
      <c r="C29" s="43">
        <v>0</v>
      </c>
      <c r="D29" s="40">
        <v>0</v>
      </c>
      <c r="E29" s="41">
        <v>0</v>
      </c>
      <c r="F29" s="42">
        <v>0</v>
      </c>
      <c r="G29" s="43">
        <f t="shared" si="0"/>
        <v>0</v>
      </c>
      <c r="H29" s="40">
        <f t="shared" si="1"/>
        <v>0</v>
      </c>
      <c r="I29" s="41">
        <v>0</v>
      </c>
      <c r="J29" s="42">
        <v>0</v>
      </c>
      <c r="K29" s="43">
        <f t="shared" si="2"/>
        <v>0</v>
      </c>
      <c r="L29" s="40">
        <f t="shared" si="3"/>
        <v>0</v>
      </c>
      <c r="M29" s="41">
        <v>0</v>
      </c>
      <c r="N29" s="42">
        <v>0</v>
      </c>
      <c r="O29" s="43">
        <f t="shared" si="4"/>
        <v>0</v>
      </c>
      <c r="P29" s="40">
        <f t="shared" si="5"/>
        <v>0</v>
      </c>
      <c r="Q29" s="41">
        <v>0</v>
      </c>
      <c r="R29" s="42">
        <v>0</v>
      </c>
      <c r="S29" s="43">
        <f t="shared" si="6"/>
        <v>0</v>
      </c>
      <c r="T29" s="40">
        <f t="shared" si="7"/>
        <v>0</v>
      </c>
      <c r="U29" s="41">
        <v>0</v>
      </c>
      <c r="V29" s="42">
        <v>0</v>
      </c>
      <c r="W29" s="43">
        <f t="shared" si="8"/>
        <v>0</v>
      </c>
      <c r="X29" s="65">
        <f t="shared" si="9"/>
        <v>0</v>
      </c>
      <c r="Y29" s="45"/>
      <c r="Z29" s="33"/>
      <c r="AA29" s="46"/>
      <c r="AB29" s="46"/>
      <c r="AF29" s="7">
        <v>180</v>
      </c>
      <c r="AG29" s="47" t="s">
        <v>17</v>
      </c>
      <c r="AH29" s="47" t="s">
        <v>18</v>
      </c>
      <c r="AI29" s="48"/>
      <c r="AK29" s="49"/>
    </row>
    <row r="30" spans="1:37" ht="15" customHeight="1" outlineLevel="1" x14ac:dyDescent="0.55000000000000004">
      <c r="A30" s="38" t="s">
        <v>15</v>
      </c>
      <c r="B30" s="39" t="s">
        <v>16</v>
      </c>
      <c r="C30" s="43">
        <v>0</v>
      </c>
      <c r="D30" s="40">
        <v>0</v>
      </c>
      <c r="E30" s="41">
        <v>0</v>
      </c>
      <c r="F30" s="42">
        <v>0</v>
      </c>
      <c r="G30" s="43">
        <f t="shared" si="0"/>
        <v>0</v>
      </c>
      <c r="H30" s="40">
        <f t="shared" si="1"/>
        <v>0</v>
      </c>
      <c r="I30" s="41">
        <v>0</v>
      </c>
      <c r="J30" s="42">
        <v>0</v>
      </c>
      <c r="K30" s="43">
        <f t="shared" si="2"/>
        <v>0</v>
      </c>
      <c r="L30" s="40">
        <f t="shared" si="3"/>
        <v>0</v>
      </c>
      <c r="M30" s="41">
        <v>0</v>
      </c>
      <c r="N30" s="42">
        <v>0</v>
      </c>
      <c r="O30" s="43">
        <f t="shared" si="4"/>
        <v>0</v>
      </c>
      <c r="P30" s="40">
        <f t="shared" si="5"/>
        <v>0</v>
      </c>
      <c r="Q30" s="41">
        <v>0</v>
      </c>
      <c r="R30" s="42">
        <v>0</v>
      </c>
      <c r="S30" s="43">
        <f t="shared" si="6"/>
        <v>0</v>
      </c>
      <c r="T30" s="40">
        <f t="shared" si="7"/>
        <v>0</v>
      </c>
      <c r="U30" s="41">
        <v>0</v>
      </c>
      <c r="V30" s="42">
        <v>0</v>
      </c>
      <c r="W30" s="43">
        <f t="shared" si="8"/>
        <v>0</v>
      </c>
      <c r="X30" s="65">
        <f t="shared" si="9"/>
        <v>0</v>
      </c>
      <c r="Y30" s="45"/>
      <c r="Z30" s="33"/>
      <c r="AA30" s="46"/>
      <c r="AB30" s="46"/>
      <c r="AF30" s="7">
        <v>180</v>
      </c>
      <c r="AG30" s="47" t="s">
        <v>17</v>
      </c>
      <c r="AH30" s="47" t="s">
        <v>18</v>
      </c>
      <c r="AI30" s="48"/>
      <c r="AK30" s="49"/>
    </row>
    <row r="31" spans="1:37" ht="15" customHeight="1" outlineLevel="1" x14ac:dyDescent="0.55000000000000004">
      <c r="A31" s="38" t="s">
        <v>15</v>
      </c>
      <c r="B31" s="39" t="s">
        <v>16</v>
      </c>
      <c r="C31" s="43">
        <v>0</v>
      </c>
      <c r="D31" s="40">
        <v>0</v>
      </c>
      <c r="E31" s="41">
        <v>0</v>
      </c>
      <c r="F31" s="42">
        <v>0</v>
      </c>
      <c r="G31" s="43">
        <f t="shared" si="0"/>
        <v>0</v>
      </c>
      <c r="H31" s="40">
        <f t="shared" si="1"/>
        <v>0</v>
      </c>
      <c r="I31" s="41">
        <v>0</v>
      </c>
      <c r="J31" s="42">
        <v>0</v>
      </c>
      <c r="K31" s="43">
        <f t="shared" si="2"/>
        <v>0</v>
      </c>
      <c r="L31" s="40">
        <f t="shared" si="3"/>
        <v>0</v>
      </c>
      <c r="M31" s="41">
        <v>0</v>
      </c>
      <c r="N31" s="42">
        <v>0</v>
      </c>
      <c r="O31" s="43">
        <f t="shared" si="4"/>
        <v>0</v>
      </c>
      <c r="P31" s="40">
        <f t="shared" si="5"/>
        <v>0</v>
      </c>
      <c r="Q31" s="41">
        <v>0</v>
      </c>
      <c r="R31" s="42">
        <v>0</v>
      </c>
      <c r="S31" s="43">
        <f t="shared" si="6"/>
        <v>0</v>
      </c>
      <c r="T31" s="40">
        <f t="shared" si="7"/>
        <v>0</v>
      </c>
      <c r="U31" s="41">
        <v>0</v>
      </c>
      <c r="V31" s="42">
        <v>0</v>
      </c>
      <c r="W31" s="43">
        <f t="shared" si="8"/>
        <v>0</v>
      </c>
      <c r="X31" s="65">
        <f t="shared" si="9"/>
        <v>0</v>
      </c>
      <c r="Y31" s="45"/>
      <c r="Z31" s="33"/>
      <c r="AA31" s="46"/>
      <c r="AB31" s="46"/>
      <c r="AF31" s="7">
        <v>180</v>
      </c>
      <c r="AG31" s="47" t="s">
        <v>17</v>
      </c>
      <c r="AH31" s="47" t="s">
        <v>18</v>
      </c>
      <c r="AI31" s="48"/>
      <c r="AK31" s="49"/>
    </row>
    <row r="32" spans="1:37" s="34" customFormat="1" ht="15" customHeight="1" outlineLevel="1" x14ac:dyDescent="0.55000000000000004">
      <c r="A32" s="66"/>
      <c r="B32" s="58"/>
      <c r="C32" s="43"/>
      <c r="D32" s="59"/>
      <c r="E32" s="60"/>
      <c r="F32" s="56"/>
      <c r="G32" s="43"/>
      <c r="H32" s="59"/>
      <c r="I32" s="60"/>
      <c r="J32" s="4"/>
      <c r="K32" s="43"/>
      <c r="L32" s="59"/>
      <c r="M32" s="60"/>
      <c r="N32" s="4"/>
      <c r="O32" s="43"/>
      <c r="P32" s="59"/>
      <c r="Q32" s="60"/>
      <c r="R32" s="4"/>
      <c r="S32" s="43"/>
      <c r="T32" s="59"/>
      <c r="U32" s="60"/>
      <c r="V32" s="4"/>
      <c r="W32" s="43"/>
      <c r="X32" s="65"/>
      <c r="Y32" s="1"/>
      <c r="Z32" s="1"/>
      <c r="AA32" s="1"/>
      <c r="AB32" s="1"/>
      <c r="AC32" s="1"/>
      <c r="AD32" s="1"/>
      <c r="AE32" s="1"/>
      <c r="AF32" s="7"/>
      <c r="AG32" s="47"/>
      <c r="AH32" s="47"/>
      <c r="AI32" s="67"/>
      <c r="AJ32" s="68"/>
      <c r="AK32" s="1"/>
    </row>
    <row r="33" spans="1:37" s="79" customFormat="1" ht="15" customHeight="1" x14ac:dyDescent="0.7">
      <c r="A33" s="69" t="s">
        <v>19</v>
      </c>
      <c r="B33" s="70"/>
      <c r="C33" s="74">
        <f>SUM(C15:C31)</f>
        <v>0</v>
      </c>
      <c r="D33" s="71"/>
      <c r="E33" s="72"/>
      <c r="F33" s="75"/>
      <c r="G33" s="74">
        <f>SUM(G15:G31)</f>
        <v>0</v>
      </c>
      <c r="H33" s="71"/>
      <c r="I33" s="72"/>
      <c r="J33" s="73"/>
      <c r="K33" s="74">
        <f>SUM(K15:K31)</f>
        <v>0</v>
      </c>
      <c r="L33" s="71"/>
      <c r="M33" s="72"/>
      <c r="N33" s="75"/>
      <c r="O33" s="74">
        <f>SUM(O15:O31)</f>
        <v>0</v>
      </c>
      <c r="P33" s="71"/>
      <c r="Q33" s="72"/>
      <c r="R33" s="75"/>
      <c r="S33" s="74">
        <f>SUM(S15:S31)</f>
        <v>0</v>
      </c>
      <c r="T33" s="71"/>
      <c r="U33" s="72"/>
      <c r="V33" s="75"/>
      <c r="W33" s="74">
        <f>SUM(W15:W31)</f>
        <v>0</v>
      </c>
      <c r="X33" s="74">
        <f>SUM(X15:X31)</f>
        <v>0</v>
      </c>
      <c r="Y33" s="77"/>
      <c r="Z33" s="77"/>
      <c r="AA33" s="77"/>
      <c r="AB33" s="77"/>
      <c r="AC33" s="77"/>
      <c r="AD33" s="78"/>
      <c r="AE33" s="78"/>
      <c r="AF33" s="77"/>
      <c r="AH33" s="79" t="s">
        <v>14</v>
      </c>
      <c r="AK33" s="78"/>
    </row>
    <row r="34" spans="1:37" s="34" customFormat="1" ht="15" customHeight="1" outlineLevel="1" x14ac:dyDescent="0.6">
      <c r="A34" s="35" t="s">
        <v>20</v>
      </c>
      <c r="B34" s="36"/>
      <c r="C34" s="29"/>
      <c r="D34" s="26"/>
      <c r="E34" s="27"/>
      <c r="F34" s="30"/>
      <c r="G34" s="31"/>
      <c r="H34" s="26"/>
      <c r="I34" s="27"/>
      <c r="J34" s="28"/>
      <c r="K34" s="31"/>
      <c r="L34" s="26"/>
      <c r="M34" s="27"/>
      <c r="N34" s="30"/>
      <c r="O34" s="31"/>
      <c r="P34" s="26"/>
      <c r="Q34" s="27"/>
      <c r="R34" s="30"/>
      <c r="S34" s="31"/>
      <c r="T34" s="26"/>
      <c r="U34" s="27"/>
      <c r="V34" s="30"/>
      <c r="W34" s="31"/>
      <c r="X34" s="32"/>
      <c r="Y34" s="1"/>
      <c r="Z34" s="1"/>
      <c r="AA34" s="1"/>
      <c r="AB34" s="1"/>
      <c r="AC34" s="1"/>
      <c r="AD34" s="1"/>
      <c r="AE34" s="1"/>
      <c r="AF34" s="7"/>
      <c r="AK34" s="1"/>
    </row>
    <row r="35" spans="1:37" s="34" customFormat="1" ht="15" customHeight="1" outlineLevel="1" x14ac:dyDescent="0.6">
      <c r="A35" s="80" t="s">
        <v>13</v>
      </c>
      <c r="B35" s="58" t="s">
        <v>21</v>
      </c>
      <c r="C35" s="43">
        <v>0</v>
      </c>
      <c r="D35" s="81">
        <v>0</v>
      </c>
      <c r="E35" s="60">
        <v>1</v>
      </c>
      <c r="F35" s="4">
        <v>0</v>
      </c>
      <c r="G35" s="43">
        <f t="shared" ref="G35" si="10">D35*E35*F35</f>
        <v>0</v>
      </c>
      <c r="H35" s="81">
        <v>0</v>
      </c>
      <c r="I35" s="60">
        <v>1</v>
      </c>
      <c r="J35" s="4">
        <f t="shared" ref="J35" si="11">F35</f>
        <v>0</v>
      </c>
      <c r="K35" s="43">
        <f t="shared" ref="K35" si="12">H35*I35*J35</f>
        <v>0</v>
      </c>
      <c r="L35" s="81">
        <v>0</v>
      </c>
      <c r="M35" s="60">
        <v>1</v>
      </c>
      <c r="N35" s="4">
        <f t="shared" ref="N35" si="13">J35</f>
        <v>0</v>
      </c>
      <c r="O35" s="43">
        <f t="shared" ref="O35" si="14">L35*M35*N35</f>
        <v>0</v>
      </c>
      <c r="P35" s="81">
        <v>0</v>
      </c>
      <c r="Q35" s="60">
        <v>1</v>
      </c>
      <c r="R35" s="4">
        <f t="shared" ref="R35" si="15">J35</f>
        <v>0</v>
      </c>
      <c r="S35" s="43">
        <f>P35*Q35*R35</f>
        <v>0</v>
      </c>
      <c r="T35" s="81">
        <v>0</v>
      </c>
      <c r="U35" s="60">
        <v>1</v>
      </c>
      <c r="V35" s="4">
        <f t="shared" ref="V35" si="16">N35</f>
        <v>0</v>
      </c>
      <c r="W35" s="43">
        <f>T35*U35*V35</f>
        <v>0</v>
      </c>
      <c r="X35" s="65">
        <f t="shared" ref="X35" si="17">C35+G35+K35+O35+W35+S35</f>
        <v>0</v>
      </c>
      <c r="Y35" s="1"/>
      <c r="Z35" s="1"/>
      <c r="AA35" s="1"/>
      <c r="AB35" s="1"/>
      <c r="AC35" s="1"/>
      <c r="AD35" s="1"/>
      <c r="AE35" s="1"/>
      <c r="AF35" s="82">
        <v>197</v>
      </c>
      <c r="AG35" s="83" t="s">
        <v>22</v>
      </c>
      <c r="AH35" s="83" t="s">
        <v>23</v>
      </c>
      <c r="AK35" s="1"/>
    </row>
    <row r="36" spans="1:37" ht="15" customHeight="1" outlineLevel="1" x14ac:dyDescent="0.7">
      <c r="A36" s="50"/>
      <c r="B36" s="51"/>
      <c r="C36" s="55"/>
      <c r="D36" s="52"/>
      <c r="E36" s="53"/>
      <c r="F36" s="56"/>
      <c r="G36" s="55"/>
      <c r="H36" s="52"/>
      <c r="I36" s="53"/>
      <c r="J36" s="54"/>
      <c r="K36" s="55"/>
      <c r="L36" s="52"/>
      <c r="M36" s="53"/>
      <c r="N36" s="56"/>
      <c r="O36" s="55"/>
      <c r="P36" s="52"/>
      <c r="Q36" s="53"/>
      <c r="R36" s="56"/>
      <c r="S36" s="55"/>
      <c r="T36" s="52"/>
      <c r="U36" s="53"/>
      <c r="V36" s="56"/>
      <c r="W36" s="55"/>
      <c r="X36" s="57"/>
      <c r="AF36" s="7"/>
      <c r="AG36" s="47"/>
      <c r="AH36" s="47"/>
    </row>
    <row r="37" spans="1:37" s="95" customFormat="1" ht="18.3" outlineLevel="1" x14ac:dyDescent="0.7">
      <c r="A37" s="86" t="s">
        <v>24</v>
      </c>
      <c r="B37" s="87"/>
      <c r="C37" s="91">
        <f>C35</f>
        <v>0</v>
      </c>
      <c r="D37" s="88"/>
      <c r="E37" s="89"/>
      <c r="F37" s="92"/>
      <c r="G37" s="91">
        <f>G35</f>
        <v>0</v>
      </c>
      <c r="H37" s="88"/>
      <c r="I37" s="89"/>
      <c r="J37" s="90"/>
      <c r="K37" s="91">
        <f>K35</f>
        <v>0</v>
      </c>
      <c r="L37" s="88"/>
      <c r="M37" s="89"/>
      <c r="N37" s="92"/>
      <c r="O37" s="91">
        <f>O35</f>
        <v>0</v>
      </c>
      <c r="P37" s="88"/>
      <c r="Q37" s="89"/>
      <c r="R37" s="92"/>
      <c r="S37" s="91">
        <f>S35</f>
        <v>0</v>
      </c>
      <c r="T37" s="88"/>
      <c r="U37" s="89"/>
      <c r="V37" s="92"/>
      <c r="W37" s="91">
        <f>W35</f>
        <v>0</v>
      </c>
      <c r="X37" s="91">
        <f>X35</f>
        <v>0</v>
      </c>
      <c r="Y37" s="78"/>
      <c r="Z37" s="78"/>
      <c r="AA37" s="78"/>
      <c r="AB37" s="78"/>
      <c r="AC37" s="78"/>
      <c r="AD37" s="78"/>
      <c r="AE37" s="78"/>
      <c r="AF37" s="77">
        <v>287</v>
      </c>
      <c r="AG37" s="93" t="s">
        <v>25</v>
      </c>
      <c r="AH37" s="93" t="s">
        <v>26</v>
      </c>
      <c r="AI37" s="94"/>
      <c r="AK37" s="78"/>
    </row>
    <row r="38" spans="1:37" s="97" customFormat="1" ht="15.6" outlineLevel="1" x14ac:dyDescent="0.6">
      <c r="A38" s="35" t="s">
        <v>27</v>
      </c>
      <c r="B38" s="36"/>
      <c r="C38" s="43"/>
      <c r="D38" s="2"/>
      <c r="E38" s="3"/>
      <c r="F38" s="30"/>
      <c r="G38" s="43"/>
      <c r="H38" s="2"/>
      <c r="I38" s="3"/>
      <c r="J38" s="28"/>
      <c r="K38" s="43"/>
      <c r="L38" s="2"/>
      <c r="M38" s="3"/>
      <c r="N38" s="30"/>
      <c r="O38" s="43"/>
      <c r="P38" s="2"/>
      <c r="Q38" s="3"/>
      <c r="R38" s="30"/>
      <c r="S38" s="43"/>
      <c r="T38" s="2"/>
      <c r="U38" s="3"/>
      <c r="V38" s="30"/>
      <c r="W38" s="43"/>
      <c r="X38" s="65"/>
      <c r="Y38" s="1"/>
      <c r="Z38" s="1"/>
      <c r="AA38" s="1"/>
      <c r="AB38" s="1"/>
      <c r="AC38" s="1"/>
      <c r="AD38" s="1"/>
      <c r="AE38" s="1"/>
      <c r="AF38" s="7"/>
      <c r="AG38" s="47"/>
      <c r="AH38" s="47"/>
      <c r="AI38" s="96"/>
      <c r="AK38" s="1"/>
    </row>
    <row r="39" spans="1:37" ht="15" customHeight="1" outlineLevel="1" x14ac:dyDescent="0.55000000000000004">
      <c r="A39" s="38" t="s">
        <v>28</v>
      </c>
      <c r="B39" s="39" t="s">
        <v>29</v>
      </c>
      <c r="C39" s="43">
        <v>0</v>
      </c>
      <c r="D39" s="40">
        <v>0</v>
      </c>
      <c r="E39" s="41">
        <v>0</v>
      </c>
      <c r="F39" s="42">
        <v>1</v>
      </c>
      <c r="G39" s="43">
        <f>D39*E39*F39</f>
        <v>0</v>
      </c>
      <c r="H39" s="40">
        <f>D39*$B$7</f>
        <v>0</v>
      </c>
      <c r="I39" s="41">
        <v>0</v>
      </c>
      <c r="J39" s="42">
        <v>1</v>
      </c>
      <c r="K39" s="43">
        <f>H39*I39*J39</f>
        <v>0</v>
      </c>
      <c r="L39" s="40">
        <f>H39*$B$7</f>
        <v>0</v>
      </c>
      <c r="M39" s="41">
        <v>0</v>
      </c>
      <c r="N39" s="42">
        <v>1</v>
      </c>
      <c r="O39" s="43">
        <f>L39*M39*N39</f>
        <v>0</v>
      </c>
      <c r="P39" s="40">
        <f>L39*$B$7</f>
        <v>0</v>
      </c>
      <c r="Q39" s="41">
        <v>0</v>
      </c>
      <c r="R39" s="42">
        <v>1</v>
      </c>
      <c r="S39" s="43">
        <f>P39*Q39*R39</f>
        <v>0</v>
      </c>
      <c r="T39" s="40">
        <f>P39*$B$7</f>
        <v>0</v>
      </c>
      <c r="U39" s="41">
        <v>0</v>
      </c>
      <c r="V39" s="42">
        <v>1</v>
      </c>
      <c r="W39" s="43">
        <f>T39*U39*V39</f>
        <v>0</v>
      </c>
      <c r="X39" s="65">
        <f t="shared" ref="X39:X40" si="18">C39+G39+K39+O39+W39+S39</f>
        <v>0</v>
      </c>
      <c r="Y39" s="45"/>
      <c r="Z39" s="33"/>
      <c r="AA39" s="46"/>
      <c r="AB39" s="46"/>
      <c r="AF39" s="7">
        <v>180</v>
      </c>
      <c r="AG39" s="47" t="s">
        <v>17</v>
      </c>
      <c r="AH39" s="47" t="s">
        <v>18</v>
      </c>
      <c r="AI39" s="48"/>
      <c r="AK39" s="49"/>
    </row>
    <row r="40" spans="1:37" ht="15" customHeight="1" outlineLevel="1" x14ac:dyDescent="0.55000000000000004">
      <c r="A40" s="38" t="s">
        <v>30</v>
      </c>
      <c r="B40" s="39" t="s">
        <v>31</v>
      </c>
      <c r="C40" s="43">
        <v>0</v>
      </c>
      <c r="D40" s="40">
        <v>0</v>
      </c>
      <c r="E40" s="41">
        <v>0</v>
      </c>
      <c r="F40" s="42">
        <v>1</v>
      </c>
      <c r="G40" s="43">
        <f t="shared" ref="G40" si="19">D40*E40*F40</f>
        <v>0</v>
      </c>
      <c r="H40" s="40">
        <f>D40*$B$7</f>
        <v>0</v>
      </c>
      <c r="I40" s="41">
        <v>0</v>
      </c>
      <c r="J40" s="42">
        <v>1</v>
      </c>
      <c r="K40" s="43">
        <f t="shared" ref="K40" si="20">H40*I40*J40</f>
        <v>0</v>
      </c>
      <c r="L40" s="40">
        <f t="shared" ref="L40:L44" si="21">H40*$B$7</f>
        <v>0</v>
      </c>
      <c r="M40" s="41">
        <v>0</v>
      </c>
      <c r="N40" s="42">
        <v>1</v>
      </c>
      <c r="O40" s="43">
        <f t="shared" ref="O40" si="22">L40*M40*N40</f>
        <v>0</v>
      </c>
      <c r="P40" s="40">
        <f>L40*$B$7</f>
        <v>0</v>
      </c>
      <c r="Q40" s="41">
        <v>0</v>
      </c>
      <c r="R40" s="42">
        <v>1</v>
      </c>
      <c r="S40" s="43">
        <f t="shared" ref="S40" si="23">P40*Q40*R40</f>
        <v>0</v>
      </c>
      <c r="T40" s="40">
        <f>P40*$B$7</f>
        <v>0</v>
      </c>
      <c r="U40" s="41">
        <v>0</v>
      </c>
      <c r="V40" s="42">
        <v>1</v>
      </c>
      <c r="W40" s="43">
        <f t="shared" ref="W40" si="24">T40*U40*V40</f>
        <v>0</v>
      </c>
      <c r="X40" s="65">
        <f t="shared" si="18"/>
        <v>0</v>
      </c>
      <c r="Y40" s="45"/>
      <c r="Z40" s="33"/>
      <c r="AA40" s="46"/>
      <c r="AB40" s="46"/>
      <c r="AF40" s="7">
        <v>180</v>
      </c>
      <c r="AG40" s="47" t="s">
        <v>17</v>
      </c>
      <c r="AH40" s="47" t="s">
        <v>18</v>
      </c>
      <c r="AI40" s="48"/>
      <c r="AK40" s="49"/>
    </row>
    <row r="41" spans="1:37" s="97" customFormat="1" ht="15.6" outlineLevel="1" x14ac:dyDescent="0.6">
      <c r="A41" s="35" t="s">
        <v>32</v>
      </c>
      <c r="B41" s="58"/>
      <c r="C41" s="43"/>
      <c r="D41" s="2"/>
      <c r="E41" s="3"/>
      <c r="F41" s="5"/>
      <c r="G41" s="43"/>
      <c r="H41" s="2"/>
      <c r="I41" s="3"/>
      <c r="J41" s="4"/>
      <c r="K41" s="43"/>
      <c r="L41" s="40"/>
      <c r="M41" s="3"/>
      <c r="N41" s="5"/>
      <c r="O41" s="43"/>
      <c r="P41" s="40"/>
      <c r="Q41" s="3"/>
      <c r="R41" s="5"/>
      <c r="S41" s="43"/>
      <c r="T41" s="40"/>
      <c r="U41" s="3"/>
      <c r="V41" s="5"/>
      <c r="W41" s="43"/>
      <c r="X41" s="65"/>
      <c r="Y41" s="1"/>
      <c r="Z41" s="1"/>
      <c r="AA41" s="1"/>
      <c r="AB41" s="1"/>
      <c r="AC41" s="1"/>
      <c r="AD41" s="1"/>
      <c r="AE41" s="1"/>
      <c r="AF41" s="7"/>
      <c r="AG41" s="47"/>
      <c r="AH41" s="47"/>
      <c r="AI41" s="96"/>
      <c r="AK41" s="1"/>
    </row>
    <row r="42" spans="1:37" ht="15" customHeight="1" outlineLevel="1" x14ac:dyDescent="0.55000000000000004">
      <c r="A42" s="38" t="s">
        <v>33</v>
      </c>
      <c r="B42" s="39" t="s">
        <v>16</v>
      </c>
      <c r="C42" s="43">
        <v>0</v>
      </c>
      <c r="D42" s="40">
        <v>0</v>
      </c>
      <c r="E42" s="41">
        <v>0</v>
      </c>
      <c r="F42" s="42">
        <v>1</v>
      </c>
      <c r="G42" s="43">
        <f>D42*E42*F42</f>
        <v>0</v>
      </c>
      <c r="H42" s="40">
        <f>D42*$B$7</f>
        <v>0</v>
      </c>
      <c r="I42" s="41">
        <v>0</v>
      </c>
      <c r="J42" s="42">
        <v>1</v>
      </c>
      <c r="K42" s="43">
        <f>H42*I42*J42</f>
        <v>0</v>
      </c>
      <c r="L42" s="40">
        <f t="shared" si="21"/>
        <v>0</v>
      </c>
      <c r="M42" s="41">
        <v>0</v>
      </c>
      <c r="N42" s="42">
        <v>1</v>
      </c>
      <c r="O42" s="43">
        <f>L42*M42*N42</f>
        <v>0</v>
      </c>
      <c r="P42" s="40">
        <f>L42*$B$7</f>
        <v>0</v>
      </c>
      <c r="Q42" s="41">
        <v>0</v>
      </c>
      <c r="R42" s="42">
        <v>1</v>
      </c>
      <c r="S42" s="43">
        <f>P42*Q42*R42</f>
        <v>0</v>
      </c>
      <c r="T42" s="40">
        <f>P42*$B$7</f>
        <v>0</v>
      </c>
      <c r="U42" s="41">
        <v>0</v>
      </c>
      <c r="V42" s="42">
        <v>1</v>
      </c>
      <c r="W42" s="43">
        <f>T42*U42*V42</f>
        <v>0</v>
      </c>
      <c r="X42" s="65">
        <f t="shared" ref="X42:X44" si="25">C42+G42+K42+O42+W42+S42</f>
        <v>0</v>
      </c>
      <c r="Y42" s="45"/>
      <c r="Z42" s="33"/>
      <c r="AA42" s="46"/>
      <c r="AB42" s="46"/>
      <c r="AF42" s="7">
        <v>180</v>
      </c>
      <c r="AG42" s="47" t="s">
        <v>17</v>
      </c>
      <c r="AH42" s="47" t="s">
        <v>18</v>
      </c>
      <c r="AI42" s="48"/>
      <c r="AK42" s="49"/>
    </row>
    <row r="43" spans="1:37" s="97" customFormat="1" ht="15.6" outlineLevel="1" x14ac:dyDescent="0.6">
      <c r="A43" s="35" t="s">
        <v>34</v>
      </c>
      <c r="B43" s="58"/>
      <c r="C43" s="43"/>
      <c r="D43" s="2"/>
      <c r="E43" s="3"/>
      <c r="F43" s="5"/>
      <c r="G43" s="43">
        <f>D43*E43*F43</f>
        <v>0</v>
      </c>
      <c r="H43" s="2"/>
      <c r="I43" s="3"/>
      <c r="J43" s="4"/>
      <c r="K43" s="43">
        <f>H43*I43*J43</f>
        <v>0</v>
      </c>
      <c r="L43" s="40"/>
      <c r="M43" s="3"/>
      <c r="N43" s="5"/>
      <c r="O43" s="43">
        <f>L43*M43*N43</f>
        <v>0</v>
      </c>
      <c r="P43" s="40"/>
      <c r="Q43" s="3"/>
      <c r="R43" s="5"/>
      <c r="S43" s="43">
        <f>P43*Q43*R43</f>
        <v>0</v>
      </c>
      <c r="T43" s="40"/>
      <c r="U43" s="3"/>
      <c r="V43" s="5"/>
      <c r="W43" s="43">
        <f>T43*U43*V43</f>
        <v>0</v>
      </c>
      <c r="X43" s="65">
        <f t="shared" si="25"/>
        <v>0</v>
      </c>
      <c r="Y43" s="1"/>
      <c r="Z43" s="1"/>
      <c r="AA43" s="1"/>
      <c r="AB43" s="1"/>
      <c r="AC43" s="1"/>
      <c r="AD43" s="1"/>
      <c r="AE43" s="1"/>
      <c r="AF43" s="7"/>
      <c r="AG43" s="47"/>
      <c r="AH43" s="47"/>
      <c r="AI43" s="96"/>
      <c r="AK43" s="1"/>
    </row>
    <row r="44" spans="1:37" ht="15" customHeight="1" outlineLevel="1" x14ac:dyDescent="0.55000000000000004">
      <c r="A44" s="38" t="s">
        <v>35</v>
      </c>
      <c r="B44" s="39" t="s">
        <v>36</v>
      </c>
      <c r="C44" s="43">
        <v>0</v>
      </c>
      <c r="D44" s="40">
        <v>0</v>
      </c>
      <c r="E44" s="41">
        <v>0</v>
      </c>
      <c r="F44" s="42">
        <v>1</v>
      </c>
      <c r="G44" s="43">
        <f>D44*E44*F44</f>
        <v>0</v>
      </c>
      <c r="H44" s="40">
        <f>D44*$B$7</f>
        <v>0</v>
      </c>
      <c r="I44" s="41">
        <v>0</v>
      </c>
      <c r="J44" s="42">
        <v>1</v>
      </c>
      <c r="K44" s="43">
        <f>H44*I44*J44</f>
        <v>0</v>
      </c>
      <c r="L44" s="40">
        <f t="shared" si="21"/>
        <v>0</v>
      </c>
      <c r="M44" s="41">
        <v>0</v>
      </c>
      <c r="N44" s="42">
        <v>1</v>
      </c>
      <c r="O44" s="43">
        <f>L44*M44*N44</f>
        <v>0</v>
      </c>
      <c r="P44" s="40">
        <f>L44*$B$7</f>
        <v>0</v>
      </c>
      <c r="Q44" s="41">
        <v>0</v>
      </c>
      <c r="R44" s="42">
        <v>1</v>
      </c>
      <c r="S44" s="43">
        <f>P44*Q44*R44</f>
        <v>0</v>
      </c>
      <c r="T44" s="40">
        <f>P44*$B$7</f>
        <v>0</v>
      </c>
      <c r="U44" s="41">
        <v>0</v>
      </c>
      <c r="V44" s="42">
        <v>1</v>
      </c>
      <c r="W44" s="43">
        <f>T44*U44*V44</f>
        <v>0</v>
      </c>
      <c r="X44" s="65">
        <f t="shared" si="25"/>
        <v>0</v>
      </c>
      <c r="Y44" s="45"/>
      <c r="Z44" s="33"/>
      <c r="AA44" s="46"/>
      <c r="AB44" s="46"/>
      <c r="AF44" s="7">
        <v>180</v>
      </c>
      <c r="AG44" s="47" t="s">
        <v>17</v>
      </c>
      <c r="AH44" s="47" t="s">
        <v>18</v>
      </c>
      <c r="AI44" s="48"/>
      <c r="AK44" s="49"/>
    </row>
    <row r="45" spans="1:37" outlineLevel="1" x14ac:dyDescent="0.55000000000000004">
      <c r="A45" s="98"/>
      <c r="B45" s="58"/>
      <c r="C45" s="43"/>
      <c r="G45" s="43"/>
      <c r="K45" s="43"/>
      <c r="O45" s="43"/>
      <c r="S45" s="43"/>
      <c r="W45" s="43"/>
      <c r="X45" s="63"/>
      <c r="AF45" s="7"/>
      <c r="AG45" s="47"/>
      <c r="AH45" s="47"/>
    </row>
    <row r="46" spans="1:37" ht="18.3" x14ac:dyDescent="0.7">
      <c r="A46" s="99" t="s">
        <v>37</v>
      </c>
      <c r="B46" s="70"/>
      <c r="C46" s="74">
        <f>SUM(C38:C45)</f>
        <v>0</v>
      </c>
      <c r="D46" s="71"/>
      <c r="E46" s="100"/>
      <c r="F46" s="75"/>
      <c r="G46" s="74">
        <f>SUM(G38:G45)</f>
        <v>0</v>
      </c>
      <c r="H46" s="71"/>
      <c r="I46" s="100"/>
      <c r="J46" s="101"/>
      <c r="K46" s="74">
        <f>SUM(K38:K45)</f>
        <v>0</v>
      </c>
      <c r="L46" s="71"/>
      <c r="M46" s="100"/>
      <c r="N46" s="75"/>
      <c r="O46" s="74">
        <f>SUM(O38:O45)</f>
        <v>0</v>
      </c>
      <c r="P46" s="71"/>
      <c r="Q46" s="100"/>
      <c r="R46" s="75"/>
      <c r="S46" s="74">
        <f>SUM(S38:S45)</f>
        <v>0</v>
      </c>
      <c r="T46" s="71"/>
      <c r="U46" s="100"/>
      <c r="V46" s="75"/>
      <c r="W46" s="74">
        <f>SUM(W38:W45)</f>
        <v>0</v>
      </c>
      <c r="X46" s="76">
        <f>+C46+G46+K46+O46+W46</f>
        <v>0</v>
      </c>
      <c r="Y46" s="7"/>
      <c r="Z46" s="7"/>
      <c r="AA46" s="7"/>
      <c r="AB46" s="7"/>
      <c r="AC46" s="7"/>
      <c r="AF46" s="7"/>
      <c r="AG46" s="34"/>
      <c r="AH46" s="34" t="s">
        <v>14</v>
      </c>
      <c r="AI46" s="34"/>
    </row>
    <row r="47" spans="1:37" ht="15.6" outlineLevel="1" x14ac:dyDescent="0.6">
      <c r="A47" s="35" t="s">
        <v>38</v>
      </c>
      <c r="B47" s="102"/>
      <c r="C47" s="84"/>
      <c r="E47" s="103"/>
      <c r="F47" s="105"/>
      <c r="G47" s="85"/>
      <c r="I47" s="103"/>
      <c r="J47" s="104"/>
      <c r="K47" s="85"/>
      <c r="M47" s="103"/>
      <c r="N47" s="105"/>
      <c r="O47" s="85"/>
      <c r="Q47" s="103"/>
      <c r="R47" s="105"/>
      <c r="S47" s="85"/>
      <c r="U47" s="103"/>
      <c r="V47" s="105"/>
      <c r="W47" s="85"/>
      <c r="X47" s="63"/>
      <c r="AF47" s="7"/>
      <c r="AG47" s="47"/>
      <c r="AH47" s="106"/>
    </row>
    <row r="48" spans="1:37" ht="15.6" outlineLevel="1" x14ac:dyDescent="0.6">
      <c r="A48" s="107" t="s">
        <v>39</v>
      </c>
      <c r="B48" s="39" t="s">
        <v>40</v>
      </c>
      <c r="C48" s="43">
        <v>0</v>
      </c>
      <c r="D48" s="40">
        <v>0</v>
      </c>
      <c r="E48" s="41">
        <v>0</v>
      </c>
      <c r="F48" s="42">
        <v>1</v>
      </c>
      <c r="G48" s="43">
        <f>D48*E48*F48</f>
        <v>0</v>
      </c>
      <c r="H48" s="40">
        <f>D48</f>
        <v>0</v>
      </c>
      <c r="I48" s="41">
        <v>0</v>
      </c>
      <c r="J48" s="42">
        <v>1</v>
      </c>
      <c r="K48" s="43">
        <f>H48*I48*J48</f>
        <v>0</v>
      </c>
      <c r="L48" s="40">
        <f>H48</f>
        <v>0</v>
      </c>
      <c r="M48" s="41">
        <v>0</v>
      </c>
      <c r="N48" s="42">
        <v>1</v>
      </c>
      <c r="O48" s="43">
        <f>L48*M48*N48</f>
        <v>0</v>
      </c>
      <c r="P48" s="40">
        <f>H48</f>
        <v>0</v>
      </c>
      <c r="Q48" s="41">
        <v>0</v>
      </c>
      <c r="R48" s="42">
        <v>1</v>
      </c>
      <c r="S48" s="43">
        <f>P48*Q48*R48</f>
        <v>0</v>
      </c>
      <c r="T48" s="40">
        <f>L48</f>
        <v>0</v>
      </c>
      <c r="U48" s="41">
        <v>0</v>
      </c>
      <c r="V48" s="42">
        <v>1</v>
      </c>
      <c r="W48" s="43">
        <f>T48*U48*V48</f>
        <v>0</v>
      </c>
      <c r="X48" s="65">
        <f t="shared" ref="X48:X53" si="26">C48+G48+K48+O48+W48+S48</f>
        <v>0</v>
      </c>
      <c r="AF48" s="7"/>
      <c r="AG48" s="47"/>
      <c r="AH48" s="106"/>
    </row>
    <row r="49" spans="1:34" ht="15.6" outlineLevel="1" x14ac:dyDescent="0.6">
      <c r="A49" s="107" t="s">
        <v>39</v>
      </c>
      <c r="B49" s="39" t="s">
        <v>41</v>
      </c>
      <c r="C49" s="43">
        <v>0</v>
      </c>
      <c r="D49" s="40">
        <v>0</v>
      </c>
      <c r="E49" s="41">
        <v>0</v>
      </c>
      <c r="F49" s="42">
        <v>1</v>
      </c>
      <c r="G49" s="43">
        <f t="shared" ref="G49:G53" si="27">D49*E49*F49</f>
        <v>0</v>
      </c>
      <c r="H49" s="40">
        <f t="shared" ref="H49:H53" si="28">D49</f>
        <v>0</v>
      </c>
      <c r="I49" s="41">
        <v>0</v>
      </c>
      <c r="J49" s="42">
        <v>1</v>
      </c>
      <c r="K49" s="43">
        <f t="shared" ref="K49:K53" si="29">H49*I49*J49</f>
        <v>0</v>
      </c>
      <c r="L49" s="40">
        <f t="shared" ref="L49:L53" si="30">H49</f>
        <v>0</v>
      </c>
      <c r="M49" s="41">
        <v>0</v>
      </c>
      <c r="N49" s="42">
        <v>1</v>
      </c>
      <c r="O49" s="43">
        <f t="shared" ref="O49:O53" si="31">L49*M49*N49</f>
        <v>0</v>
      </c>
      <c r="P49" s="40">
        <f t="shared" ref="P49:P53" si="32">H49</f>
        <v>0</v>
      </c>
      <c r="Q49" s="41">
        <v>0</v>
      </c>
      <c r="R49" s="42">
        <v>1</v>
      </c>
      <c r="S49" s="43">
        <f t="shared" ref="S49:S53" si="33">P49*Q49*R49</f>
        <v>0</v>
      </c>
      <c r="T49" s="40">
        <f>L49</f>
        <v>0</v>
      </c>
      <c r="U49" s="41">
        <v>0</v>
      </c>
      <c r="V49" s="42">
        <v>1</v>
      </c>
      <c r="W49" s="43">
        <f t="shared" ref="W49:W53" si="34">T49*U49*V49</f>
        <v>0</v>
      </c>
      <c r="X49" s="65">
        <f t="shared" si="26"/>
        <v>0</v>
      </c>
      <c r="AF49" s="7"/>
      <c r="AG49" s="47"/>
      <c r="AH49" s="106"/>
    </row>
    <row r="50" spans="1:34" ht="15.6" outlineLevel="1" x14ac:dyDescent="0.6">
      <c r="A50" s="107" t="s">
        <v>39</v>
      </c>
      <c r="B50" s="39" t="s">
        <v>42</v>
      </c>
      <c r="C50" s="43">
        <v>0</v>
      </c>
      <c r="D50" s="40">
        <v>0</v>
      </c>
      <c r="E50" s="41">
        <v>0</v>
      </c>
      <c r="F50" s="42">
        <v>1</v>
      </c>
      <c r="G50" s="43">
        <f t="shared" si="27"/>
        <v>0</v>
      </c>
      <c r="H50" s="40">
        <f t="shared" si="28"/>
        <v>0</v>
      </c>
      <c r="I50" s="41">
        <v>0</v>
      </c>
      <c r="J50" s="42">
        <v>1</v>
      </c>
      <c r="K50" s="43">
        <f t="shared" si="29"/>
        <v>0</v>
      </c>
      <c r="L50" s="40">
        <f t="shared" si="30"/>
        <v>0</v>
      </c>
      <c r="M50" s="41">
        <v>0</v>
      </c>
      <c r="N50" s="42">
        <v>1</v>
      </c>
      <c r="O50" s="43">
        <f t="shared" si="31"/>
        <v>0</v>
      </c>
      <c r="P50" s="40">
        <f t="shared" si="32"/>
        <v>0</v>
      </c>
      <c r="Q50" s="41">
        <v>0</v>
      </c>
      <c r="R50" s="42">
        <v>1</v>
      </c>
      <c r="S50" s="43">
        <f t="shared" si="33"/>
        <v>0</v>
      </c>
      <c r="T50" s="40">
        <f t="shared" ref="T50:T53" si="35">L50</f>
        <v>0</v>
      </c>
      <c r="U50" s="41">
        <v>0</v>
      </c>
      <c r="V50" s="42">
        <v>1</v>
      </c>
      <c r="W50" s="43">
        <f t="shared" si="34"/>
        <v>0</v>
      </c>
      <c r="X50" s="65">
        <f t="shared" si="26"/>
        <v>0</v>
      </c>
      <c r="AF50" s="7"/>
      <c r="AG50" s="47"/>
      <c r="AH50" s="106"/>
    </row>
    <row r="51" spans="1:34" ht="15.6" outlineLevel="1" x14ac:dyDescent="0.6">
      <c r="A51" s="107" t="s">
        <v>39</v>
      </c>
      <c r="B51" s="39" t="s">
        <v>16</v>
      </c>
      <c r="C51" s="43">
        <v>0</v>
      </c>
      <c r="D51" s="40">
        <v>0</v>
      </c>
      <c r="E51" s="41">
        <v>0</v>
      </c>
      <c r="F51" s="42">
        <v>1</v>
      </c>
      <c r="G51" s="43">
        <f t="shared" si="27"/>
        <v>0</v>
      </c>
      <c r="H51" s="40">
        <f t="shared" si="28"/>
        <v>0</v>
      </c>
      <c r="I51" s="41">
        <v>0</v>
      </c>
      <c r="J51" s="42">
        <v>1</v>
      </c>
      <c r="K51" s="43">
        <f t="shared" si="29"/>
        <v>0</v>
      </c>
      <c r="L51" s="40">
        <f t="shared" si="30"/>
        <v>0</v>
      </c>
      <c r="M51" s="41">
        <v>0</v>
      </c>
      <c r="N51" s="42">
        <v>1</v>
      </c>
      <c r="O51" s="43">
        <f t="shared" si="31"/>
        <v>0</v>
      </c>
      <c r="P51" s="40">
        <f t="shared" si="32"/>
        <v>0</v>
      </c>
      <c r="Q51" s="41">
        <v>0</v>
      </c>
      <c r="R51" s="42">
        <v>1</v>
      </c>
      <c r="S51" s="43">
        <f t="shared" si="33"/>
        <v>0</v>
      </c>
      <c r="T51" s="40">
        <f t="shared" si="35"/>
        <v>0</v>
      </c>
      <c r="U51" s="41">
        <v>0</v>
      </c>
      <c r="V51" s="42">
        <v>1</v>
      </c>
      <c r="W51" s="43">
        <f t="shared" si="34"/>
        <v>0</v>
      </c>
      <c r="X51" s="65">
        <f t="shared" si="26"/>
        <v>0</v>
      </c>
      <c r="AF51" s="7"/>
      <c r="AG51" s="47"/>
      <c r="AH51" s="106"/>
    </row>
    <row r="52" spans="1:34" ht="15.6" outlineLevel="1" x14ac:dyDescent="0.6">
      <c r="A52" s="107" t="s">
        <v>39</v>
      </c>
      <c r="B52" s="39" t="s">
        <v>41</v>
      </c>
      <c r="C52" s="43">
        <v>0</v>
      </c>
      <c r="D52" s="40">
        <v>0</v>
      </c>
      <c r="E52" s="41">
        <v>0</v>
      </c>
      <c r="F52" s="42">
        <v>1</v>
      </c>
      <c r="G52" s="43">
        <f t="shared" si="27"/>
        <v>0</v>
      </c>
      <c r="H52" s="40">
        <f t="shared" si="28"/>
        <v>0</v>
      </c>
      <c r="I52" s="41">
        <v>0</v>
      </c>
      <c r="J52" s="42">
        <v>1</v>
      </c>
      <c r="K52" s="43">
        <f t="shared" si="29"/>
        <v>0</v>
      </c>
      <c r="L52" s="40">
        <f t="shared" si="30"/>
        <v>0</v>
      </c>
      <c r="M52" s="41">
        <v>0</v>
      </c>
      <c r="N52" s="42">
        <v>1</v>
      </c>
      <c r="O52" s="43">
        <f t="shared" si="31"/>
        <v>0</v>
      </c>
      <c r="P52" s="40">
        <f t="shared" si="32"/>
        <v>0</v>
      </c>
      <c r="Q52" s="41">
        <v>0</v>
      </c>
      <c r="R52" s="42">
        <v>1</v>
      </c>
      <c r="S52" s="43">
        <f t="shared" si="33"/>
        <v>0</v>
      </c>
      <c r="T52" s="40">
        <f t="shared" si="35"/>
        <v>0</v>
      </c>
      <c r="U52" s="41">
        <v>0</v>
      </c>
      <c r="V52" s="42">
        <v>1</v>
      </c>
      <c r="W52" s="43">
        <f t="shared" si="34"/>
        <v>0</v>
      </c>
      <c r="X52" s="65">
        <f t="shared" si="26"/>
        <v>0</v>
      </c>
      <c r="AF52" s="7"/>
      <c r="AG52" s="47"/>
      <c r="AH52" s="106"/>
    </row>
    <row r="53" spans="1:34" ht="15.6" outlineLevel="1" x14ac:dyDescent="0.6">
      <c r="A53" s="107" t="s">
        <v>39</v>
      </c>
      <c r="B53" s="39" t="s">
        <v>16</v>
      </c>
      <c r="C53" s="43">
        <v>0</v>
      </c>
      <c r="D53" s="40">
        <v>0</v>
      </c>
      <c r="E53" s="41">
        <v>0</v>
      </c>
      <c r="F53" s="42">
        <v>1</v>
      </c>
      <c r="G53" s="43">
        <f t="shared" si="27"/>
        <v>0</v>
      </c>
      <c r="H53" s="40">
        <f t="shared" si="28"/>
        <v>0</v>
      </c>
      <c r="I53" s="41">
        <v>0</v>
      </c>
      <c r="J53" s="42">
        <v>1</v>
      </c>
      <c r="K53" s="43">
        <f t="shared" si="29"/>
        <v>0</v>
      </c>
      <c r="L53" s="40">
        <f t="shared" si="30"/>
        <v>0</v>
      </c>
      <c r="M53" s="41">
        <v>0</v>
      </c>
      <c r="N53" s="42">
        <v>1</v>
      </c>
      <c r="O53" s="43">
        <f t="shared" si="31"/>
        <v>0</v>
      </c>
      <c r="P53" s="40">
        <f t="shared" si="32"/>
        <v>0</v>
      </c>
      <c r="Q53" s="41">
        <v>0</v>
      </c>
      <c r="R53" s="42">
        <v>1</v>
      </c>
      <c r="S53" s="43">
        <f t="shared" si="33"/>
        <v>0</v>
      </c>
      <c r="T53" s="40">
        <f t="shared" si="35"/>
        <v>0</v>
      </c>
      <c r="U53" s="41">
        <v>0</v>
      </c>
      <c r="V53" s="42">
        <v>1</v>
      </c>
      <c r="W53" s="43">
        <f t="shared" si="34"/>
        <v>0</v>
      </c>
      <c r="X53" s="65">
        <f t="shared" si="26"/>
        <v>0</v>
      </c>
      <c r="AF53" s="7"/>
      <c r="AG53" s="47"/>
      <c r="AH53" s="106"/>
    </row>
    <row r="54" spans="1:34" ht="15.6" outlineLevel="1" x14ac:dyDescent="0.6">
      <c r="A54" s="107"/>
      <c r="B54" s="39"/>
      <c r="C54" s="43"/>
      <c r="D54" s="40"/>
      <c r="E54" s="41"/>
      <c r="F54" s="42"/>
      <c r="G54" s="43"/>
      <c r="H54" s="40"/>
      <c r="I54" s="41"/>
      <c r="J54" s="42"/>
      <c r="K54" s="43"/>
      <c r="L54" s="40"/>
      <c r="M54" s="41"/>
      <c r="N54" s="42"/>
      <c r="O54" s="43"/>
      <c r="P54" s="40"/>
      <c r="Q54" s="41"/>
      <c r="R54" s="42"/>
      <c r="S54" s="43"/>
      <c r="T54" s="40"/>
      <c r="U54" s="41"/>
      <c r="V54" s="42"/>
      <c r="W54" s="43"/>
      <c r="X54" s="65"/>
      <c r="AF54" s="7"/>
      <c r="AG54" s="47"/>
      <c r="AH54" s="106"/>
    </row>
    <row r="55" spans="1:34" ht="18.3" outlineLevel="1" x14ac:dyDescent="0.7">
      <c r="A55" s="99" t="s">
        <v>43</v>
      </c>
      <c r="B55" s="70"/>
      <c r="C55" s="74">
        <f>SUM(C48:C54)</f>
        <v>0</v>
      </c>
      <c r="D55" s="71"/>
      <c r="E55" s="100"/>
      <c r="F55" s="75"/>
      <c r="G55" s="74">
        <f>SUM(G48:G54)</f>
        <v>0</v>
      </c>
      <c r="H55" s="71"/>
      <c r="I55" s="100"/>
      <c r="J55" s="101"/>
      <c r="K55" s="74">
        <f>SUM(K48:K54)</f>
        <v>0</v>
      </c>
      <c r="L55" s="71"/>
      <c r="M55" s="100"/>
      <c r="N55" s="75"/>
      <c r="O55" s="74">
        <f>SUM(O48:O54)</f>
        <v>0</v>
      </c>
      <c r="P55" s="71"/>
      <c r="Q55" s="100"/>
      <c r="R55" s="75"/>
      <c r="S55" s="74">
        <f>SUM(S48:S54)</f>
        <v>0</v>
      </c>
      <c r="T55" s="71"/>
      <c r="U55" s="100"/>
      <c r="V55" s="75"/>
      <c r="W55" s="74">
        <f>SUM(W48:W54)</f>
        <v>0</v>
      </c>
      <c r="X55" s="74">
        <f>SUM(X48:X54)</f>
        <v>0</v>
      </c>
      <c r="AF55" s="7"/>
      <c r="AG55" s="47"/>
      <c r="AH55" s="106"/>
    </row>
    <row r="56" spans="1:34" ht="15.6" outlineLevel="1" x14ac:dyDescent="0.6">
      <c r="A56" s="35" t="s">
        <v>44</v>
      </c>
      <c r="B56" s="108"/>
      <c r="C56" s="43"/>
      <c r="E56" s="103"/>
      <c r="G56" s="63"/>
      <c r="I56" s="103"/>
      <c r="K56" s="63"/>
      <c r="M56" s="103"/>
      <c r="O56" s="63"/>
      <c r="Q56" s="103"/>
      <c r="S56" s="63"/>
      <c r="U56" s="103"/>
      <c r="W56" s="63"/>
      <c r="X56" s="63"/>
      <c r="AF56" s="7"/>
    </row>
    <row r="57" spans="1:34" outlineLevel="1" x14ac:dyDescent="0.55000000000000004">
      <c r="A57" s="38" t="s">
        <v>45</v>
      </c>
      <c r="B57" s="58"/>
      <c r="C57" s="43">
        <v>0</v>
      </c>
      <c r="E57" s="109"/>
      <c r="F57" s="4"/>
      <c r="G57" s="43">
        <f t="shared" ref="G57" si="36">D57*E57*F57</f>
        <v>0</v>
      </c>
      <c r="I57" s="109"/>
      <c r="K57" s="43">
        <f t="shared" ref="K57" si="37">H57*I57*J57</f>
        <v>0</v>
      </c>
      <c r="M57" s="109"/>
      <c r="N57" s="4"/>
      <c r="O57" s="43">
        <f t="shared" ref="O57" si="38">L57*M57*N57</f>
        <v>0</v>
      </c>
      <c r="Q57" s="109"/>
      <c r="R57" s="4"/>
      <c r="S57" s="43">
        <f t="shared" ref="S57" si="39">P57*Q57*R57</f>
        <v>0</v>
      </c>
      <c r="U57" s="109"/>
      <c r="V57" s="4"/>
      <c r="W57" s="43">
        <f t="shared" ref="W57" si="40">T57*U57*V57</f>
        <v>0</v>
      </c>
      <c r="X57" s="65">
        <f t="shared" ref="X57" si="41">C57+G57+K57+O57+W57+S57</f>
        <v>0</v>
      </c>
      <c r="AF57" s="7">
        <v>298</v>
      </c>
      <c r="AG57" s="47" t="s">
        <v>46</v>
      </c>
      <c r="AH57" s="47" t="s">
        <v>47</v>
      </c>
    </row>
    <row r="58" spans="1:34" ht="18.3" outlineLevel="1" x14ac:dyDescent="0.7">
      <c r="A58" s="99" t="s">
        <v>48</v>
      </c>
      <c r="B58" s="70"/>
      <c r="C58" s="74">
        <f>SUM(C57:C57)</f>
        <v>0</v>
      </c>
      <c r="D58" s="71"/>
      <c r="E58" s="100"/>
      <c r="F58" s="75"/>
      <c r="G58" s="74">
        <f>SUM(G57:G57)</f>
        <v>0</v>
      </c>
      <c r="H58" s="71"/>
      <c r="I58" s="100"/>
      <c r="J58" s="101"/>
      <c r="K58" s="74">
        <f>SUM(K57:K57)</f>
        <v>0</v>
      </c>
      <c r="L58" s="71"/>
      <c r="M58" s="100"/>
      <c r="N58" s="75"/>
      <c r="O58" s="74">
        <f>SUM(O57:O57)</f>
        <v>0</v>
      </c>
      <c r="P58" s="71"/>
      <c r="Q58" s="100"/>
      <c r="R58" s="75"/>
      <c r="S58" s="74">
        <f>SUM(S57:S57)</f>
        <v>0</v>
      </c>
      <c r="T58" s="71"/>
      <c r="U58" s="100"/>
      <c r="V58" s="75"/>
      <c r="W58" s="74">
        <f>SUM(W57:W57)</f>
        <v>0</v>
      </c>
      <c r="X58" s="76">
        <f>+C58+G58+K58+O58+W58</f>
        <v>0</v>
      </c>
      <c r="AF58" s="7"/>
      <c r="AG58" s="47"/>
      <c r="AH58" s="106"/>
    </row>
    <row r="59" spans="1:34" ht="15.6" outlineLevel="1" x14ac:dyDescent="0.6">
      <c r="A59" s="35" t="s">
        <v>49</v>
      </c>
      <c r="B59" s="58"/>
      <c r="C59" s="43"/>
      <c r="E59" s="103"/>
      <c r="F59" s="4"/>
      <c r="G59" s="43"/>
      <c r="I59" s="103"/>
      <c r="K59" s="43"/>
      <c r="M59" s="103"/>
      <c r="N59" s="4"/>
      <c r="O59" s="43"/>
      <c r="Q59" s="103"/>
      <c r="R59" s="4"/>
      <c r="S59" s="43"/>
      <c r="U59" s="103"/>
      <c r="V59" s="4"/>
      <c r="W59" s="43"/>
      <c r="X59" s="63"/>
      <c r="AF59" s="7"/>
      <c r="AG59" s="47"/>
      <c r="AH59" s="47"/>
    </row>
    <row r="60" spans="1:34" ht="15.6" outlineLevel="1" x14ac:dyDescent="0.6">
      <c r="A60" s="107" t="s">
        <v>39</v>
      </c>
      <c r="B60" s="39" t="s">
        <v>16</v>
      </c>
      <c r="C60" s="43">
        <v>0</v>
      </c>
      <c r="D60" s="40">
        <v>0</v>
      </c>
      <c r="E60" s="41">
        <v>0</v>
      </c>
      <c r="F60" s="42">
        <v>1</v>
      </c>
      <c r="G60" s="43">
        <f t="shared" ref="G60:G62" si="42">D60*E60*F60</f>
        <v>0</v>
      </c>
      <c r="H60" s="40">
        <f>D60*$B$7</f>
        <v>0</v>
      </c>
      <c r="I60" s="41">
        <v>0</v>
      </c>
      <c r="J60" s="42">
        <v>1</v>
      </c>
      <c r="K60" s="43">
        <f t="shared" ref="K60:K62" si="43">H60*I60*J60</f>
        <v>0</v>
      </c>
      <c r="L60" s="40">
        <f>H60*$B$7</f>
        <v>0</v>
      </c>
      <c r="M60" s="41">
        <v>0</v>
      </c>
      <c r="N60" s="42">
        <v>1</v>
      </c>
      <c r="O60" s="43">
        <f t="shared" ref="O60:O62" si="44">L60*M60*N60</f>
        <v>0</v>
      </c>
      <c r="P60" s="40">
        <f>L60*$B$7</f>
        <v>0</v>
      </c>
      <c r="Q60" s="41">
        <v>0</v>
      </c>
      <c r="R60" s="42">
        <v>1</v>
      </c>
      <c r="S60" s="43">
        <f t="shared" ref="S60:S63" si="45">P60*Q60*R60</f>
        <v>0</v>
      </c>
      <c r="T60" s="40">
        <f>P60*$B$7</f>
        <v>0</v>
      </c>
      <c r="U60" s="41">
        <v>0</v>
      </c>
      <c r="V60" s="42">
        <v>1</v>
      </c>
      <c r="W60" s="43">
        <f t="shared" ref="W60:W62" si="46">T60*U60*V60</f>
        <v>0</v>
      </c>
      <c r="X60" s="65">
        <f t="shared" ref="X60:X63" si="47">C60+G60+K60+O60+W60+S60</f>
        <v>0</v>
      </c>
      <c r="AF60" s="7"/>
      <c r="AG60" s="47"/>
      <c r="AH60" s="106"/>
    </row>
    <row r="61" spans="1:34" ht="15.6" outlineLevel="1" x14ac:dyDescent="0.6">
      <c r="A61" s="107" t="s">
        <v>39</v>
      </c>
      <c r="B61" s="39" t="s">
        <v>16</v>
      </c>
      <c r="C61" s="43">
        <v>0</v>
      </c>
      <c r="D61" s="40">
        <v>0</v>
      </c>
      <c r="E61" s="41">
        <v>0</v>
      </c>
      <c r="F61" s="42">
        <v>1</v>
      </c>
      <c r="G61" s="43">
        <f t="shared" si="42"/>
        <v>0</v>
      </c>
      <c r="H61" s="40">
        <f t="shared" ref="H61:H63" si="48">D61*$B$7</f>
        <v>0</v>
      </c>
      <c r="I61" s="41">
        <v>0</v>
      </c>
      <c r="J61" s="42">
        <v>1</v>
      </c>
      <c r="K61" s="43">
        <f t="shared" si="43"/>
        <v>0</v>
      </c>
      <c r="L61" s="40">
        <f t="shared" ref="L61:L63" si="49">H61*$B$7</f>
        <v>0</v>
      </c>
      <c r="M61" s="41">
        <v>0</v>
      </c>
      <c r="N61" s="42">
        <v>1</v>
      </c>
      <c r="O61" s="43">
        <f t="shared" si="44"/>
        <v>0</v>
      </c>
      <c r="P61" s="40">
        <f t="shared" ref="P61:P63" si="50">L61*$B$7</f>
        <v>0</v>
      </c>
      <c r="Q61" s="41">
        <v>0</v>
      </c>
      <c r="R61" s="42">
        <v>1</v>
      </c>
      <c r="S61" s="43">
        <f t="shared" si="45"/>
        <v>0</v>
      </c>
      <c r="T61" s="40">
        <f t="shared" ref="T61:T63" si="51">P61*$B$7</f>
        <v>0</v>
      </c>
      <c r="U61" s="41">
        <v>0</v>
      </c>
      <c r="V61" s="42">
        <v>1</v>
      </c>
      <c r="W61" s="43">
        <f t="shared" si="46"/>
        <v>0</v>
      </c>
      <c r="X61" s="65">
        <f t="shared" si="47"/>
        <v>0</v>
      </c>
      <c r="AF61" s="7"/>
      <c r="AG61" s="47"/>
      <c r="AH61" s="106"/>
    </row>
    <row r="62" spans="1:34" ht="15.6" outlineLevel="1" x14ac:dyDescent="0.6">
      <c r="A62" s="107" t="s">
        <v>39</v>
      </c>
      <c r="B62" s="39" t="s">
        <v>16</v>
      </c>
      <c r="C62" s="43">
        <v>0</v>
      </c>
      <c r="D62" s="40">
        <v>0</v>
      </c>
      <c r="E62" s="41">
        <v>0</v>
      </c>
      <c r="F62" s="42">
        <v>1</v>
      </c>
      <c r="G62" s="43">
        <f t="shared" si="42"/>
        <v>0</v>
      </c>
      <c r="H62" s="40">
        <f t="shared" si="48"/>
        <v>0</v>
      </c>
      <c r="I62" s="41">
        <v>0</v>
      </c>
      <c r="J62" s="42">
        <v>1</v>
      </c>
      <c r="K62" s="43">
        <f t="shared" si="43"/>
        <v>0</v>
      </c>
      <c r="L62" s="40">
        <f t="shared" si="49"/>
        <v>0</v>
      </c>
      <c r="M62" s="41">
        <v>0</v>
      </c>
      <c r="N62" s="42">
        <v>1</v>
      </c>
      <c r="O62" s="43">
        <f t="shared" si="44"/>
        <v>0</v>
      </c>
      <c r="P62" s="40">
        <f t="shared" si="50"/>
        <v>0</v>
      </c>
      <c r="Q62" s="41">
        <v>0</v>
      </c>
      <c r="R62" s="42">
        <v>1</v>
      </c>
      <c r="S62" s="43">
        <f t="shared" si="45"/>
        <v>0</v>
      </c>
      <c r="T62" s="40">
        <f t="shared" si="51"/>
        <v>0</v>
      </c>
      <c r="U62" s="41">
        <v>0</v>
      </c>
      <c r="V62" s="42">
        <v>1</v>
      </c>
      <c r="W62" s="43">
        <f t="shared" si="46"/>
        <v>0</v>
      </c>
      <c r="X62" s="65">
        <f t="shared" si="47"/>
        <v>0</v>
      </c>
      <c r="AF62" s="7"/>
      <c r="AG62" s="47"/>
      <c r="AH62" s="106"/>
    </row>
    <row r="63" spans="1:34" ht="15.6" outlineLevel="1" x14ac:dyDescent="0.6">
      <c r="A63" s="107" t="s">
        <v>39</v>
      </c>
      <c r="B63" s="39" t="s">
        <v>16</v>
      </c>
      <c r="C63" s="43">
        <v>0</v>
      </c>
      <c r="D63" s="40">
        <v>0</v>
      </c>
      <c r="E63" s="41">
        <v>0</v>
      </c>
      <c r="F63" s="42">
        <v>1</v>
      </c>
      <c r="G63" s="43">
        <f t="shared" ref="G63" si="52">D63*E63*F63</f>
        <v>0</v>
      </c>
      <c r="H63" s="40">
        <f t="shared" si="48"/>
        <v>0</v>
      </c>
      <c r="I63" s="41">
        <v>0</v>
      </c>
      <c r="J63" s="42">
        <v>1</v>
      </c>
      <c r="K63" s="43">
        <f t="shared" ref="K63" si="53">H63*I63*J63</f>
        <v>0</v>
      </c>
      <c r="L63" s="40">
        <f t="shared" si="49"/>
        <v>0</v>
      </c>
      <c r="M63" s="41">
        <v>0</v>
      </c>
      <c r="N63" s="42">
        <v>1</v>
      </c>
      <c r="O63" s="43">
        <f t="shared" ref="O63" si="54">L63*M63*N63</f>
        <v>0</v>
      </c>
      <c r="P63" s="40">
        <f t="shared" si="50"/>
        <v>0</v>
      </c>
      <c r="Q63" s="41">
        <v>0</v>
      </c>
      <c r="R63" s="42">
        <v>1</v>
      </c>
      <c r="S63" s="43">
        <f t="shared" si="45"/>
        <v>0</v>
      </c>
      <c r="T63" s="40">
        <f t="shared" si="51"/>
        <v>0</v>
      </c>
      <c r="U63" s="41">
        <v>0</v>
      </c>
      <c r="V63" s="42">
        <v>1</v>
      </c>
      <c r="W63" s="43">
        <f t="shared" ref="W63" si="55">T63*U63*V63</f>
        <v>0</v>
      </c>
      <c r="X63" s="65">
        <f t="shared" si="47"/>
        <v>0</v>
      </c>
      <c r="AF63" s="7"/>
      <c r="AG63" s="47"/>
      <c r="AH63" s="106"/>
    </row>
    <row r="64" spans="1:34" ht="18.3" outlineLevel="1" x14ac:dyDescent="0.7">
      <c r="A64" s="99" t="s">
        <v>50</v>
      </c>
      <c r="B64" s="70"/>
      <c r="C64" s="74">
        <f>SUM(C59:C63)</f>
        <v>0</v>
      </c>
      <c r="D64" s="71"/>
      <c r="E64" s="100"/>
      <c r="F64" s="75"/>
      <c r="G64" s="74">
        <f>SUM(G59:G63)</f>
        <v>0</v>
      </c>
      <c r="H64" s="71"/>
      <c r="I64" s="100"/>
      <c r="J64" s="101"/>
      <c r="K64" s="74">
        <f>SUM(K59:K63)</f>
        <v>0</v>
      </c>
      <c r="L64" s="71"/>
      <c r="M64" s="100"/>
      <c r="N64" s="75"/>
      <c r="O64" s="74">
        <f>SUM(O59:O63)</f>
        <v>0</v>
      </c>
      <c r="P64" s="71"/>
      <c r="Q64" s="100"/>
      <c r="R64" s="75"/>
      <c r="S64" s="74">
        <f>SUM(S59:S63)</f>
        <v>0</v>
      </c>
      <c r="T64" s="71"/>
      <c r="U64" s="100"/>
      <c r="V64" s="75"/>
      <c r="W64" s="74">
        <f>SUM(W59:W63)</f>
        <v>0</v>
      </c>
      <c r="X64" s="74">
        <f>SUM(X59:X63)</f>
        <v>0</v>
      </c>
      <c r="AF64" s="7">
        <v>236</v>
      </c>
      <c r="AG64" s="47" t="s">
        <v>51</v>
      </c>
      <c r="AH64" s="106" t="s">
        <v>52</v>
      </c>
    </row>
    <row r="65" spans="1:34" ht="15.6" outlineLevel="1" x14ac:dyDescent="0.6">
      <c r="A65" s="35" t="s">
        <v>53</v>
      </c>
      <c r="B65" s="102"/>
      <c r="C65" s="84"/>
      <c r="E65" s="103"/>
      <c r="F65" s="105"/>
      <c r="G65" s="85"/>
      <c r="I65" s="103"/>
      <c r="J65" s="104"/>
      <c r="K65" s="85"/>
      <c r="M65" s="103"/>
      <c r="N65" s="105"/>
      <c r="O65" s="85"/>
      <c r="Q65" s="103"/>
      <c r="R65" s="105"/>
      <c r="S65" s="85"/>
      <c r="U65" s="103"/>
      <c r="V65" s="105"/>
      <c r="W65" s="85"/>
      <c r="X65" s="63"/>
      <c r="AF65" s="7">
        <v>236</v>
      </c>
      <c r="AG65" s="47" t="s">
        <v>51</v>
      </c>
      <c r="AH65" s="106" t="s">
        <v>52</v>
      </c>
    </row>
    <row r="66" spans="1:34" ht="15.6" outlineLevel="1" x14ac:dyDescent="0.6">
      <c r="A66" s="107" t="s">
        <v>54</v>
      </c>
      <c r="B66" s="39" t="s">
        <v>40</v>
      </c>
      <c r="C66" s="43">
        <v>0</v>
      </c>
      <c r="D66" s="40">
        <v>0</v>
      </c>
      <c r="E66" s="41">
        <v>0</v>
      </c>
      <c r="F66" s="42">
        <v>1</v>
      </c>
      <c r="G66" s="43">
        <f t="shared" ref="G66:G67" si="56">D66*E66*F66</f>
        <v>0</v>
      </c>
      <c r="H66" s="40">
        <f t="shared" ref="H66:H67" si="57">D66*$B$7</f>
        <v>0</v>
      </c>
      <c r="I66" s="41">
        <v>0</v>
      </c>
      <c r="J66" s="42">
        <v>1</v>
      </c>
      <c r="K66" s="43">
        <f t="shared" ref="K66:K67" si="58">H66*I66*J66</f>
        <v>0</v>
      </c>
      <c r="L66" s="40">
        <f t="shared" ref="L66:L67" si="59">H66*$B$7</f>
        <v>0</v>
      </c>
      <c r="M66" s="41">
        <v>0</v>
      </c>
      <c r="N66" s="42">
        <v>1</v>
      </c>
      <c r="O66" s="43">
        <f t="shared" ref="O66:O67" si="60">L66*M66*N66</f>
        <v>0</v>
      </c>
      <c r="P66" s="40">
        <f t="shared" ref="P66:P67" si="61">L66*$B$7</f>
        <v>0</v>
      </c>
      <c r="Q66" s="41">
        <v>0</v>
      </c>
      <c r="R66" s="42">
        <v>1</v>
      </c>
      <c r="S66" s="43">
        <f t="shared" ref="S66:S67" si="62">P66*Q66*R66</f>
        <v>0</v>
      </c>
      <c r="T66" s="40">
        <f t="shared" ref="T66:T67" si="63">P66*$B$7</f>
        <v>0</v>
      </c>
      <c r="U66" s="41">
        <v>0</v>
      </c>
      <c r="V66" s="42">
        <v>1</v>
      </c>
      <c r="W66" s="43">
        <f t="shared" ref="W66:W67" si="64">T66*U66*V66</f>
        <v>0</v>
      </c>
      <c r="X66" s="65">
        <f t="shared" ref="X66:X67" si="65">C66+G66+K66+O66+W66+S66</f>
        <v>0</v>
      </c>
      <c r="AF66" s="7"/>
      <c r="AG66" s="47"/>
      <c r="AH66" s="106"/>
    </row>
    <row r="67" spans="1:34" ht="15.6" outlineLevel="1" x14ac:dyDescent="0.6">
      <c r="A67" s="107" t="s">
        <v>39</v>
      </c>
      <c r="B67" s="39" t="s">
        <v>40</v>
      </c>
      <c r="C67" s="43">
        <v>0</v>
      </c>
      <c r="D67" s="40">
        <v>0</v>
      </c>
      <c r="E67" s="41">
        <v>0</v>
      </c>
      <c r="F67" s="42">
        <v>1</v>
      </c>
      <c r="G67" s="43">
        <f t="shared" si="56"/>
        <v>0</v>
      </c>
      <c r="H67" s="40">
        <f t="shared" si="57"/>
        <v>0</v>
      </c>
      <c r="I67" s="41">
        <v>0</v>
      </c>
      <c r="J67" s="42">
        <v>1</v>
      </c>
      <c r="K67" s="43">
        <f t="shared" si="58"/>
        <v>0</v>
      </c>
      <c r="L67" s="40">
        <f t="shared" si="59"/>
        <v>0</v>
      </c>
      <c r="M67" s="41">
        <v>0</v>
      </c>
      <c r="N67" s="42">
        <v>1</v>
      </c>
      <c r="O67" s="43">
        <f t="shared" si="60"/>
        <v>0</v>
      </c>
      <c r="P67" s="40">
        <f t="shared" si="61"/>
        <v>0</v>
      </c>
      <c r="Q67" s="41">
        <v>0</v>
      </c>
      <c r="R67" s="42">
        <v>1</v>
      </c>
      <c r="S67" s="43">
        <f t="shared" si="62"/>
        <v>0</v>
      </c>
      <c r="T67" s="40">
        <f t="shared" si="63"/>
        <v>0</v>
      </c>
      <c r="U67" s="41">
        <v>0</v>
      </c>
      <c r="V67" s="42">
        <v>1</v>
      </c>
      <c r="W67" s="43">
        <f t="shared" si="64"/>
        <v>0</v>
      </c>
      <c r="X67" s="65">
        <f t="shared" si="65"/>
        <v>0</v>
      </c>
      <c r="AF67" s="7"/>
      <c r="AG67" s="47"/>
      <c r="AH67" s="47"/>
    </row>
    <row r="68" spans="1:34" outlineLevel="1" x14ac:dyDescent="0.55000000000000004">
      <c r="A68" s="38"/>
      <c r="B68" s="58"/>
      <c r="C68" s="43"/>
      <c r="E68" s="109"/>
      <c r="F68" s="4"/>
      <c r="G68" s="43"/>
      <c r="I68" s="109"/>
      <c r="K68" s="43"/>
      <c r="M68" s="109"/>
      <c r="N68" s="4"/>
      <c r="O68" s="43"/>
      <c r="Q68" s="109"/>
      <c r="R68" s="4"/>
      <c r="S68" s="43"/>
      <c r="U68" s="109"/>
      <c r="V68" s="4"/>
      <c r="W68" s="43"/>
      <c r="X68" s="63"/>
      <c r="AF68" s="7"/>
      <c r="AG68" s="47"/>
      <c r="AH68" s="47"/>
    </row>
    <row r="69" spans="1:34" ht="18.3" outlineLevel="1" x14ac:dyDescent="0.7">
      <c r="A69" s="99" t="s">
        <v>55</v>
      </c>
      <c r="B69" s="70"/>
      <c r="C69" s="74">
        <f>SUM(C66:C68)</f>
        <v>0</v>
      </c>
      <c r="D69" s="71"/>
      <c r="E69" s="100"/>
      <c r="F69" s="75"/>
      <c r="G69" s="74">
        <f>SUM(G66:G68)</f>
        <v>0</v>
      </c>
      <c r="H69" s="71"/>
      <c r="I69" s="100"/>
      <c r="J69" s="101"/>
      <c r="K69" s="74">
        <f>SUM(K66:K68)</f>
        <v>0</v>
      </c>
      <c r="L69" s="71"/>
      <c r="M69" s="100"/>
      <c r="N69" s="75"/>
      <c r="O69" s="74">
        <f>SUM(O66:O68)</f>
        <v>0</v>
      </c>
      <c r="P69" s="71"/>
      <c r="Q69" s="100"/>
      <c r="R69" s="75"/>
      <c r="S69" s="74">
        <f>SUM(S66:S68)</f>
        <v>0</v>
      </c>
      <c r="T69" s="71"/>
      <c r="U69" s="100"/>
      <c r="V69" s="75"/>
      <c r="W69" s="74">
        <f>SUM(W66:W68)</f>
        <v>0</v>
      </c>
      <c r="X69" s="74">
        <f>SUM(X66:X68)</f>
        <v>0</v>
      </c>
      <c r="AF69" s="7"/>
      <c r="AG69" s="47"/>
      <c r="AH69" s="106"/>
    </row>
    <row r="70" spans="1:34" ht="15.6" outlineLevel="1" x14ac:dyDescent="0.6">
      <c r="A70" s="110" t="s">
        <v>56</v>
      </c>
      <c r="B70" s="58"/>
      <c r="C70" s="84"/>
      <c r="D70" s="111"/>
      <c r="E70" s="112"/>
      <c r="G70" s="85"/>
      <c r="H70" s="111"/>
      <c r="I70" s="112"/>
      <c r="K70" s="85"/>
      <c r="L70" s="111"/>
      <c r="M70" s="112"/>
      <c r="O70" s="85"/>
      <c r="P70" s="111"/>
      <c r="Q70" s="112"/>
      <c r="S70" s="85"/>
      <c r="T70" s="111"/>
      <c r="U70" s="112"/>
      <c r="W70" s="85"/>
      <c r="X70" s="63"/>
      <c r="AF70" s="7"/>
      <c r="AG70" s="47"/>
      <c r="AH70" s="106"/>
    </row>
    <row r="71" spans="1:34" ht="15.6" outlineLevel="1" x14ac:dyDescent="0.6">
      <c r="A71" s="35" t="s">
        <v>57</v>
      </c>
      <c r="B71" s="58"/>
      <c r="C71" s="43"/>
      <c r="D71" s="111"/>
      <c r="E71" s="112"/>
      <c r="F71" s="4"/>
      <c r="G71" s="43"/>
      <c r="H71" s="111"/>
      <c r="I71" s="112"/>
      <c r="K71" s="43"/>
      <c r="L71" s="111"/>
      <c r="M71" s="112"/>
      <c r="N71" s="4"/>
      <c r="O71" s="43"/>
      <c r="P71" s="111"/>
      <c r="Q71" s="112"/>
      <c r="R71" s="4"/>
      <c r="S71" s="43"/>
      <c r="T71" s="111"/>
      <c r="U71" s="112"/>
      <c r="V71" s="4"/>
      <c r="W71" s="43"/>
      <c r="X71" s="63"/>
      <c r="AF71" s="7"/>
      <c r="AG71" s="47"/>
      <c r="AH71" s="106"/>
    </row>
    <row r="72" spans="1:34" ht="15.6" outlineLevel="1" x14ac:dyDescent="0.6">
      <c r="A72" s="107" t="s">
        <v>39</v>
      </c>
      <c r="B72" s="39" t="s">
        <v>57</v>
      </c>
      <c r="C72" s="43">
        <v>0</v>
      </c>
      <c r="D72" s="40">
        <v>0</v>
      </c>
      <c r="E72" s="41">
        <v>0</v>
      </c>
      <c r="F72" s="42">
        <v>1</v>
      </c>
      <c r="G72" s="43">
        <f t="shared" ref="G72:G75" si="66">D72*E72*F72</f>
        <v>0</v>
      </c>
      <c r="H72" s="40">
        <f t="shared" ref="H72:H75" si="67">D72*$B$7</f>
        <v>0</v>
      </c>
      <c r="I72" s="41">
        <v>0</v>
      </c>
      <c r="J72" s="42">
        <v>1</v>
      </c>
      <c r="K72" s="43">
        <f t="shared" ref="K72:K75" si="68">H72*I72*J72</f>
        <v>0</v>
      </c>
      <c r="L72" s="40">
        <f>H72*$B$7</f>
        <v>0</v>
      </c>
      <c r="M72" s="41">
        <v>0</v>
      </c>
      <c r="N72" s="42">
        <v>1</v>
      </c>
      <c r="O72" s="43">
        <f t="shared" ref="O72:O75" si="69">L72*M72*N72</f>
        <v>0</v>
      </c>
      <c r="P72" s="40">
        <f>L72*$B$7</f>
        <v>0</v>
      </c>
      <c r="Q72" s="41">
        <v>0</v>
      </c>
      <c r="R72" s="42">
        <v>1</v>
      </c>
      <c r="S72" s="43">
        <f t="shared" ref="S72:S75" si="70">P72*Q72*R72</f>
        <v>0</v>
      </c>
      <c r="T72" s="40">
        <f>P72*$B$7</f>
        <v>0</v>
      </c>
      <c r="U72" s="41">
        <v>0</v>
      </c>
      <c r="V72" s="42">
        <v>1</v>
      </c>
      <c r="W72" s="43">
        <f t="shared" ref="W72:W75" si="71">T72*U72*V72</f>
        <v>0</v>
      </c>
      <c r="X72" s="65">
        <f t="shared" ref="X72:X75" si="72">C72+G72+K72+O72+W72+S72</f>
        <v>0</v>
      </c>
      <c r="AF72" s="7"/>
      <c r="AG72" s="47"/>
      <c r="AH72" s="106"/>
    </row>
    <row r="73" spans="1:34" ht="15.6" outlineLevel="1" x14ac:dyDescent="0.6">
      <c r="A73" s="107" t="s">
        <v>39</v>
      </c>
      <c r="B73" s="39" t="s">
        <v>57</v>
      </c>
      <c r="C73" s="43">
        <v>0</v>
      </c>
      <c r="D73" s="40">
        <v>0</v>
      </c>
      <c r="E73" s="41">
        <v>0</v>
      </c>
      <c r="F73" s="42">
        <v>1</v>
      </c>
      <c r="G73" s="43">
        <f t="shared" si="66"/>
        <v>0</v>
      </c>
      <c r="H73" s="40">
        <f t="shared" si="67"/>
        <v>0</v>
      </c>
      <c r="I73" s="41">
        <v>0</v>
      </c>
      <c r="J73" s="42">
        <v>1</v>
      </c>
      <c r="K73" s="43">
        <f t="shared" si="68"/>
        <v>0</v>
      </c>
      <c r="L73" s="40">
        <f t="shared" ref="L73:L75" si="73">H73*$B$7</f>
        <v>0</v>
      </c>
      <c r="M73" s="41">
        <v>0</v>
      </c>
      <c r="N73" s="42">
        <v>1</v>
      </c>
      <c r="O73" s="43">
        <f t="shared" si="69"/>
        <v>0</v>
      </c>
      <c r="P73" s="40">
        <f t="shared" ref="P73:P75" si="74">L73*$B$7</f>
        <v>0</v>
      </c>
      <c r="Q73" s="41">
        <v>0</v>
      </c>
      <c r="R73" s="42">
        <v>1</v>
      </c>
      <c r="S73" s="43">
        <f t="shared" si="70"/>
        <v>0</v>
      </c>
      <c r="T73" s="40">
        <f t="shared" ref="T73:T75" si="75">P73*$B$7</f>
        <v>0</v>
      </c>
      <c r="U73" s="41">
        <v>0</v>
      </c>
      <c r="V73" s="42">
        <v>1</v>
      </c>
      <c r="W73" s="43">
        <f t="shared" si="71"/>
        <v>0</v>
      </c>
      <c r="X73" s="65">
        <f t="shared" si="72"/>
        <v>0</v>
      </c>
      <c r="AF73" s="7"/>
      <c r="AG73" s="47"/>
      <c r="AH73" s="106"/>
    </row>
    <row r="74" spans="1:34" ht="15.6" outlineLevel="1" x14ac:dyDescent="0.6">
      <c r="A74" s="107" t="s">
        <v>39</v>
      </c>
      <c r="B74" s="39" t="s">
        <v>57</v>
      </c>
      <c r="C74" s="43">
        <v>0</v>
      </c>
      <c r="D74" s="40">
        <v>0</v>
      </c>
      <c r="E74" s="41">
        <v>0</v>
      </c>
      <c r="F74" s="42">
        <v>1</v>
      </c>
      <c r="G74" s="43">
        <f t="shared" si="66"/>
        <v>0</v>
      </c>
      <c r="H74" s="40">
        <f t="shared" si="67"/>
        <v>0</v>
      </c>
      <c r="I74" s="41">
        <v>0</v>
      </c>
      <c r="J74" s="42">
        <v>1</v>
      </c>
      <c r="K74" s="43">
        <f t="shared" si="68"/>
        <v>0</v>
      </c>
      <c r="L74" s="40">
        <f t="shared" si="73"/>
        <v>0</v>
      </c>
      <c r="M74" s="41">
        <v>0</v>
      </c>
      <c r="N74" s="42">
        <v>1</v>
      </c>
      <c r="O74" s="43">
        <f t="shared" si="69"/>
        <v>0</v>
      </c>
      <c r="P74" s="40">
        <f t="shared" si="74"/>
        <v>0</v>
      </c>
      <c r="Q74" s="41">
        <v>0</v>
      </c>
      <c r="R74" s="42">
        <v>1</v>
      </c>
      <c r="S74" s="43">
        <f t="shared" si="70"/>
        <v>0</v>
      </c>
      <c r="T74" s="40">
        <f t="shared" si="75"/>
        <v>0</v>
      </c>
      <c r="U74" s="41">
        <v>0</v>
      </c>
      <c r="V74" s="42">
        <v>1</v>
      </c>
      <c r="W74" s="43">
        <f t="shared" si="71"/>
        <v>0</v>
      </c>
      <c r="X74" s="65">
        <f t="shared" si="72"/>
        <v>0</v>
      </c>
      <c r="AF74" s="7"/>
      <c r="AG74" s="47"/>
      <c r="AH74" s="106"/>
    </row>
    <row r="75" spans="1:34" ht="15.6" outlineLevel="1" x14ac:dyDescent="0.6">
      <c r="A75" s="107" t="s">
        <v>39</v>
      </c>
      <c r="B75" s="39" t="s">
        <v>57</v>
      </c>
      <c r="C75" s="43">
        <v>0</v>
      </c>
      <c r="D75" s="40">
        <v>0</v>
      </c>
      <c r="E75" s="41">
        <v>0</v>
      </c>
      <c r="F75" s="42">
        <v>1</v>
      </c>
      <c r="G75" s="43">
        <f t="shared" si="66"/>
        <v>0</v>
      </c>
      <c r="H75" s="40">
        <f t="shared" si="67"/>
        <v>0</v>
      </c>
      <c r="I75" s="41">
        <v>0</v>
      </c>
      <c r="J75" s="42">
        <v>1</v>
      </c>
      <c r="K75" s="43">
        <f t="shared" si="68"/>
        <v>0</v>
      </c>
      <c r="L75" s="40">
        <f t="shared" si="73"/>
        <v>0</v>
      </c>
      <c r="M75" s="41">
        <v>0</v>
      </c>
      <c r="N75" s="42">
        <v>1</v>
      </c>
      <c r="O75" s="43">
        <f t="shared" si="69"/>
        <v>0</v>
      </c>
      <c r="P75" s="40">
        <f t="shared" si="74"/>
        <v>0</v>
      </c>
      <c r="Q75" s="41">
        <v>0</v>
      </c>
      <c r="R75" s="42">
        <v>1</v>
      </c>
      <c r="S75" s="43">
        <f t="shared" si="70"/>
        <v>0</v>
      </c>
      <c r="T75" s="40">
        <f t="shared" si="75"/>
        <v>0</v>
      </c>
      <c r="U75" s="41">
        <v>0</v>
      </c>
      <c r="V75" s="42">
        <v>1</v>
      </c>
      <c r="W75" s="43">
        <f t="shared" si="71"/>
        <v>0</v>
      </c>
      <c r="X75" s="65">
        <f t="shared" si="72"/>
        <v>0</v>
      </c>
      <c r="AF75" s="7"/>
      <c r="AG75" s="47"/>
      <c r="AH75" s="106"/>
    </row>
    <row r="76" spans="1:34" ht="15.6" outlineLevel="1" x14ac:dyDescent="0.6">
      <c r="A76" s="113"/>
      <c r="B76" s="114"/>
      <c r="C76" s="118"/>
      <c r="D76" s="115"/>
      <c r="E76" s="116"/>
      <c r="F76" s="117"/>
      <c r="G76" s="118"/>
      <c r="H76" s="115"/>
      <c r="I76" s="116"/>
      <c r="J76" s="117"/>
      <c r="K76" s="118"/>
      <c r="L76" s="115"/>
      <c r="M76" s="116"/>
      <c r="N76" s="117"/>
      <c r="O76" s="118"/>
      <c r="P76" s="115"/>
      <c r="Q76" s="116"/>
      <c r="R76" s="117"/>
      <c r="S76" s="118"/>
      <c r="T76" s="115"/>
      <c r="U76" s="116"/>
      <c r="V76" s="117"/>
      <c r="W76" s="118"/>
      <c r="X76" s="63"/>
      <c r="AF76" s="7"/>
      <c r="AG76" s="47"/>
      <c r="AH76" s="106"/>
    </row>
    <row r="77" spans="1:34" ht="18.3" outlineLevel="1" x14ac:dyDescent="0.7">
      <c r="A77" s="119" t="s">
        <v>58</v>
      </c>
      <c r="B77" s="70"/>
      <c r="C77" s="91">
        <f>SUM(C71:C72)</f>
        <v>0</v>
      </c>
      <c r="D77" s="88"/>
      <c r="E77" s="89"/>
      <c r="F77" s="92"/>
      <c r="G77" s="91">
        <f>SUM(G71:G72)</f>
        <v>0</v>
      </c>
      <c r="H77" s="88"/>
      <c r="I77" s="89"/>
      <c r="J77" s="120"/>
      <c r="K77" s="91">
        <f>SUM(K71:K72)</f>
        <v>0</v>
      </c>
      <c r="L77" s="88"/>
      <c r="M77" s="89"/>
      <c r="N77" s="92"/>
      <c r="O77" s="91">
        <f>SUM(O71:O72)</f>
        <v>0</v>
      </c>
      <c r="P77" s="88"/>
      <c r="Q77" s="89"/>
      <c r="R77" s="92"/>
      <c r="S77" s="91">
        <f>SUM(S71:S72)</f>
        <v>0</v>
      </c>
      <c r="T77" s="88"/>
      <c r="U77" s="89"/>
      <c r="V77" s="92"/>
      <c r="W77" s="91">
        <f>SUM(W71:W72)</f>
        <v>0</v>
      </c>
      <c r="X77" s="76">
        <f>+C77+G77+K77+O77+W77</f>
        <v>0</v>
      </c>
      <c r="AF77" s="7">
        <v>250</v>
      </c>
      <c r="AG77" s="47" t="s">
        <v>59</v>
      </c>
      <c r="AH77" s="106" t="s">
        <v>60</v>
      </c>
    </row>
    <row r="78" spans="1:34" ht="15.6" outlineLevel="1" x14ac:dyDescent="0.6">
      <c r="A78" s="121"/>
      <c r="B78" s="83"/>
      <c r="C78" s="43"/>
      <c r="D78" s="111"/>
      <c r="E78" s="112"/>
      <c r="G78" s="63"/>
      <c r="H78" s="111"/>
      <c r="I78" s="112"/>
      <c r="K78" s="63"/>
      <c r="L78" s="111"/>
      <c r="M78" s="112"/>
      <c r="O78" s="63"/>
      <c r="P78" s="111"/>
      <c r="Q78" s="112"/>
      <c r="S78" s="63"/>
      <c r="T78" s="111"/>
      <c r="U78" s="112"/>
      <c r="W78" s="63"/>
      <c r="X78" s="63"/>
      <c r="AF78" s="7">
        <v>317</v>
      </c>
      <c r="AG78" s="47" t="s">
        <v>61</v>
      </c>
      <c r="AH78" s="106" t="s">
        <v>62</v>
      </c>
    </row>
    <row r="79" spans="1:34" ht="18.3" outlineLevel="1" x14ac:dyDescent="0.7">
      <c r="A79" s="122" t="s">
        <v>63</v>
      </c>
      <c r="B79" s="123"/>
      <c r="C79" s="127">
        <f>C33+C37+C46+C64+C69+C55+C77</f>
        <v>0</v>
      </c>
      <c r="D79" s="124"/>
      <c r="E79" s="125"/>
      <c r="F79" s="128"/>
      <c r="G79" s="127">
        <f>G33+G37+G46+G64+G69+G55+G77</f>
        <v>0</v>
      </c>
      <c r="H79" s="124"/>
      <c r="I79" s="125"/>
      <c r="J79" s="126"/>
      <c r="K79" s="127">
        <f>K33+K37+K46+K64+K69+K55+K77</f>
        <v>0</v>
      </c>
      <c r="L79" s="124"/>
      <c r="M79" s="125"/>
      <c r="N79" s="128"/>
      <c r="O79" s="127">
        <f>O33+O37+O46+O64+O69+O55+O77</f>
        <v>0</v>
      </c>
      <c r="P79" s="124"/>
      <c r="Q79" s="125"/>
      <c r="R79" s="128"/>
      <c r="S79" s="127">
        <f>S33+S37+S46+S64+S69+S55+S77</f>
        <v>0</v>
      </c>
      <c r="T79" s="124"/>
      <c r="U79" s="125"/>
      <c r="V79" s="128"/>
      <c r="W79" s="127">
        <f>W33+W37+W46+W64+W69+W55+W77</f>
        <v>0</v>
      </c>
      <c r="X79" s="127">
        <f>X33+X37+X46+X64+X69+X55+X77</f>
        <v>0</v>
      </c>
      <c r="AF79" s="7">
        <v>318</v>
      </c>
      <c r="AG79" s="47" t="s">
        <v>64</v>
      </c>
      <c r="AH79" s="106" t="s">
        <v>65</v>
      </c>
    </row>
    <row r="80" spans="1:34" x14ac:dyDescent="0.55000000000000004">
      <c r="A80" s="129"/>
      <c r="B80" s="83"/>
      <c r="C80" s="43"/>
      <c r="D80" s="111"/>
      <c r="E80" s="112"/>
      <c r="G80" s="63"/>
      <c r="H80" s="111"/>
      <c r="I80" s="112"/>
      <c r="K80" s="63"/>
      <c r="L80" s="111"/>
      <c r="M80" s="112"/>
      <c r="O80" s="63"/>
      <c r="P80" s="111"/>
      <c r="Q80" s="112"/>
      <c r="S80" s="63"/>
      <c r="T80" s="111"/>
      <c r="U80" s="112"/>
      <c r="W80" s="63"/>
      <c r="X80" s="63"/>
    </row>
    <row r="81" spans="1:24" ht="20.399999999999999" x14ac:dyDescent="0.75">
      <c r="A81" s="130" t="s">
        <v>66</v>
      </c>
      <c r="B81" s="131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1"/>
    </row>
    <row r="82" spans="1:24" ht="15" customHeight="1" x14ac:dyDescent="0.7">
      <c r="A82" s="133" t="s">
        <v>67</v>
      </c>
      <c r="B82" s="134" t="s">
        <v>21</v>
      </c>
      <c r="C82" s="43">
        <v>0</v>
      </c>
      <c r="D82" s="40">
        <v>0</v>
      </c>
      <c r="E82" s="41">
        <v>1</v>
      </c>
      <c r="F82" s="42">
        <v>0.15</v>
      </c>
      <c r="G82" s="43">
        <f>D82*E82*F82</f>
        <v>0</v>
      </c>
      <c r="H82" s="40">
        <f>K79</f>
        <v>0</v>
      </c>
      <c r="I82" s="41">
        <v>1</v>
      </c>
      <c r="J82" s="42">
        <v>0.15</v>
      </c>
      <c r="K82" s="43">
        <f>H82*I82*J82</f>
        <v>0</v>
      </c>
      <c r="L82" s="40">
        <f>O79</f>
        <v>0</v>
      </c>
      <c r="M82" s="41">
        <v>1</v>
      </c>
      <c r="N82" s="42">
        <v>0.15</v>
      </c>
      <c r="O82" s="43">
        <f>L82*M82*N82</f>
        <v>0</v>
      </c>
      <c r="P82" s="40">
        <f>S79</f>
        <v>0</v>
      </c>
      <c r="Q82" s="41">
        <v>1</v>
      </c>
      <c r="R82" s="42">
        <v>0.15</v>
      </c>
      <c r="S82" s="43">
        <f>P82*Q82*R82</f>
        <v>0</v>
      </c>
      <c r="T82" s="40">
        <f>W79</f>
        <v>0</v>
      </c>
      <c r="U82" s="41">
        <v>1</v>
      </c>
      <c r="V82" s="42">
        <v>0.15</v>
      </c>
      <c r="W82" s="43">
        <f>T82*U82*V82</f>
        <v>0</v>
      </c>
      <c r="X82" s="65">
        <f t="shared" ref="X82" si="76">C82+G82+K82+O82+W82+S82</f>
        <v>0</v>
      </c>
    </row>
    <row r="83" spans="1:24" x14ac:dyDescent="0.55000000000000004">
      <c r="A83" s="135"/>
      <c r="B83" s="83"/>
      <c r="C83" s="43"/>
      <c r="D83" s="136"/>
      <c r="E83" s="137"/>
      <c r="F83" s="44"/>
      <c r="G83" s="43"/>
      <c r="H83" s="136"/>
      <c r="I83" s="137"/>
      <c r="J83" s="138"/>
      <c r="K83" s="43"/>
      <c r="L83" s="136"/>
      <c r="M83" s="137"/>
      <c r="N83" s="44"/>
      <c r="O83" s="43"/>
      <c r="P83" s="136"/>
      <c r="Q83" s="137"/>
      <c r="R83" s="44"/>
      <c r="S83" s="43"/>
      <c r="T83" s="136"/>
      <c r="U83" s="137"/>
      <c r="V83" s="44"/>
      <c r="W83" s="43"/>
      <c r="X83" s="63"/>
    </row>
    <row r="84" spans="1:24" ht="18.3" x14ac:dyDescent="0.7">
      <c r="A84" s="122" t="s">
        <v>68</v>
      </c>
      <c r="B84" s="123"/>
      <c r="C84" s="127">
        <f>SUM(C82:C83)</f>
        <v>0</v>
      </c>
      <c r="D84" s="124"/>
      <c r="E84" s="125"/>
      <c r="F84" s="128"/>
      <c r="G84" s="127">
        <f>SUM(G82:G83)</f>
        <v>0</v>
      </c>
      <c r="H84" s="124"/>
      <c r="I84" s="125"/>
      <c r="J84" s="126"/>
      <c r="K84" s="127">
        <f>SUM(K82:K83)</f>
        <v>0</v>
      </c>
      <c r="L84" s="124"/>
      <c r="M84" s="125"/>
      <c r="N84" s="128"/>
      <c r="O84" s="127">
        <f>SUM(O82:O83)</f>
        <v>0</v>
      </c>
      <c r="P84" s="124"/>
      <c r="Q84" s="125"/>
      <c r="R84" s="128"/>
      <c r="S84" s="127">
        <f>SUM(S82:S83)</f>
        <v>0</v>
      </c>
      <c r="T84" s="124"/>
      <c r="U84" s="125"/>
      <c r="V84" s="128"/>
      <c r="W84" s="127">
        <f>SUM(W82:W83)</f>
        <v>0</v>
      </c>
      <c r="X84" s="127">
        <f>SUM(X82:X83)</f>
        <v>0</v>
      </c>
    </row>
    <row r="85" spans="1:24" x14ac:dyDescent="0.55000000000000004">
      <c r="A85" s="43"/>
      <c r="B85" s="83"/>
      <c r="C85" s="43"/>
      <c r="D85" s="136"/>
      <c r="E85" s="137"/>
      <c r="F85" s="44"/>
      <c r="G85" s="43"/>
      <c r="H85" s="136"/>
      <c r="I85" s="137"/>
      <c r="J85" s="138"/>
      <c r="K85" s="43"/>
      <c r="L85" s="136"/>
      <c r="M85" s="137"/>
      <c r="N85" s="44"/>
      <c r="O85" s="43"/>
      <c r="P85" s="136"/>
      <c r="Q85" s="137"/>
      <c r="R85" s="44"/>
      <c r="S85" s="43"/>
      <c r="T85" s="136"/>
      <c r="U85" s="137"/>
      <c r="V85" s="44"/>
      <c r="W85" s="43"/>
      <c r="X85" s="63"/>
    </row>
    <row r="86" spans="1:24" ht="18.3" x14ac:dyDescent="0.7">
      <c r="A86" s="139" t="s">
        <v>69</v>
      </c>
      <c r="B86" s="140"/>
      <c r="C86" s="144">
        <f>C79+C84</f>
        <v>0</v>
      </c>
      <c r="D86" s="141"/>
      <c r="E86" s="142"/>
      <c r="F86" s="145"/>
      <c r="G86" s="144">
        <f>G79+G84</f>
        <v>0</v>
      </c>
      <c r="H86" s="141"/>
      <c r="I86" s="142"/>
      <c r="J86" s="143"/>
      <c r="K86" s="144">
        <f>K79+K84</f>
        <v>0</v>
      </c>
      <c r="L86" s="141"/>
      <c r="M86" s="142"/>
      <c r="N86" s="145"/>
      <c r="O86" s="144">
        <f>O79+O84</f>
        <v>0</v>
      </c>
      <c r="P86" s="141"/>
      <c r="Q86" s="142"/>
      <c r="R86" s="145"/>
      <c r="S86" s="144">
        <f>S79+S84</f>
        <v>0</v>
      </c>
      <c r="T86" s="141"/>
      <c r="U86" s="142"/>
      <c r="V86" s="145"/>
      <c r="W86" s="144">
        <f>W79+W84</f>
        <v>0</v>
      </c>
      <c r="X86" s="146">
        <f>C86+G86+K86+O86+W86</f>
        <v>0</v>
      </c>
    </row>
    <row r="87" spans="1:24" ht="15.6" x14ac:dyDescent="0.6">
      <c r="A87" s="147" t="s">
        <v>70</v>
      </c>
      <c r="B87" s="148"/>
      <c r="C87" s="118">
        <v>0</v>
      </c>
      <c r="D87" s="149"/>
      <c r="E87" s="150"/>
      <c r="F87" s="151"/>
      <c r="G87" s="118">
        <f t="shared" ref="G87" si="77">D87*E87*F87</f>
        <v>0</v>
      </c>
      <c r="H87" s="149"/>
      <c r="I87" s="150"/>
      <c r="J87" s="117"/>
      <c r="K87" s="118">
        <f t="shared" ref="K87" si="78">H87*I87*J87</f>
        <v>0</v>
      </c>
      <c r="L87" s="149"/>
      <c r="M87" s="150"/>
      <c r="N87" s="151"/>
      <c r="O87" s="118">
        <f t="shared" ref="O87" si="79">L87*M87*N87</f>
        <v>0</v>
      </c>
      <c r="P87" s="149"/>
      <c r="Q87" s="150"/>
      <c r="R87" s="151"/>
      <c r="S87" s="118">
        <f t="shared" ref="S87" si="80">P87*Q87*R87</f>
        <v>0</v>
      </c>
      <c r="T87" s="149"/>
      <c r="U87" s="150"/>
      <c r="V87" s="151"/>
      <c r="W87" s="118">
        <f t="shared" ref="W87" si="81">T87*U87*V87</f>
        <v>0</v>
      </c>
      <c r="X87" s="65">
        <f t="shared" ref="X87" si="82">C87+G87+K87+O87+W87+S87</f>
        <v>0</v>
      </c>
    </row>
    <row r="88" spans="1:24" ht="18.3" x14ac:dyDescent="0.7">
      <c r="A88" s="139" t="s">
        <v>71</v>
      </c>
      <c r="B88" s="140"/>
      <c r="C88" s="144">
        <f>C86+C87</f>
        <v>0</v>
      </c>
      <c r="D88" s="141"/>
      <c r="E88" s="142"/>
      <c r="F88" s="145"/>
      <c r="G88" s="144">
        <f>G86+G87</f>
        <v>0</v>
      </c>
      <c r="H88" s="141"/>
      <c r="I88" s="142"/>
      <c r="J88" s="143"/>
      <c r="K88" s="144">
        <f>K86+K87</f>
        <v>0</v>
      </c>
      <c r="L88" s="141"/>
      <c r="M88" s="142"/>
      <c r="N88" s="145"/>
      <c r="O88" s="144">
        <f>O86+O87</f>
        <v>0</v>
      </c>
      <c r="P88" s="141"/>
      <c r="Q88" s="142"/>
      <c r="R88" s="145"/>
      <c r="S88" s="144">
        <f>S86+S87</f>
        <v>0</v>
      </c>
      <c r="T88" s="141"/>
      <c r="U88" s="142"/>
      <c r="V88" s="145"/>
      <c r="W88" s="144">
        <f>W86+W87</f>
        <v>0</v>
      </c>
      <c r="X88" s="146">
        <f>C88+G88+K88+O88+W88</f>
        <v>0</v>
      </c>
    </row>
    <row r="89" spans="1:24" x14ac:dyDescent="0.55000000000000004">
      <c r="A89" s="39"/>
      <c r="B89" s="39"/>
      <c r="X89" s="63"/>
    </row>
    <row r="90" spans="1:24" ht="31.2" x14ac:dyDescent="0.6">
      <c r="A90" s="152" t="s">
        <v>72</v>
      </c>
      <c r="B90" s="153"/>
      <c r="C90" s="157"/>
      <c r="D90" s="154"/>
      <c r="E90" s="155"/>
      <c r="F90" s="158"/>
      <c r="G90" s="159"/>
      <c r="H90" s="154"/>
      <c r="I90" s="155"/>
      <c r="J90" s="156"/>
      <c r="K90" s="159"/>
      <c r="L90" s="154"/>
      <c r="M90" s="155"/>
      <c r="N90" s="158"/>
      <c r="O90" s="159"/>
      <c r="P90" s="154"/>
      <c r="Q90" s="155"/>
      <c r="R90" s="158"/>
      <c r="S90" s="159"/>
      <c r="T90" s="154"/>
      <c r="U90" s="155"/>
      <c r="V90" s="158"/>
      <c r="W90" s="159"/>
      <c r="X90" s="159"/>
    </row>
  </sheetData>
  <mergeCells count="13">
    <mergeCell ref="C10:C11"/>
    <mergeCell ref="A10:A11"/>
    <mergeCell ref="B10:B11"/>
    <mergeCell ref="D10:G10"/>
    <mergeCell ref="H10:K10"/>
    <mergeCell ref="D2:X2"/>
    <mergeCell ref="D3:X3"/>
    <mergeCell ref="D4:X4"/>
    <mergeCell ref="D5:X5"/>
    <mergeCell ref="T10:W10"/>
    <mergeCell ref="X10:X11"/>
    <mergeCell ref="L10:O10"/>
    <mergeCell ref="P10:S10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85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4AFB6F-EF3A-4391-ACE5-9C1CCE1228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8EDCE-D26D-4874-B413-3672ACBF1069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0D50F81B-A32C-49C0-9F3F-0C7838183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Activity XX</vt:lpstr>
      <vt:lpstr>'Activity XX'!Print_Area</vt:lpstr>
      <vt:lpstr>'Activity XX'!Print_Titles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2024-05-23T20:04:21Z</dcterms:created>
  <dcterms:modified xsi:type="dcterms:W3CDTF">2025-07-08T16:58:48Z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