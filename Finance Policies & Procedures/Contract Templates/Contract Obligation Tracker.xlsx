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04"/>
  <workbookPr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1" documentId="13_ncr:1_{1C5F8E27-C26C-40F4-A480-8D7F85B0677D}" xr6:coauthVersionLast="47" xr6:coauthVersionMax="47" xr10:uidLastSave="{5E3A0C3B-8F5A-49F2-BBDE-4D0ADDAF7435}"/>
  <bookViews>
    <workbookView xWindow="-96" yWindow="-96" windowWidth="23232" windowHeight="12552" xr2:uid="{00000000-000D-0000-FFFF-FFFF00000000}"/>
  </bookViews>
  <sheets>
    <sheet name="Contract Obligation Tracke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D14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C51" i="1" l="1"/>
  <c r="B7" i="1" s="1"/>
  <c r="B8" i="1" s="1"/>
  <c r="B10" i="1" s="1"/>
  <c r="B51" i="1"/>
  <c r="D51" i="1" l="1"/>
</calcChain>
</file>

<file path=xl/sharedStrings.xml><?xml version="1.0" encoding="utf-8"?>
<sst xmlns="http://schemas.openxmlformats.org/spreadsheetml/2006/main" count="53" uniqueCount="53">
  <si>
    <t>Contracts Obligation Tracker</t>
  </si>
  <si>
    <t>Details</t>
  </si>
  <si>
    <t>Contract reference number</t>
  </si>
  <si>
    <t>Name of the vendor</t>
  </si>
  <si>
    <t>Budget</t>
  </si>
  <si>
    <t>Obligation</t>
  </si>
  <si>
    <t>Cumulative Expenditure:</t>
  </si>
  <si>
    <t>Remaining Obligation</t>
  </si>
  <si>
    <t>Obligation Spent:</t>
  </si>
  <si>
    <t>Obligation Remaining:</t>
  </si>
  <si>
    <t>Month</t>
  </si>
  <si>
    <t>Advance Paid</t>
  </si>
  <si>
    <t>Expenditure Report</t>
  </si>
  <si>
    <t>Cash on Hand</t>
  </si>
  <si>
    <t>Payment Obligation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</si>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</sst>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0"/>
      <color rgb="FF000000"/>
      <name val="Arial"/>
    </font>
    <font>
      <sz val="10"/>
      <color rgb="FF000000"/>
      <name val="Arial"/>
      <family val="2"/>
    </font>
    <font>
      <sz val="8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CD5AC"/>
        <bgColor rgb="FFBCD5AC"/>
      </patternFill>
    </fill>
    <fill>
      <patternFill patternType="solid">
        <fgColor rgb="FFEDB476"/>
        <bgColor rgb="FFEDB476"/>
      </patternFill>
    </fill>
    <fill>
      <patternFill patternType="solid">
        <fgColor rgb="FFEDFBF3"/>
        <bgColor rgb="FFEDFBF3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1" fillId="0" borderId="0" xfId="0" applyFont="1"/>
    <xf numFmtId="0" fontId="8" fillId="4" borderId="4" xfId="0" applyFont="1" applyFill="1" applyBorder="1" applyAlignment="1">
      <alignment wrapText="1"/>
    </xf>
    <xf numFmtId="0" fontId="9" fillId="4" borderId="0" xfId="0" applyFont="1" applyFill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wrapText="1"/>
    </xf>
    <xf numFmtId="0" fontId="9" fillId="5" borderId="0" xfId="0" applyFont="1" applyFill="1" applyAlignment="1">
      <alignment horizontal="right" wrapText="1"/>
    </xf>
    <xf numFmtId="0" fontId="9" fillId="5" borderId="0" xfId="0" applyFont="1" applyFill="1" applyAlignment="1">
      <alignment horizontal="center" wrapText="1"/>
    </xf>
    <xf numFmtId="0" fontId="9" fillId="5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wrapText="1"/>
    </xf>
    <xf numFmtId="0" fontId="9" fillId="2" borderId="0" xfId="0" applyFont="1" applyFill="1" applyAlignment="1">
      <alignment horizontal="center" wrapText="1"/>
    </xf>
    <xf numFmtId="0" fontId="9" fillId="2" borderId="5" xfId="0" applyFont="1" applyFill="1" applyBorder="1" applyAlignment="1">
      <alignment horizontal="center" wrapText="1"/>
    </xf>
    <xf numFmtId="44" fontId="9" fillId="5" borderId="0" xfId="1" applyFont="1" applyFill="1" applyBorder="1" applyAlignment="1">
      <alignment horizontal="center" wrapText="1"/>
    </xf>
    <xf numFmtId="44" fontId="9" fillId="2" borderId="0" xfId="1" applyFont="1" applyFill="1" applyBorder="1" applyAlignment="1">
      <alignment horizontal="center" wrapText="1"/>
    </xf>
    <xf numFmtId="10" fontId="9" fillId="5" borderId="0" xfId="2" applyNumberFormat="1" applyFont="1" applyFill="1" applyBorder="1" applyAlignment="1">
      <alignment horizontal="right" wrapText="1"/>
    </xf>
    <xf numFmtId="0" fontId="6" fillId="0" borderId="4" xfId="0" applyFont="1" applyBorder="1" applyAlignment="1">
      <alignment wrapText="1"/>
    </xf>
    <xf numFmtId="10" fontId="8" fillId="0" borderId="0" xfId="2" applyNumberFormat="1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vertical="center" wrapText="1"/>
    </xf>
    <xf numFmtId="0" fontId="9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vertical="center" wrapText="1"/>
    </xf>
    <xf numFmtId="0" fontId="9" fillId="4" borderId="5" xfId="0" applyFont="1" applyFill="1" applyBorder="1" applyAlignment="1">
      <alignment vertical="center" wrapText="1"/>
    </xf>
    <xf numFmtId="49" fontId="9" fillId="5" borderId="4" xfId="0" applyNumberFormat="1" applyFont="1" applyFill="1" applyBorder="1" applyAlignment="1">
      <alignment vertical="center" wrapText="1"/>
    </xf>
    <xf numFmtId="44" fontId="9" fillId="5" borderId="0" xfId="1" applyFont="1" applyFill="1" applyBorder="1" applyAlignment="1">
      <alignment horizontal="center" vertical="center" wrapText="1"/>
    </xf>
    <xf numFmtId="44" fontId="10" fillId="5" borderId="0" xfId="1" applyFont="1" applyFill="1" applyBorder="1" applyAlignment="1">
      <alignment vertical="center" wrapText="1"/>
    </xf>
    <xf numFmtId="49" fontId="9" fillId="0" borderId="4" xfId="0" applyNumberFormat="1" applyFont="1" applyBorder="1" applyAlignment="1">
      <alignment vertical="center" wrapText="1"/>
    </xf>
    <xf numFmtId="44" fontId="9" fillId="0" borderId="0" xfId="1" applyFont="1" applyBorder="1" applyAlignment="1">
      <alignment horizontal="center" vertical="center" wrapText="1"/>
    </xf>
    <xf numFmtId="44" fontId="10" fillId="6" borderId="0" xfId="1" applyFont="1" applyFill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44" fontId="8" fillId="0" borderId="7" xfId="1" applyFont="1" applyBorder="1" applyAlignment="1">
      <alignment horizontal="center" vertical="center" wrapText="1"/>
    </xf>
    <xf numFmtId="44" fontId="8" fillId="0" borderId="8" xfId="1" applyFont="1" applyBorder="1" applyAlignment="1">
      <alignment horizontal="center" vertical="center" wrapText="1"/>
    </xf>
    <xf numFmtId="44" fontId="9" fillId="5" borderId="10" xfId="1" applyFont="1" applyFill="1" applyBorder="1" applyAlignment="1">
      <alignment horizontal="center" vertical="center" wrapText="1"/>
    </xf>
    <xf numFmtId="44" fontId="10" fillId="5" borderId="10" xfId="1" applyFont="1" applyFill="1" applyBorder="1" applyAlignment="1">
      <alignment vertical="center" wrapText="1"/>
    </xf>
    <xf numFmtId="0" fontId="9" fillId="2" borderId="0" xfId="0" applyFont="1" applyFill="1"/>
    <xf numFmtId="44" fontId="10" fillId="5" borderId="5" xfId="1" applyFont="1" applyFill="1" applyBorder="1" applyAlignment="1">
      <alignment horizontal="left" vertical="center" wrapText="1"/>
    </xf>
    <xf numFmtId="44" fontId="10" fillId="6" borderId="5" xfId="1" applyFont="1" applyFill="1" applyBorder="1" applyAlignment="1">
      <alignment vertical="center" wrapText="1"/>
    </xf>
    <xf numFmtId="44" fontId="10" fillId="5" borderId="9" xfId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865"/>
  <sheetViews>
    <sheetView tabSelected="1" zoomScale="66" zoomScaleNormal="100" workbookViewId="0">
      <selection activeCell="B10" sqref="B10"/>
    </sheetView>
  </sheetViews>
  <sheetFormatPr defaultColWidth="14.42578125" defaultRowHeight="15.75" customHeight="1"/>
  <cols>
    <col min="1" max="1" width="46" style="2" customWidth="1"/>
    <col min="2" max="2" width="24.5703125" style="2" customWidth="1"/>
    <col min="3" max="3" width="29.140625" style="2" customWidth="1"/>
    <col min="4" max="4" width="29" style="2" customWidth="1"/>
    <col min="5" max="16384" width="14.42578125" style="2"/>
  </cols>
  <sheetData>
    <row r="1" spans="1:20" ht="19.899999999999999">
      <c r="A1" s="48" t="s">
        <v>0</v>
      </c>
      <c r="B1" s="49"/>
      <c r="C1" s="49"/>
      <c r="D1" s="5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4">
      <c r="A2" s="9" t="s">
        <v>1</v>
      </c>
      <c r="B2" s="10"/>
      <c r="C2" s="10"/>
      <c r="D2" s="1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4">
      <c r="A3" s="12" t="s">
        <v>2</v>
      </c>
      <c r="B3" s="13"/>
      <c r="C3" s="14"/>
      <c r="D3" s="1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6.5" customHeight="1">
      <c r="A4" s="16" t="s">
        <v>3</v>
      </c>
      <c r="B4" s="44"/>
      <c r="C4" s="17"/>
      <c r="D4" s="1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4">
      <c r="A5" s="12" t="s">
        <v>4</v>
      </c>
      <c r="B5" s="19">
        <v>0</v>
      </c>
      <c r="C5" s="14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6" t="s">
        <v>5</v>
      </c>
      <c r="B6" s="20">
        <v>0</v>
      </c>
      <c r="C6" s="17"/>
      <c r="D6" s="18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4">
      <c r="A7" s="12" t="s">
        <v>6</v>
      </c>
      <c r="B7" s="19">
        <f>C51</f>
        <v>0</v>
      </c>
      <c r="C7" s="14"/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4">
      <c r="A8" s="16" t="s">
        <v>7</v>
      </c>
      <c r="B8" s="20">
        <f>B6-B7</f>
        <v>0</v>
      </c>
      <c r="C8" s="17"/>
      <c r="D8" s="18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4">
      <c r="A9" s="12" t="s">
        <v>8</v>
      </c>
      <c r="B9" s="21" t="e">
        <f>B7/B6</f>
        <v>#DIV/0!</v>
      </c>
      <c r="C9" s="14"/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4">
      <c r="A10" s="22" t="s">
        <v>9</v>
      </c>
      <c r="B10" s="23" t="e">
        <f>B8/B6</f>
        <v>#DIV/0!</v>
      </c>
      <c r="C10" s="5"/>
      <c r="D10" s="2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4">
      <c r="A11" s="25"/>
      <c r="B11" s="14"/>
      <c r="C11" s="14"/>
      <c r="D11" s="1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">
      <c r="A12" s="26" t="s">
        <v>10</v>
      </c>
      <c r="B12" s="27" t="s">
        <v>11</v>
      </c>
      <c r="C12" s="27" t="s">
        <v>12</v>
      </c>
      <c r="D12" s="28" t="s">
        <v>13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4">
      <c r="A13" s="29" t="s">
        <v>14</v>
      </c>
      <c r="B13" s="30"/>
      <c r="C13" s="31"/>
      <c r="D13" s="3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4">
      <c r="A14" s="33" t="s">
        <v>15</v>
      </c>
      <c r="B14" s="34">
        <v>0</v>
      </c>
      <c r="C14" s="35">
        <v>0</v>
      </c>
      <c r="D14" s="45">
        <f>IF(C14="","",B14-C14)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4">
      <c r="A15" s="36" t="s">
        <v>16</v>
      </c>
      <c r="B15" s="37">
        <v>0</v>
      </c>
      <c r="C15" s="38">
        <v>0</v>
      </c>
      <c r="D15" s="46">
        <f t="shared" ref="D15:D20" si="0">IF(C15="","",B15-C15)</f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4">
      <c r="A16" s="33" t="s">
        <v>17</v>
      </c>
      <c r="B16" s="34">
        <v>0</v>
      </c>
      <c r="C16" s="35">
        <v>0</v>
      </c>
      <c r="D16" s="45">
        <f t="shared" si="0"/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4">
      <c r="A17" s="36" t="s">
        <v>18</v>
      </c>
      <c r="B17" s="37">
        <v>0</v>
      </c>
      <c r="C17" s="38">
        <v>0</v>
      </c>
      <c r="D17" s="46">
        <f t="shared" si="0"/>
        <v>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4">
      <c r="A18" s="33" t="s">
        <v>19</v>
      </c>
      <c r="B18" s="34">
        <v>0</v>
      </c>
      <c r="C18" s="35">
        <v>0</v>
      </c>
      <c r="D18" s="45">
        <f t="shared" si="0"/>
        <v>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4">
      <c r="A19" s="36" t="s">
        <v>20</v>
      </c>
      <c r="B19" s="37">
        <v>0</v>
      </c>
      <c r="C19" s="38">
        <v>0</v>
      </c>
      <c r="D19" s="46">
        <f t="shared" si="0"/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4">
      <c r="A20" s="33" t="s">
        <v>21</v>
      </c>
      <c r="B20" s="34">
        <v>0</v>
      </c>
      <c r="C20" s="35">
        <v>0</v>
      </c>
      <c r="D20" s="45">
        <f t="shared" si="0"/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4">
      <c r="A21" s="36" t="s">
        <v>22</v>
      </c>
      <c r="B21" s="37">
        <v>0</v>
      </c>
      <c r="C21" s="38">
        <v>0</v>
      </c>
      <c r="D21" s="46">
        <f>IF(C21="","",B21-C21)</f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4">
      <c r="A22" s="33" t="s">
        <v>23</v>
      </c>
      <c r="B22" s="34">
        <v>0</v>
      </c>
      <c r="C22" s="35">
        <v>0</v>
      </c>
      <c r="D22" s="45">
        <f t="shared" ref="D22:D50" si="1">IF(C22="","",B22-C22)</f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4">
      <c r="A23" s="36" t="s">
        <v>24</v>
      </c>
      <c r="B23" s="37">
        <v>0</v>
      </c>
      <c r="C23" s="38">
        <v>0</v>
      </c>
      <c r="D23" s="46">
        <f t="shared" si="1"/>
        <v>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4">
      <c r="A24" s="33" t="s">
        <v>25</v>
      </c>
      <c r="B24" s="34">
        <v>0</v>
      </c>
      <c r="C24" s="35">
        <v>0</v>
      </c>
      <c r="D24" s="45">
        <f t="shared" si="1"/>
        <v>0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4">
      <c r="A25" s="36" t="s">
        <v>26</v>
      </c>
      <c r="B25" s="37">
        <v>0</v>
      </c>
      <c r="C25" s="38">
        <v>0</v>
      </c>
      <c r="D25" s="46">
        <f t="shared" si="1"/>
        <v>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4">
      <c r="A26" s="33" t="s">
        <v>27</v>
      </c>
      <c r="B26" s="34">
        <v>0</v>
      </c>
      <c r="C26" s="35">
        <v>0</v>
      </c>
      <c r="D26" s="45">
        <f t="shared" si="1"/>
        <v>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4">
      <c r="A27" s="36" t="s">
        <v>28</v>
      </c>
      <c r="B27" s="37">
        <v>0</v>
      </c>
      <c r="C27" s="38">
        <v>0</v>
      </c>
      <c r="D27" s="46">
        <f t="shared" si="1"/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4">
      <c r="A28" s="33" t="s">
        <v>29</v>
      </c>
      <c r="B28" s="34">
        <v>0</v>
      </c>
      <c r="C28" s="35">
        <v>0</v>
      </c>
      <c r="D28" s="45">
        <f t="shared" si="1"/>
        <v>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4">
      <c r="A29" s="36" t="s">
        <v>30</v>
      </c>
      <c r="B29" s="37">
        <v>0</v>
      </c>
      <c r="C29" s="38">
        <v>0</v>
      </c>
      <c r="D29" s="46">
        <f t="shared" si="1"/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4">
      <c r="A30" s="33" t="s">
        <v>31</v>
      </c>
      <c r="B30" s="34">
        <v>0</v>
      </c>
      <c r="C30" s="35">
        <v>0</v>
      </c>
      <c r="D30" s="45">
        <f t="shared" si="1"/>
        <v>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4">
      <c r="A31" s="36" t="s">
        <v>32</v>
      </c>
      <c r="B31" s="37">
        <v>0</v>
      </c>
      <c r="C31" s="38">
        <v>0</v>
      </c>
      <c r="D31" s="46">
        <f t="shared" si="1"/>
        <v>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4">
      <c r="A32" s="33" t="s">
        <v>33</v>
      </c>
      <c r="B32" s="34">
        <v>0</v>
      </c>
      <c r="C32" s="35">
        <v>0</v>
      </c>
      <c r="D32" s="45">
        <f t="shared" si="1"/>
        <v>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4">
      <c r="A33" s="36" t="s">
        <v>34</v>
      </c>
      <c r="B33" s="37">
        <v>0</v>
      </c>
      <c r="C33" s="38">
        <v>0</v>
      </c>
      <c r="D33" s="46">
        <f t="shared" si="1"/>
        <v>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4">
      <c r="A34" s="33" t="s">
        <v>35</v>
      </c>
      <c r="B34" s="34">
        <v>0</v>
      </c>
      <c r="C34" s="35">
        <v>0</v>
      </c>
      <c r="D34" s="45">
        <f t="shared" si="1"/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4">
      <c r="A35" s="36" t="s">
        <v>36</v>
      </c>
      <c r="B35" s="37">
        <v>0</v>
      </c>
      <c r="C35" s="38">
        <v>0</v>
      </c>
      <c r="D35" s="46">
        <f t="shared" si="1"/>
        <v>0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4">
      <c r="A36" s="33" t="s">
        <v>37</v>
      </c>
      <c r="B36" s="34">
        <v>0</v>
      </c>
      <c r="C36" s="35">
        <v>0</v>
      </c>
      <c r="D36" s="45">
        <f t="shared" si="1"/>
        <v>0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4">
      <c r="A37" s="36" t="s">
        <v>38</v>
      </c>
      <c r="B37" s="37">
        <v>0</v>
      </c>
      <c r="C37" s="38">
        <v>0</v>
      </c>
      <c r="D37" s="46">
        <f t="shared" si="1"/>
        <v>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4">
      <c r="A38" s="33" t="s">
        <v>39</v>
      </c>
      <c r="B38" s="34">
        <v>0</v>
      </c>
      <c r="C38" s="35">
        <v>0</v>
      </c>
      <c r="D38" s="45">
        <f t="shared" si="1"/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4">
      <c r="A39" s="36" t="s">
        <v>40</v>
      </c>
      <c r="B39" s="37">
        <v>0</v>
      </c>
      <c r="C39" s="38">
        <v>0</v>
      </c>
      <c r="D39" s="46">
        <f t="shared" si="1"/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4">
      <c r="A40" s="33" t="s">
        <v>41</v>
      </c>
      <c r="B40" s="34">
        <v>0</v>
      </c>
      <c r="C40" s="35">
        <v>0</v>
      </c>
      <c r="D40" s="45">
        <f t="shared" si="1"/>
        <v>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4">
      <c r="A41" s="36" t="s">
        <v>42</v>
      </c>
      <c r="B41" s="37">
        <v>0</v>
      </c>
      <c r="C41" s="38">
        <v>0</v>
      </c>
      <c r="D41" s="46">
        <f t="shared" si="1"/>
        <v>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4">
      <c r="A42" s="33" t="s">
        <v>43</v>
      </c>
      <c r="B42" s="34">
        <v>0</v>
      </c>
      <c r="C42" s="35">
        <v>0</v>
      </c>
      <c r="D42" s="45">
        <f t="shared" si="1"/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4">
      <c r="A43" s="36" t="s">
        <v>44</v>
      </c>
      <c r="B43" s="37">
        <v>0</v>
      </c>
      <c r="C43" s="38">
        <v>0</v>
      </c>
      <c r="D43" s="46">
        <f t="shared" si="1"/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4">
      <c r="A44" s="33" t="s">
        <v>45</v>
      </c>
      <c r="B44" s="34">
        <v>0</v>
      </c>
      <c r="C44" s="35">
        <v>0</v>
      </c>
      <c r="D44" s="45">
        <f t="shared" si="1"/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4">
      <c r="A45" s="36" t="s">
        <v>46</v>
      </c>
      <c r="B45" s="37">
        <v>0</v>
      </c>
      <c r="C45" s="38">
        <v>0</v>
      </c>
      <c r="D45" s="46">
        <f t="shared" si="1"/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4">
      <c r="A46" s="33" t="s">
        <v>47</v>
      </c>
      <c r="B46" s="34">
        <v>0</v>
      </c>
      <c r="C46" s="35">
        <v>0</v>
      </c>
      <c r="D46" s="45">
        <f t="shared" si="1"/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4">
      <c r="A47" s="36" t="s">
        <v>48</v>
      </c>
      <c r="B47" s="37">
        <v>0</v>
      </c>
      <c r="C47" s="38">
        <v>0</v>
      </c>
      <c r="D47" s="46">
        <f t="shared" si="1"/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4">
      <c r="A48" s="33" t="s">
        <v>49</v>
      </c>
      <c r="B48" s="34">
        <v>0</v>
      </c>
      <c r="C48" s="35">
        <v>0</v>
      </c>
      <c r="D48" s="45">
        <f t="shared" si="1"/>
        <v>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4">
      <c r="A49" s="36" t="s">
        <v>50</v>
      </c>
      <c r="B49" s="37">
        <v>0</v>
      </c>
      <c r="C49" s="38">
        <v>0</v>
      </c>
      <c r="D49" s="46">
        <f t="shared" si="1"/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4">
      <c r="A50" s="33" t="s">
        <v>51</v>
      </c>
      <c r="B50" s="42">
        <v>0</v>
      </c>
      <c r="C50" s="43">
        <v>0</v>
      </c>
      <c r="D50" s="47">
        <f t="shared" si="1"/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s="8" customFormat="1" ht="15.4" thickBot="1">
      <c r="A51" s="39" t="s">
        <v>52</v>
      </c>
      <c r="B51" s="40">
        <f>SUM(B14:B50)</f>
        <v>0</v>
      </c>
      <c r="C51" s="40">
        <f t="shared" ref="C51:D51" si="2">SUM(C14:C50)</f>
        <v>0</v>
      </c>
      <c r="D51" s="41">
        <f t="shared" si="2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5.4">
      <c r="A52" s="5"/>
      <c r="B52" s="6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4">
      <c r="A53" s="5"/>
      <c r="B53" s="6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4">
      <c r="A54" s="5"/>
      <c r="B54" s="6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4">
      <c r="A55" s="5"/>
      <c r="B55" s="6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4">
      <c r="A56" s="5"/>
      <c r="B56" s="6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4">
      <c r="A57" s="5"/>
      <c r="B57" s="6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4">
      <c r="A58" s="5"/>
      <c r="B58" s="6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4">
      <c r="A59" s="5"/>
      <c r="B59" s="6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4">
      <c r="A60" s="5"/>
      <c r="B60" s="6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4">
      <c r="A61" s="5"/>
      <c r="B61" s="6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4">
      <c r="A62" s="5"/>
      <c r="B62" s="6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4">
      <c r="A63" s="5"/>
      <c r="B63" s="6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4">
      <c r="A64" s="5"/>
      <c r="B64" s="6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4">
      <c r="A65" s="5"/>
      <c r="B65" s="6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4">
      <c r="A66" s="5"/>
      <c r="B66" s="6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4">
      <c r="A67" s="5"/>
      <c r="B67" s="6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4">
      <c r="A68" s="5"/>
      <c r="B68" s="6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4">
      <c r="A69" s="5"/>
      <c r="B69" s="6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4">
      <c r="A70" s="5"/>
      <c r="B70" s="6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4">
      <c r="A71" s="5"/>
      <c r="B71" s="6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4">
      <c r="A72" s="5"/>
      <c r="B72" s="6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4">
      <c r="A73" s="5"/>
      <c r="B73" s="6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4">
      <c r="A74" s="5"/>
      <c r="B74" s="6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4">
      <c r="A75" s="5"/>
      <c r="B75" s="6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4">
      <c r="A76" s="5"/>
      <c r="B76" s="6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4">
      <c r="A77" s="5"/>
      <c r="B77" s="6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4">
      <c r="A78" s="5"/>
      <c r="B78" s="6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4">
      <c r="A79" s="5"/>
      <c r="B79" s="6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4">
      <c r="A80" s="5"/>
      <c r="B80" s="6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4">
      <c r="A81" s="5"/>
      <c r="B81" s="6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4">
      <c r="A82" s="5"/>
      <c r="B82" s="6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4">
      <c r="A83" s="5"/>
      <c r="B83" s="6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4">
      <c r="A84" s="5"/>
      <c r="B84" s="6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4">
      <c r="A85" s="5"/>
      <c r="B85" s="6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4">
      <c r="A86" s="5"/>
      <c r="B86" s="6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4">
      <c r="A87" s="5"/>
      <c r="B87" s="6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4">
      <c r="A88" s="5"/>
      <c r="B88" s="6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4">
      <c r="A89" s="5"/>
      <c r="B89" s="6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4">
      <c r="A90" s="5"/>
      <c r="B90" s="6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4">
      <c r="A91" s="5"/>
      <c r="B91" s="6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4">
      <c r="A92" s="5"/>
      <c r="B92" s="6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4">
      <c r="A93" s="5"/>
      <c r="B93" s="6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4">
      <c r="A94" s="5"/>
      <c r="B94" s="6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4">
      <c r="A95" s="5"/>
      <c r="B95" s="6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4">
      <c r="A96" s="5"/>
      <c r="B96" s="6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4">
      <c r="A97" s="5"/>
      <c r="B97" s="6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4">
      <c r="A98" s="5"/>
      <c r="B98" s="6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4">
      <c r="A99" s="5"/>
      <c r="B99" s="6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4">
      <c r="A100" s="5"/>
      <c r="B100" s="6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4">
      <c r="A101" s="5"/>
      <c r="B101" s="6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4">
      <c r="A102" s="5"/>
      <c r="B102" s="6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4">
      <c r="A103" s="5"/>
      <c r="B103" s="6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4">
      <c r="A104" s="5"/>
      <c r="B104" s="6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4">
      <c r="A105" s="5"/>
      <c r="B105" s="6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4">
      <c r="A106" s="5"/>
      <c r="B106" s="6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4">
      <c r="A107" s="5"/>
      <c r="B107" s="6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4">
      <c r="A108" s="5"/>
      <c r="B108" s="6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4">
      <c r="A109" s="5"/>
      <c r="B109" s="6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4">
      <c r="A110" s="5"/>
      <c r="B110" s="6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4">
      <c r="A111" s="5"/>
      <c r="B111" s="6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4">
      <c r="A112" s="5"/>
      <c r="B112" s="6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4">
      <c r="A113" s="5"/>
      <c r="B113" s="6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4">
      <c r="A114" s="5"/>
      <c r="B114" s="6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4">
      <c r="A115" s="5"/>
      <c r="B115" s="6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4">
      <c r="A116" s="5"/>
      <c r="B116" s="6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4">
      <c r="A117" s="5"/>
      <c r="B117" s="6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4">
      <c r="A118" s="5"/>
      <c r="B118" s="6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4">
      <c r="A119" s="5"/>
      <c r="B119" s="6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4">
      <c r="A120" s="5"/>
      <c r="B120" s="6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4">
      <c r="A121" s="5"/>
      <c r="B121" s="6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4">
      <c r="A122" s="5"/>
      <c r="B122" s="6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4">
      <c r="A123" s="5"/>
      <c r="B123" s="6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4">
      <c r="A124" s="5"/>
      <c r="B124" s="6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4">
      <c r="A125" s="5"/>
      <c r="B125" s="6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4">
      <c r="A126" s="5"/>
      <c r="B126" s="6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4">
      <c r="A127" s="5"/>
      <c r="B127" s="6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4">
      <c r="A128" s="5"/>
      <c r="B128" s="6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4">
      <c r="A129" s="5"/>
      <c r="B129" s="6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4">
      <c r="A130" s="5"/>
      <c r="B130" s="6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4">
      <c r="A131" s="5"/>
      <c r="B131" s="6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4">
      <c r="A132" s="5"/>
      <c r="B132" s="6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4">
      <c r="A133" s="5"/>
      <c r="B133" s="6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4">
      <c r="A134" s="5"/>
      <c r="B134" s="6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4">
      <c r="A135" s="5"/>
      <c r="B135" s="6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4">
      <c r="A136" s="5"/>
      <c r="B136" s="6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4">
      <c r="A137" s="5"/>
      <c r="B137" s="6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4">
      <c r="A138" s="5"/>
      <c r="B138" s="6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4">
      <c r="A139" s="5"/>
      <c r="B139" s="6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4">
      <c r="A140" s="5"/>
      <c r="B140" s="6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4">
      <c r="A141" s="5"/>
      <c r="B141" s="6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4">
      <c r="A142" s="5"/>
      <c r="B142" s="6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4">
      <c r="A143" s="5"/>
      <c r="B143" s="6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4">
      <c r="A144" s="5"/>
      <c r="B144" s="6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4">
      <c r="A145" s="5"/>
      <c r="B145" s="6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4">
      <c r="A146" s="5"/>
      <c r="B146" s="6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4">
      <c r="A147" s="5"/>
      <c r="B147" s="6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4">
      <c r="A148" s="5"/>
      <c r="B148" s="6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4">
      <c r="A149" s="5"/>
      <c r="B149" s="6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4">
      <c r="A150" s="5"/>
      <c r="B150" s="6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4">
      <c r="A151" s="5"/>
      <c r="B151" s="6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4">
      <c r="A152" s="5"/>
      <c r="B152" s="6"/>
      <c r="C152" s="5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4">
      <c r="A153" s="5"/>
      <c r="B153" s="6"/>
      <c r="C153" s="5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4">
      <c r="A154" s="5"/>
      <c r="B154" s="6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4">
      <c r="A155" s="5"/>
      <c r="B155" s="6"/>
      <c r="C155" s="5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4">
      <c r="A156" s="5"/>
      <c r="B156" s="6"/>
      <c r="C156" s="5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4">
      <c r="A157" s="5"/>
      <c r="B157" s="6"/>
      <c r="C157" s="5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4">
      <c r="A158" s="5"/>
      <c r="B158" s="6"/>
      <c r="C158" s="5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4">
      <c r="A159" s="5"/>
      <c r="B159" s="6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4">
      <c r="A160" s="5"/>
      <c r="B160" s="6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4">
      <c r="A161" s="5"/>
      <c r="B161" s="6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4">
      <c r="A162" s="5"/>
      <c r="B162" s="6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4">
      <c r="A163" s="5"/>
      <c r="B163" s="6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4">
      <c r="A164" s="5"/>
      <c r="B164" s="6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4">
      <c r="A165" s="5"/>
      <c r="B165" s="6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4">
      <c r="A166" s="5"/>
      <c r="B166" s="6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4">
      <c r="A167" s="5"/>
      <c r="B167" s="6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4">
      <c r="A168" s="5"/>
      <c r="B168" s="6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4">
      <c r="A169" s="5"/>
      <c r="B169" s="6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4">
      <c r="A170" s="5"/>
      <c r="B170" s="6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4">
      <c r="A171" s="5"/>
      <c r="B171" s="6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4">
      <c r="A172" s="5"/>
      <c r="B172" s="6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4">
      <c r="A173" s="5"/>
      <c r="B173" s="6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4">
      <c r="A174" s="5"/>
      <c r="B174" s="6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4">
      <c r="A175" s="5"/>
      <c r="B175" s="6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4">
      <c r="A176" s="5"/>
      <c r="B176" s="6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4">
      <c r="A177" s="5"/>
      <c r="B177" s="6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4">
      <c r="A178" s="5"/>
      <c r="B178" s="6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4">
      <c r="A179" s="5"/>
      <c r="B179" s="6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4">
      <c r="A180" s="5"/>
      <c r="B180" s="6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4">
      <c r="A181" s="5"/>
      <c r="B181" s="6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4">
      <c r="A182" s="5"/>
      <c r="B182" s="6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4">
      <c r="A183" s="5"/>
      <c r="B183" s="6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4">
      <c r="A184" s="5"/>
      <c r="B184" s="6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4">
      <c r="A185" s="5"/>
      <c r="B185" s="6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4">
      <c r="A186" s="5"/>
      <c r="B186" s="6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4">
      <c r="A187" s="5"/>
      <c r="B187" s="6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4">
      <c r="A188" s="5"/>
      <c r="B188" s="6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4">
      <c r="A189" s="5"/>
      <c r="B189" s="6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4">
      <c r="A190" s="5"/>
      <c r="B190" s="6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4">
      <c r="A191" s="5"/>
      <c r="B191" s="6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4">
      <c r="A192" s="5"/>
      <c r="B192" s="6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4">
      <c r="A193" s="5"/>
      <c r="B193" s="6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4">
      <c r="A194" s="5"/>
      <c r="B194" s="6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4">
      <c r="A195" s="5"/>
      <c r="B195" s="6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4">
      <c r="A196" s="5"/>
      <c r="B196" s="6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4">
      <c r="A197" s="5"/>
      <c r="B197" s="6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4">
      <c r="A198" s="5"/>
      <c r="B198" s="6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4">
      <c r="A199" s="5"/>
      <c r="B199" s="6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4">
      <c r="A200" s="5"/>
      <c r="B200" s="6"/>
      <c r="C200" s="5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4">
      <c r="A201" s="5"/>
      <c r="B201" s="6"/>
      <c r="C201" s="5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4">
      <c r="A202" s="5"/>
      <c r="B202" s="6"/>
      <c r="C202" s="5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4">
      <c r="A203" s="5"/>
      <c r="B203" s="6"/>
      <c r="C203" s="5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4">
      <c r="A204" s="5"/>
      <c r="B204" s="6"/>
      <c r="C204" s="5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4">
      <c r="A205" s="5"/>
      <c r="B205" s="6"/>
      <c r="C205" s="5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4">
      <c r="A206" s="5"/>
      <c r="B206" s="6"/>
      <c r="C206" s="5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4">
      <c r="A207" s="5"/>
      <c r="B207" s="6"/>
      <c r="C207" s="5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4">
      <c r="A208" s="5"/>
      <c r="B208" s="6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4">
      <c r="A209" s="5"/>
      <c r="B209" s="6"/>
      <c r="C209" s="5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4">
      <c r="A210" s="5"/>
      <c r="B210" s="6"/>
      <c r="C210" s="5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4">
      <c r="A211" s="5"/>
      <c r="B211" s="6"/>
      <c r="C211" s="5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4">
      <c r="A212" s="5"/>
      <c r="B212" s="6"/>
      <c r="C212" s="5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4">
      <c r="A213" s="5"/>
      <c r="B213" s="6"/>
      <c r="C213" s="5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4">
      <c r="A214" s="5"/>
      <c r="B214" s="6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4">
      <c r="A215" s="5"/>
      <c r="B215" s="6"/>
      <c r="C215" s="5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4">
      <c r="A216" s="5"/>
      <c r="B216" s="6"/>
      <c r="C216" s="5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4">
      <c r="A217" s="5"/>
      <c r="B217" s="6"/>
      <c r="C217" s="5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4">
      <c r="A218" s="5"/>
      <c r="B218" s="6"/>
      <c r="C218" s="5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4">
      <c r="A219" s="5"/>
      <c r="B219" s="6"/>
      <c r="C219" s="5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4">
      <c r="A220" s="5"/>
      <c r="B220" s="6"/>
      <c r="C220" s="5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4">
      <c r="A221" s="5"/>
      <c r="B221" s="6"/>
      <c r="C221" s="5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4">
      <c r="A222" s="5"/>
      <c r="B222" s="6"/>
      <c r="C222" s="5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4">
      <c r="A223" s="5"/>
      <c r="B223" s="6"/>
      <c r="C223" s="5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4">
      <c r="A224" s="5"/>
      <c r="B224" s="6"/>
      <c r="C224" s="5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4">
      <c r="A225" s="5"/>
      <c r="B225" s="6"/>
      <c r="C225" s="5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4">
      <c r="A226" s="5"/>
      <c r="B226" s="6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4">
      <c r="A227" s="5"/>
      <c r="B227" s="6"/>
      <c r="C227" s="5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4">
      <c r="A228" s="5"/>
      <c r="B228" s="6"/>
      <c r="C228" s="5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4">
      <c r="A229" s="5"/>
      <c r="B229" s="6"/>
      <c r="C229" s="5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4">
      <c r="A230" s="5"/>
      <c r="B230" s="6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4">
      <c r="A231" s="5"/>
      <c r="B231" s="6"/>
      <c r="C231" s="5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4">
      <c r="A232" s="5"/>
      <c r="B232" s="6"/>
      <c r="C232" s="5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4">
      <c r="A233" s="5"/>
      <c r="B233" s="6"/>
      <c r="C233" s="5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4">
      <c r="A234" s="5"/>
      <c r="B234" s="6"/>
      <c r="C234" s="5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2.6">
      <c r="A235" s="1"/>
      <c r="B235" s="4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2.6">
      <c r="A236" s="1"/>
      <c r="B236" s="4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2.6">
      <c r="A237" s="1"/>
      <c r="B237" s="4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2.6">
      <c r="A238" s="1"/>
      <c r="B238" s="4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2.6">
      <c r="A239" s="1"/>
      <c r="B239" s="4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2.6">
      <c r="A240" s="1"/>
      <c r="B240" s="4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2.6">
      <c r="A241" s="1"/>
      <c r="B241" s="4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2.6">
      <c r="A242" s="1"/>
      <c r="B242" s="4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2.6">
      <c r="A243" s="1"/>
      <c r="B243" s="4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2.6">
      <c r="A244" s="1"/>
      <c r="B244" s="4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2.6">
      <c r="A245" s="1"/>
      <c r="B245" s="4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2.6">
      <c r="A246" s="1"/>
      <c r="B246" s="4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2.6">
      <c r="A247" s="1"/>
      <c r="B247" s="4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2.6">
      <c r="A248" s="1"/>
      <c r="B248" s="4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2.6">
      <c r="A249" s="1"/>
      <c r="B249" s="4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2.6">
      <c r="A250" s="1"/>
      <c r="B250" s="4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2.6">
      <c r="A251" s="1"/>
      <c r="B251" s="4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2.6">
      <c r="A252" s="1"/>
      <c r="B252" s="4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2.6">
      <c r="A253" s="1"/>
      <c r="B253" s="4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2.6">
      <c r="A254" s="1"/>
      <c r="B254" s="4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2.6">
      <c r="A255" s="1"/>
      <c r="B255" s="4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2.6">
      <c r="A256" s="1"/>
      <c r="B256" s="4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2.6">
      <c r="A257" s="1"/>
      <c r="B257" s="4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2.6">
      <c r="A258" s="1"/>
      <c r="B258" s="4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2.6">
      <c r="A259" s="1"/>
      <c r="B259" s="4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2.6">
      <c r="A260" s="1"/>
      <c r="B260" s="4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2.6">
      <c r="A261" s="1"/>
      <c r="B261" s="4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2.6">
      <c r="A262" s="1"/>
      <c r="B262" s="4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2.6">
      <c r="A263" s="1"/>
      <c r="B263" s="4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2.6">
      <c r="A264" s="1"/>
      <c r="B264" s="4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2.6">
      <c r="A265" s="1"/>
      <c r="B265" s="4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2.6">
      <c r="A266" s="1"/>
      <c r="B266" s="4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2.6">
      <c r="A267" s="1"/>
      <c r="B267" s="4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2.6">
      <c r="A268" s="1"/>
      <c r="B268" s="4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2.6">
      <c r="A269" s="1"/>
      <c r="B269" s="4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2.6">
      <c r="A270" s="1"/>
      <c r="B270" s="4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2.6">
      <c r="A271" s="1"/>
      <c r="B271" s="4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2.6">
      <c r="A272" s="1"/>
      <c r="B272" s="4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2.6">
      <c r="A273" s="1"/>
      <c r="B273" s="4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2.6">
      <c r="A274" s="1"/>
      <c r="B274" s="4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2.6">
      <c r="A275" s="1"/>
      <c r="B275" s="4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2.6">
      <c r="A276" s="1"/>
      <c r="B276" s="4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2.6">
      <c r="A277" s="1"/>
      <c r="B277" s="4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2.6">
      <c r="A278" s="1"/>
      <c r="B278" s="4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2.6">
      <c r="A279" s="1"/>
      <c r="B279" s="4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2.6">
      <c r="A280" s="1"/>
      <c r="B280" s="4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2.6">
      <c r="A281" s="1"/>
      <c r="B281" s="4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2.6">
      <c r="A282" s="1"/>
      <c r="B282" s="4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2.6">
      <c r="A283" s="1"/>
      <c r="B283" s="4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2.6">
      <c r="A284" s="1"/>
      <c r="B284" s="4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2.6">
      <c r="A285" s="1"/>
      <c r="B285" s="4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2.6">
      <c r="A286" s="1"/>
      <c r="B286" s="4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2.6">
      <c r="A287" s="1"/>
      <c r="B287" s="4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2.6">
      <c r="A288" s="1"/>
      <c r="B288" s="4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2.6">
      <c r="A289" s="1"/>
      <c r="B289" s="4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2.6">
      <c r="A290" s="1"/>
      <c r="B290" s="4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2.6">
      <c r="A291" s="1"/>
      <c r="B291" s="4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2.6">
      <c r="A292" s="1"/>
      <c r="B292" s="4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2.6">
      <c r="A293" s="1"/>
      <c r="B293" s="4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2.6">
      <c r="A294" s="1"/>
      <c r="B294" s="4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2.6">
      <c r="A295" s="1"/>
      <c r="B295" s="4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2.6">
      <c r="A296" s="1"/>
      <c r="B296" s="4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2.6">
      <c r="A297" s="1"/>
      <c r="B297" s="4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2.6">
      <c r="A298" s="1"/>
      <c r="B298" s="4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2.6">
      <c r="A299" s="1"/>
      <c r="B299" s="4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2.6">
      <c r="A300" s="1"/>
      <c r="B300" s="4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2.6">
      <c r="A301" s="1"/>
      <c r="B301" s="4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2.6">
      <c r="A302" s="1"/>
      <c r="B302" s="4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2.6">
      <c r="A303" s="1"/>
      <c r="B303" s="4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2.6">
      <c r="A304" s="1"/>
      <c r="B304" s="4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2.6">
      <c r="A305" s="1"/>
      <c r="B305" s="4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2.6">
      <c r="A306" s="1"/>
      <c r="B306" s="4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2.6">
      <c r="A307" s="1"/>
      <c r="B307" s="4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2.6">
      <c r="A308" s="1"/>
      <c r="B308" s="4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2.6">
      <c r="A309" s="1"/>
      <c r="B309" s="4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2.6">
      <c r="A310" s="1"/>
      <c r="B310" s="4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2.6">
      <c r="A311" s="1"/>
      <c r="B311" s="4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2.6">
      <c r="A312" s="1"/>
      <c r="B312" s="4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2.6">
      <c r="A313" s="1"/>
      <c r="B313" s="4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2.6">
      <c r="A314" s="1"/>
      <c r="B314" s="4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2.6">
      <c r="A315" s="1"/>
      <c r="B315" s="4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2.6">
      <c r="A316" s="1"/>
      <c r="B316" s="4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2.6">
      <c r="A317" s="1"/>
      <c r="B317" s="4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2.6">
      <c r="A318" s="1"/>
      <c r="B318" s="4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2.6">
      <c r="A319" s="1"/>
      <c r="B319" s="4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2.6">
      <c r="A320" s="1"/>
      <c r="B320" s="4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2.6">
      <c r="A321" s="1"/>
      <c r="B321" s="4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2.6">
      <c r="A322" s="1"/>
      <c r="B322" s="4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2.6">
      <c r="A323" s="1"/>
      <c r="B323" s="4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2.6">
      <c r="A324" s="1"/>
      <c r="B324" s="4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2.6">
      <c r="A325" s="1"/>
      <c r="B325" s="4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2.6">
      <c r="A326" s="1"/>
      <c r="B326" s="4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2.6">
      <c r="A327" s="1"/>
      <c r="B327" s="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2.6">
      <c r="A328" s="1"/>
      <c r="B328" s="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2.6">
      <c r="A329" s="1"/>
      <c r="B329" s="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2.6">
      <c r="A330" s="1"/>
      <c r="B330" s="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2.6">
      <c r="A331" s="1"/>
      <c r="B331" s="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2.6">
      <c r="A332" s="1"/>
      <c r="B332" s="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2.6">
      <c r="A333" s="1"/>
      <c r="B333" s="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2.6">
      <c r="A334" s="1"/>
      <c r="B334" s="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2.6">
      <c r="A335" s="1"/>
      <c r="B335" s="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2.6">
      <c r="A336" s="1"/>
      <c r="B336" s="4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2.6">
      <c r="A337" s="1"/>
      <c r="B337" s="4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2.6">
      <c r="A338" s="1"/>
      <c r="B338" s="4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2.6">
      <c r="A339" s="1"/>
      <c r="B339" s="4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2.6">
      <c r="A340" s="1"/>
      <c r="B340" s="4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2.6">
      <c r="A341" s="1"/>
      <c r="B341" s="4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2.6">
      <c r="A342" s="1"/>
      <c r="B342" s="4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2.6">
      <c r="A343" s="1"/>
      <c r="B343" s="4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2.6">
      <c r="A344" s="1"/>
      <c r="B344" s="4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2.6">
      <c r="A345" s="1"/>
      <c r="B345" s="4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2.6">
      <c r="A346" s="1"/>
      <c r="B346" s="4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2.6">
      <c r="A347" s="1"/>
      <c r="B347" s="4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2.6">
      <c r="A348" s="1"/>
      <c r="B348" s="4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2.6">
      <c r="A349" s="1"/>
      <c r="B349" s="4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2.6">
      <c r="A350" s="1"/>
      <c r="B350" s="4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2.6">
      <c r="A351" s="1"/>
      <c r="B351" s="4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2.6">
      <c r="A352" s="1"/>
      <c r="B352" s="4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2.6">
      <c r="A353" s="1"/>
      <c r="B353" s="4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2.6">
      <c r="A354" s="1"/>
      <c r="B354" s="4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2.6">
      <c r="A355" s="1"/>
      <c r="B355" s="4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2.6">
      <c r="A356" s="1"/>
      <c r="B356" s="4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2.6">
      <c r="A357" s="1"/>
      <c r="B357" s="4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2.6">
      <c r="A358" s="1"/>
      <c r="B358" s="4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2.6">
      <c r="A359" s="1"/>
      <c r="B359" s="4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2.6">
      <c r="A360" s="1"/>
      <c r="B360" s="4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2.6">
      <c r="A361" s="1"/>
      <c r="B361" s="4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2.6">
      <c r="A362" s="1"/>
      <c r="B362" s="4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2.6">
      <c r="A363" s="1"/>
      <c r="B363" s="4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2.6">
      <c r="A364" s="1"/>
      <c r="B364" s="4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2.6">
      <c r="A365" s="1"/>
      <c r="B365" s="4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2.6">
      <c r="A366" s="1"/>
      <c r="B366" s="4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2.6">
      <c r="A367" s="1"/>
      <c r="B367" s="4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2.6">
      <c r="A368" s="1"/>
      <c r="B368" s="4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2.6">
      <c r="A369" s="1"/>
      <c r="B369" s="4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2.6">
      <c r="A370" s="1"/>
      <c r="B370" s="4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2.6">
      <c r="A371" s="1"/>
      <c r="B371" s="4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2.6">
      <c r="A372" s="1"/>
      <c r="B372" s="4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2.6">
      <c r="A373" s="1"/>
      <c r="B373" s="4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2.6">
      <c r="A374" s="1"/>
      <c r="B374" s="4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2.6">
      <c r="A375" s="1"/>
      <c r="B375" s="4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2.6">
      <c r="A376" s="1"/>
      <c r="B376" s="4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2.6">
      <c r="A377" s="1"/>
      <c r="B377" s="4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2.6">
      <c r="A378" s="1"/>
      <c r="B378" s="4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2.6">
      <c r="A379" s="1"/>
      <c r="B379" s="4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2.6">
      <c r="A380" s="1"/>
      <c r="B380" s="4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2.6">
      <c r="A381" s="1"/>
      <c r="B381" s="4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2.6">
      <c r="A382" s="1"/>
      <c r="B382" s="4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2.6">
      <c r="A383" s="1"/>
      <c r="B383" s="4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2.6">
      <c r="A384" s="1"/>
      <c r="B384" s="4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2.6">
      <c r="A385" s="1"/>
      <c r="B385" s="4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2.6">
      <c r="A386" s="1"/>
      <c r="B386" s="4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2.6">
      <c r="A387" s="1"/>
      <c r="B387" s="4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2.6">
      <c r="A388" s="1"/>
      <c r="B388" s="4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2.6">
      <c r="A389" s="1"/>
      <c r="B389" s="4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2.6">
      <c r="A390" s="1"/>
      <c r="B390" s="4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2.6">
      <c r="A391" s="1"/>
      <c r="B391" s="4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2.6">
      <c r="A392" s="1"/>
      <c r="B392" s="4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2.6">
      <c r="A393" s="1"/>
      <c r="B393" s="4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2.6">
      <c r="A394" s="1"/>
      <c r="B394" s="4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2.6">
      <c r="A395" s="1"/>
      <c r="B395" s="4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2.6">
      <c r="A396" s="1"/>
      <c r="B396" s="4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2.6">
      <c r="A397" s="1"/>
      <c r="B397" s="4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2.6">
      <c r="A398" s="1"/>
      <c r="B398" s="4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2.6">
      <c r="A399" s="1"/>
      <c r="B399" s="4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2.6">
      <c r="A400" s="1"/>
      <c r="B400" s="4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2.6">
      <c r="A401" s="1"/>
      <c r="B401" s="4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2.6">
      <c r="A402" s="1"/>
      <c r="B402" s="4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2.6">
      <c r="A403" s="1"/>
      <c r="B403" s="4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2.6">
      <c r="A404" s="1"/>
      <c r="B404" s="4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2.6">
      <c r="A405" s="1"/>
      <c r="B405" s="4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2.6">
      <c r="A406" s="1"/>
      <c r="B406" s="4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2.6">
      <c r="A407" s="1"/>
      <c r="B407" s="4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2.6">
      <c r="A408" s="1"/>
      <c r="B408" s="4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2.6">
      <c r="A409" s="1"/>
      <c r="B409" s="4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2.6">
      <c r="A410" s="1"/>
      <c r="B410" s="4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2.6">
      <c r="A411" s="1"/>
      <c r="B411" s="4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2.6">
      <c r="A412" s="1"/>
      <c r="B412" s="4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2.6">
      <c r="A413" s="1"/>
      <c r="B413" s="4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2.6">
      <c r="A414" s="1"/>
      <c r="B414" s="4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2.6">
      <c r="A415" s="1"/>
      <c r="B415" s="4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2.6">
      <c r="A416" s="1"/>
      <c r="B416" s="4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2.6">
      <c r="A417" s="1"/>
      <c r="B417" s="4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2.6">
      <c r="A418" s="1"/>
      <c r="B418" s="4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2.6">
      <c r="A419" s="1"/>
      <c r="B419" s="4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2.6">
      <c r="A420" s="1"/>
      <c r="B420" s="4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2.6">
      <c r="A421" s="1"/>
      <c r="B421" s="4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2.6">
      <c r="A422" s="1"/>
      <c r="B422" s="4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2.6">
      <c r="A423" s="1"/>
      <c r="B423" s="4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2.6">
      <c r="A424" s="1"/>
      <c r="B424" s="4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2.6">
      <c r="A425" s="1"/>
      <c r="B425" s="4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2.6">
      <c r="A426" s="1"/>
      <c r="B426" s="4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2.6">
      <c r="A427" s="1"/>
      <c r="B427" s="4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2.6">
      <c r="A428" s="1"/>
      <c r="B428" s="4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2.6">
      <c r="A429" s="1"/>
      <c r="B429" s="4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2.6">
      <c r="A430" s="1"/>
      <c r="B430" s="4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2.6">
      <c r="A431" s="1"/>
      <c r="B431" s="4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2.6">
      <c r="A432" s="1"/>
      <c r="B432" s="4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2.6">
      <c r="A433" s="1"/>
      <c r="B433" s="4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2.6">
      <c r="A434" s="1"/>
      <c r="B434" s="4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2.6">
      <c r="A435" s="1"/>
      <c r="B435" s="4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2.6">
      <c r="A436" s="1"/>
      <c r="B436" s="4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2.6">
      <c r="A437" s="1"/>
      <c r="B437" s="4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2.6">
      <c r="A438" s="1"/>
      <c r="B438" s="4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2.6">
      <c r="A439" s="1"/>
      <c r="B439" s="4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2.6">
      <c r="A440" s="1"/>
      <c r="B440" s="4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2.6">
      <c r="A441" s="1"/>
      <c r="B441" s="4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2.6">
      <c r="A442" s="1"/>
      <c r="B442" s="4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2.6">
      <c r="A443" s="1"/>
      <c r="B443" s="4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2.6">
      <c r="A444" s="1"/>
      <c r="B444" s="4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2.6">
      <c r="A445" s="1"/>
      <c r="B445" s="4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2.6">
      <c r="A446" s="1"/>
      <c r="B446" s="4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2.6">
      <c r="A447" s="1"/>
      <c r="B447" s="4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2.6">
      <c r="A448" s="1"/>
      <c r="B448" s="4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2.6">
      <c r="A449" s="1"/>
      <c r="B449" s="4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2.6">
      <c r="A450" s="1"/>
      <c r="B450" s="4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2.6">
      <c r="A451" s="1"/>
      <c r="B451" s="4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2.6">
      <c r="A452" s="1"/>
      <c r="B452" s="4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2.6">
      <c r="A453" s="1"/>
      <c r="B453" s="4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2.6">
      <c r="A454" s="1"/>
      <c r="B454" s="4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2.6">
      <c r="A455" s="1"/>
      <c r="B455" s="4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2.6">
      <c r="A456" s="1"/>
      <c r="B456" s="4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2.6">
      <c r="A457" s="1"/>
      <c r="B457" s="4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2.6">
      <c r="A458" s="1"/>
      <c r="B458" s="4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2.6">
      <c r="A459" s="1"/>
      <c r="B459" s="4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2.6">
      <c r="A460" s="1"/>
      <c r="B460" s="4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2.6">
      <c r="A461" s="1"/>
      <c r="B461" s="4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2.6">
      <c r="A462" s="1"/>
      <c r="B462" s="4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2.6">
      <c r="A463" s="1"/>
      <c r="B463" s="4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2.6">
      <c r="A464" s="1"/>
      <c r="B464" s="4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2.6">
      <c r="A465" s="1"/>
      <c r="B465" s="4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2.6">
      <c r="A466" s="1"/>
      <c r="B466" s="4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2.6">
      <c r="A467" s="1"/>
      <c r="B467" s="4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2.6">
      <c r="A468" s="1"/>
      <c r="B468" s="4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2.6">
      <c r="A469" s="1"/>
      <c r="B469" s="4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2.6">
      <c r="A470" s="1"/>
      <c r="B470" s="4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2.6">
      <c r="A471" s="1"/>
      <c r="B471" s="4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2.6">
      <c r="A472" s="1"/>
      <c r="B472" s="4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2.6">
      <c r="A473" s="1"/>
      <c r="B473" s="4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2.6">
      <c r="A474" s="1"/>
      <c r="B474" s="4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2.6">
      <c r="A475" s="1"/>
      <c r="B475" s="4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2.6">
      <c r="A476" s="1"/>
      <c r="B476" s="4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2.6">
      <c r="A477" s="1"/>
      <c r="B477" s="4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2.6">
      <c r="A478" s="1"/>
      <c r="B478" s="4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2.6">
      <c r="A479" s="1"/>
      <c r="B479" s="4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2.6">
      <c r="A480" s="1"/>
      <c r="B480" s="4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2.6">
      <c r="A481" s="1"/>
      <c r="B481" s="4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2.6">
      <c r="A482" s="1"/>
      <c r="B482" s="4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2.6">
      <c r="A483" s="1"/>
      <c r="B483" s="4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2.6">
      <c r="A484" s="1"/>
      <c r="B484" s="4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2.6">
      <c r="A485" s="1"/>
      <c r="B485" s="4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2.6">
      <c r="A486" s="1"/>
      <c r="B486" s="4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2.6">
      <c r="A487" s="1"/>
      <c r="B487" s="4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2.6">
      <c r="A488" s="1"/>
      <c r="B488" s="4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2.6">
      <c r="A489" s="1"/>
      <c r="B489" s="4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2.6">
      <c r="A490" s="1"/>
      <c r="B490" s="4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2.6">
      <c r="A491" s="1"/>
      <c r="B491" s="4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2.6">
      <c r="A492" s="1"/>
      <c r="B492" s="4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2.6">
      <c r="A493" s="1"/>
      <c r="B493" s="4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2.6">
      <c r="A494" s="1"/>
      <c r="B494" s="4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2.6">
      <c r="A495" s="1"/>
      <c r="B495" s="4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2.6">
      <c r="A496" s="1"/>
      <c r="B496" s="4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2.6">
      <c r="A497" s="1"/>
      <c r="B497" s="4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2.6">
      <c r="A498" s="1"/>
      <c r="B498" s="4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2.6">
      <c r="A499" s="1"/>
      <c r="B499" s="4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2.6">
      <c r="A500" s="1"/>
      <c r="B500" s="4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2.6">
      <c r="A501" s="1"/>
      <c r="B501" s="4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2.6">
      <c r="A502" s="1"/>
      <c r="B502" s="4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2.6">
      <c r="A503" s="1"/>
      <c r="B503" s="4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2.6">
      <c r="A504" s="1"/>
      <c r="B504" s="4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2.6">
      <c r="A505" s="1"/>
      <c r="B505" s="4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2.6">
      <c r="A506" s="1"/>
      <c r="B506" s="4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2.6">
      <c r="A507" s="1"/>
      <c r="B507" s="4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2.6">
      <c r="A508" s="1"/>
      <c r="B508" s="4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2.6">
      <c r="A509" s="1"/>
      <c r="B509" s="4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2.6">
      <c r="A510" s="1"/>
      <c r="B510" s="4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2.6">
      <c r="A511" s="1"/>
      <c r="B511" s="4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2.6">
      <c r="A512" s="1"/>
      <c r="B512" s="4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2.6">
      <c r="A513" s="1"/>
      <c r="B513" s="4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2.6">
      <c r="A514" s="1"/>
      <c r="B514" s="4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2.6">
      <c r="A515" s="1"/>
      <c r="B515" s="4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2.6">
      <c r="A516" s="1"/>
      <c r="B516" s="4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2.6">
      <c r="A517" s="1"/>
      <c r="B517" s="4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2.6">
      <c r="A518" s="1"/>
      <c r="B518" s="4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2.6">
      <c r="A519" s="1"/>
      <c r="B519" s="4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2.6">
      <c r="A520" s="1"/>
      <c r="B520" s="4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2.6">
      <c r="A521" s="1"/>
      <c r="B521" s="4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2.6">
      <c r="A522" s="1"/>
      <c r="B522" s="4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2.6">
      <c r="A523" s="1"/>
      <c r="B523" s="4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2.6">
      <c r="A524" s="1"/>
      <c r="B524" s="4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2.6">
      <c r="A525" s="1"/>
      <c r="B525" s="4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2.6">
      <c r="A526" s="1"/>
      <c r="B526" s="4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2.6">
      <c r="A527" s="1"/>
      <c r="B527" s="4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2.6">
      <c r="A528" s="1"/>
      <c r="B528" s="4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2.6">
      <c r="A529" s="1"/>
      <c r="B529" s="4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2.6">
      <c r="A530" s="1"/>
      <c r="B530" s="4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2.6">
      <c r="A531" s="1"/>
      <c r="B531" s="4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2.6">
      <c r="A532" s="1"/>
      <c r="B532" s="4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2.6">
      <c r="A533" s="1"/>
      <c r="B533" s="4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2.6">
      <c r="A534" s="1"/>
      <c r="B534" s="4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2.6">
      <c r="A535" s="1"/>
      <c r="B535" s="4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2.6">
      <c r="A536" s="1"/>
      <c r="B536" s="4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2.6">
      <c r="A537" s="1"/>
      <c r="B537" s="4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2.6">
      <c r="A538" s="1"/>
      <c r="B538" s="4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2.6">
      <c r="A539" s="1"/>
      <c r="B539" s="4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2.6">
      <c r="A540" s="1"/>
      <c r="B540" s="4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2.6">
      <c r="A541" s="1"/>
      <c r="B541" s="4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2.6">
      <c r="A542" s="1"/>
      <c r="B542" s="4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2.6">
      <c r="A543" s="1"/>
      <c r="B543" s="4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2.6">
      <c r="A544" s="1"/>
      <c r="B544" s="4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2.6">
      <c r="A545" s="1"/>
      <c r="B545" s="4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2.6">
      <c r="A546" s="1"/>
      <c r="B546" s="4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2.6">
      <c r="A547" s="1"/>
      <c r="B547" s="4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2.6">
      <c r="A548" s="1"/>
      <c r="B548" s="4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2.6">
      <c r="A549" s="1"/>
      <c r="B549" s="4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2.6">
      <c r="A550" s="1"/>
      <c r="B550" s="4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2.6">
      <c r="A551" s="1"/>
      <c r="B551" s="4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2.6">
      <c r="A552" s="1"/>
      <c r="B552" s="4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2.6">
      <c r="A553" s="1"/>
      <c r="B553" s="4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2.6">
      <c r="A554" s="1"/>
      <c r="B554" s="4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2.6">
      <c r="A555" s="1"/>
      <c r="B555" s="4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2.6">
      <c r="A556" s="1"/>
      <c r="B556" s="4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2.6">
      <c r="A557" s="1"/>
      <c r="B557" s="4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2.6">
      <c r="A558" s="1"/>
      <c r="B558" s="4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2.6">
      <c r="A559" s="1"/>
      <c r="B559" s="4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2.6">
      <c r="A560" s="1"/>
      <c r="B560" s="4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2.6">
      <c r="A561" s="1"/>
      <c r="B561" s="4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2.6">
      <c r="A562" s="1"/>
      <c r="B562" s="4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2.6">
      <c r="A563" s="1"/>
      <c r="B563" s="4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2.6">
      <c r="A564" s="1"/>
      <c r="B564" s="4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2.6">
      <c r="A565" s="1"/>
      <c r="B565" s="4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2.6">
      <c r="A566" s="1"/>
      <c r="B566" s="4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2.6">
      <c r="A567" s="1"/>
      <c r="B567" s="4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2.6">
      <c r="A568" s="1"/>
      <c r="B568" s="4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2.6">
      <c r="A569" s="1"/>
      <c r="B569" s="4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2.6">
      <c r="A570" s="1"/>
      <c r="B570" s="4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2.6">
      <c r="A571" s="1"/>
      <c r="B571" s="4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2.6">
      <c r="A572" s="1"/>
      <c r="B572" s="4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2.6">
      <c r="A573" s="1"/>
      <c r="B573" s="4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2.6">
      <c r="A574" s="1"/>
      <c r="B574" s="4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2.6">
      <c r="A575" s="1"/>
      <c r="B575" s="4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2.6">
      <c r="A576" s="1"/>
      <c r="B576" s="4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2.6">
      <c r="A577" s="1"/>
      <c r="B577" s="4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2.6">
      <c r="A578" s="1"/>
      <c r="B578" s="4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2.6">
      <c r="A579" s="1"/>
      <c r="B579" s="4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2.6">
      <c r="A580" s="1"/>
      <c r="B580" s="4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2.6">
      <c r="A581" s="1"/>
      <c r="B581" s="4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2.6">
      <c r="A582" s="1"/>
      <c r="B582" s="4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2.6">
      <c r="A583" s="1"/>
      <c r="B583" s="4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2.6">
      <c r="A584" s="1"/>
      <c r="B584" s="4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2.6">
      <c r="A585" s="1"/>
      <c r="B585" s="4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2.6">
      <c r="A586" s="1"/>
      <c r="B586" s="4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2.6">
      <c r="A587" s="1"/>
      <c r="B587" s="4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2.6">
      <c r="A588" s="1"/>
      <c r="B588" s="4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2.6">
      <c r="A589" s="1"/>
      <c r="B589" s="4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2.6">
      <c r="A590" s="1"/>
      <c r="B590" s="4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2.6">
      <c r="A591" s="1"/>
      <c r="B591" s="4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2.6">
      <c r="A592" s="1"/>
      <c r="B592" s="4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2.6">
      <c r="A593" s="1"/>
      <c r="B593" s="4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2.6">
      <c r="A594" s="1"/>
      <c r="B594" s="4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2.6">
      <c r="A595" s="1"/>
      <c r="B595" s="4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2.6">
      <c r="A596" s="1"/>
      <c r="B596" s="4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2.6">
      <c r="A597" s="1"/>
      <c r="B597" s="4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2.6">
      <c r="A598" s="1"/>
      <c r="B598" s="4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2.6">
      <c r="A599" s="1"/>
      <c r="B599" s="4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2.6">
      <c r="A600" s="1"/>
      <c r="B600" s="4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2.6">
      <c r="A601" s="1"/>
      <c r="B601" s="4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2.6">
      <c r="A602" s="1"/>
      <c r="B602" s="4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2.6">
      <c r="A603" s="1"/>
      <c r="B603" s="4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2.6">
      <c r="A604" s="1"/>
      <c r="B604" s="4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2.6">
      <c r="A605" s="1"/>
      <c r="B605" s="4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2.6">
      <c r="A606" s="1"/>
      <c r="B606" s="4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2.6">
      <c r="A607" s="1"/>
      <c r="B607" s="4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2.6">
      <c r="A608" s="1"/>
      <c r="B608" s="4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2.6">
      <c r="A609" s="1"/>
      <c r="B609" s="4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2.6">
      <c r="A610" s="1"/>
      <c r="B610" s="4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2.6">
      <c r="A611" s="1"/>
      <c r="B611" s="4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2.6">
      <c r="A612" s="1"/>
      <c r="B612" s="4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2.6">
      <c r="A613" s="1"/>
      <c r="B613" s="4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2.6">
      <c r="A614" s="1"/>
      <c r="B614" s="4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2.6">
      <c r="A615" s="1"/>
      <c r="B615" s="4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2.6">
      <c r="A616" s="1"/>
      <c r="B616" s="4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2.6">
      <c r="A617" s="1"/>
      <c r="B617" s="4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2.6">
      <c r="A618" s="1"/>
      <c r="B618" s="4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2.6">
      <c r="A619" s="1"/>
      <c r="B619" s="4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2.6">
      <c r="A620" s="1"/>
      <c r="B620" s="4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2.6">
      <c r="A621" s="1"/>
      <c r="B621" s="4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2.6">
      <c r="A622" s="1"/>
      <c r="B622" s="4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2.6">
      <c r="A623" s="1"/>
      <c r="B623" s="4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2.6">
      <c r="A624" s="1"/>
      <c r="B624" s="4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2.6">
      <c r="A625" s="1"/>
      <c r="B625" s="4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2.6">
      <c r="A626" s="1"/>
      <c r="B626" s="4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2.6">
      <c r="A627" s="1"/>
      <c r="B627" s="4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2.6">
      <c r="A628" s="1"/>
      <c r="B628" s="4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2.6">
      <c r="A629" s="1"/>
      <c r="B629" s="4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2.6">
      <c r="A630" s="1"/>
      <c r="B630" s="4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2.6">
      <c r="A631" s="1"/>
      <c r="B631" s="4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2.6">
      <c r="A632" s="1"/>
      <c r="B632" s="4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2.6">
      <c r="A633" s="1"/>
      <c r="B633" s="4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2.6">
      <c r="A634" s="1"/>
      <c r="B634" s="4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2.6">
      <c r="A635" s="1"/>
      <c r="B635" s="4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2.6">
      <c r="A636" s="1"/>
      <c r="B636" s="4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2.6">
      <c r="A637" s="1"/>
      <c r="B637" s="4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2.6">
      <c r="A638" s="1"/>
      <c r="B638" s="4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2.6">
      <c r="A639" s="1"/>
      <c r="B639" s="4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2.6">
      <c r="A640" s="1"/>
      <c r="B640" s="4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2.6">
      <c r="A641" s="1"/>
      <c r="B641" s="4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2.6">
      <c r="A642" s="1"/>
      <c r="B642" s="4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2.6">
      <c r="A643" s="1"/>
      <c r="B643" s="4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2.6">
      <c r="A644" s="1"/>
      <c r="B644" s="4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2.6">
      <c r="A645" s="1"/>
      <c r="B645" s="4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2.6">
      <c r="A646" s="1"/>
      <c r="B646" s="4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2.6">
      <c r="A647" s="1"/>
      <c r="B647" s="4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2.6">
      <c r="A648" s="1"/>
      <c r="B648" s="4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2.6">
      <c r="A649" s="1"/>
      <c r="B649" s="4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2.6">
      <c r="A650" s="1"/>
      <c r="B650" s="4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2.6">
      <c r="A651" s="1"/>
      <c r="B651" s="4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2.6">
      <c r="A652" s="1"/>
      <c r="B652" s="4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2.6">
      <c r="A653" s="1"/>
      <c r="B653" s="4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2.6">
      <c r="A654" s="1"/>
      <c r="B654" s="4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2.6">
      <c r="A655" s="1"/>
      <c r="B655" s="4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2.6">
      <c r="A656" s="1"/>
      <c r="B656" s="4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2.6">
      <c r="A657" s="1"/>
      <c r="B657" s="4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2.6">
      <c r="A658" s="1"/>
      <c r="B658" s="4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2.6">
      <c r="A659" s="1"/>
      <c r="B659" s="4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2.6">
      <c r="A660" s="1"/>
      <c r="B660" s="4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2.6">
      <c r="A661" s="1"/>
      <c r="B661" s="4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2.6">
      <c r="A662" s="1"/>
      <c r="B662" s="4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2.6">
      <c r="A663" s="1"/>
      <c r="B663" s="4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2.6">
      <c r="A664" s="1"/>
      <c r="B664" s="4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2.6">
      <c r="A665" s="1"/>
      <c r="B665" s="4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2.6">
      <c r="A666" s="1"/>
      <c r="B666" s="4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2.6">
      <c r="A667" s="1"/>
      <c r="B667" s="4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2.6">
      <c r="A668" s="1"/>
      <c r="B668" s="4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2.6">
      <c r="A669" s="1"/>
      <c r="B669" s="4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2.6">
      <c r="A670" s="1"/>
      <c r="B670" s="4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2.6">
      <c r="A671" s="1"/>
      <c r="B671" s="4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2.6">
      <c r="A672" s="1"/>
      <c r="B672" s="4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2.6">
      <c r="A673" s="1"/>
      <c r="B673" s="4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2.6">
      <c r="A674" s="1"/>
      <c r="B674" s="4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2.6">
      <c r="A675" s="1"/>
      <c r="B675" s="4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2.6">
      <c r="A676" s="1"/>
      <c r="B676" s="4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2.6">
      <c r="A677" s="1"/>
      <c r="B677" s="4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2.6">
      <c r="A678" s="1"/>
      <c r="B678" s="4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2.6">
      <c r="A679" s="1"/>
      <c r="B679" s="4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2.6">
      <c r="A680" s="1"/>
      <c r="B680" s="4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2.6">
      <c r="A681" s="1"/>
      <c r="B681" s="4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2.6">
      <c r="A682" s="1"/>
      <c r="B682" s="4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ht="12.6">
      <c r="A683" s="1"/>
      <c r="B683" s="4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ht="12.6">
      <c r="A684" s="1"/>
      <c r="B684" s="4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ht="12.6">
      <c r="A685" s="1"/>
      <c r="B685" s="4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ht="12.6">
      <c r="A686" s="1"/>
      <c r="B686" s="4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ht="12.6">
      <c r="A687" s="1"/>
      <c r="B687" s="4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ht="12.6">
      <c r="A688" s="1"/>
      <c r="B688" s="4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ht="12.6">
      <c r="A689" s="1"/>
      <c r="B689" s="4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ht="12.6">
      <c r="A690" s="1"/>
      <c r="B690" s="4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ht="12.6">
      <c r="A691" s="1"/>
      <c r="B691" s="4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ht="12.6">
      <c r="A692" s="1"/>
      <c r="B692" s="4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ht="12.6">
      <c r="A693" s="1"/>
      <c r="B693" s="4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ht="12.6">
      <c r="A694" s="1"/>
      <c r="B694" s="4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ht="12.6">
      <c r="A695" s="1"/>
      <c r="B695" s="4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ht="12.6">
      <c r="A696" s="1"/>
      <c r="B696" s="4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ht="12.6">
      <c r="A697" s="1"/>
      <c r="B697" s="4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ht="12.6">
      <c r="A698" s="1"/>
      <c r="B698" s="4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ht="12.6">
      <c r="A699" s="1"/>
      <c r="B699" s="4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ht="12.6">
      <c r="A700" s="1"/>
      <c r="B700" s="4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ht="12.6">
      <c r="A701" s="1"/>
      <c r="B701" s="4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ht="12.6">
      <c r="A702" s="1"/>
      <c r="B702" s="4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ht="12.6">
      <c r="A703" s="1"/>
      <c r="B703" s="4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ht="12.6">
      <c r="A704" s="1"/>
      <c r="B704" s="4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ht="12.6">
      <c r="A705" s="1"/>
      <c r="B705" s="4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ht="12.6">
      <c r="A706" s="1"/>
      <c r="B706" s="4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ht="12.6">
      <c r="A707" s="1"/>
      <c r="B707" s="4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ht="12.6">
      <c r="A708" s="1"/>
      <c r="B708" s="4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ht="12.6">
      <c r="A709" s="1"/>
      <c r="B709" s="4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ht="12.6">
      <c r="A710" s="1"/>
      <c r="B710" s="4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ht="12.6">
      <c r="A711" s="1"/>
      <c r="B711" s="4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ht="12.6">
      <c r="A712" s="1"/>
      <c r="B712" s="4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ht="12.6">
      <c r="A713" s="1"/>
      <c r="B713" s="4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ht="12.6">
      <c r="A714" s="1"/>
      <c r="B714" s="4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ht="12.6">
      <c r="A715" s="1"/>
      <c r="B715" s="4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ht="12.6">
      <c r="A716" s="1"/>
      <c r="B716" s="4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ht="12.6">
      <c r="A717" s="1"/>
      <c r="B717" s="4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ht="12.6">
      <c r="A718" s="1"/>
      <c r="B718" s="4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ht="12.6">
      <c r="A719" s="1"/>
      <c r="B719" s="4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ht="12.6">
      <c r="A720" s="1"/>
      <c r="B720" s="4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ht="12.6">
      <c r="A721" s="1"/>
      <c r="B721" s="4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ht="12.6">
      <c r="A722" s="1"/>
      <c r="B722" s="4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ht="12.6">
      <c r="A723" s="1"/>
      <c r="B723" s="4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ht="12.6">
      <c r="A724" s="1"/>
      <c r="B724" s="4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ht="12.6">
      <c r="A725" s="1"/>
      <c r="B725" s="4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ht="12.6">
      <c r="A726" s="1"/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ht="12.6">
      <c r="A727" s="1"/>
      <c r="B727" s="4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ht="12.6">
      <c r="A728" s="1"/>
      <c r="B728" s="4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ht="12.6">
      <c r="A729" s="1"/>
      <c r="B729" s="4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ht="12.6">
      <c r="A730" s="1"/>
      <c r="B730" s="4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ht="12.6">
      <c r="A731" s="1"/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ht="12.6">
      <c r="A732" s="1"/>
      <c r="B732" s="4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ht="12.6">
      <c r="A733" s="1"/>
      <c r="B733" s="4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ht="12.6">
      <c r="A734" s="1"/>
      <c r="B734" s="4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ht="12.6">
      <c r="A735" s="1"/>
      <c r="B735" s="4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ht="12.6">
      <c r="A736" s="1"/>
      <c r="B736" s="4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ht="12.6">
      <c r="A737" s="1"/>
      <c r="B737" s="4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ht="12.6">
      <c r="A738" s="1"/>
      <c r="B738" s="4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ht="12.6">
      <c r="A739" s="1"/>
      <c r="B739" s="4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ht="12.6">
      <c r="A740" s="1"/>
      <c r="B740" s="4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ht="12.6">
      <c r="A741" s="1"/>
      <c r="B741" s="4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ht="12.6">
      <c r="A742" s="1"/>
      <c r="B742" s="4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ht="12.6">
      <c r="A743" s="1"/>
      <c r="B743" s="4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ht="12.6">
      <c r="A744" s="1"/>
      <c r="B744" s="4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ht="12.6">
      <c r="A745" s="1"/>
      <c r="B745" s="4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ht="12.6">
      <c r="A746" s="1"/>
      <c r="B746" s="4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ht="12.6">
      <c r="A747" s="1"/>
      <c r="B747" s="4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ht="12.6">
      <c r="A748" s="1"/>
      <c r="B748" s="4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ht="12.6">
      <c r="A749" s="1"/>
      <c r="B749" s="4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ht="12.6">
      <c r="A750" s="1"/>
      <c r="B750" s="4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ht="12.6">
      <c r="A751" s="1"/>
      <c r="B751" s="4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ht="12.6">
      <c r="A752" s="1"/>
      <c r="B752" s="4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ht="12.6">
      <c r="A753" s="1"/>
      <c r="B753" s="4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ht="12.6">
      <c r="A754" s="1"/>
      <c r="B754" s="4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ht="12.6">
      <c r="A755" s="1"/>
      <c r="B755" s="4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ht="12.6">
      <c r="A756" s="1"/>
      <c r="B756" s="4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ht="12.6">
      <c r="A757" s="1"/>
      <c r="B757" s="4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ht="12.6">
      <c r="A758" s="1"/>
      <c r="B758" s="4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ht="12.6">
      <c r="A759" s="1"/>
      <c r="B759" s="4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ht="12.6">
      <c r="A760" s="1"/>
      <c r="B760" s="4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ht="12.6">
      <c r="A761" s="1"/>
      <c r="B761" s="4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ht="12.6">
      <c r="A762" s="1"/>
      <c r="B762" s="4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ht="12.6">
      <c r="A763" s="1"/>
      <c r="B763" s="4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ht="12.6">
      <c r="A764" s="1"/>
      <c r="B764" s="4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ht="12.6">
      <c r="A765" s="1"/>
      <c r="B765" s="4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ht="12.6">
      <c r="A766" s="1"/>
      <c r="B766" s="4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ht="12.6">
      <c r="A767" s="1"/>
      <c r="B767" s="4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ht="12.6">
      <c r="A768" s="1"/>
      <c r="B768" s="4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ht="12.6">
      <c r="A769" s="1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ht="12.6">
      <c r="A770" s="1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ht="12.6">
      <c r="A771" s="1"/>
      <c r="B771" s="4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ht="12.6">
      <c r="A772" s="1"/>
      <c r="B772" s="4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ht="12.6">
      <c r="A773" s="1"/>
      <c r="B773" s="4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ht="12.6">
      <c r="A774" s="1"/>
      <c r="B774" s="4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ht="12.6">
      <c r="A775" s="1"/>
      <c r="B775" s="4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ht="12.6">
      <c r="A776" s="1"/>
      <c r="B776" s="4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ht="12.6">
      <c r="A777" s="1"/>
      <c r="B777" s="4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ht="12.6">
      <c r="A778" s="1"/>
      <c r="B778" s="4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ht="12.6">
      <c r="A779" s="1"/>
      <c r="B779" s="4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ht="12.6">
      <c r="A780" s="1"/>
      <c r="B780" s="4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ht="12.6">
      <c r="A781" s="1"/>
      <c r="B781" s="4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ht="12.6">
      <c r="A782" s="1"/>
      <c r="B782" s="4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ht="12.6">
      <c r="A783" s="1"/>
      <c r="B783" s="4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ht="12.6">
      <c r="A784" s="1"/>
      <c r="B784" s="4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ht="12.6">
      <c r="A785" s="1"/>
      <c r="B785" s="4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ht="12.6">
      <c r="A786" s="1"/>
      <c r="B786" s="4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ht="12.6">
      <c r="A787" s="1"/>
      <c r="B787" s="4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ht="12.6">
      <c r="A788" s="1"/>
      <c r="B788" s="4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ht="12.6">
      <c r="A789" s="1"/>
      <c r="B789" s="4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ht="12.6">
      <c r="A790" s="1"/>
      <c r="B790" s="4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ht="12.6">
      <c r="A791" s="1"/>
      <c r="B791" s="4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ht="12.6">
      <c r="A792" s="1"/>
      <c r="B792" s="4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ht="12.6">
      <c r="A793" s="1"/>
      <c r="B793" s="4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ht="12.6">
      <c r="A794" s="1"/>
      <c r="B794" s="4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ht="12.6">
      <c r="A795" s="1"/>
      <c r="B795" s="4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ht="12.6">
      <c r="A796" s="1"/>
      <c r="B796" s="4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ht="12.6">
      <c r="A797" s="1"/>
      <c r="B797" s="4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ht="12.6">
      <c r="A798" s="1"/>
      <c r="B798" s="4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ht="12.6">
      <c r="A799" s="1"/>
      <c r="B799" s="4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ht="12.6">
      <c r="A800" s="1"/>
      <c r="B800" s="4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ht="12.6">
      <c r="A801" s="1"/>
      <c r="B801" s="4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ht="12.6">
      <c r="A802" s="1"/>
      <c r="B802" s="4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ht="12.6">
      <c r="A803" s="1"/>
      <c r="B803" s="4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ht="12.6">
      <c r="A804" s="1"/>
      <c r="B804" s="4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ht="12.6">
      <c r="A805" s="1"/>
      <c r="B805" s="4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ht="12.6">
      <c r="A806" s="1"/>
      <c r="B806" s="4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ht="12.6">
      <c r="A807" s="1"/>
      <c r="B807" s="4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ht="12.6">
      <c r="A808" s="1"/>
      <c r="B808" s="4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ht="12.6">
      <c r="A809" s="1"/>
      <c r="B809" s="4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ht="12.6">
      <c r="A810" s="1"/>
      <c r="B810" s="4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ht="12.6">
      <c r="A811" s="1"/>
      <c r="B811" s="4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ht="12.6">
      <c r="A812" s="1"/>
      <c r="B812" s="4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ht="12.6">
      <c r="A813" s="1"/>
      <c r="B813" s="4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ht="12.6">
      <c r="A814" s="1"/>
      <c r="B814" s="4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ht="12.6">
      <c r="A815" s="1"/>
      <c r="B815" s="4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ht="12.6">
      <c r="A816" s="1"/>
      <c r="B816" s="4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ht="12.6">
      <c r="A817" s="1"/>
      <c r="B817" s="4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ht="12.6">
      <c r="A818" s="1"/>
      <c r="B818" s="4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ht="12.6">
      <c r="A819" s="1"/>
      <c r="B819" s="4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ht="12.6">
      <c r="A820" s="1"/>
      <c r="B820" s="4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ht="12.6">
      <c r="A821" s="1"/>
      <c r="B821" s="4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ht="12.6">
      <c r="A822" s="1"/>
      <c r="B822" s="4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ht="12.6">
      <c r="A823" s="1"/>
      <c r="B823" s="4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ht="12.6">
      <c r="A824" s="1"/>
      <c r="B824" s="4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ht="12.6">
      <c r="A825" s="1"/>
      <c r="B825" s="4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ht="12.6">
      <c r="A826" s="1"/>
      <c r="B826" s="4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ht="12.6">
      <c r="A827" s="1"/>
      <c r="B827" s="4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ht="12.6">
      <c r="A828" s="1"/>
      <c r="B828" s="4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ht="12.6">
      <c r="A829" s="1"/>
      <c r="B829" s="4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ht="12.6">
      <c r="A830" s="1"/>
      <c r="B830" s="4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ht="12.6">
      <c r="A831" s="1"/>
      <c r="B831" s="4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ht="12.6">
      <c r="A832" s="1"/>
      <c r="B832" s="4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ht="12.6">
      <c r="A833" s="1"/>
      <c r="B833" s="4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ht="12.6">
      <c r="A834" s="1"/>
      <c r="B834" s="4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ht="12.6">
      <c r="A835" s="1"/>
      <c r="B835" s="4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ht="12.6">
      <c r="A836" s="1"/>
      <c r="B836" s="4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ht="12.6">
      <c r="A837" s="1"/>
      <c r="B837" s="4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ht="12.6">
      <c r="A838" s="1"/>
      <c r="B838" s="4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ht="12.6">
      <c r="A839" s="1"/>
      <c r="B839" s="4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ht="12.6">
      <c r="A840" s="1"/>
      <c r="B840" s="4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ht="12.6">
      <c r="A841" s="1"/>
      <c r="B841" s="4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ht="12.6">
      <c r="A842" s="1"/>
      <c r="B842" s="4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ht="12.6">
      <c r="A843" s="1"/>
      <c r="B843" s="4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ht="12.6">
      <c r="A844" s="1"/>
      <c r="B844" s="4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ht="12.6">
      <c r="A845" s="1"/>
      <c r="B845" s="4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ht="12.6">
      <c r="A846" s="1"/>
      <c r="B846" s="4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ht="12.6">
      <c r="A847" s="1"/>
      <c r="B847" s="4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ht="12.6">
      <c r="A848" s="1"/>
      <c r="B848" s="4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ht="12.6">
      <c r="A849" s="1"/>
      <c r="B849" s="4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ht="12.6">
      <c r="A850" s="1"/>
      <c r="B850" s="4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ht="12.6">
      <c r="A851" s="1"/>
      <c r="B851" s="4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ht="12.6">
      <c r="A852" s="1"/>
      <c r="B852" s="4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ht="12.6">
      <c r="A853" s="1"/>
      <c r="B853" s="4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ht="12.6">
      <c r="A854" s="1"/>
      <c r="B854" s="4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ht="12.6">
      <c r="A855" s="1"/>
      <c r="B855" s="4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ht="12.6">
      <c r="A856" s="1"/>
      <c r="B856" s="4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ht="12.6">
      <c r="A857" s="1"/>
      <c r="B857" s="4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ht="12.6">
      <c r="A858" s="1"/>
      <c r="B858" s="4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ht="12.6">
      <c r="A859" s="1"/>
      <c r="B859" s="4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ht="12.6">
      <c r="A860" s="1"/>
      <c r="B860" s="4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ht="12.6">
      <c r="A861" s="1"/>
      <c r="B861" s="4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ht="12.6">
      <c r="A862" s="1"/>
      <c r="B862" s="4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ht="12.6">
      <c r="A863" s="1"/>
      <c r="B863" s="4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ht="12.6">
      <c r="A864" s="1"/>
      <c r="B864" s="4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ht="12.6">
      <c r="A865" s="1"/>
      <c r="B865" s="4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</sheetData>
  <mergeCells count="1">
    <mergeCell ref="A1:D1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0580D659-8F95-4CCF-A613-7F43CF8E17CF}"/>
</file>

<file path=customXml/itemProps2.xml><?xml version="1.0" encoding="utf-8"?>
<ds:datastoreItem xmlns:ds="http://schemas.openxmlformats.org/officeDocument/2006/customXml" ds:itemID="{36F71FE8-A9AB-4BEE-A04A-F5C409F8A938}"/>
</file>

<file path=customXml/itemProps3.xml><?xml version="1.0" encoding="utf-8"?>
<ds:datastoreItem xmlns:ds="http://schemas.openxmlformats.org/officeDocument/2006/customXml" ds:itemID="{3577FED0-73D6-4C5F-856E-4F4D1FB951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Berenisse Pierre</cp:lastModifiedBy>
  <cp:revision/>
  <dcterms:created xsi:type="dcterms:W3CDTF">2022-08-16T20:53:49Z</dcterms:created>
  <dcterms:modified xsi:type="dcterms:W3CDTF">2022-09-08T14:45:39Z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