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art\OneDrive - Partners of the Americas\Desktop\"/>
    </mc:Choice>
  </mc:AlternateContent>
  <xr:revisionPtr revIDLastSave="1" documentId="13_ncr:1_{332DBB0A-BCE3-4E3A-A424-5039B44D30A8}" xr6:coauthVersionLast="47" xr6:coauthVersionMax="47" xr10:uidLastSave="{EC1255DB-0FFA-426C-A588-9D7D5D094E28}"/>
  <bookViews>
    <workbookView xWindow="-96" yWindow="-96" windowWidth="23232" windowHeight="12552" xr2:uid="{81CAF5E4-8084-481B-AA29-395B84C98C90}"/>
  </bookViews>
  <sheets>
    <sheet name="Sub Budget Template" sheetId="1" r:id="rId1"/>
    <sheet name="Sheet1" sheetId="2" r:id="rId2"/>
  </sheets>
  <definedNames>
    <definedName name="inf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1" i="1" l="1"/>
  <c r="Q131" i="1"/>
  <c r="P131" i="1"/>
  <c r="O131" i="1"/>
  <c r="M131" i="1"/>
  <c r="K131" i="1"/>
  <c r="I131" i="1"/>
  <c r="G131" i="1"/>
  <c r="Q123" i="1"/>
  <c r="Q125" i="1" s="1"/>
  <c r="Q129" i="1" s="1"/>
  <c r="O123" i="1"/>
  <c r="O122" i="1"/>
  <c r="M122" i="1"/>
  <c r="K122" i="1"/>
  <c r="P122" i="1" s="1"/>
  <c r="R122" i="1" s="1"/>
  <c r="I122" i="1"/>
  <c r="G122" i="1"/>
  <c r="O121" i="1"/>
  <c r="M121" i="1"/>
  <c r="M123" i="1" s="1"/>
  <c r="K121" i="1"/>
  <c r="P121" i="1" s="1"/>
  <c r="R121" i="1" s="1"/>
  <c r="I121" i="1"/>
  <c r="G121" i="1"/>
  <c r="O120" i="1"/>
  <c r="M120" i="1"/>
  <c r="K120" i="1"/>
  <c r="K123" i="1" s="1"/>
  <c r="I120" i="1"/>
  <c r="I123" i="1" s="1"/>
  <c r="G120" i="1"/>
  <c r="G123" i="1" s="1"/>
  <c r="Q117" i="1"/>
  <c r="K117" i="1"/>
  <c r="I117" i="1"/>
  <c r="O116" i="1"/>
  <c r="M116" i="1"/>
  <c r="K116" i="1"/>
  <c r="I116" i="1"/>
  <c r="G116" i="1"/>
  <c r="P116" i="1" s="1"/>
  <c r="R116" i="1" s="1"/>
  <c r="O115" i="1"/>
  <c r="M115" i="1"/>
  <c r="K115" i="1"/>
  <c r="I115" i="1"/>
  <c r="G115" i="1"/>
  <c r="P115" i="1" s="1"/>
  <c r="R115" i="1" s="1"/>
  <c r="O114" i="1"/>
  <c r="M114" i="1"/>
  <c r="K114" i="1"/>
  <c r="I114" i="1"/>
  <c r="P114" i="1" s="1"/>
  <c r="R114" i="1" s="1"/>
  <c r="G114" i="1"/>
  <c r="P113" i="1"/>
  <c r="R113" i="1" s="1"/>
  <c r="O113" i="1"/>
  <c r="M113" i="1"/>
  <c r="K113" i="1"/>
  <c r="I113" i="1"/>
  <c r="G113" i="1"/>
  <c r="G117" i="1" s="1"/>
  <c r="O112" i="1"/>
  <c r="P112" i="1" s="1"/>
  <c r="M112" i="1"/>
  <c r="M117" i="1" s="1"/>
  <c r="K112" i="1"/>
  <c r="I112" i="1"/>
  <c r="G112" i="1"/>
  <c r="Q109" i="1"/>
  <c r="O109" i="1"/>
  <c r="O108" i="1"/>
  <c r="M108" i="1"/>
  <c r="K108" i="1"/>
  <c r="I108" i="1"/>
  <c r="G108" i="1"/>
  <c r="P108" i="1" s="1"/>
  <c r="R108" i="1" s="1"/>
  <c r="O107" i="1"/>
  <c r="M107" i="1"/>
  <c r="M109" i="1" s="1"/>
  <c r="K107" i="1"/>
  <c r="P107" i="1" s="1"/>
  <c r="R107" i="1" s="1"/>
  <c r="I107" i="1"/>
  <c r="G107" i="1"/>
  <c r="O106" i="1"/>
  <c r="M106" i="1"/>
  <c r="K106" i="1"/>
  <c r="K109" i="1" s="1"/>
  <c r="I106" i="1"/>
  <c r="I109" i="1" s="1"/>
  <c r="G106" i="1"/>
  <c r="G109" i="1" s="1"/>
  <c r="Q103" i="1"/>
  <c r="O103" i="1"/>
  <c r="K103" i="1"/>
  <c r="I103" i="1"/>
  <c r="O102" i="1"/>
  <c r="M102" i="1"/>
  <c r="K102" i="1"/>
  <c r="I102" i="1"/>
  <c r="G102" i="1"/>
  <c r="P102" i="1" s="1"/>
  <c r="R102" i="1" s="1"/>
  <c r="O101" i="1"/>
  <c r="M101" i="1"/>
  <c r="K101" i="1"/>
  <c r="I101" i="1"/>
  <c r="G101" i="1"/>
  <c r="G103" i="1" s="1"/>
  <c r="O100" i="1"/>
  <c r="M100" i="1"/>
  <c r="M103" i="1" s="1"/>
  <c r="K100" i="1"/>
  <c r="I100" i="1"/>
  <c r="P100" i="1" s="1"/>
  <c r="G100" i="1"/>
  <c r="Q97" i="1"/>
  <c r="P96" i="1"/>
  <c r="R96" i="1" s="1"/>
  <c r="O96" i="1"/>
  <c r="M96" i="1"/>
  <c r="K96" i="1"/>
  <c r="I96" i="1"/>
  <c r="G96" i="1"/>
  <c r="O95" i="1"/>
  <c r="P95" i="1" s="1"/>
  <c r="R95" i="1" s="1"/>
  <c r="M95" i="1"/>
  <c r="K95" i="1"/>
  <c r="I95" i="1"/>
  <c r="G95" i="1"/>
  <c r="O94" i="1"/>
  <c r="M94" i="1"/>
  <c r="K94" i="1"/>
  <c r="I94" i="1"/>
  <c r="G94" i="1"/>
  <c r="P94" i="1" s="1"/>
  <c r="R94" i="1" s="1"/>
  <c r="O93" i="1"/>
  <c r="M93" i="1"/>
  <c r="K93" i="1"/>
  <c r="P93" i="1" s="1"/>
  <c r="R93" i="1" s="1"/>
  <c r="I93" i="1"/>
  <c r="G93" i="1"/>
  <c r="O92" i="1"/>
  <c r="M92" i="1"/>
  <c r="K92" i="1"/>
  <c r="I92" i="1"/>
  <c r="G92" i="1"/>
  <c r="P92" i="1" s="1"/>
  <c r="R92" i="1" s="1"/>
  <c r="O91" i="1"/>
  <c r="M91" i="1"/>
  <c r="K91" i="1"/>
  <c r="I91" i="1"/>
  <c r="G91" i="1"/>
  <c r="P91" i="1" s="1"/>
  <c r="R91" i="1" s="1"/>
  <c r="O90" i="1"/>
  <c r="M90" i="1"/>
  <c r="K90" i="1"/>
  <c r="I90" i="1"/>
  <c r="G90" i="1"/>
  <c r="P90" i="1" s="1"/>
  <c r="R90" i="1" s="1"/>
  <c r="O89" i="1"/>
  <c r="O97" i="1" s="1"/>
  <c r="M89" i="1"/>
  <c r="M97" i="1" s="1"/>
  <c r="K89" i="1"/>
  <c r="K97" i="1" s="1"/>
  <c r="I89" i="1"/>
  <c r="P89" i="1" s="1"/>
  <c r="G89" i="1"/>
  <c r="G97" i="1" s="1"/>
  <c r="Q86" i="1"/>
  <c r="M86" i="1"/>
  <c r="K86" i="1"/>
  <c r="L85" i="1"/>
  <c r="F85" i="1"/>
  <c r="O84" i="1"/>
  <c r="L84" i="1"/>
  <c r="F84" i="1"/>
  <c r="Q81" i="1"/>
  <c r="O81" i="1"/>
  <c r="O80" i="1"/>
  <c r="O85" i="1" s="1"/>
  <c r="M80" i="1"/>
  <c r="K80" i="1"/>
  <c r="I80" i="1"/>
  <c r="I85" i="1" s="1"/>
  <c r="G80" i="1"/>
  <c r="P80" i="1" s="1"/>
  <c r="R80" i="1" s="1"/>
  <c r="O78" i="1"/>
  <c r="M78" i="1"/>
  <c r="K78" i="1"/>
  <c r="P78" i="1" s="1"/>
  <c r="R78" i="1" s="1"/>
  <c r="I78" i="1"/>
  <c r="G78" i="1"/>
  <c r="O77" i="1"/>
  <c r="M77" i="1"/>
  <c r="K77" i="1"/>
  <c r="I77" i="1"/>
  <c r="G77" i="1"/>
  <c r="P77" i="1" s="1"/>
  <c r="R77" i="1" s="1"/>
  <c r="O76" i="1"/>
  <c r="M76" i="1"/>
  <c r="M81" i="1" s="1"/>
  <c r="K76" i="1"/>
  <c r="I76" i="1"/>
  <c r="G76" i="1"/>
  <c r="P76" i="1" s="1"/>
  <c r="R76" i="1" s="1"/>
  <c r="O75" i="1"/>
  <c r="M75" i="1"/>
  <c r="K75" i="1"/>
  <c r="I75" i="1"/>
  <c r="G75" i="1"/>
  <c r="P75" i="1" s="1"/>
  <c r="R75" i="1" s="1"/>
  <c r="O74" i="1"/>
  <c r="M74" i="1"/>
  <c r="K74" i="1"/>
  <c r="I74" i="1"/>
  <c r="P74" i="1" s="1"/>
  <c r="R74" i="1" s="1"/>
  <c r="G74" i="1"/>
  <c r="P73" i="1"/>
  <c r="R73" i="1" s="1"/>
  <c r="O73" i="1"/>
  <c r="M73" i="1"/>
  <c r="K73" i="1"/>
  <c r="K81" i="1" s="1"/>
  <c r="I73" i="1"/>
  <c r="I84" i="1" s="1"/>
  <c r="G73" i="1"/>
  <c r="G84" i="1" s="1"/>
  <c r="G68" i="1"/>
  <c r="G66" i="1"/>
  <c r="R64" i="1"/>
  <c r="Q64" i="1"/>
  <c r="P64" i="1"/>
  <c r="O64" i="1"/>
  <c r="M64" i="1"/>
  <c r="K64" i="1"/>
  <c r="I64" i="1"/>
  <c r="G64" i="1"/>
  <c r="R42" i="1"/>
  <c r="P42" i="1"/>
  <c r="Q42" i="1"/>
  <c r="O42" i="1"/>
  <c r="M42" i="1"/>
  <c r="K42" i="1"/>
  <c r="I42" i="1"/>
  <c r="G42" i="1"/>
  <c r="O41" i="1"/>
  <c r="M41" i="1"/>
  <c r="K41" i="1"/>
  <c r="I41" i="1"/>
  <c r="G41" i="1"/>
  <c r="P41" i="1" s="1"/>
  <c r="R41" i="1" s="1"/>
  <c r="P40" i="1"/>
  <c r="R40" i="1" s="1"/>
  <c r="O40" i="1"/>
  <c r="M40" i="1"/>
  <c r="K40" i="1"/>
  <c r="I40" i="1"/>
  <c r="G40" i="1"/>
  <c r="O39" i="1"/>
  <c r="M39" i="1"/>
  <c r="K39" i="1"/>
  <c r="I39" i="1"/>
  <c r="G39" i="1"/>
  <c r="R62" i="1"/>
  <c r="Q62" i="1"/>
  <c r="P62" i="1"/>
  <c r="O62" i="1"/>
  <c r="M62" i="1"/>
  <c r="K62" i="1"/>
  <c r="I62" i="1"/>
  <c r="G62" i="1"/>
  <c r="O60" i="1"/>
  <c r="M60" i="1"/>
  <c r="K60" i="1"/>
  <c r="I60" i="1"/>
  <c r="G60" i="1"/>
  <c r="P60" i="1" s="1"/>
  <c r="R60" i="1" s="1"/>
  <c r="R56" i="1"/>
  <c r="Q56" i="1"/>
  <c r="P56" i="1"/>
  <c r="O56" i="1"/>
  <c r="M56" i="1"/>
  <c r="K56" i="1"/>
  <c r="I56" i="1"/>
  <c r="G56" i="1"/>
  <c r="R48" i="1"/>
  <c r="Q48" i="1"/>
  <c r="P48" i="1"/>
  <c r="O48" i="1"/>
  <c r="M48" i="1"/>
  <c r="K48" i="1"/>
  <c r="I48" i="1"/>
  <c r="G48" i="1"/>
  <c r="O45" i="1"/>
  <c r="M45" i="1"/>
  <c r="K45" i="1"/>
  <c r="I45" i="1"/>
  <c r="G45" i="1"/>
  <c r="P45" i="1" s="1"/>
  <c r="R45" i="1" s="1"/>
  <c r="O52" i="1"/>
  <c r="M52" i="1"/>
  <c r="K52" i="1"/>
  <c r="I52" i="1"/>
  <c r="G52" i="1"/>
  <c r="O51" i="1"/>
  <c r="M51" i="1"/>
  <c r="K51" i="1"/>
  <c r="I51" i="1"/>
  <c r="G51" i="1"/>
  <c r="K125" i="1" l="1"/>
  <c r="K127" i="1" s="1"/>
  <c r="K129" i="1" s="1"/>
  <c r="R81" i="1"/>
  <c r="I125" i="1"/>
  <c r="I127" i="1" s="1"/>
  <c r="I129" i="1" s="1"/>
  <c r="P97" i="1"/>
  <c r="R89" i="1"/>
  <c r="R97" i="1" s="1"/>
  <c r="O86" i="1"/>
  <c r="O125" i="1"/>
  <c r="O127" i="1" s="1"/>
  <c r="P84" i="1"/>
  <c r="R112" i="1"/>
  <c r="R117" i="1" s="1"/>
  <c r="P117" i="1"/>
  <c r="I86" i="1"/>
  <c r="R100" i="1"/>
  <c r="R103" i="1" s="1"/>
  <c r="P103" i="1"/>
  <c r="M125" i="1"/>
  <c r="M127" i="1" s="1"/>
  <c r="M129" i="1" s="1"/>
  <c r="G81" i="1"/>
  <c r="G85" i="1"/>
  <c r="P85" i="1" s="1"/>
  <c r="R85" i="1" s="1"/>
  <c r="P106" i="1"/>
  <c r="P120" i="1"/>
  <c r="O117" i="1"/>
  <c r="I81" i="1"/>
  <c r="P81" i="1"/>
  <c r="I97" i="1"/>
  <c r="P101" i="1"/>
  <c r="R101" i="1" s="1"/>
  <c r="P39" i="1"/>
  <c r="P51" i="1"/>
  <c r="R51" i="1" s="1"/>
  <c r="P52" i="1"/>
  <c r="R52" i="1" s="1"/>
  <c r="Q25" i="1"/>
  <c r="M25" i="1"/>
  <c r="K25" i="1"/>
  <c r="L24" i="1"/>
  <c r="F24" i="1"/>
  <c r="L23" i="1"/>
  <c r="F23" i="1"/>
  <c r="O47" i="1"/>
  <c r="M47" i="1"/>
  <c r="K47" i="1"/>
  <c r="I47" i="1"/>
  <c r="G47" i="1"/>
  <c r="P47" i="1" s="1"/>
  <c r="R47" i="1" s="1"/>
  <c r="O46" i="1"/>
  <c r="M46" i="1"/>
  <c r="K46" i="1"/>
  <c r="I46" i="1"/>
  <c r="G46" i="1"/>
  <c r="G86" i="1" l="1"/>
  <c r="G125" i="1" s="1"/>
  <c r="G127" i="1" s="1"/>
  <c r="G129" i="1" s="1"/>
  <c r="P127" i="1"/>
  <c r="O129" i="1"/>
  <c r="P123" i="1"/>
  <c r="R120" i="1"/>
  <c r="R123" i="1" s="1"/>
  <c r="P109" i="1"/>
  <c r="R106" i="1"/>
  <c r="R109" i="1" s="1"/>
  <c r="R84" i="1"/>
  <c r="R86" i="1" s="1"/>
  <c r="P86" i="1"/>
  <c r="R39" i="1"/>
  <c r="P46" i="1"/>
  <c r="R46" i="1"/>
  <c r="Q68" i="1"/>
  <c r="Q36" i="1"/>
  <c r="O31" i="1"/>
  <c r="M31" i="1"/>
  <c r="K31" i="1"/>
  <c r="I31" i="1"/>
  <c r="G31" i="1"/>
  <c r="O30" i="1"/>
  <c r="M30" i="1"/>
  <c r="K30" i="1"/>
  <c r="I30" i="1"/>
  <c r="G30" i="1"/>
  <c r="O29" i="1"/>
  <c r="M29" i="1"/>
  <c r="K29" i="1"/>
  <c r="I29" i="1"/>
  <c r="G29" i="1"/>
  <c r="O28" i="1"/>
  <c r="M28" i="1"/>
  <c r="K28" i="1"/>
  <c r="I28" i="1"/>
  <c r="G28" i="1"/>
  <c r="O59" i="1"/>
  <c r="M59" i="1"/>
  <c r="K59" i="1"/>
  <c r="I59" i="1"/>
  <c r="G59" i="1"/>
  <c r="O61" i="1"/>
  <c r="M61" i="1"/>
  <c r="K61" i="1"/>
  <c r="I61" i="1"/>
  <c r="G61" i="1"/>
  <c r="O13" i="1"/>
  <c r="O14" i="1"/>
  <c r="O15" i="1"/>
  <c r="O16" i="1"/>
  <c r="O17" i="1"/>
  <c r="O19" i="1"/>
  <c r="O24" i="1" s="1"/>
  <c r="O12" i="1"/>
  <c r="M13" i="1"/>
  <c r="M14" i="1"/>
  <c r="M15" i="1"/>
  <c r="M16" i="1"/>
  <c r="M17" i="1"/>
  <c r="M19" i="1"/>
  <c r="M12" i="1"/>
  <c r="K13" i="1"/>
  <c r="K14" i="1"/>
  <c r="K15" i="1"/>
  <c r="K16" i="1"/>
  <c r="K17" i="1"/>
  <c r="K19" i="1"/>
  <c r="K12" i="1"/>
  <c r="I13" i="1"/>
  <c r="I14" i="1"/>
  <c r="I15" i="1"/>
  <c r="I16" i="1"/>
  <c r="I17" i="1"/>
  <c r="I19" i="1"/>
  <c r="I24" i="1" s="1"/>
  <c r="I12" i="1"/>
  <c r="G12" i="1"/>
  <c r="O55" i="1"/>
  <c r="M55" i="1"/>
  <c r="K55" i="1"/>
  <c r="I55" i="1"/>
  <c r="G55" i="1"/>
  <c r="O54" i="1"/>
  <c r="M54" i="1"/>
  <c r="K54" i="1"/>
  <c r="I54" i="1"/>
  <c r="G54" i="1"/>
  <c r="O53" i="1"/>
  <c r="M53" i="1"/>
  <c r="K53" i="1"/>
  <c r="I53" i="1"/>
  <c r="G53" i="1"/>
  <c r="O35" i="1"/>
  <c r="M35" i="1"/>
  <c r="K35" i="1"/>
  <c r="I35" i="1"/>
  <c r="G35" i="1"/>
  <c r="O34" i="1"/>
  <c r="M34" i="1"/>
  <c r="K34" i="1"/>
  <c r="I34" i="1"/>
  <c r="G34" i="1"/>
  <c r="O33" i="1"/>
  <c r="M33" i="1"/>
  <c r="K33" i="1"/>
  <c r="I33" i="1"/>
  <c r="G33" i="1"/>
  <c r="O32" i="1"/>
  <c r="M32" i="1"/>
  <c r="K32" i="1"/>
  <c r="I32" i="1"/>
  <c r="G32" i="1"/>
  <c r="Q20" i="1"/>
  <c r="G19" i="1"/>
  <c r="G24" i="1" s="1"/>
  <c r="G17" i="1"/>
  <c r="G16" i="1"/>
  <c r="G15" i="1"/>
  <c r="G14" i="1"/>
  <c r="G13" i="1"/>
  <c r="R125" i="1" l="1"/>
  <c r="P125" i="1"/>
  <c r="P129" i="1" s="1"/>
  <c r="R127" i="1"/>
  <c r="O23" i="1"/>
  <c r="O25" i="1" s="1"/>
  <c r="P30" i="1"/>
  <c r="R30" i="1" s="1"/>
  <c r="G23" i="1"/>
  <c r="G25" i="1" s="1"/>
  <c r="I23" i="1"/>
  <c r="P24" i="1"/>
  <c r="R24" i="1" s="1"/>
  <c r="P29" i="1"/>
  <c r="R29" i="1" s="1"/>
  <c r="G36" i="1"/>
  <c r="P28" i="1"/>
  <c r="R28" i="1" s="1"/>
  <c r="M36" i="1"/>
  <c r="I36" i="1"/>
  <c r="O36" i="1"/>
  <c r="K36" i="1"/>
  <c r="P61" i="1"/>
  <c r="R61" i="1" s="1"/>
  <c r="P31" i="1"/>
  <c r="R31" i="1" s="1"/>
  <c r="P59" i="1"/>
  <c r="P33" i="1"/>
  <c r="P54" i="1"/>
  <c r="R54" i="1" s="1"/>
  <c r="P35" i="1"/>
  <c r="R35" i="1" s="1"/>
  <c r="P17" i="1"/>
  <c r="R17" i="1" s="1"/>
  <c r="P12" i="1"/>
  <c r="R12" i="1" s="1"/>
  <c r="K20" i="1"/>
  <c r="P53" i="1"/>
  <c r="P32" i="1"/>
  <c r="R32" i="1" s="1"/>
  <c r="P13" i="1"/>
  <c r="R13" i="1" s="1"/>
  <c r="P34" i="1"/>
  <c r="R34" i="1" s="1"/>
  <c r="P55" i="1"/>
  <c r="R55" i="1" s="1"/>
  <c r="P14" i="1"/>
  <c r="R14" i="1" s="1"/>
  <c r="P15" i="1"/>
  <c r="R15" i="1" s="1"/>
  <c r="P16" i="1"/>
  <c r="M20" i="1"/>
  <c r="O20" i="1"/>
  <c r="I20" i="1"/>
  <c r="P19" i="1"/>
  <c r="R19" i="1" s="1"/>
  <c r="M66" i="1"/>
  <c r="M68" i="1" s="1"/>
  <c r="G20" i="1"/>
  <c r="R129" i="1" l="1"/>
  <c r="O66" i="1"/>
  <c r="O68" i="1" s="1"/>
  <c r="K66" i="1"/>
  <c r="K68" i="1" s="1"/>
  <c r="P23" i="1"/>
  <c r="I25" i="1"/>
  <c r="I66" i="1" s="1"/>
  <c r="I68" i="1" s="1"/>
  <c r="R16" i="1"/>
  <c r="R20" i="1" s="1"/>
  <c r="R59" i="1"/>
  <c r="R33" i="1"/>
  <c r="R36" i="1" s="1"/>
  <c r="P36" i="1"/>
  <c r="R53" i="1"/>
  <c r="P20" i="1"/>
  <c r="P66" i="1" l="1"/>
  <c r="R23" i="1"/>
  <c r="R25" i="1" s="1"/>
  <c r="P25" i="1"/>
  <c r="R66" i="1" l="1"/>
  <c r="R68" i="1" s="1"/>
  <c r="P68" i="1"/>
</calcChain>
</file>

<file path=xl/sharedStrings.xml><?xml version="1.0" encoding="utf-8"?>
<sst xmlns="http://schemas.openxmlformats.org/spreadsheetml/2006/main" count="265" uniqueCount="71">
  <si>
    <t>Name of Project: FY 2020 FFPr Colombia - Partners of the Americas</t>
  </si>
  <si>
    <t>Name of Subawardee: XXXX</t>
  </si>
  <si>
    <t>Subaward Budget for Activities XXX</t>
  </si>
  <si>
    <t>Budget Assumptions:</t>
  </si>
  <si>
    <t>Merit Based Increases for HQ &amp; Field Staff</t>
  </si>
  <si>
    <t>Update as necessary</t>
  </si>
  <si>
    <t>BUDGET ITEM</t>
  </si>
  <si>
    <t>Level of Effort (LOE)</t>
  </si>
  <si>
    <t>CATEGORY</t>
  </si>
  <si>
    <t>UNIT</t>
  </si>
  <si>
    <t># of Units</t>
  </si>
  <si>
    <t>RATE/ UNIT</t>
  </si>
  <si>
    <t>YEAR 1</t>
  </si>
  <si>
    <t>YEAR 2</t>
  </si>
  <si>
    <t>YEAR 3</t>
  </si>
  <si>
    <t>YEAR 4</t>
  </si>
  <si>
    <t>YEAR 5</t>
  </si>
  <si>
    <t>TOTAL SUBAWARD</t>
  </si>
  <si>
    <t>TOTAL COST SHARE</t>
  </si>
  <si>
    <t>PROJECT GRAND TOTAL</t>
  </si>
  <si>
    <t>Activity: XXXXX</t>
  </si>
  <si>
    <t>Personnel Costs for Activity XX</t>
  </si>
  <si>
    <t>Field Personnel</t>
  </si>
  <si>
    <t>Field Personnel XXXX</t>
  </si>
  <si>
    <t>Salaries</t>
  </si>
  <si>
    <t>Month</t>
  </si>
  <si>
    <t xml:space="preserve">HQ Personnel </t>
  </si>
  <si>
    <t>HQ Personnel XXXX</t>
  </si>
  <si>
    <t>Total Personnel Costs for Activity XX</t>
  </si>
  <si>
    <t>Benefit Costs for Activity XX</t>
  </si>
  <si>
    <t>Fringe Benefits for Field Personnel</t>
  </si>
  <si>
    <t>%</t>
  </si>
  <si>
    <t>Fringe Benefits CCN for HQ Personnel</t>
  </si>
  <si>
    <t>Total Benefit Costs for Activity XX</t>
  </si>
  <si>
    <t>Travel Costs for Activity XX</t>
  </si>
  <si>
    <t>Ground Transportation for XXX</t>
  </si>
  <si>
    <t>Travel</t>
  </si>
  <si>
    <t>-</t>
  </si>
  <si>
    <t>Airfare for XXX</t>
  </si>
  <si>
    <t>Trip</t>
  </si>
  <si>
    <t>Lodging for XXX</t>
  </si>
  <si>
    <t>Day</t>
  </si>
  <si>
    <t>M&amp;IE for XXX</t>
  </si>
  <si>
    <t>Total Travel for Activity XX</t>
  </si>
  <si>
    <t>Professional Services/Contractual for Activity XX</t>
  </si>
  <si>
    <t>Consultant for XXXX</t>
  </si>
  <si>
    <t>Contractual</t>
  </si>
  <si>
    <t>XXXX</t>
  </si>
  <si>
    <t>Unit</t>
  </si>
  <si>
    <t>Total Professional Services/Contractual for Activity XX</t>
  </si>
  <si>
    <t>Office Expenses for Activity XX</t>
  </si>
  <si>
    <t xml:space="preserve">Banking and cash handling fees </t>
  </si>
  <si>
    <t>Office Expenses</t>
  </si>
  <si>
    <t>Office Ex.</t>
  </si>
  <si>
    <t>Total Office Expenses for Activity XX</t>
  </si>
  <si>
    <t>Supplies for Activity XX</t>
  </si>
  <si>
    <t>Desktop computers, laptops and software</t>
  </si>
  <si>
    <t>Supplies</t>
  </si>
  <si>
    <t xml:space="preserve">Meeting Expenses </t>
  </si>
  <si>
    <t>Total Supplies for Activity XX</t>
  </si>
  <si>
    <t>Other Expenses for Activity XX</t>
  </si>
  <si>
    <t>Training for XXXX for XXX Participants</t>
  </si>
  <si>
    <t>Training</t>
  </si>
  <si>
    <t>XXXXXXX</t>
  </si>
  <si>
    <t>Event</t>
  </si>
  <si>
    <t>Total Other Expenses for Activity XX</t>
  </si>
  <si>
    <t>Subtotal Direct Costs Activity XXXX</t>
  </si>
  <si>
    <t>Total Indirect Costs for Activity XX</t>
  </si>
  <si>
    <t>Indirect Charges</t>
  </si>
  <si>
    <t>Total Activity XXX</t>
  </si>
  <si>
    <t>Grant Total of XXX Subaward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</si>
</sst>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-* #,##0\ _B_s_-;\-* #,##0\ _B_s_-;_-* &quot;-&quot;??\ _B_s_-;_-@_-"/>
    <numFmt numFmtId="166" formatCode="_-* #,##0.00\ _B_s_-;\-* #,##0.00\ _B_s_-;_-* &quot;-&quot;??\ _B_s_-;_-@_-"/>
    <numFmt numFmtId="167" formatCode="_-* #,##0.00\ &quot;Bs&quot;_-;\-* #,##0.00\ &quot;Bs&quot;_-;_-* &quot;-&quot;??\ &quot;Bs&quot;_-;_-@_-"/>
    <numFmt numFmtId="168" formatCode="_([$$-409]* #,##0_);_([$$-409]* \(#,##0\);_([$$-409]* &quot;-&quot;??_);_(@_)"/>
    <numFmt numFmtId="169" formatCode="_([$$-409]* #,##0.00_);_([$$-409]* \(#,##0.00\);_([$$-409]* &quot;-&quot;??_);_(@_)"/>
  </numFmts>
  <fonts count="8">
    <font>
      <sz val="10"/>
      <name val="Arial"/>
    </font>
    <font>
      <b/>
      <sz val="11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i/>
      <sz val="11"/>
      <name val="Times New Roman"/>
      <family val="1"/>
    </font>
    <font>
      <sz val="11"/>
      <color theme="1"/>
      <name val="Times New Roman"/>
      <family val="1"/>
    </font>
    <font>
      <i/>
      <sz val="11"/>
      <name val="Times New Roman"/>
      <family val="1"/>
    </font>
    <font>
      <u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78">
    <xf numFmtId="0" fontId="0" fillId="0" borderId="0" xfId="0"/>
    <xf numFmtId="3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6" fontId="1" fillId="0" borderId="0" xfId="0" applyNumberFormat="1" applyFont="1" applyAlignment="1">
      <alignment horizontal="center" vertical="center"/>
    </xf>
    <xf numFmtId="9" fontId="1" fillId="0" borderId="0" xfId="3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9" fontId="3" fillId="4" borderId="1" xfId="3" applyFont="1" applyFill="1" applyBorder="1" applyAlignment="1">
      <alignment wrapText="1"/>
    </xf>
    <xf numFmtId="0" fontId="3" fillId="0" borderId="0" xfId="0" applyFont="1" applyAlignment="1">
      <alignment wrapText="1"/>
    </xf>
    <xf numFmtId="9" fontId="3" fillId="0" borderId="0" xfId="3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center"/>
    </xf>
    <xf numFmtId="0" fontId="1" fillId="2" borderId="0" xfId="0" applyFont="1" applyFill="1" applyAlignment="1">
      <alignment vertical="center" wrapText="1"/>
    </xf>
    <xf numFmtId="9" fontId="1" fillId="2" borderId="0" xfId="3" applyFont="1" applyFill="1" applyAlignment="1">
      <alignment vertical="center" wrapText="1"/>
    </xf>
    <xf numFmtId="0" fontId="1" fillId="2" borderId="0" xfId="0" applyFont="1" applyFill="1" applyAlignment="1">
      <alignment wrapText="1"/>
    </xf>
    <xf numFmtId="3" fontId="1" fillId="2" borderId="0" xfId="0" applyNumberFormat="1" applyFont="1" applyFill="1" applyAlignment="1">
      <alignment wrapText="1"/>
    </xf>
    <xf numFmtId="3" fontId="3" fillId="2" borderId="0" xfId="0" applyNumberFormat="1" applyFont="1" applyFill="1"/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4" fillId="3" borderId="0" xfId="0" applyFont="1" applyFill="1" applyAlignment="1">
      <alignment horizontal="left" wrapText="1"/>
    </xf>
    <xf numFmtId="9" fontId="4" fillId="3" borderId="0" xfId="3" applyFont="1" applyFill="1" applyAlignment="1">
      <alignment horizontal="left" wrapText="1"/>
    </xf>
    <xf numFmtId="3" fontId="4" fillId="3" borderId="0" xfId="0" applyNumberFormat="1" applyFont="1" applyFill="1" applyAlignment="1">
      <alignment horizontal="left" wrapText="1"/>
    </xf>
    <xf numFmtId="0" fontId="1" fillId="0" borderId="0" xfId="0" applyFont="1" applyAlignment="1">
      <alignment horizontal="left" wrapText="1"/>
    </xf>
    <xf numFmtId="9" fontId="1" fillId="0" borderId="0" xfId="3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 wrapText="1"/>
    </xf>
    <xf numFmtId="3" fontId="1" fillId="0" borderId="0" xfId="0" applyNumberFormat="1" applyFont="1" applyAlignment="1">
      <alignment horizontal="right" wrapText="1"/>
    </xf>
    <xf numFmtId="3" fontId="3" fillId="0" borderId="0" xfId="0" applyNumberFormat="1" applyFont="1" applyAlignment="1">
      <alignment horizontal="right" wrapText="1"/>
    </xf>
    <xf numFmtId="164" fontId="3" fillId="0" borderId="0" xfId="0" applyNumberFormat="1" applyFont="1"/>
    <xf numFmtId="0" fontId="3" fillId="0" borderId="0" xfId="0" applyFont="1" applyAlignment="1">
      <alignment horizontal="left" wrapText="1"/>
    </xf>
    <xf numFmtId="9" fontId="3" fillId="0" borderId="0" xfId="3" applyFont="1" applyAlignment="1">
      <alignment horizontal="left" wrapText="1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right" wrapText="1"/>
    </xf>
    <xf numFmtId="165" fontId="3" fillId="0" borderId="0" xfId="1" applyNumberFormat="1" applyFont="1" applyFill="1" applyBorder="1" applyAlignment="1"/>
    <xf numFmtId="4" fontId="3" fillId="0" borderId="0" xfId="0" applyNumberFormat="1" applyFont="1" applyAlignment="1">
      <alignment wrapText="1"/>
    </xf>
    <xf numFmtId="165" fontId="3" fillId="0" borderId="0" xfId="0" applyNumberFormat="1" applyFont="1"/>
    <xf numFmtId="43" fontId="3" fillId="0" borderId="0" xfId="1" applyNumberFormat="1" applyFont="1" applyFill="1" applyBorder="1" applyAlignment="1"/>
    <xf numFmtId="165" fontId="5" fillId="0" borderId="0" xfId="1" applyNumberFormat="1" applyFont="1" applyFill="1" applyBorder="1" applyAlignment="1"/>
    <xf numFmtId="9" fontId="1" fillId="3" borderId="0" xfId="3" applyFont="1" applyFill="1" applyAlignment="1">
      <alignment horizontal="left" wrapText="1"/>
    </xf>
    <xf numFmtId="0" fontId="1" fillId="3" borderId="0" xfId="0" applyFont="1" applyFill="1" applyAlignment="1">
      <alignment horizontal="left" vertical="top"/>
    </xf>
    <xf numFmtId="165" fontId="1" fillId="3" borderId="0" xfId="0" applyNumberFormat="1" applyFont="1" applyFill="1" applyAlignment="1">
      <alignment horizontal="right" wrapText="1"/>
    </xf>
    <xf numFmtId="165" fontId="6" fillId="3" borderId="0" xfId="0" applyNumberFormat="1" applyFont="1" applyFill="1" applyAlignment="1">
      <alignment horizontal="right" wrapText="1"/>
    </xf>
    <xf numFmtId="9" fontId="3" fillId="0" borderId="0" xfId="3" applyFont="1" applyFill="1" applyBorder="1" applyAlignment="1">
      <alignment horizontal="center" wrapText="1"/>
    </xf>
    <xf numFmtId="9" fontId="3" fillId="0" borderId="0" xfId="0" applyNumberFormat="1" applyFont="1" applyAlignment="1">
      <alignment horizontal="left" vertical="top" wrapText="1"/>
    </xf>
    <xf numFmtId="10" fontId="3" fillId="0" borderId="0" xfId="3" applyNumberFormat="1" applyFont="1" applyAlignment="1">
      <alignment horizontal="right" wrapText="1"/>
    </xf>
    <xf numFmtId="165" fontId="1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top"/>
    </xf>
    <xf numFmtId="165" fontId="3" fillId="0" borderId="0" xfId="0" applyNumberFormat="1" applyFont="1" applyAlignment="1">
      <alignment horizontal="right"/>
    </xf>
    <xf numFmtId="1" fontId="3" fillId="0" borderId="0" xfId="0" applyNumberFormat="1" applyFont="1"/>
    <xf numFmtId="1" fontId="3" fillId="0" borderId="0" xfId="0" applyNumberFormat="1" applyFont="1" applyAlignment="1">
      <alignment horizontal="right"/>
    </xf>
    <xf numFmtId="3" fontId="3" fillId="0" borderId="0" xfId="0" applyNumberFormat="1" applyFont="1"/>
    <xf numFmtId="165" fontId="3" fillId="0" borderId="0" xfId="4" applyNumberFormat="1" applyFont="1" applyFill="1" applyBorder="1" applyAlignment="1"/>
    <xf numFmtId="0" fontId="6" fillId="3" borderId="0" xfId="0" applyFont="1" applyFill="1" applyAlignment="1">
      <alignment horizontal="left" vertical="top"/>
    </xf>
    <xf numFmtId="1" fontId="3" fillId="0" borderId="0" xfId="4" applyNumberFormat="1" applyFont="1" applyFill="1" applyBorder="1" applyAlignment="1">
      <alignment horizontal="right"/>
    </xf>
    <xf numFmtId="3" fontId="3" fillId="0" borderId="0" xfId="0" applyNumberFormat="1" applyFont="1" applyAlignment="1">
      <alignment wrapText="1"/>
    </xf>
    <xf numFmtId="166" fontId="3" fillId="0" borderId="0" xfId="0" applyNumberFormat="1" applyFont="1" applyAlignment="1">
      <alignment horizontal="right" wrapText="1"/>
    </xf>
    <xf numFmtId="9" fontId="3" fillId="0" borderId="0" xfId="3" applyFont="1"/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right" wrapText="1"/>
    </xf>
    <xf numFmtId="3" fontId="1" fillId="3" borderId="2" xfId="0" applyNumberFormat="1" applyFont="1" applyFill="1" applyBorder="1" applyAlignment="1">
      <alignment horizontal="right" wrapText="1"/>
    </xf>
    <xf numFmtId="168" fontId="1" fillId="3" borderId="2" xfId="0" applyNumberFormat="1" applyFont="1" applyFill="1" applyBorder="1" applyAlignment="1">
      <alignment horizontal="right" wrapText="1"/>
    </xf>
    <xf numFmtId="0" fontId="7" fillId="0" borderId="0" xfId="0" applyFont="1" applyAlignment="1">
      <alignment wrapText="1"/>
    </xf>
    <xf numFmtId="9" fontId="7" fillId="0" borderId="0" xfId="3" applyFont="1" applyAlignment="1">
      <alignment wrapText="1"/>
    </xf>
    <xf numFmtId="0" fontId="1" fillId="0" borderId="0" xfId="0" applyFont="1" applyAlignment="1">
      <alignment wrapText="1"/>
    </xf>
    <xf numFmtId="164" fontId="3" fillId="0" borderId="0" xfId="0" applyNumberFormat="1" applyFont="1" applyAlignment="1">
      <alignment horizontal="right" wrapText="1"/>
    </xf>
    <xf numFmtId="0" fontId="1" fillId="2" borderId="3" xfId="0" applyFont="1" applyFill="1" applyBorder="1" applyAlignment="1">
      <alignment vertical="center" wrapText="1"/>
    </xf>
    <xf numFmtId="9" fontId="1" fillId="2" borderId="3" xfId="3" applyFont="1" applyFill="1" applyBorder="1" applyAlignment="1">
      <alignment vertical="center" wrapText="1"/>
    </xf>
    <xf numFmtId="168" fontId="1" fillId="2" borderId="3" xfId="2" applyNumberFormat="1" applyFont="1" applyFill="1" applyBorder="1" applyAlignment="1">
      <alignment vertical="center" wrapText="1"/>
    </xf>
    <xf numFmtId="169" fontId="3" fillId="0" borderId="0" xfId="0" applyNumberFormat="1" applyFont="1"/>
    <xf numFmtId="0" fontId="3" fillId="0" borderId="1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</cellXfs>
  <cellStyles count="5">
    <cellStyle name="Comma" xfId="1" builtinId="3"/>
    <cellStyle name="Comma 2" xfId="4" xr:uid="{E5CFBAA7-BAE6-4BFA-A46B-A6F30AB6DECB}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84EA2-9C0B-4645-8F4E-032C08A9106B}">
  <dimension ref="A1:AJ133"/>
  <sheetViews>
    <sheetView zoomScale="69" workbookViewId="0">
      <pane ySplit="8" topLeftCell="C101" activePane="bottomLeft" state="frozen"/>
      <selection pane="bottomLeft" activeCell="C7" sqref="C7"/>
      <selection activeCell="B1" sqref="B1"/>
    </sheetView>
  </sheetViews>
  <sheetFormatPr defaultColWidth="8.85546875" defaultRowHeight="14.1"/>
  <cols>
    <col min="1" max="1" width="63.85546875" style="4" bestFit="1" customWidth="1"/>
    <col min="2" max="2" width="7.42578125" style="60" bestFit="1" customWidth="1"/>
    <col min="3" max="3" width="17.7109375" style="4" customWidth="1"/>
    <col min="4" max="5" width="8.28515625" style="4" customWidth="1"/>
    <col min="6" max="6" width="7.42578125" style="54" bestFit="1" customWidth="1"/>
    <col min="7" max="7" width="10.42578125" style="54" bestFit="1" customWidth="1"/>
    <col min="8" max="8" width="5.42578125" style="4" bestFit="1" customWidth="1"/>
    <col min="9" max="9" width="9.42578125" style="54" bestFit="1" customWidth="1"/>
    <col min="10" max="10" width="5.42578125" style="4" bestFit="1" customWidth="1"/>
    <col min="11" max="11" width="9.42578125" style="54" bestFit="1" customWidth="1"/>
    <col min="12" max="12" width="5.42578125" style="4" bestFit="1" customWidth="1"/>
    <col min="13" max="13" width="9.42578125" style="54" bestFit="1" customWidth="1"/>
    <col min="14" max="14" width="5.42578125" style="4" bestFit="1" customWidth="1"/>
    <col min="15" max="15" width="9.42578125" style="54" bestFit="1" customWidth="1"/>
    <col min="16" max="16" width="12.42578125" style="4" customWidth="1"/>
    <col min="17" max="17" width="9.42578125" style="4" bestFit="1" customWidth="1"/>
    <col min="18" max="18" width="10.42578125" style="4" bestFit="1" customWidth="1"/>
    <col min="19" max="19" width="11.42578125" style="4" bestFit="1" customWidth="1"/>
    <col min="20" max="16384" width="8.85546875" style="4"/>
  </cols>
  <sheetData>
    <row r="1" spans="1:24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2"/>
      <c r="T1" s="3"/>
      <c r="U1" s="3"/>
      <c r="V1" s="3"/>
      <c r="W1" s="3"/>
      <c r="X1" s="3"/>
    </row>
    <row r="2" spans="1:24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5"/>
      <c r="T2" s="3"/>
      <c r="U2" s="3"/>
    </row>
    <row r="3" spans="1:24">
      <c r="A3" s="76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</row>
    <row r="4" spans="1:24">
      <c r="A4" s="1"/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24">
      <c r="A5" s="77" t="s">
        <v>3</v>
      </c>
      <c r="B5" s="7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4" ht="27.6">
      <c r="A6" s="73" t="s">
        <v>4</v>
      </c>
      <c r="B6" s="8">
        <v>1</v>
      </c>
      <c r="C6" s="7" t="s">
        <v>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4">
      <c r="A7" s="9"/>
      <c r="B7" s="10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4" ht="55.9" thickBot="1">
      <c r="A8" s="11" t="s">
        <v>6</v>
      </c>
      <c r="B8" s="11" t="s">
        <v>7</v>
      </c>
      <c r="C8" s="11" t="s">
        <v>8</v>
      </c>
      <c r="D8" s="11" t="s">
        <v>9</v>
      </c>
      <c r="E8" s="11" t="s">
        <v>10</v>
      </c>
      <c r="F8" s="12" t="s">
        <v>11</v>
      </c>
      <c r="G8" s="13" t="s">
        <v>12</v>
      </c>
      <c r="H8" s="11" t="s">
        <v>10</v>
      </c>
      <c r="I8" s="13" t="s">
        <v>13</v>
      </c>
      <c r="J8" s="11" t="s">
        <v>10</v>
      </c>
      <c r="K8" s="13" t="s">
        <v>14</v>
      </c>
      <c r="L8" s="11" t="s">
        <v>10</v>
      </c>
      <c r="M8" s="13" t="s">
        <v>15</v>
      </c>
      <c r="N8" s="11" t="s">
        <v>10</v>
      </c>
      <c r="O8" s="13" t="s">
        <v>16</v>
      </c>
      <c r="P8" s="12" t="s">
        <v>17</v>
      </c>
      <c r="Q8" s="12" t="s">
        <v>18</v>
      </c>
      <c r="R8" s="12" t="s">
        <v>19</v>
      </c>
    </row>
    <row r="9" spans="1:24">
      <c r="A9" s="14" t="s">
        <v>20</v>
      </c>
      <c r="B9" s="15"/>
      <c r="C9" s="14"/>
      <c r="D9" s="16"/>
      <c r="E9" s="16"/>
      <c r="F9" s="17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9"/>
      <c r="T9" s="19"/>
      <c r="U9" s="20"/>
    </row>
    <row r="10" spans="1:24">
      <c r="A10" s="21" t="s">
        <v>21</v>
      </c>
      <c r="B10" s="22"/>
      <c r="C10" s="21"/>
      <c r="D10" s="21"/>
      <c r="E10" s="21"/>
      <c r="F10" s="23"/>
      <c r="G10" s="23"/>
      <c r="H10" s="21"/>
      <c r="I10" s="23"/>
      <c r="J10" s="21"/>
      <c r="K10" s="23"/>
      <c r="L10" s="21"/>
      <c r="M10" s="23"/>
      <c r="N10" s="21"/>
      <c r="O10" s="23"/>
      <c r="P10" s="21"/>
      <c r="Q10" s="21"/>
      <c r="R10" s="21"/>
      <c r="S10" s="19"/>
      <c r="T10" s="19"/>
      <c r="U10" s="20"/>
    </row>
    <row r="11" spans="1:24">
      <c r="A11" s="24" t="s">
        <v>22</v>
      </c>
      <c r="B11" s="25"/>
      <c r="C11" s="24"/>
      <c r="D11" s="26"/>
      <c r="E11" s="27"/>
      <c r="F11" s="2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30"/>
    </row>
    <row r="12" spans="1:24">
      <c r="A12" s="31" t="s">
        <v>23</v>
      </c>
      <c r="B12" s="32">
        <v>0</v>
      </c>
      <c r="C12" s="31" t="s">
        <v>24</v>
      </c>
      <c r="D12" s="33" t="s">
        <v>25</v>
      </c>
      <c r="E12" s="34">
        <v>0</v>
      </c>
      <c r="F12" s="29">
        <v>0</v>
      </c>
      <c r="G12" s="29">
        <f>E12*F12*B12</f>
        <v>0</v>
      </c>
      <c r="H12" s="34">
        <v>0</v>
      </c>
      <c r="I12" s="34">
        <f>H12*F12*$B$6*B12</f>
        <v>0</v>
      </c>
      <c r="J12" s="34">
        <v>0</v>
      </c>
      <c r="K12" s="34">
        <f>F12*J12*$B$6*$B$6*B12</f>
        <v>0</v>
      </c>
      <c r="L12" s="34">
        <v>0</v>
      </c>
      <c r="M12" s="34">
        <f>F12*L12*B12*$B$6*$B$6*$B$6</f>
        <v>0</v>
      </c>
      <c r="N12" s="34">
        <v>0</v>
      </c>
      <c r="O12" s="34">
        <f>N12*F12*B12*$B$6*$B$6*$B$6*$B$6</f>
        <v>0</v>
      </c>
      <c r="P12" s="34">
        <f t="shared" ref="P12:P15" si="0">SUM(G12+I12+K12+M12+O12)</f>
        <v>0</v>
      </c>
      <c r="Q12" s="34">
        <v>0</v>
      </c>
      <c r="R12" s="34">
        <f t="shared" ref="R12:R15" si="1">SUM(P12:Q12)</f>
        <v>0</v>
      </c>
    </row>
    <row r="13" spans="1:24">
      <c r="A13" s="31" t="s">
        <v>23</v>
      </c>
      <c r="B13" s="32">
        <v>0</v>
      </c>
      <c r="C13" s="31" t="s">
        <v>24</v>
      </c>
      <c r="D13" s="33" t="s">
        <v>25</v>
      </c>
      <c r="E13" s="34">
        <v>0</v>
      </c>
      <c r="F13" s="29">
        <v>0</v>
      </c>
      <c r="G13" s="29">
        <f t="shared" ref="G13:G15" si="2">E13*F13*B13</f>
        <v>0</v>
      </c>
      <c r="H13" s="34">
        <v>0</v>
      </c>
      <c r="I13" s="34">
        <f t="shared" ref="I13:I19" si="3">H13*F13*$B$6*B13</f>
        <v>0</v>
      </c>
      <c r="J13" s="34">
        <v>0</v>
      </c>
      <c r="K13" s="34">
        <f t="shared" ref="K13:K19" si="4">F13*J13*$B$6*$B$6*B13</f>
        <v>0</v>
      </c>
      <c r="L13" s="34">
        <v>0</v>
      </c>
      <c r="M13" s="34">
        <f t="shared" ref="M13:M19" si="5">F13*L13*B13*$B$6*$B$6*$B$6</f>
        <v>0</v>
      </c>
      <c r="N13" s="34">
        <v>0</v>
      </c>
      <c r="O13" s="34">
        <f t="shared" ref="O13:O19" si="6">N13*F13*B13*$B$6*$B$6*$B$6*$B$6</f>
        <v>0</v>
      </c>
      <c r="P13" s="34">
        <f t="shared" si="0"/>
        <v>0</v>
      </c>
      <c r="Q13" s="34">
        <v>0</v>
      </c>
      <c r="R13" s="34">
        <f t="shared" si="1"/>
        <v>0</v>
      </c>
    </row>
    <row r="14" spans="1:24">
      <c r="A14" s="31" t="s">
        <v>23</v>
      </c>
      <c r="B14" s="32">
        <v>0</v>
      </c>
      <c r="C14" s="31" t="s">
        <v>24</v>
      </c>
      <c r="D14" s="33" t="s">
        <v>25</v>
      </c>
      <c r="E14" s="34">
        <v>0</v>
      </c>
      <c r="F14" s="29">
        <v>0</v>
      </c>
      <c r="G14" s="29">
        <f t="shared" si="2"/>
        <v>0</v>
      </c>
      <c r="H14" s="34">
        <v>0</v>
      </c>
      <c r="I14" s="34">
        <f t="shared" si="3"/>
        <v>0</v>
      </c>
      <c r="J14" s="34">
        <v>0</v>
      </c>
      <c r="K14" s="34">
        <f t="shared" si="4"/>
        <v>0</v>
      </c>
      <c r="L14" s="34">
        <v>0</v>
      </c>
      <c r="M14" s="34">
        <f t="shared" si="5"/>
        <v>0</v>
      </c>
      <c r="N14" s="34">
        <v>0</v>
      </c>
      <c r="O14" s="34">
        <f t="shared" si="6"/>
        <v>0</v>
      </c>
      <c r="P14" s="34">
        <f t="shared" si="0"/>
        <v>0</v>
      </c>
      <c r="Q14" s="34">
        <v>0</v>
      </c>
      <c r="R14" s="34">
        <f t="shared" si="1"/>
        <v>0</v>
      </c>
    </row>
    <row r="15" spans="1:24">
      <c r="A15" s="31" t="s">
        <v>23</v>
      </c>
      <c r="B15" s="32">
        <v>0</v>
      </c>
      <c r="C15" s="31" t="s">
        <v>24</v>
      </c>
      <c r="D15" s="33" t="s">
        <v>25</v>
      </c>
      <c r="E15" s="34">
        <v>0</v>
      </c>
      <c r="F15" s="29">
        <v>0</v>
      </c>
      <c r="G15" s="29">
        <f t="shared" si="2"/>
        <v>0</v>
      </c>
      <c r="H15" s="34">
        <v>0</v>
      </c>
      <c r="I15" s="34">
        <f t="shared" si="3"/>
        <v>0</v>
      </c>
      <c r="J15" s="34">
        <v>0</v>
      </c>
      <c r="K15" s="34">
        <f t="shared" si="4"/>
        <v>0</v>
      </c>
      <c r="L15" s="34">
        <v>0</v>
      </c>
      <c r="M15" s="34">
        <f t="shared" si="5"/>
        <v>0</v>
      </c>
      <c r="N15" s="34">
        <v>0</v>
      </c>
      <c r="O15" s="34">
        <f t="shared" si="6"/>
        <v>0</v>
      </c>
      <c r="P15" s="34">
        <f t="shared" si="0"/>
        <v>0</v>
      </c>
      <c r="Q15" s="34">
        <v>0</v>
      </c>
      <c r="R15" s="34">
        <f t="shared" si="1"/>
        <v>0</v>
      </c>
    </row>
    <row r="16" spans="1:24">
      <c r="A16" s="31" t="s">
        <v>23</v>
      </c>
      <c r="B16" s="32">
        <v>0</v>
      </c>
      <c r="C16" s="31" t="s">
        <v>24</v>
      </c>
      <c r="D16" s="33" t="s">
        <v>25</v>
      </c>
      <c r="E16" s="34">
        <v>0</v>
      </c>
      <c r="F16" s="29">
        <v>0</v>
      </c>
      <c r="G16" s="29">
        <f>E16*F16*B16</f>
        <v>0</v>
      </c>
      <c r="H16" s="34">
        <v>0</v>
      </c>
      <c r="I16" s="34">
        <f t="shared" si="3"/>
        <v>0</v>
      </c>
      <c r="J16" s="34">
        <v>0</v>
      </c>
      <c r="K16" s="34">
        <f t="shared" si="4"/>
        <v>0</v>
      </c>
      <c r="L16" s="34">
        <v>0</v>
      </c>
      <c r="M16" s="34">
        <f t="shared" si="5"/>
        <v>0</v>
      </c>
      <c r="N16" s="34">
        <v>0</v>
      </c>
      <c r="O16" s="34">
        <f t="shared" si="6"/>
        <v>0</v>
      </c>
      <c r="P16" s="34">
        <f>SUM(G16+I16+K16+M16+O16)</f>
        <v>0</v>
      </c>
      <c r="Q16" s="34">
        <v>0</v>
      </c>
      <c r="R16" s="34">
        <f>SUM(P16:Q16)</f>
        <v>0</v>
      </c>
      <c r="S16" s="35"/>
      <c r="T16" s="36"/>
      <c r="U16" s="36"/>
      <c r="V16" s="35"/>
      <c r="W16" s="35"/>
    </row>
    <row r="17" spans="1:22">
      <c r="A17" s="31" t="s">
        <v>23</v>
      </c>
      <c r="B17" s="32">
        <v>0</v>
      </c>
      <c r="C17" s="31" t="s">
        <v>24</v>
      </c>
      <c r="D17" s="33" t="s">
        <v>25</v>
      </c>
      <c r="E17" s="34">
        <v>0</v>
      </c>
      <c r="F17" s="29">
        <v>0</v>
      </c>
      <c r="G17" s="29">
        <f>E17*F17*B17</f>
        <v>0</v>
      </c>
      <c r="H17" s="34">
        <v>0</v>
      </c>
      <c r="I17" s="34">
        <f t="shared" si="3"/>
        <v>0</v>
      </c>
      <c r="J17" s="34">
        <v>0</v>
      </c>
      <c r="K17" s="34">
        <f t="shared" si="4"/>
        <v>0</v>
      </c>
      <c r="L17" s="34">
        <v>0</v>
      </c>
      <c r="M17" s="34">
        <f t="shared" si="5"/>
        <v>0</v>
      </c>
      <c r="N17" s="34">
        <v>0</v>
      </c>
      <c r="O17" s="34">
        <f t="shared" si="6"/>
        <v>0</v>
      </c>
      <c r="P17" s="34">
        <f>SUM(G17+I17+K17+M17+O17)</f>
        <v>0</v>
      </c>
      <c r="Q17" s="34">
        <v>0</v>
      </c>
      <c r="R17" s="34">
        <f>SUM(P17:Q17)</f>
        <v>0</v>
      </c>
      <c r="S17" s="37"/>
      <c r="T17" s="38"/>
      <c r="U17" s="35"/>
    </row>
    <row r="18" spans="1:22">
      <c r="A18" s="24" t="s">
        <v>26</v>
      </c>
      <c r="B18" s="25"/>
      <c r="C18" s="31"/>
      <c r="D18" s="33"/>
      <c r="E18" s="34"/>
      <c r="F18" s="29"/>
      <c r="G18" s="29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9"/>
      <c r="T18" s="35"/>
      <c r="U18" s="35"/>
    </row>
    <row r="19" spans="1:22">
      <c r="A19" s="31" t="s">
        <v>27</v>
      </c>
      <c r="B19" s="32">
        <v>0</v>
      </c>
      <c r="C19" s="31" t="s">
        <v>24</v>
      </c>
      <c r="D19" s="33" t="s">
        <v>25</v>
      </c>
      <c r="E19" s="34">
        <v>0</v>
      </c>
      <c r="F19" s="29">
        <v>0</v>
      </c>
      <c r="G19" s="29">
        <f>E19*F19*B19</f>
        <v>0</v>
      </c>
      <c r="H19" s="34">
        <v>0</v>
      </c>
      <c r="I19" s="34">
        <f t="shared" si="3"/>
        <v>0</v>
      </c>
      <c r="J19" s="34">
        <v>0</v>
      </c>
      <c r="K19" s="34">
        <f t="shared" si="4"/>
        <v>0</v>
      </c>
      <c r="L19" s="34">
        <v>0</v>
      </c>
      <c r="M19" s="34">
        <f t="shared" si="5"/>
        <v>0</v>
      </c>
      <c r="N19" s="34">
        <v>0</v>
      </c>
      <c r="O19" s="34">
        <f t="shared" si="6"/>
        <v>0</v>
      </c>
      <c r="P19" s="34">
        <f>SUM(G19+I19+K19+M19+O19)</f>
        <v>0</v>
      </c>
      <c r="Q19" s="34">
        <v>0</v>
      </c>
      <c r="R19" s="34">
        <f>SUM(P19:Q19)</f>
        <v>0</v>
      </c>
      <c r="S19" s="35"/>
      <c r="T19" s="35"/>
      <c r="U19" s="38"/>
    </row>
    <row r="20" spans="1:22">
      <c r="A20" s="21" t="s">
        <v>28</v>
      </c>
      <c r="B20" s="40"/>
      <c r="C20" s="41"/>
      <c r="D20" s="42"/>
      <c r="E20" s="42"/>
      <c r="F20" s="43"/>
      <c r="G20" s="43">
        <f>SUM(G12:G19)</f>
        <v>0</v>
      </c>
      <c r="H20" s="43"/>
      <c r="I20" s="43">
        <f>SUM(I12:I19)</f>
        <v>0</v>
      </c>
      <c r="J20" s="43"/>
      <c r="K20" s="43">
        <f>SUM(K12:K19)</f>
        <v>0</v>
      </c>
      <c r="L20" s="43"/>
      <c r="M20" s="43">
        <f>SUM(M12:M19)</f>
        <v>0</v>
      </c>
      <c r="N20" s="43"/>
      <c r="O20" s="43">
        <f>SUM(O12:O19)</f>
        <v>0</v>
      </c>
      <c r="P20" s="43">
        <f>SUM(P12:P19)</f>
        <v>0</v>
      </c>
      <c r="Q20" s="43">
        <f>SUM(Q12:Q19)</f>
        <v>0</v>
      </c>
      <c r="R20" s="43">
        <f>SUM(R12:R19)</f>
        <v>0</v>
      </c>
    </row>
    <row r="22" spans="1:22">
      <c r="A22" s="21" t="s">
        <v>29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22">
      <c r="A23" s="9" t="s">
        <v>30</v>
      </c>
      <c r="B23" s="44"/>
      <c r="C23" s="45" t="s">
        <v>31</v>
      </c>
      <c r="D23" s="34"/>
      <c r="E23" s="46">
        <v>0</v>
      </c>
      <c r="F23" s="34">
        <f>SUM(F12:F17)*$E$23</f>
        <v>0</v>
      </c>
      <c r="G23" s="34">
        <f>SUM(G12:G17)*$E$23</f>
        <v>0</v>
      </c>
      <c r="H23" s="34"/>
      <c r="I23" s="34">
        <f>SUM(I12:I17)*$E$23</f>
        <v>0</v>
      </c>
      <c r="J23" s="44"/>
      <c r="K23" s="34"/>
      <c r="L23" s="34">
        <f>SUM(L12:L17)*$E$23</f>
        <v>0</v>
      </c>
      <c r="M23" s="44"/>
      <c r="N23" s="34"/>
      <c r="O23" s="34">
        <f>SUM(O12:O17)*$E$23</f>
        <v>0</v>
      </c>
      <c r="P23" s="34">
        <f>SUM(G23+I23+K23+M23+O23)</f>
        <v>0</v>
      </c>
      <c r="Q23" s="34">
        <v>0</v>
      </c>
      <c r="R23" s="34">
        <f>SUM(P23:Q23)</f>
        <v>0</v>
      </c>
      <c r="S23" s="34"/>
      <c r="T23" s="47"/>
      <c r="U23" s="34"/>
      <c r="V23" s="34"/>
    </row>
    <row r="24" spans="1:22">
      <c r="A24" s="9" t="s">
        <v>32</v>
      </c>
      <c r="B24" s="44"/>
      <c r="C24" s="45" t="s">
        <v>31</v>
      </c>
      <c r="D24" s="34"/>
      <c r="E24" s="46">
        <v>0</v>
      </c>
      <c r="F24" s="34">
        <f>F19*$E$24</f>
        <v>0</v>
      </c>
      <c r="G24" s="34">
        <f>G19*$E$24</f>
        <v>0</v>
      </c>
      <c r="H24" s="34"/>
      <c r="I24" s="34">
        <f>I19*$E$24</f>
        <v>0</v>
      </c>
      <c r="J24" s="44"/>
      <c r="K24" s="34"/>
      <c r="L24" s="34">
        <f>L19*$E$24</f>
        <v>0</v>
      </c>
      <c r="M24" s="44"/>
      <c r="N24" s="34"/>
      <c r="O24" s="34">
        <f>O19*$E$24</f>
        <v>0</v>
      </c>
      <c r="P24" s="34">
        <f>SUM(G24+I24+K24+M24+O24)</f>
        <v>0</v>
      </c>
      <c r="Q24" s="34">
        <v>0</v>
      </c>
      <c r="R24" s="34">
        <f>SUM(P24:Q24)</f>
        <v>0</v>
      </c>
      <c r="S24" s="34"/>
      <c r="T24" s="47"/>
      <c r="U24" s="34"/>
      <c r="V24" s="34"/>
    </row>
    <row r="25" spans="1:22">
      <c r="A25" s="21" t="s">
        <v>33</v>
      </c>
      <c r="B25" s="40"/>
      <c r="C25" s="41"/>
      <c r="D25" s="42"/>
      <c r="E25" s="42"/>
      <c r="F25" s="43"/>
      <c r="G25" s="43">
        <f>SUM(G23:G24)</f>
        <v>0</v>
      </c>
      <c r="H25" s="43"/>
      <c r="I25" s="43">
        <f>SUM(I23:I24)</f>
        <v>0</v>
      </c>
      <c r="J25" s="43"/>
      <c r="K25" s="43">
        <f>SUM(K23:K24)</f>
        <v>0</v>
      </c>
      <c r="L25" s="43"/>
      <c r="M25" s="43">
        <f>SUM(M23:M24)</f>
        <v>0</v>
      </c>
      <c r="N25" s="43"/>
      <c r="O25" s="43">
        <f>SUM(O23:O24)</f>
        <v>0</v>
      </c>
      <c r="P25" s="43">
        <f>SUM(P23:P24)</f>
        <v>0</v>
      </c>
      <c r="Q25" s="43">
        <f>SUM(Q23:Q24)</f>
        <v>0</v>
      </c>
      <c r="R25" s="43">
        <f>SUM(R23:R24)</f>
        <v>0</v>
      </c>
    </row>
    <row r="27" spans="1:22">
      <c r="A27" s="21" t="s">
        <v>34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22">
      <c r="A28" s="31" t="s">
        <v>35</v>
      </c>
      <c r="B28" s="9"/>
      <c r="C28" s="9" t="s">
        <v>36</v>
      </c>
      <c r="D28" s="48" t="s">
        <v>25</v>
      </c>
      <c r="E28" s="34">
        <v>0</v>
      </c>
      <c r="F28" s="34">
        <v>0</v>
      </c>
      <c r="G28" s="34">
        <f t="shared" ref="G28:G35" si="7">E28*F28</f>
        <v>0</v>
      </c>
      <c r="H28" s="34">
        <v>0</v>
      </c>
      <c r="I28" s="34">
        <f>H28*F28</f>
        <v>0</v>
      </c>
      <c r="J28" s="34">
        <v>0</v>
      </c>
      <c r="K28" s="34">
        <f>J28*F28</f>
        <v>0</v>
      </c>
      <c r="L28" s="34">
        <v>0</v>
      </c>
      <c r="M28" s="34">
        <f>L28*F28</f>
        <v>0</v>
      </c>
      <c r="N28" s="34">
        <v>0</v>
      </c>
      <c r="O28" s="34">
        <f>N28*F28</f>
        <v>0</v>
      </c>
      <c r="P28" s="34">
        <f>G28+I28+K28+M28+O28</f>
        <v>0</v>
      </c>
      <c r="Q28" s="34" t="s">
        <v>37</v>
      </c>
      <c r="R28" s="34">
        <f t="shared" ref="R28:R35" si="8">SUM(P28:Q28)</f>
        <v>0</v>
      </c>
      <c r="T28" s="30"/>
    </row>
    <row r="29" spans="1:22">
      <c r="A29" s="9" t="s">
        <v>38</v>
      </c>
      <c r="B29" s="9"/>
      <c r="C29" s="9" t="s">
        <v>36</v>
      </c>
      <c r="D29" s="48" t="s">
        <v>39</v>
      </c>
      <c r="E29" s="34">
        <v>0</v>
      </c>
      <c r="F29" s="34">
        <v>0</v>
      </c>
      <c r="G29" s="34">
        <f t="shared" si="7"/>
        <v>0</v>
      </c>
      <c r="H29" s="34">
        <v>0</v>
      </c>
      <c r="I29" s="34">
        <f>H29*F29</f>
        <v>0</v>
      </c>
      <c r="J29" s="34">
        <v>0</v>
      </c>
      <c r="K29" s="34">
        <f t="shared" ref="K29:K31" si="9">J29*F29</f>
        <v>0</v>
      </c>
      <c r="L29" s="34">
        <v>0</v>
      </c>
      <c r="M29" s="34">
        <f t="shared" ref="M29:M31" si="10">L29*F29</f>
        <v>0</v>
      </c>
      <c r="N29" s="34">
        <v>0</v>
      </c>
      <c r="O29" s="34">
        <f t="shared" ref="O29:O31" si="11">N29*F29</f>
        <v>0</v>
      </c>
      <c r="P29" s="34">
        <f t="shared" ref="P29" si="12">G29+I29+K29+M29+O29</f>
        <v>0</v>
      </c>
      <c r="Q29" s="34" t="s">
        <v>37</v>
      </c>
      <c r="R29" s="34">
        <f t="shared" si="8"/>
        <v>0</v>
      </c>
      <c r="T29" s="30"/>
    </row>
    <row r="30" spans="1:22">
      <c r="A30" s="31" t="s">
        <v>40</v>
      </c>
      <c r="B30" s="9"/>
      <c r="C30" s="9" t="s">
        <v>36</v>
      </c>
      <c r="D30" s="48" t="s">
        <v>41</v>
      </c>
      <c r="E30" s="34">
        <v>0</v>
      </c>
      <c r="F30" s="34">
        <v>0</v>
      </c>
      <c r="G30" s="34">
        <f t="shared" si="7"/>
        <v>0</v>
      </c>
      <c r="H30" s="34">
        <v>0</v>
      </c>
      <c r="I30" s="34">
        <f>H30*F30</f>
        <v>0</v>
      </c>
      <c r="J30" s="34">
        <v>0</v>
      </c>
      <c r="K30" s="34">
        <f t="shared" si="9"/>
        <v>0</v>
      </c>
      <c r="L30" s="34">
        <v>0</v>
      </c>
      <c r="M30" s="34">
        <f t="shared" si="10"/>
        <v>0</v>
      </c>
      <c r="N30" s="34">
        <v>0</v>
      </c>
      <c r="O30" s="34">
        <f t="shared" si="11"/>
        <v>0</v>
      </c>
      <c r="P30" s="34">
        <f>G30+I30+K30+M30+O30</f>
        <v>0</v>
      </c>
      <c r="Q30" s="34" t="s">
        <v>37</v>
      </c>
      <c r="R30" s="34">
        <f t="shared" si="8"/>
        <v>0</v>
      </c>
      <c r="T30" s="30"/>
    </row>
    <row r="31" spans="1:22">
      <c r="A31" s="31" t="s">
        <v>42</v>
      </c>
      <c r="B31" s="9"/>
      <c r="C31" s="9" t="s">
        <v>36</v>
      </c>
      <c r="D31" s="48" t="s">
        <v>41</v>
      </c>
      <c r="E31" s="34">
        <v>0</v>
      </c>
      <c r="F31" s="34">
        <v>0</v>
      </c>
      <c r="G31" s="34">
        <f t="shared" si="7"/>
        <v>0</v>
      </c>
      <c r="H31" s="34">
        <v>0</v>
      </c>
      <c r="I31" s="34">
        <f t="shared" ref="I31" si="13">H31*F31</f>
        <v>0</v>
      </c>
      <c r="J31" s="34">
        <v>0</v>
      </c>
      <c r="K31" s="34">
        <f t="shared" si="9"/>
        <v>0</v>
      </c>
      <c r="L31" s="34">
        <v>0</v>
      </c>
      <c r="M31" s="34">
        <f t="shared" si="10"/>
        <v>0</v>
      </c>
      <c r="N31" s="34">
        <v>0</v>
      </c>
      <c r="O31" s="34">
        <f t="shared" si="11"/>
        <v>0</v>
      </c>
      <c r="P31" s="34">
        <f>G31+I31+K31+M31+O31</f>
        <v>0</v>
      </c>
      <c r="Q31" s="34" t="s">
        <v>37</v>
      </c>
      <c r="R31" s="34">
        <f t="shared" si="8"/>
        <v>0</v>
      </c>
      <c r="T31" s="30"/>
    </row>
    <row r="32" spans="1:22">
      <c r="A32" s="31" t="s">
        <v>35</v>
      </c>
      <c r="B32" s="9"/>
      <c r="C32" s="9" t="s">
        <v>36</v>
      </c>
      <c r="D32" s="48" t="s">
        <v>25</v>
      </c>
      <c r="E32" s="34">
        <v>0</v>
      </c>
      <c r="F32" s="34">
        <v>0</v>
      </c>
      <c r="G32" s="34">
        <f t="shared" si="7"/>
        <v>0</v>
      </c>
      <c r="H32" s="34">
        <v>0</v>
      </c>
      <c r="I32" s="34">
        <f>H32*F32</f>
        <v>0</v>
      </c>
      <c r="J32" s="34">
        <v>0</v>
      </c>
      <c r="K32" s="34">
        <f>J32*F32</f>
        <v>0</v>
      </c>
      <c r="L32" s="34">
        <v>0</v>
      </c>
      <c r="M32" s="34">
        <f>L32*F32</f>
        <v>0</v>
      </c>
      <c r="N32" s="34">
        <v>0</v>
      </c>
      <c r="O32" s="34">
        <f>N32*F32</f>
        <v>0</v>
      </c>
      <c r="P32" s="34">
        <f>G32+I32+K32+M32+O32</f>
        <v>0</v>
      </c>
      <c r="Q32" s="34" t="s">
        <v>37</v>
      </c>
      <c r="R32" s="34">
        <f t="shared" si="8"/>
        <v>0</v>
      </c>
      <c r="T32" s="30"/>
    </row>
    <row r="33" spans="1:36">
      <c r="A33" s="9" t="s">
        <v>38</v>
      </c>
      <c r="B33" s="9"/>
      <c r="C33" s="9" t="s">
        <v>36</v>
      </c>
      <c r="D33" s="48" t="s">
        <v>39</v>
      </c>
      <c r="E33" s="34">
        <v>0</v>
      </c>
      <c r="F33" s="34">
        <v>0</v>
      </c>
      <c r="G33" s="34">
        <f t="shared" si="7"/>
        <v>0</v>
      </c>
      <c r="H33" s="34">
        <v>0</v>
      </c>
      <c r="I33" s="34">
        <f>H33*F33</f>
        <v>0</v>
      </c>
      <c r="J33" s="34">
        <v>0</v>
      </c>
      <c r="K33" s="34">
        <f t="shared" ref="K33:K35" si="14">J33*F33</f>
        <v>0</v>
      </c>
      <c r="L33" s="34">
        <v>0</v>
      </c>
      <c r="M33" s="34">
        <f t="shared" ref="M33:M35" si="15">L33*F33</f>
        <v>0</v>
      </c>
      <c r="N33" s="34">
        <v>0</v>
      </c>
      <c r="O33" s="34">
        <f t="shared" ref="O33:O35" si="16">N33*F33</f>
        <v>0</v>
      </c>
      <c r="P33" s="34">
        <f t="shared" ref="P33" si="17">G33+I33+K33+M33+O33</f>
        <v>0</v>
      </c>
      <c r="Q33" s="34" t="s">
        <v>37</v>
      </c>
      <c r="R33" s="34">
        <f t="shared" si="8"/>
        <v>0</v>
      </c>
      <c r="T33" s="30"/>
    </row>
    <row r="34" spans="1:36">
      <c r="A34" s="31" t="s">
        <v>40</v>
      </c>
      <c r="B34" s="9"/>
      <c r="C34" s="9" t="s">
        <v>36</v>
      </c>
      <c r="D34" s="48" t="s">
        <v>41</v>
      </c>
      <c r="E34" s="34">
        <v>0</v>
      </c>
      <c r="F34" s="34">
        <v>0</v>
      </c>
      <c r="G34" s="34">
        <f t="shared" si="7"/>
        <v>0</v>
      </c>
      <c r="H34" s="34">
        <v>0</v>
      </c>
      <c r="I34" s="34">
        <f>H34*F34</f>
        <v>0</v>
      </c>
      <c r="J34" s="34">
        <v>0</v>
      </c>
      <c r="K34" s="34">
        <f t="shared" si="14"/>
        <v>0</v>
      </c>
      <c r="L34" s="34">
        <v>0</v>
      </c>
      <c r="M34" s="34">
        <f t="shared" si="15"/>
        <v>0</v>
      </c>
      <c r="N34" s="34">
        <v>0</v>
      </c>
      <c r="O34" s="34">
        <f t="shared" si="16"/>
        <v>0</v>
      </c>
      <c r="P34" s="34">
        <f>G34+I34+K34+M34+O34</f>
        <v>0</v>
      </c>
      <c r="Q34" s="34" t="s">
        <v>37</v>
      </c>
      <c r="R34" s="34">
        <f t="shared" si="8"/>
        <v>0</v>
      </c>
      <c r="T34" s="30"/>
    </row>
    <row r="35" spans="1:36">
      <c r="A35" s="31" t="s">
        <v>42</v>
      </c>
      <c r="B35" s="9"/>
      <c r="C35" s="9" t="s">
        <v>36</v>
      </c>
      <c r="D35" s="48" t="s">
        <v>41</v>
      </c>
      <c r="E35" s="34">
        <v>0</v>
      </c>
      <c r="F35" s="34">
        <v>0</v>
      </c>
      <c r="G35" s="34">
        <f t="shared" si="7"/>
        <v>0</v>
      </c>
      <c r="H35" s="34">
        <v>0</v>
      </c>
      <c r="I35" s="34">
        <f t="shared" ref="I35" si="18">H35*F35</f>
        <v>0</v>
      </c>
      <c r="J35" s="34">
        <v>0</v>
      </c>
      <c r="K35" s="34">
        <f t="shared" si="14"/>
        <v>0</v>
      </c>
      <c r="L35" s="34">
        <v>0</v>
      </c>
      <c r="M35" s="34">
        <f t="shared" si="15"/>
        <v>0</v>
      </c>
      <c r="N35" s="34">
        <v>0</v>
      </c>
      <c r="O35" s="34">
        <f t="shared" si="16"/>
        <v>0</v>
      </c>
      <c r="P35" s="34">
        <f>G35+I35+K35+M35+O35</f>
        <v>0</v>
      </c>
      <c r="Q35" s="34" t="s">
        <v>37</v>
      </c>
      <c r="R35" s="34">
        <f t="shared" si="8"/>
        <v>0</v>
      </c>
      <c r="T35" s="30"/>
    </row>
    <row r="36" spans="1:36">
      <c r="A36" s="21" t="s">
        <v>43</v>
      </c>
      <c r="B36" s="40"/>
      <c r="C36" s="41"/>
      <c r="D36" s="42"/>
      <c r="E36" s="42"/>
      <c r="F36" s="43"/>
      <c r="G36" s="43">
        <f>SUM(G28:G35)</f>
        <v>0</v>
      </c>
      <c r="H36" s="43"/>
      <c r="I36" s="43">
        <f>SUM(I28:I35)</f>
        <v>0</v>
      </c>
      <c r="J36" s="43"/>
      <c r="K36" s="43">
        <f>SUM(K28:K35)</f>
        <v>0</v>
      </c>
      <c r="L36" s="43"/>
      <c r="M36" s="43">
        <f>SUM(M28:M35)</f>
        <v>0</v>
      </c>
      <c r="N36" s="43"/>
      <c r="O36" s="43">
        <f>SUM(O28:O35)</f>
        <v>0</v>
      </c>
      <c r="P36" s="43">
        <f>SUM(P28:P35)</f>
        <v>0</v>
      </c>
      <c r="Q36" s="43">
        <f>SUM(Q28:Q35)</f>
        <v>0</v>
      </c>
      <c r="R36" s="43">
        <f>SUM(R28:R35)</f>
        <v>0</v>
      </c>
    </row>
    <row r="37" spans="1:36">
      <c r="A37" s="9"/>
      <c r="B37" s="9"/>
      <c r="C37" s="49"/>
      <c r="D37" s="48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T37" s="30"/>
    </row>
    <row r="38" spans="1:36">
      <c r="A38" s="21" t="s">
        <v>44</v>
      </c>
      <c r="B38" s="40"/>
      <c r="C38" s="41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</row>
    <row r="39" spans="1:36" ht="12" customHeight="1">
      <c r="A39" s="31" t="s">
        <v>45</v>
      </c>
      <c r="B39" s="31"/>
      <c r="C39" s="31" t="s">
        <v>46</v>
      </c>
      <c r="D39" s="48" t="s">
        <v>25</v>
      </c>
      <c r="E39" s="34">
        <v>0</v>
      </c>
      <c r="F39" s="34">
        <v>0</v>
      </c>
      <c r="G39" s="34">
        <f t="shared" ref="G39:G41" si="19">E39*F39</f>
        <v>0</v>
      </c>
      <c r="H39" s="34">
        <v>0</v>
      </c>
      <c r="I39" s="34">
        <f t="shared" ref="I39:I41" si="20">H39*F39</f>
        <v>0</v>
      </c>
      <c r="J39" s="34">
        <v>0</v>
      </c>
      <c r="K39" s="34">
        <f t="shared" ref="K39:K41" si="21">J39*F39</f>
        <v>0</v>
      </c>
      <c r="L39" s="34">
        <v>0</v>
      </c>
      <c r="M39" s="34">
        <f t="shared" ref="M39:M41" si="22">L39*F39</f>
        <v>0</v>
      </c>
      <c r="N39" s="34">
        <v>0</v>
      </c>
      <c r="O39" s="34">
        <f>N39*F39</f>
        <v>0</v>
      </c>
      <c r="P39" s="34">
        <f>G39+I39+K39+M39+O39</f>
        <v>0</v>
      </c>
      <c r="Q39" s="34">
        <v>0</v>
      </c>
      <c r="R39" s="34">
        <f t="shared" ref="R39:R41" si="23">SUM(P39:Q39)</f>
        <v>0</v>
      </c>
      <c r="S39" s="37"/>
    </row>
    <row r="40" spans="1:36">
      <c r="A40" s="31" t="s">
        <v>45</v>
      </c>
      <c r="B40" s="31"/>
      <c r="C40" s="31" t="s">
        <v>46</v>
      </c>
      <c r="D40" s="48" t="s">
        <v>25</v>
      </c>
      <c r="E40" s="34">
        <v>0</v>
      </c>
      <c r="F40" s="34">
        <v>0</v>
      </c>
      <c r="G40" s="34">
        <f t="shared" si="19"/>
        <v>0</v>
      </c>
      <c r="H40" s="34">
        <v>0</v>
      </c>
      <c r="I40" s="34">
        <f t="shared" si="20"/>
        <v>0</v>
      </c>
      <c r="J40" s="34">
        <v>0</v>
      </c>
      <c r="K40" s="34">
        <f t="shared" si="21"/>
        <v>0</v>
      </c>
      <c r="L40" s="34">
        <v>0</v>
      </c>
      <c r="M40" s="34">
        <f t="shared" si="22"/>
        <v>0</v>
      </c>
      <c r="N40" s="34">
        <v>0</v>
      </c>
      <c r="O40" s="34">
        <f t="shared" ref="O40:O41" si="24">N40*F40</f>
        <v>0</v>
      </c>
      <c r="P40" s="34">
        <f t="shared" ref="P40:P41" si="25">G40+I40+K40+M40+O40</f>
        <v>0</v>
      </c>
      <c r="Q40" s="34">
        <v>0</v>
      </c>
      <c r="R40" s="34">
        <f t="shared" si="23"/>
        <v>0</v>
      </c>
      <c r="S40" s="51"/>
      <c r="T40" s="52"/>
      <c r="U40" s="53"/>
      <c r="X40" s="54"/>
      <c r="Y40" s="34"/>
      <c r="Z40" s="34"/>
      <c r="AA40" s="34"/>
      <c r="AB40" s="34"/>
      <c r="AC40" s="34"/>
      <c r="AD40" s="54"/>
      <c r="AE40" s="34"/>
      <c r="AF40" s="54"/>
      <c r="AG40" s="54"/>
      <c r="AH40" s="54"/>
      <c r="AI40" s="55"/>
      <c r="AJ40" s="55"/>
    </row>
    <row r="41" spans="1:36">
      <c r="A41" s="31" t="s">
        <v>47</v>
      </c>
      <c r="B41" s="31"/>
      <c r="C41" s="31" t="s">
        <v>46</v>
      </c>
      <c r="D41" s="50" t="s">
        <v>48</v>
      </c>
      <c r="E41" s="34">
        <v>0</v>
      </c>
      <c r="F41" s="34">
        <v>0</v>
      </c>
      <c r="G41" s="34">
        <f t="shared" si="19"/>
        <v>0</v>
      </c>
      <c r="H41" s="34">
        <v>0</v>
      </c>
      <c r="I41" s="34">
        <f t="shared" si="20"/>
        <v>0</v>
      </c>
      <c r="J41" s="34">
        <v>0</v>
      </c>
      <c r="K41" s="34">
        <f t="shared" si="21"/>
        <v>0</v>
      </c>
      <c r="L41" s="34">
        <v>0</v>
      </c>
      <c r="M41" s="34">
        <f t="shared" si="22"/>
        <v>0</v>
      </c>
      <c r="N41" s="34">
        <v>0</v>
      </c>
      <c r="O41" s="34">
        <f t="shared" si="24"/>
        <v>0</v>
      </c>
      <c r="P41" s="34">
        <f t="shared" si="25"/>
        <v>0</v>
      </c>
      <c r="Q41" s="34">
        <v>0</v>
      </c>
      <c r="R41" s="34">
        <f t="shared" si="23"/>
        <v>0</v>
      </c>
      <c r="S41" s="51"/>
      <c r="T41" s="52"/>
      <c r="U41" s="53"/>
      <c r="X41" s="54"/>
      <c r="Y41" s="34"/>
      <c r="Z41" s="34"/>
      <c r="AA41" s="34"/>
      <c r="AB41" s="34"/>
      <c r="AC41" s="34"/>
      <c r="AD41" s="54"/>
      <c r="AE41" s="34"/>
      <c r="AF41" s="54"/>
      <c r="AG41" s="54"/>
      <c r="AH41" s="54"/>
      <c r="AI41" s="55"/>
      <c r="AJ41" s="55"/>
    </row>
    <row r="42" spans="1:36">
      <c r="A42" s="21" t="s">
        <v>49</v>
      </c>
      <c r="B42" s="40"/>
      <c r="C42" s="56"/>
      <c r="D42" s="43"/>
      <c r="E42" s="43"/>
      <c r="F42" s="43"/>
      <c r="G42" s="43">
        <f>SUM(G39:G41)</f>
        <v>0</v>
      </c>
      <c r="H42" s="43"/>
      <c r="I42" s="43">
        <f>SUM(I39:I41)</f>
        <v>0</v>
      </c>
      <c r="J42" s="43"/>
      <c r="K42" s="43">
        <f>SUM(K39:K41)</f>
        <v>0</v>
      </c>
      <c r="L42" s="43"/>
      <c r="M42" s="43">
        <f>SUM(M39:M41)</f>
        <v>0</v>
      </c>
      <c r="N42" s="43"/>
      <c r="O42" s="43">
        <f>SUM(O39:O41)</f>
        <v>0</v>
      </c>
      <c r="P42" s="43">
        <f>SUM(P39:P41)</f>
        <v>0</v>
      </c>
      <c r="Q42" s="43">
        <f>SUM(Q39:Q41)</f>
        <v>0</v>
      </c>
      <c r="R42" s="43">
        <f>SUM(R39:R41)</f>
        <v>0</v>
      </c>
    </row>
    <row r="43" spans="1:36">
      <c r="A43" s="9"/>
      <c r="B43" s="9"/>
      <c r="C43" s="49"/>
      <c r="D43" s="48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T43" s="30"/>
    </row>
    <row r="44" spans="1:36">
      <c r="A44" s="21" t="s">
        <v>50</v>
      </c>
      <c r="B44" s="40"/>
      <c r="C44" s="41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</row>
    <row r="45" spans="1:36" ht="12" customHeight="1">
      <c r="A45" s="31" t="s">
        <v>51</v>
      </c>
      <c r="B45" s="31"/>
      <c r="C45" s="31" t="s">
        <v>52</v>
      </c>
      <c r="D45" s="48" t="s">
        <v>25</v>
      </c>
      <c r="E45" s="34">
        <v>0</v>
      </c>
      <c r="F45" s="34">
        <v>0</v>
      </c>
      <c r="G45" s="34">
        <f t="shared" ref="G45" si="26">E45*F45</f>
        <v>0</v>
      </c>
      <c r="H45" s="34">
        <v>0</v>
      </c>
      <c r="I45" s="34">
        <f t="shared" ref="I45" si="27">H45*F45</f>
        <v>0</v>
      </c>
      <c r="J45" s="34">
        <v>0</v>
      </c>
      <c r="K45" s="34">
        <f t="shared" ref="K45" si="28">J45*F45</f>
        <v>0</v>
      </c>
      <c r="L45" s="34">
        <v>0</v>
      </c>
      <c r="M45" s="34">
        <f t="shared" ref="M45" si="29">L45*F45</f>
        <v>0</v>
      </c>
      <c r="N45" s="34">
        <v>0</v>
      </c>
      <c r="O45" s="34">
        <f>N45*F45</f>
        <v>0</v>
      </c>
      <c r="P45" s="34">
        <f>G45+I45+K45+M45+O45</f>
        <v>0</v>
      </c>
      <c r="Q45" s="34">
        <v>0</v>
      </c>
      <c r="R45" s="34">
        <f t="shared" ref="R45" si="30">SUM(P45:Q45)</f>
        <v>0</v>
      </c>
      <c r="S45" s="37"/>
    </row>
    <row r="46" spans="1:36">
      <c r="A46" s="31" t="s">
        <v>47</v>
      </c>
      <c r="B46" s="31"/>
      <c r="C46" s="31" t="s">
        <v>53</v>
      </c>
      <c r="D46" s="50" t="s">
        <v>48</v>
      </c>
      <c r="E46" s="34">
        <v>0</v>
      </c>
      <c r="F46" s="34">
        <v>0</v>
      </c>
      <c r="G46" s="34">
        <f t="shared" ref="G46:G47" si="31">E46*F46</f>
        <v>0</v>
      </c>
      <c r="H46" s="34">
        <v>0</v>
      </c>
      <c r="I46" s="34">
        <f t="shared" ref="I46:I47" si="32">H46*F46</f>
        <v>0</v>
      </c>
      <c r="J46" s="34">
        <v>0</v>
      </c>
      <c r="K46" s="34">
        <f t="shared" ref="K46:K47" si="33">J46*F46</f>
        <v>0</v>
      </c>
      <c r="L46" s="34">
        <v>0</v>
      </c>
      <c r="M46" s="34">
        <f t="shared" ref="M46:M47" si="34">L46*F46</f>
        <v>0</v>
      </c>
      <c r="N46" s="34">
        <v>0</v>
      </c>
      <c r="O46" s="34">
        <f t="shared" ref="O46:O47" si="35">N46*F46</f>
        <v>0</v>
      </c>
      <c r="P46" s="34">
        <f t="shared" ref="P46:P47" si="36">G46+I46+K46+M46+O46</f>
        <v>0</v>
      </c>
      <c r="Q46" s="34">
        <v>0</v>
      </c>
      <c r="R46" s="34">
        <f t="shared" ref="R46:R47" si="37">SUM(P46:Q46)</f>
        <v>0</v>
      </c>
      <c r="S46" s="51"/>
      <c r="T46" s="52"/>
      <c r="U46" s="53"/>
      <c r="X46" s="54"/>
      <c r="Y46" s="34"/>
      <c r="Z46" s="34"/>
      <c r="AA46" s="34"/>
      <c r="AB46" s="34"/>
      <c r="AC46" s="34"/>
      <c r="AD46" s="54"/>
      <c r="AE46" s="34"/>
      <c r="AF46" s="54"/>
      <c r="AG46" s="54"/>
      <c r="AH46" s="54"/>
      <c r="AI46" s="55"/>
      <c r="AJ46" s="55"/>
    </row>
    <row r="47" spans="1:36">
      <c r="A47" s="31" t="s">
        <v>47</v>
      </c>
      <c r="B47" s="31"/>
      <c r="C47" s="31" t="s">
        <v>53</v>
      </c>
      <c r="D47" s="50" t="s">
        <v>48</v>
      </c>
      <c r="E47" s="34">
        <v>0</v>
      </c>
      <c r="F47" s="34">
        <v>0</v>
      </c>
      <c r="G47" s="34">
        <f t="shared" si="31"/>
        <v>0</v>
      </c>
      <c r="H47" s="34">
        <v>0</v>
      </c>
      <c r="I47" s="34">
        <f t="shared" si="32"/>
        <v>0</v>
      </c>
      <c r="J47" s="34">
        <v>0</v>
      </c>
      <c r="K47" s="34">
        <f t="shared" si="33"/>
        <v>0</v>
      </c>
      <c r="L47" s="34">
        <v>0</v>
      </c>
      <c r="M47" s="34">
        <f t="shared" si="34"/>
        <v>0</v>
      </c>
      <c r="N47" s="34">
        <v>0</v>
      </c>
      <c r="O47" s="34">
        <f t="shared" si="35"/>
        <v>0</v>
      </c>
      <c r="P47" s="34">
        <f t="shared" si="36"/>
        <v>0</v>
      </c>
      <c r="Q47" s="34">
        <v>0</v>
      </c>
      <c r="R47" s="34">
        <f t="shared" si="37"/>
        <v>0</v>
      </c>
      <c r="S47" s="51"/>
      <c r="T47" s="52"/>
      <c r="U47" s="53"/>
      <c r="X47" s="54"/>
      <c r="Y47" s="34"/>
      <c r="Z47" s="34"/>
      <c r="AA47" s="34"/>
      <c r="AB47" s="34"/>
      <c r="AC47" s="34"/>
      <c r="AD47" s="54"/>
      <c r="AE47" s="34"/>
      <c r="AF47" s="54"/>
      <c r="AG47" s="54"/>
      <c r="AH47" s="54"/>
      <c r="AI47" s="55"/>
      <c r="AJ47" s="55"/>
    </row>
    <row r="48" spans="1:36">
      <c r="A48" s="21" t="s">
        <v>54</v>
      </c>
      <c r="B48" s="40"/>
      <c r="C48" s="56"/>
      <c r="D48" s="43"/>
      <c r="E48" s="43"/>
      <c r="F48" s="43"/>
      <c r="G48" s="43">
        <f>SUM(G45:G47)</f>
        <v>0</v>
      </c>
      <c r="H48" s="43"/>
      <c r="I48" s="43">
        <f>SUM(I45:I47)</f>
        <v>0</v>
      </c>
      <c r="J48" s="43"/>
      <c r="K48" s="43">
        <f>SUM(K45:K47)</f>
        <v>0</v>
      </c>
      <c r="L48" s="43"/>
      <c r="M48" s="43">
        <f>SUM(M45:M47)</f>
        <v>0</v>
      </c>
      <c r="N48" s="43"/>
      <c r="O48" s="43">
        <f>SUM(O45:O47)</f>
        <v>0</v>
      </c>
      <c r="P48" s="43">
        <f>SUM(P45:P47)</f>
        <v>0</v>
      </c>
      <c r="Q48" s="43">
        <f>SUM(Q45:Q47)</f>
        <v>0</v>
      </c>
      <c r="R48" s="43">
        <f>SUM(R45:R47)</f>
        <v>0</v>
      </c>
    </row>
    <row r="49" spans="1:36">
      <c r="A49" s="9"/>
      <c r="B49" s="9"/>
      <c r="C49" s="49"/>
      <c r="D49" s="48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T49" s="30"/>
    </row>
    <row r="50" spans="1:36">
      <c r="A50" s="21" t="s">
        <v>55</v>
      </c>
      <c r="B50" s="40"/>
      <c r="C50" s="41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T50" s="30"/>
    </row>
    <row r="51" spans="1:36" ht="12" customHeight="1">
      <c r="A51" s="9" t="s">
        <v>56</v>
      </c>
      <c r="B51" s="31"/>
      <c r="C51" s="31" t="s">
        <v>57</v>
      </c>
      <c r="D51" s="50" t="s">
        <v>48</v>
      </c>
      <c r="E51" s="34">
        <v>0</v>
      </c>
      <c r="F51" s="34">
        <v>0</v>
      </c>
      <c r="G51" s="34">
        <f t="shared" ref="G51:G52" si="38">E51*F51</f>
        <v>0</v>
      </c>
      <c r="H51" s="34">
        <v>0</v>
      </c>
      <c r="I51" s="34">
        <f t="shared" ref="I51:I52" si="39">H51*F51</f>
        <v>0</v>
      </c>
      <c r="J51" s="34">
        <v>0</v>
      </c>
      <c r="K51" s="34">
        <f t="shared" ref="K51:K52" si="40">J51*F51</f>
        <v>0</v>
      </c>
      <c r="L51" s="34">
        <v>0</v>
      </c>
      <c r="M51" s="34">
        <f t="shared" ref="M51:M52" si="41">L51*F51</f>
        <v>0</v>
      </c>
      <c r="N51" s="34">
        <v>0</v>
      </c>
      <c r="O51" s="34">
        <f>N51*F51</f>
        <v>0</v>
      </c>
      <c r="P51" s="34">
        <f>G51+I51+K51+M51+O51</f>
        <v>0</v>
      </c>
      <c r="Q51" s="34">
        <v>0</v>
      </c>
      <c r="R51" s="34">
        <f t="shared" ref="R51:R52" si="42">SUM(P51:Q51)</f>
        <v>0</v>
      </c>
    </row>
    <row r="52" spans="1:36" ht="12" customHeight="1">
      <c r="A52" s="31" t="s">
        <v>58</v>
      </c>
      <c r="B52" s="31"/>
      <c r="C52" s="31" t="s">
        <v>57</v>
      </c>
      <c r="D52" s="50" t="s">
        <v>48</v>
      </c>
      <c r="E52" s="34">
        <v>0</v>
      </c>
      <c r="F52" s="34">
        <v>0</v>
      </c>
      <c r="G52" s="34">
        <f t="shared" si="38"/>
        <v>0</v>
      </c>
      <c r="H52" s="34">
        <v>0</v>
      </c>
      <c r="I52" s="34">
        <f t="shared" si="39"/>
        <v>0</v>
      </c>
      <c r="J52" s="34">
        <v>0</v>
      </c>
      <c r="K52" s="34">
        <f t="shared" si="40"/>
        <v>0</v>
      </c>
      <c r="L52" s="34">
        <v>0</v>
      </c>
      <c r="M52" s="34">
        <f t="shared" si="41"/>
        <v>0</v>
      </c>
      <c r="N52" s="34">
        <v>0</v>
      </c>
      <c r="O52" s="34">
        <f t="shared" ref="O52" si="43">N52*F52</f>
        <v>0</v>
      </c>
      <c r="P52" s="34">
        <f t="shared" ref="P52" si="44">G52+I52+K52+M52+O52</f>
        <v>0</v>
      </c>
      <c r="Q52" s="34">
        <v>0</v>
      </c>
      <c r="R52" s="34">
        <f t="shared" si="42"/>
        <v>0</v>
      </c>
    </row>
    <row r="53" spans="1:36">
      <c r="A53" s="9" t="s">
        <v>47</v>
      </c>
      <c r="B53" s="31"/>
      <c r="C53" s="31" t="s">
        <v>57</v>
      </c>
      <c r="D53" s="50" t="s">
        <v>48</v>
      </c>
      <c r="E53" s="34">
        <v>0</v>
      </c>
      <c r="F53" s="34">
        <v>0</v>
      </c>
      <c r="G53" s="34">
        <f t="shared" ref="G53:G55" si="45">E53*F53</f>
        <v>0</v>
      </c>
      <c r="H53" s="34">
        <v>0</v>
      </c>
      <c r="I53" s="34">
        <f t="shared" ref="I53:I55" si="46">H53*F53</f>
        <v>0</v>
      </c>
      <c r="J53" s="34">
        <v>0</v>
      </c>
      <c r="K53" s="34">
        <f t="shared" ref="K53:K55" si="47">J53*F53</f>
        <v>0</v>
      </c>
      <c r="L53" s="34">
        <v>0</v>
      </c>
      <c r="M53" s="34">
        <f t="shared" ref="M53:M55" si="48">L53*F53</f>
        <v>0</v>
      </c>
      <c r="N53" s="34">
        <v>0</v>
      </c>
      <c r="O53" s="34">
        <f>N53*F53</f>
        <v>0</v>
      </c>
      <c r="P53" s="34">
        <f t="shared" ref="P53:P55" si="49">G53+I53+K53+M53+O53</f>
        <v>0</v>
      </c>
      <c r="Q53" s="34">
        <v>0</v>
      </c>
      <c r="R53" s="34">
        <f t="shared" ref="R53:R55" si="50">SUM(P53:Q53)</f>
        <v>0</v>
      </c>
    </row>
    <row r="54" spans="1:36">
      <c r="A54" s="31" t="s">
        <v>47</v>
      </c>
      <c r="B54" s="31"/>
      <c r="C54" s="31" t="s">
        <v>57</v>
      </c>
      <c r="D54" s="50" t="s">
        <v>48</v>
      </c>
      <c r="E54" s="34">
        <v>0</v>
      </c>
      <c r="F54" s="34">
        <v>0</v>
      </c>
      <c r="G54" s="34">
        <f t="shared" si="45"/>
        <v>0</v>
      </c>
      <c r="H54" s="34">
        <v>0</v>
      </c>
      <c r="I54" s="34">
        <f t="shared" si="46"/>
        <v>0</v>
      </c>
      <c r="J54" s="34">
        <v>0</v>
      </c>
      <c r="K54" s="34">
        <f t="shared" si="47"/>
        <v>0</v>
      </c>
      <c r="L54" s="34">
        <v>0</v>
      </c>
      <c r="M54" s="34">
        <f t="shared" si="48"/>
        <v>0</v>
      </c>
      <c r="N54" s="34">
        <v>0</v>
      </c>
      <c r="O54" s="34">
        <f t="shared" ref="O54:O55" si="51">N54*F54</f>
        <v>0</v>
      </c>
      <c r="P54" s="34">
        <f t="shared" si="49"/>
        <v>0</v>
      </c>
      <c r="Q54" s="34">
        <v>0</v>
      </c>
      <c r="R54" s="34">
        <f t="shared" si="50"/>
        <v>0</v>
      </c>
      <c r="S54" s="51"/>
      <c r="T54" s="52"/>
      <c r="U54" s="53"/>
      <c r="X54" s="54"/>
      <c r="Y54" s="34"/>
      <c r="Z54" s="34"/>
      <c r="AA54" s="34"/>
      <c r="AB54" s="34"/>
      <c r="AC54" s="34"/>
      <c r="AD54" s="54"/>
      <c r="AE54" s="34"/>
      <c r="AF54" s="54"/>
      <c r="AG54" s="54"/>
      <c r="AH54" s="54"/>
      <c r="AI54" s="55"/>
      <c r="AJ54" s="55"/>
    </row>
    <row r="55" spans="1:36">
      <c r="A55" s="31" t="s">
        <v>47</v>
      </c>
      <c r="B55" s="31"/>
      <c r="C55" s="31" t="s">
        <v>57</v>
      </c>
      <c r="D55" s="50" t="s">
        <v>48</v>
      </c>
      <c r="E55" s="34">
        <v>0</v>
      </c>
      <c r="F55" s="34">
        <v>0</v>
      </c>
      <c r="G55" s="34">
        <f t="shared" si="45"/>
        <v>0</v>
      </c>
      <c r="H55" s="34">
        <v>0</v>
      </c>
      <c r="I55" s="34">
        <f t="shared" si="46"/>
        <v>0</v>
      </c>
      <c r="J55" s="34">
        <v>0</v>
      </c>
      <c r="K55" s="34">
        <f t="shared" si="47"/>
        <v>0</v>
      </c>
      <c r="L55" s="34">
        <v>0</v>
      </c>
      <c r="M55" s="34">
        <f t="shared" si="48"/>
        <v>0</v>
      </c>
      <c r="N55" s="34">
        <v>0</v>
      </c>
      <c r="O55" s="34">
        <f t="shared" si="51"/>
        <v>0</v>
      </c>
      <c r="P55" s="34">
        <f t="shared" si="49"/>
        <v>0</v>
      </c>
      <c r="Q55" s="34">
        <v>0</v>
      </c>
      <c r="R55" s="34">
        <f t="shared" si="50"/>
        <v>0</v>
      </c>
      <c r="S55" s="57"/>
      <c r="T55" s="9"/>
      <c r="U55" s="9"/>
      <c r="V55" s="58"/>
      <c r="W55" s="54"/>
    </row>
    <row r="56" spans="1:36">
      <c r="A56" s="21" t="s">
        <v>59</v>
      </c>
      <c r="B56" s="40"/>
      <c r="C56" s="41"/>
      <c r="D56" s="42"/>
      <c r="E56" s="43"/>
      <c r="F56" s="43"/>
      <c r="G56" s="43">
        <f>SUM(G51:G55)</f>
        <v>0</v>
      </c>
      <c r="H56" s="43"/>
      <c r="I56" s="43">
        <f>SUM(I51:I55)</f>
        <v>0</v>
      </c>
      <c r="J56" s="43"/>
      <c r="K56" s="43">
        <f>SUM(K51:K55)</f>
        <v>0</v>
      </c>
      <c r="L56" s="43"/>
      <c r="M56" s="43">
        <f>SUM(M51:M55)</f>
        <v>0</v>
      </c>
      <c r="N56" s="43"/>
      <c r="O56" s="43">
        <f>SUM(O51:O55)</f>
        <v>0</v>
      </c>
      <c r="P56" s="43">
        <f>SUM(P51:P55)</f>
        <v>0</v>
      </c>
      <c r="Q56" s="43">
        <f>SUM(Q51:Q55)</f>
        <v>0</v>
      </c>
      <c r="R56" s="43">
        <f>SUM(R51:R55)</f>
        <v>0</v>
      </c>
    </row>
    <row r="57" spans="1:36">
      <c r="A57" s="9"/>
      <c r="B57" s="9"/>
      <c r="C57" s="49"/>
      <c r="D57" s="48"/>
      <c r="E57" s="34"/>
      <c r="F57" s="59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T57" s="30"/>
    </row>
    <row r="58" spans="1:36">
      <c r="A58" s="21" t="s">
        <v>60</v>
      </c>
      <c r="B58" s="40"/>
      <c r="C58" s="41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</row>
    <row r="59" spans="1:36">
      <c r="A59" s="31" t="s">
        <v>61</v>
      </c>
      <c r="B59" s="31"/>
      <c r="C59" s="31" t="s">
        <v>62</v>
      </c>
      <c r="D59" s="50" t="s">
        <v>48</v>
      </c>
      <c r="E59" s="34">
        <v>0</v>
      </c>
      <c r="F59" s="34">
        <v>0</v>
      </c>
      <c r="G59" s="34">
        <f t="shared" ref="G59:G60" si="52">E59*F59</f>
        <v>0</v>
      </c>
      <c r="H59" s="34">
        <v>0</v>
      </c>
      <c r="I59" s="34">
        <f t="shared" ref="I59:I60" si="53">H59*F59</f>
        <v>0</v>
      </c>
      <c r="J59" s="34">
        <v>0</v>
      </c>
      <c r="K59" s="34">
        <f t="shared" ref="K59:K60" si="54">J59*F59</f>
        <v>0</v>
      </c>
      <c r="L59" s="34">
        <v>0</v>
      </c>
      <c r="M59" s="34">
        <f t="shared" ref="M59:M60" si="55">L59*F59</f>
        <v>0</v>
      </c>
      <c r="N59" s="34">
        <v>0</v>
      </c>
      <c r="O59" s="34">
        <f t="shared" ref="O59:O60" si="56">N59*F59</f>
        <v>0</v>
      </c>
      <c r="P59" s="34">
        <f t="shared" ref="P59:P60" si="57">G59+I59+K59+M59+O59</f>
        <v>0</v>
      </c>
      <c r="Q59" s="34">
        <v>0</v>
      </c>
      <c r="R59" s="34">
        <f t="shared" ref="R59:R60" si="58">SUM(P59:Q59)</f>
        <v>0</v>
      </c>
      <c r="S59" s="51"/>
      <c r="T59" s="52"/>
      <c r="U59" s="53"/>
      <c r="X59" s="54"/>
      <c r="Y59" s="34"/>
      <c r="Z59" s="34"/>
      <c r="AA59" s="34"/>
      <c r="AB59" s="34"/>
      <c r="AC59" s="34"/>
      <c r="AD59" s="54"/>
      <c r="AE59" s="34"/>
      <c r="AF59" s="54"/>
      <c r="AG59" s="54"/>
      <c r="AH59" s="54"/>
      <c r="AI59" s="55"/>
      <c r="AJ59" s="55"/>
    </row>
    <row r="60" spans="1:36">
      <c r="A60" s="31" t="s">
        <v>61</v>
      </c>
      <c r="B60" s="31"/>
      <c r="C60" s="31" t="s">
        <v>62</v>
      </c>
      <c r="D60" s="50" t="s">
        <v>48</v>
      </c>
      <c r="E60" s="34">
        <v>0</v>
      </c>
      <c r="F60" s="34">
        <v>0</v>
      </c>
      <c r="G60" s="34">
        <f t="shared" si="52"/>
        <v>0</v>
      </c>
      <c r="H60" s="34">
        <v>0</v>
      </c>
      <c r="I60" s="34">
        <f t="shared" si="53"/>
        <v>0</v>
      </c>
      <c r="J60" s="34">
        <v>0</v>
      </c>
      <c r="K60" s="34">
        <f t="shared" si="54"/>
        <v>0</v>
      </c>
      <c r="L60" s="34">
        <v>0</v>
      </c>
      <c r="M60" s="34">
        <f t="shared" si="55"/>
        <v>0</v>
      </c>
      <c r="N60" s="34">
        <v>0</v>
      </c>
      <c r="O60" s="34">
        <f t="shared" si="56"/>
        <v>0</v>
      </c>
      <c r="P60" s="34">
        <f t="shared" si="57"/>
        <v>0</v>
      </c>
      <c r="Q60" s="34">
        <v>0</v>
      </c>
      <c r="R60" s="34">
        <f t="shared" si="58"/>
        <v>0</v>
      </c>
      <c r="S60" s="51"/>
      <c r="T60" s="52"/>
      <c r="U60" s="53"/>
      <c r="X60" s="54"/>
      <c r="Y60" s="34"/>
      <c r="Z60" s="34"/>
      <c r="AA60" s="34"/>
      <c r="AB60" s="34"/>
      <c r="AC60" s="34"/>
      <c r="AD60" s="54"/>
      <c r="AE60" s="34"/>
      <c r="AF60" s="54"/>
      <c r="AG60" s="54"/>
      <c r="AH60" s="54"/>
      <c r="AI60" s="55"/>
      <c r="AJ60" s="55"/>
    </row>
    <row r="61" spans="1:36">
      <c r="A61" s="31" t="s">
        <v>63</v>
      </c>
      <c r="B61" s="31"/>
      <c r="C61" s="31" t="s">
        <v>64</v>
      </c>
      <c r="D61" s="50" t="s">
        <v>48</v>
      </c>
      <c r="E61" s="34">
        <v>0</v>
      </c>
      <c r="F61" s="34">
        <v>0</v>
      </c>
      <c r="G61" s="34">
        <f t="shared" ref="G61" si="59">E61*F61</f>
        <v>0</v>
      </c>
      <c r="H61" s="34">
        <v>0</v>
      </c>
      <c r="I61" s="34">
        <f t="shared" ref="I61" si="60">H61*F61</f>
        <v>0</v>
      </c>
      <c r="J61" s="34">
        <v>0</v>
      </c>
      <c r="K61" s="34">
        <f t="shared" ref="K61" si="61">J61*F61</f>
        <v>0</v>
      </c>
      <c r="L61" s="34">
        <v>0</v>
      </c>
      <c r="M61" s="34">
        <f t="shared" ref="M61" si="62">L61*F61</f>
        <v>0</v>
      </c>
      <c r="N61" s="34">
        <v>0</v>
      </c>
      <c r="O61" s="34">
        <f t="shared" ref="O61" si="63">N61*F61</f>
        <v>0</v>
      </c>
      <c r="P61" s="34">
        <f t="shared" ref="P61" si="64">G61+I61+K61+M61+O61</f>
        <v>0</v>
      </c>
      <c r="Q61" s="34">
        <v>0</v>
      </c>
      <c r="R61" s="34">
        <f t="shared" ref="R61" si="65">SUM(P61:Q61)</f>
        <v>0</v>
      </c>
      <c r="S61" s="51"/>
      <c r="T61" s="52"/>
      <c r="U61" s="53"/>
      <c r="X61" s="54"/>
      <c r="Y61" s="34"/>
      <c r="Z61" s="34"/>
      <c r="AA61" s="34"/>
      <c r="AB61" s="34"/>
      <c r="AC61" s="34"/>
      <c r="AD61" s="54"/>
      <c r="AE61" s="34"/>
      <c r="AF61" s="54"/>
      <c r="AG61" s="54"/>
      <c r="AH61" s="54"/>
      <c r="AI61" s="55"/>
      <c r="AJ61" s="55"/>
    </row>
    <row r="62" spans="1:36">
      <c r="A62" s="21" t="s">
        <v>65</v>
      </c>
      <c r="B62" s="40"/>
      <c r="C62" s="56"/>
      <c r="D62" s="43"/>
      <c r="E62" s="43"/>
      <c r="F62" s="43"/>
      <c r="G62" s="43">
        <f>SUM(G59:G61)</f>
        <v>0</v>
      </c>
      <c r="H62" s="43"/>
      <c r="I62" s="43">
        <f>SUM(I59:I61)</f>
        <v>0</v>
      </c>
      <c r="J62" s="43"/>
      <c r="K62" s="43">
        <f>SUM(K59:K61)</f>
        <v>0</v>
      </c>
      <c r="L62" s="43"/>
      <c r="M62" s="43">
        <f>SUM(M59:M61)</f>
        <v>0</v>
      </c>
      <c r="N62" s="43"/>
      <c r="O62" s="43">
        <f>SUM(O59:O61)</f>
        <v>0</v>
      </c>
      <c r="P62" s="43">
        <f>SUM(P59:P61)</f>
        <v>0</v>
      </c>
      <c r="Q62" s="43">
        <f>SUM(Q59:Q61)</f>
        <v>0</v>
      </c>
      <c r="R62" s="43">
        <f>SUM(R59:R61)</f>
        <v>0</v>
      </c>
    </row>
    <row r="63" spans="1:36">
      <c r="F63" s="4"/>
      <c r="G63" s="4"/>
      <c r="I63" s="4"/>
      <c r="K63" s="4"/>
      <c r="M63" s="4"/>
      <c r="O63" s="4"/>
    </row>
    <row r="64" spans="1:36" ht="14.45" thickBot="1">
      <c r="A64" s="61" t="s">
        <v>66</v>
      </c>
      <c r="B64" s="61"/>
      <c r="C64" s="61"/>
      <c r="D64" s="62"/>
      <c r="E64" s="62"/>
      <c r="F64" s="63"/>
      <c r="G64" s="64">
        <f>G62+G42+G56+G48+G36+G25+G20</f>
        <v>0</v>
      </c>
      <c r="H64" s="64"/>
      <c r="I64" s="64">
        <f>I62+I42+I56+I48+I36+I25+I20</f>
        <v>0</v>
      </c>
      <c r="J64" s="64"/>
      <c r="K64" s="64">
        <f>K62+K42+K56+K48+K36+K25+K20</f>
        <v>0</v>
      </c>
      <c r="L64" s="64"/>
      <c r="M64" s="64">
        <f>M62+M42+M56+M48+M36+M25+M20</f>
        <v>0</v>
      </c>
      <c r="N64" s="64"/>
      <c r="O64" s="64">
        <f>O62+O42+O56+O48+O36+O25+O20</f>
        <v>0</v>
      </c>
      <c r="P64" s="64">
        <f>P62+P42+P56+P48+P36+P25+P20</f>
        <v>0</v>
      </c>
      <c r="Q64" s="64">
        <f>Q62+Q42+Q56+Q48+Q36+Q25+Q20</f>
        <v>0</v>
      </c>
      <c r="R64" s="64">
        <f>R62+R42+R56+R48+R36+R25+R20</f>
        <v>0</v>
      </c>
    </row>
    <row r="66" spans="1:23">
      <c r="A66" s="65" t="s">
        <v>67</v>
      </c>
      <c r="B66" s="66"/>
      <c r="C66" s="9" t="s">
        <v>68</v>
      </c>
      <c r="D66" s="67"/>
      <c r="E66" s="67"/>
      <c r="F66" s="46">
        <v>0</v>
      </c>
      <c r="G66" s="68">
        <f>$F$66*G64</f>
        <v>0</v>
      </c>
      <c r="H66" s="68"/>
      <c r="I66" s="68">
        <f>$F$66*I64</f>
        <v>0</v>
      </c>
      <c r="J66" s="68"/>
      <c r="K66" s="68">
        <f>$F$66*K64</f>
        <v>0</v>
      </c>
      <c r="L66" s="54"/>
      <c r="M66" s="68">
        <f>$F$66*M64</f>
        <v>0</v>
      </c>
      <c r="N66" s="54"/>
      <c r="O66" s="68">
        <f>$F$66*O64</f>
        <v>0</v>
      </c>
      <c r="P66" s="68">
        <f>O66+M66+K66+I66+G66</f>
        <v>0</v>
      </c>
      <c r="Q66" s="68">
        <v>0</v>
      </c>
      <c r="R66" s="68">
        <f>SUM(P66:Q66)</f>
        <v>0</v>
      </c>
    </row>
    <row r="67" spans="1:23">
      <c r="A67" s="31"/>
      <c r="B67" s="32"/>
      <c r="C67" s="31"/>
      <c r="D67" s="48"/>
      <c r="E67" s="9"/>
      <c r="F67" s="58"/>
      <c r="H67" s="54"/>
      <c r="J67" s="54"/>
      <c r="L67" s="54"/>
      <c r="N67" s="54"/>
      <c r="P67" s="54"/>
      <c r="Q67" s="54"/>
      <c r="R67" s="54"/>
    </row>
    <row r="68" spans="1:23" ht="14.45" thickBot="1">
      <c r="A68" s="69" t="s">
        <v>69</v>
      </c>
      <c r="B68" s="70"/>
      <c r="C68" s="69"/>
      <c r="D68" s="69"/>
      <c r="E68" s="69"/>
      <c r="F68" s="69"/>
      <c r="G68" s="71">
        <f>G66+G64</f>
        <v>0</v>
      </c>
      <c r="H68" s="69"/>
      <c r="I68" s="71">
        <f>I66+I64</f>
        <v>0</v>
      </c>
      <c r="J68" s="69"/>
      <c r="K68" s="71">
        <f>K66+K64</f>
        <v>0</v>
      </c>
      <c r="L68" s="69"/>
      <c r="M68" s="71">
        <f>M66+M64</f>
        <v>0</v>
      </c>
      <c r="N68" s="69"/>
      <c r="O68" s="71">
        <f>O66+O64</f>
        <v>0</v>
      </c>
      <c r="P68" s="71">
        <f>P66+P64</f>
        <v>0</v>
      </c>
      <c r="Q68" s="71">
        <f>Q66+Q64</f>
        <v>0</v>
      </c>
      <c r="R68" s="71">
        <f>R66+R64</f>
        <v>0</v>
      </c>
    </row>
    <row r="69" spans="1:23">
      <c r="F69" s="4"/>
      <c r="G69" s="4"/>
      <c r="I69" s="4"/>
      <c r="K69" s="4"/>
      <c r="M69" s="4"/>
      <c r="O69" s="4"/>
    </row>
    <row r="70" spans="1:23">
      <c r="A70" s="14" t="s">
        <v>20</v>
      </c>
      <c r="B70" s="15"/>
      <c r="C70" s="14"/>
      <c r="D70" s="16"/>
      <c r="E70" s="16"/>
      <c r="F70" s="17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9"/>
      <c r="T70" s="19"/>
      <c r="U70" s="20"/>
    </row>
    <row r="71" spans="1:23">
      <c r="A71" s="21" t="s">
        <v>21</v>
      </c>
      <c r="B71" s="22"/>
      <c r="C71" s="21"/>
      <c r="D71" s="21"/>
      <c r="E71" s="21"/>
      <c r="F71" s="23"/>
      <c r="G71" s="23"/>
      <c r="H71" s="21"/>
      <c r="I71" s="23"/>
      <c r="J71" s="21"/>
      <c r="K71" s="23"/>
      <c r="L71" s="21"/>
      <c r="M71" s="23"/>
      <c r="N71" s="21"/>
      <c r="O71" s="23"/>
      <c r="P71" s="21"/>
      <c r="Q71" s="21"/>
      <c r="R71" s="21"/>
      <c r="S71" s="19"/>
      <c r="T71" s="19"/>
      <c r="U71" s="20"/>
    </row>
    <row r="72" spans="1:23">
      <c r="A72" s="24" t="s">
        <v>22</v>
      </c>
      <c r="B72" s="25"/>
      <c r="C72" s="24"/>
      <c r="D72" s="26"/>
      <c r="E72" s="27"/>
      <c r="F72" s="28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30"/>
    </row>
    <row r="73" spans="1:23">
      <c r="A73" s="31" t="s">
        <v>23</v>
      </c>
      <c r="B73" s="32">
        <v>0</v>
      </c>
      <c r="C73" s="31" t="s">
        <v>24</v>
      </c>
      <c r="D73" s="33" t="s">
        <v>25</v>
      </c>
      <c r="E73" s="34">
        <v>0</v>
      </c>
      <c r="F73" s="29">
        <v>0</v>
      </c>
      <c r="G73" s="29">
        <f>E73*F73*B73</f>
        <v>0</v>
      </c>
      <c r="H73" s="34">
        <v>0</v>
      </c>
      <c r="I73" s="34">
        <f>H73*F73*$B$6*B73</f>
        <v>0</v>
      </c>
      <c r="J73" s="34">
        <v>0</v>
      </c>
      <c r="K73" s="34">
        <f>F73*J73*$B$6*$B$6*B73</f>
        <v>0</v>
      </c>
      <c r="L73" s="34">
        <v>0</v>
      </c>
      <c r="M73" s="34">
        <f>F73*L73*B73*$B$6*$B$6*$B$6</f>
        <v>0</v>
      </c>
      <c r="N73" s="34">
        <v>0</v>
      </c>
      <c r="O73" s="34">
        <f>N73*F73*B73*$B$6*$B$6*$B$6*$B$6</f>
        <v>0</v>
      </c>
      <c r="P73" s="34">
        <f t="shared" ref="P73:P76" si="66">SUM(G73+I73+K73+M73+O73)</f>
        <v>0</v>
      </c>
      <c r="Q73" s="34">
        <v>0</v>
      </c>
      <c r="R73" s="34">
        <f t="shared" ref="R73:R76" si="67">SUM(P73:Q73)</f>
        <v>0</v>
      </c>
    </row>
    <row r="74" spans="1:23">
      <c r="A74" s="31" t="s">
        <v>23</v>
      </c>
      <c r="B74" s="32">
        <v>0</v>
      </c>
      <c r="C74" s="31" t="s">
        <v>24</v>
      </c>
      <c r="D74" s="33" t="s">
        <v>25</v>
      </c>
      <c r="E74" s="34">
        <v>0</v>
      </c>
      <c r="F74" s="29">
        <v>0</v>
      </c>
      <c r="G74" s="29">
        <f t="shared" ref="G74:G76" si="68">E74*F74*B74</f>
        <v>0</v>
      </c>
      <c r="H74" s="34">
        <v>0</v>
      </c>
      <c r="I74" s="34">
        <f t="shared" ref="I74:I80" si="69">H74*F74*$B$6*B74</f>
        <v>0</v>
      </c>
      <c r="J74" s="34">
        <v>0</v>
      </c>
      <c r="K74" s="34">
        <f t="shared" ref="K74:K80" si="70">F74*J74*$B$6*$B$6*B74</f>
        <v>0</v>
      </c>
      <c r="L74" s="34">
        <v>0</v>
      </c>
      <c r="M74" s="34">
        <f t="shared" ref="M74:M80" si="71">F74*L74*B74*$B$6*$B$6*$B$6</f>
        <v>0</v>
      </c>
      <c r="N74" s="34">
        <v>0</v>
      </c>
      <c r="O74" s="34">
        <f t="shared" ref="O74:O80" si="72">N74*F74*B74*$B$6*$B$6*$B$6*$B$6</f>
        <v>0</v>
      </c>
      <c r="P74" s="34">
        <f t="shared" si="66"/>
        <v>0</v>
      </c>
      <c r="Q74" s="34">
        <v>0</v>
      </c>
      <c r="R74" s="34">
        <f t="shared" si="67"/>
        <v>0</v>
      </c>
    </row>
    <row r="75" spans="1:23">
      <c r="A75" s="31" t="s">
        <v>23</v>
      </c>
      <c r="B75" s="32">
        <v>0</v>
      </c>
      <c r="C75" s="31" t="s">
        <v>24</v>
      </c>
      <c r="D75" s="33" t="s">
        <v>25</v>
      </c>
      <c r="E75" s="34">
        <v>0</v>
      </c>
      <c r="F75" s="29">
        <v>0</v>
      </c>
      <c r="G75" s="29">
        <f t="shared" si="68"/>
        <v>0</v>
      </c>
      <c r="H75" s="34">
        <v>0</v>
      </c>
      <c r="I75" s="34">
        <f t="shared" si="69"/>
        <v>0</v>
      </c>
      <c r="J75" s="34">
        <v>0</v>
      </c>
      <c r="K75" s="34">
        <f t="shared" si="70"/>
        <v>0</v>
      </c>
      <c r="L75" s="34">
        <v>0</v>
      </c>
      <c r="M75" s="34">
        <f t="shared" si="71"/>
        <v>0</v>
      </c>
      <c r="N75" s="34">
        <v>0</v>
      </c>
      <c r="O75" s="34">
        <f t="shared" si="72"/>
        <v>0</v>
      </c>
      <c r="P75" s="34">
        <f t="shared" si="66"/>
        <v>0</v>
      </c>
      <c r="Q75" s="34">
        <v>0</v>
      </c>
      <c r="R75" s="34">
        <f t="shared" si="67"/>
        <v>0</v>
      </c>
    </row>
    <row r="76" spans="1:23">
      <c r="A76" s="31" t="s">
        <v>23</v>
      </c>
      <c r="B76" s="32">
        <v>0</v>
      </c>
      <c r="C76" s="31" t="s">
        <v>24</v>
      </c>
      <c r="D76" s="33" t="s">
        <v>25</v>
      </c>
      <c r="E76" s="34">
        <v>0</v>
      </c>
      <c r="F76" s="29">
        <v>0</v>
      </c>
      <c r="G76" s="29">
        <f t="shared" si="68"/>
        <v>0</v>
      </c>
      <c r="H76" s="34">
        <v>0</v>
      </c>
      <c r="I76" s="34">
        <f t="shared" si="69"/>
        <v>0</v>
      </c>
      <c r="J76" s="34">
        <v>0</v>
      </c>
      <c r="K76" s="34">
        <f t="shared" si="70"/>
        <v>0</v>
      </c>
      <c r="L76" s="34">
        <v>0</v>
      </c>
      <c r="M76" s="34">
        <f t="shared" si="71"/>
        <v>0</v>
      </c>
      <c r="N76" s="34">
        <v>0</v>
      </c>
      <c r="O76" s="34">
        <f t="shared" si="72"/>
        <v>0</v>
      </c>
      <c r="P76" s="34">
        <f t="shared" si="66"/>
        <v>0</v>
      </c>
      <c r="Q76" s="34">
        <v>0</v>
      </c>
      <c r="R76" s="34">
        <f t="shared" si="67"/>
        <v>0</v>
      </c>
    </row>
    <row r="77" spans="1:23">
      <c r="A77" s="31" t="s">
        <v>23</v>
      </c>
      <c r="B77" s="32">
        <v>0</v>
      </c>
      <c r="C77" s="31" t="s">
        <v>24</v>
      </c>
      <c r="D77" s="33" t="s">
        <v>25</v>
      </c>
      <c r="E77" s="34">
        <v>0</v>
      </c>
      <c r="F77" s="29">
        <v>0</v>
      </c>
      <c r="G77" s="29">
        <f>E77*F77*B77</f>
        <v>0</v>
      </c>
      <c r="H77" s="34">
        <v>0</v>
      </c>
      <c r="I77" s="34">
        <f t="shared" si="69"/>
        <v>0</v>
      </c>
      <c r="J77" s="34">
        <v>0</v>
      </c>
      <c r="K77" s="34">
        <f t="shared" si="70"/>
        <v>0</v>
      </c>
      <c r="L77" s="34">
        <v>0</v>
      </c>
      <c r="M77" s="34">
        <f t="shared" si="71"/>
        <v>0</v>
      </c>
      <c r="N77" s="34">
        <v>0</v>
      </c>
      <c r="O77" s="34">
        <f t="shared" si="72"/>
        <v>0</v>
      </c>
      <c r="P77" s="34">
        <f>SUM(G77+I77+K77+M77+O77)</f>
        <v>0</v>
      </c>
      <c r="Q77" s="34">
        <v>0</v>
      </c>
      <c r="R77" s="34">
        <f>SUM(P77:Q77)</f>
        <v>0</v>
      </c>
      <c r="S77" s="35"/>
      <c r="T77" s="36"/>
      <c r="U77" s="36"/>
      <c r="V77" s="35"/>
      <c r="W77" s="35"/>
    </row>
    <row r="78" spans="1:23">
      <c r="A78" s="31" t="s">
        <v>23</v>
      </c>
      <c r="B78" s="32">
        <v>0</v>
      </c>
      <c r="C78" s="31" t="s">
        <v>24</v>
      </c>
      <c r="D78" s="33" t="s">
        <v>25</v>
      </c>
      <c r="E78" s="34">
        <v>0</v>
      </c>
      <c r="F78" s="29">
        <v>0</v>
      </c>
      <c r="G78" s="29">
        <f>E78*F78*B78</f>
        <v>0</v>
      </c>
      <c r="H78" s="34">
        <v>0</v>
      </c>
      <c r="I78" s="34">
        <f t="shared" si="69"/>
        <v>0</v>
      </c>
      <c r="J78" s="34">
        <v>0</v>
      </c>
      <c r="K78" s="34">
        <f t="shared" si="70"/>
        <v>0</v>
      </c>
      <c r="L78" s="34">
        <v>0</v>
      </c>
      <c r="M78" s="34">
        <f t="shared" si="71"/>
        <v>0</v>
      </c>
      <c r="N78" s="34">
        <v>0</v>
      </c>
      <c r="O78" s="34">
        <f t="shared" si="72"/>
        <v>0</v>
      </c>
      <c r="P78" s="34">
        <f>SUM(G78+I78+K78+M78+O78)</f>
        <v>0</v>
      </c>
      <c r="Q78" s="34">
        <v>0</v>
      </c>
      <c r="R78" s="34">
        <f>SUM(P78:Q78)</f>
        <v>0</v>
      </c>
      <c r="S78" s="37"/>
      <c r="T78" s="38"/>
      <c r="U78" s="35"/>
    </row>
    <row r="79" spans="1:23">
      <c r="A79" s="24" t="s">
        <v>26</v>
      </c>
      <c r="B79" s="25"/>
      <c r="C79" s="31"/>
      <c r="D79" s="33"/>
      <c r="E79" s="34"/>
      <c r="F79" s="29"/>
      <c r="G79" s="29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9"/>
      <c r="T79" s="35"/>
      <c r="U79" s="35"/>
    </row>
    <row r="80" spans="1:23">
      <c r="A80" s="31" t="s">
        <v>27</v>
      </c>
      <c r="B80" s="32">
        <v>0</v>
      </c>
      <c r="C80" s="31" t="s">
        <v>24</v>
      </c>
      <c r="D80" s="33" t="s">
        <v>25</v>
      </c>
      <c r="E80" s="34">
        <v>0</v>
      </c>
      <c r="F80" s="29">
        <v>0</v>
      </c>
      <c r="G80" s="29">
        <f>E80*F80*B80</f>
        <v>0</v>
      </c>
      <c r="H80" s="34">
        <v>0</v>
      </c>
      <c r="I80" s="34">
        <f t="shared" ref="I80:I86" si="73">H80*F80*$B$6*B80</f>
        <v>0</v>
      </c>
      <c r="J80" s="34">
        <v>0</v>
      </c>
      <c r="K80" s="34">
        <f t="shared" ref="K80:K86" si="74">F80*J80*$B$6*$B$6*B80</f>
        <v>0</v>
      </c>
      <c r="L80" s="34">
        <v>0</v>
      </c>
      <c r="M80" s="34">
        <f t="shared" ref="M80:M86" si="75">F80*L80*B80*$B$6*$B$6*$B$6</f>
        <v>0</v>
      </c>
      <c r="N80" s="34">
        <v>0</v>
      </c>
      <c r="O80" s="34">
        <f t="shared" ref="O80:O86" si="76">N80*F80*B80*$B$6*$B$6*$B$6*$B$6</f>
        <v>0</v>
      </c>
      <c r="P80" s="34">
        <f>SUM(G80+I80+K80+M80+O80)</f>
        <v>0</v>
      </c>
      <c r="Q80" s="34">
        <v>0</v>
      </c>
      <c r="R80" s="34">
        <f>SUM(P80:Q80)</f>
        <v>0</v>
      </c>
      <c r="S80" s="35"/>
      <c r="T80" s="35"/>
      <c r="U80" s="38"/>
    </row>
    <row r="81" spans="1:22">
      <c r="A81" s="21" t="s">
        <v>28</v>
      </c>
      <c r="B81" s="40"/>
      <c r="C81" s="41"/>
      <c r="D81" s="42"/>
      <c r="E81" s="42"/>
      <c r="F81" s="43"/>
      <c r="G81" s="43">
        <f>SUM(G73:G80)</f>
        <v>0</v>
      </c>
      <c r="H81" s="43"/>
      <c r="I81" s="43">
        <f>SUM(I73:I80)</f>
        <v>0</v>
      </c>
      <c r="J81" s="43"/>
      <c r="K81" s="43">
        <f>SUM(K73:K80)</f>
        <v>0</v>
      </c>
      <c r="L81" s="43"/>
      <c r="M81" s="43">
        <f>SUM(M73:M80)</f>
        <v>0</v>
      </c>
      <c r="N81" s="43"/>
      <c r="O81" s="43">
        <f>SUM(O73:O80)</f>
        <v>0</v>
      </c>
      <c r="P81" s="43">
        <f>SUM(P73:P80)</f>
        <v>0</v>
      </c>
      <c r="Q81" s="43">
        <f>SUM(Q73:Q80)</f>
        <v>0</v>
      </c>
      <c r="R81" s="43">
        <f>SUM(R73:R80)</f>
        <v>0</v>
      </c>
    </row>
    <row r="83" spans="1:22">
      <c r="A83" s="21" t="s">
        <v>29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</row>
    <row r="84" spans="1:22">
      <c r="A84" s="9" t="s">
        <v>30</v>
      </c>
      <c r="B84" s="44"/>
      <c r="C84" s="45" t="s">
        <v>31</v>
      </c>
      <c r="D84" s="34"/>
      <c r="E84" s="46">
        <v>0</v>
      </c>
      <c r="F84" s="34">
        <f>SUM(F73:F78)*$E$23</f>
        <v>0</v>
      </c>
      <c r="G84" s="34">
        <f>SUM(G73:G78)*$E$23</f>
        <v>0</v>
      </c>
      <c r="H84" s="34"/>
      <c r="I84" s="34">
        <f>SUM(I73:I78)*$E$23</f>
        <v>0</v>
      </c>
      <c r="J84" s="44"/>
      <c r="K84" s="34"/>
      <c r="L84" s="34">
        <f>SUM(L73:L78)*$E$23</f>
        <v>0</v>
      </c>
      <c r="M84" s="44"/>
      <c r="N84" s="34"/>
      <c r="O84" s="34">
        <f>SUM(O73:O78)*$E$23</f>
        <v>0</v>
      </c>
      <c r="P84" s="34">
        <f>SUM(G84+I84+K84+M84+O84)</f>
        <v>0</v>
      </c>
      <c r="Q84" s="34">
        <v>0</v>
      </c>
      <c r="R84" s="34">
        <f>SUM(P84:Q84)</f>
        <v>0</v>
      </c>
      <c r="S84" s="34"/>
      <c r="T84" s="47"/>
      <c r="U84" s="34"/>
      <c r="V84" s="34"/>
    </row>
    <row r="85" spans="1:22">
      <c r="A85" s="9" t="s">
        <v>32</v>
      </c>
      <c r="B85" s="44"/>
      <c r="C85" s="45" t="s">
        <v>31</v>
      </c>
      <c r="D85" s="34"/>
      <c r="E85" s="46">
        <v>0</v>
      </c>
      <c r="F85" s="34">
        <f>F80*$E$24</f>
        <v>0</v>
      </c>
      <c r="G85" s="34">
        <f>G80*$E$24</f>
        <v>0</v>
      </c>
      <c r="H85" s="34"/>
      <c r="I85" s="34">
        <f>I80*$E$24</f>
        <v>0</v>
      </c>
      <c r="J85" s="44"/>
      <c r="K85" s="34"/>
      <c r="L85" s="34">
        <f>L80*$E$24</f>
        <v>0</v>
      </c>
      <c r="M85" s="44"/>
      <c r="N85" s="34"/>
      <c r="O85" s="34">
        <f>O80*$E$24</f>
        <v>0</v>
      </c>
      <c r="P85" s="34">
        <f>SUM(G85+I85+K85+M85+O85)</f>
        <v>0</v>
      </c>
      <c r="Q85" s="34">
        <v>0</v>
      </c>
      <c r="R85" s="34">
        <f>SUM(P85:Q85)</f>
        <v>0</v>
      </c>
      <c r="S85" s="34"/>
      <c r="T85" s="47"/>
      <c r="U85" s="34"/>
      <c r="V85" s="34"/>
    </row>
    <row r="86" spans="1:22">
      <c r="A86" s="21" t="s">
        <v>33</v>
      </c>
      <c r="B86" s="40"/>
      <c r="C86" s="41"/>
      <c r="D86" s="42"/>
      <c r="E86" s="42"/>
      <c r="F86" s="43"/>
      <c r="G86" s="43">
        <f>SUM(G84:G85)</f>
        <v>0</v>
      </c>
      <c r="H86" s="43"/>
      <c r="I86" s="43">
        <f>SUM(I84:I85)</f>
        <v>0</v>
      </c>
      <c r="J86" s="43"/>
      <c r="K86" s="43">
        <f>SUM(K84:K85)</f>
        <v>0</v>
      </c>
      <c r="L86" s="43"/>
      <c r="M86" s="43">
        <f>SUM(M84:M85)</f>
        <v>0</v>
      </c>
      <c r="N86" s="43"/>
      <c r="O86" s="43">
        <f>SUM(O84:O85)</f>
        <v>0</v>
      </c>
      <c r="P86" s="43">
        <f>SUM(P84:P85)</f>
        <v>0</v>
      </c>
      <c r="Q86" s="43">
        <f>SUM(Q84:Q85)</f>
        <v>0</v>
      </c>
      <c r="R86" s="43">
        <f>SUM(R84:R85)</f>
        <v>0</v>
      </c>
    </row>
    <row r="88" spans="1:22">
      <c r="A88" s="21" t="s">
        <v>34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</row>
    <row r="89" spans="1:22">
      <c r="A89" s="31" t="s">
        <v>35</v>
      </c>
      <c r="B89" s="9"/>
      <c r="C89" s="9" t="s">
        <v>36</v>
      </c>
      <c r="D89" s="48" t="s">
        <v>25</v>
      </c>
      <c r="E89" s="34">
        <v>0</v>
      </c>
      <c r="F89" s="34">
        <v>0</v>
      </c>
      <c r="G89" s="34">
        <f t="shared" ref="G89:G96" si="77">E89*F89</f>
        <v>0</v>
      </c>
      <c r="H89" s="34">
        <v>0</v>
      </c>
      <c r="I89" s="34">
        <f>H89*F89</f>
        <v>0</v>
      </c>
      <c r="J89" s="34">
        <v>0</v>
      </c>
      <c r="K89" s="34">
        <f>J89*F89</f>
        <v>0</v>
      </c>
      <c r="L89" s="34">
        <v>0</v>
      </c>
      <c r="M89" s="34">
        <f>L89*F89</f>
        <v>0</v>
      </c>
      <c r="N89" s="34">
        <v>0</v>
      </c>
      <c r="O89" s="34">
        <f>N89*F89</f>
        <v>0</v>
      </c>
      <c r="P89" s="34">
        <f>G89+I89+K89+M89+O89</f>
        <v>0</v>
      </c>
      <c r="Q89" s="34" t="s">
        <v>37</v>
      </c>
      <c r="R89" s="34">
        <f t="shared" ref="R89:R96" si="78">SUM(P89:Q89)</f>
        <v>0</v>
      </c>
      <c r="T89" s="30"/>
    </row>
    <row r="90" spans="1:22">
      <c r="A90" s="9" t="s">
        <v>38</v>
      </c>
      <c r="B90" s="9"/>
      <c r="C90" s="9" t="s">
        <v>36</v>
      </c>
      <c r="D90" s="48" t="s">
        <v>39</v>
      </c>
      <c r="E90" s="34">
        <v>0</v>
      </c>
      <c r="F90" s="34">
        <v>0</v>
      </c>
      <c r="G90" s="34">
        <f t="shared" si="77"/>
        <v>0</v>
      </c>
      <c r="H90" s="34">
        <v>0</v>
      </c>
      <c r="I90" s="34">
        <f>H90*F90</f>
        <v>0</v>
      </c>
      <c r="J90" s="34">
        <v>0</v>
      </c>
      <c r="K90" s="34">
        <f t="shared" ref="K90:K92" si="79">J90*F90</f>
        <v>0</v>
      </c>
      <c r="L90" s="34">
        <v>0</v>
      </c>
      <c r="M90" s="34">
        <f t="shared" ref="M90:M92" si="80">L90*F90</f>
        <v>0</v>
      </c>
      <c r="N90" s="34">
        <v>0</v>
      </c>
      <c r="O90" s="34">
        <f t="shared" ref="O90:O92" si="81">N90*F90</f>
        <v>0</v>
      </c>
      <c r="P90" s="34">
        <f t="shared" ref="P90" si="82">G90+I90+K90+M90+O90</f>
        <v>0</v>
      </c>
      <c r="Q90" s="34" t="s">
        <v>37</v>
      </c>
      <c r="R90" s="34">
        <f t="shared" si="78"/>
        <v>0</v>
      </c>
      <c r="T90" s="30"/>
    </row>
    <row r="91" spans="1:22">
      <c r="A91" s="31" t="s">
        <v>40</v>
      </c>
      <c r="B91" s="9"/>
      <c r="C91" s="9" t="s">
        <v>36</v>
      </c>
      <c r="D91" s="48" t="s">
        <v>41</v>
      </c>
      <c r="E91" s="34">
        <v>0</v>
      </c>
      <c r="F91" s="34">
        <v>0</v>
      </c>
      <c r="G91" s="34">
        <f t="shared" si="77"/>
        <v>0</v>
      </c>
      <c r="H91" s="34">
        <v>0</v>
      </c>
      <c r="I91" s="34">
        <f>H91*F91</f>
        <v>0</v>
      </c>
      <c r="J91" s="34">
        <v>0</v>
      </c>
      <c r="K91" s="34">
        <f t="shared" si="79"/>
        <v>0</v>
      </c>
      <c r="L91" s="34">
        <v>0</v>
      </c>
      <c r="M91" s="34">
        <f t="shared" si="80"/>
        <v>0</v>
      </c>
      <c r="N91" s="34">
        <v>0</v>
      </c>
      <c r="O91" s="34">
        <f t="shared" si="81"/>
        <v>0</v>
      </c>
      <c r="P91" s="34">
        <f>G91+I91+K91+M91+O91</f>
        <v>0</v>
      </c>
      <c r="Q91" s="34" t="s">
        <v>37</v>
      </c>
      <c r="R91" s="34">
        <f t="shared" si="78"/>
        <v>0</v>
      </c>
      <c r="T91" s="30"/>
    </row>
    <row r="92" spans="1:22">
      <c r="A92" s="31" t="s">
        <v>42</v>
      </c>
      <c r="B92" s="9"/>
      <c r="C92" s="9" t="s">
        <v>36</v>
      </c>
      <c r="D92" s="48" t="s">
        <v>41</v>
      </c>
      <c r="E92" s="34">
        <v>0</v>
      </c>
      <c r="F92" s="34">
        <v>0</v>
      </c>
      <c r="G92" s="34">
        <f t="shared" si="77"/>
        <v>0</v>
      </c>
      <c r="H92" s="34">
        <v>0</v>
      </c>
      <c r="I92" s="34">
        <f t="shared" ref="I92" si="83">H92*F92</f>
        <v>0</v>
      </c>
      <c r="J92" s="34">
        <v>0</v>
      </c>
      <c r="K92" s="34">
        <f t="shared" si="79"/>
        <v>0</v>
      </c>
      <c r="L92" s="34">
        <v>0</v>
      </c>
      <c r="M92" s="34">
        <f t="shared" si="80"/>
        <v>0</v>
      </c>
      <c r="N92" s="34">
        <v>0</v>
      </c>
      <c r="O92" s="34">
        <f t="shared" si="81"/>
        <v>0</v>
      </c>
      <c r="P92" s="34">
        <f>G92+I92+K92+M92+O92</f>
        <v>0</v>
      </c>
      <c r="Q92" s="34" t="s">
        <v>37</v>
      </c>
      <c r="R92" s="34">
        <f t="shared" si="78"/>
        <v>0</v>
      </c>
      <c r="T92" s="30"/>
    </row>
    <row r="93" spans="1:22">
      <c r="A93" s="31" t="s">
        <v>35</v>
      </c>
      <c r="B93" s="9"/>
      <c r="C93" s="9" t="s">
        <v>36</v>
      </c>
      <c r="D93" s="48" t="s">
        <v>25</v>
      </c>
      <c r="E93" s="34">
        <v>0</v>
      </c>
      <c r="F93" s="34">
        <v>0</v>
      </c>
      <c r="G93" s="34">
        <f t="shared" si="77"/>
        <v>0</v>
      </c>
      <c r="H93" s="34">
        <v>0</v>
      </c>
      <c r="I93" s="34">
        <f>H93*F93</f>
        <v>0</v>
      </c>
      <c r="J93" s="34">
        <v>0</v>
      </c>
      <c r="K93" s="34">
        <f>J93*F93</f>
        <v>0</v>
      </c>
      <c r="L93" s="34">
        <v>0</v>
      </c>
      <c r="M93" s="34">
        <f>L93*F93</f>
        <v>0</v>
      </c>
      <c r="N93" s="34">
        <v>0</v>
      </c>
      <c r="O93" s="34">
        <f>N93*F93</f>
        <v>0</v>
      </c>
      <c r="P93" s="34">
        <f>G93+I93+K93+M93+O93</f>
        <v>0</v>
      </c>
      <c r="Q93" s="34" t="s">
        <v>37</v>
      </c>
      <c r="R93" s="34">
        <f t="shared" si="78"/>
        <v>0</v>
      </c>
      <c r="T93" s="30"/>
    </row>
    <row r="94" spans="1:22">
      <c r="A94" s="9" t="s">
        <v>38</v>
      </c>
      <c r="B94" s="9"/>
      <c r="C94" s="9" t="s">
        <v>36</v>
      </c>
      <c r="D94" s="48" t="s">
        <v>39</v>
      </c>
      <c r="E94" s="34">
        <v>0</v>
      </c>
      <c r="F94" s="34">
        <v>0</v>
      </c>
      <c r="G94" s="34">
        <f t="shared" si="77"/>
        <v>0</v>
      </c>
      <c r="H94" s="34">
        <v>0</v>
      </c>
      <c r="I94" s="34">
        <f>H94*F94</f>
        <v>0</v>
      </c>
      <c r="J94" s="34">
        <v>0</v>
      </c>
      <c r="K94" s="34">
        <f t="shared" ref="K94:K96" si="84">J94*F94</f>
        <v>0</v>
      </c>
      <c r="L94" s="34">
        <v>0</v>
      </c>
      <c r="M94" s="34">
        <f t="shared" ref="M94:M96" si="85">L94*F94</f>
        <v>0</v>
      </c>
      <c r="N94" s="34">
        <v>0</v>
      </c>
      <c r="O94" s="34">
        <f t="shared" ref="O94:O96" si="86">N94*F94</f>
        <v>0</v>
      </c>
      <c r="P94" s="34">
        <f t="shared" ref="P94" si="87">G94+I94+K94+M94+O94</f>
        <v>0</v>
      </c>
      <c r="Q94" s="34" t="s">
        <v>37</v>
      </c>
      <c r="R94" s="34">
        <f t="shared" si="78"/>
        <v>0</v>
      </c>
      <c r="T94" s="30"/>
    </row>
    <row r="95" spans="1:22">
      <c r="A95" s="31" t="s">
        <v>40</v>
      </c>
      <c r="B95" s="9"/>
      <c r="C95" s="9" t="s">
        <v>36</v>
      </c>
      <c r="D95" s="48" t="s">
        <v>41</v>
      </c>
      <c r="E95" s="34">
        <v>0</v>
      </c>
      <c r="F95" s="34">
        <v>0</v>
      </c>
      <c r="G95" s="34">
        <f t="shared" si="77"/>
        <v>0</v>
      </c>
      <c r="H95" s="34">
        <v>0</v>
      </c>
      <c r="I95" s="34">
        <f>H95*F95</f>
        <v>0</v>
      </c>
      <c r="J95" s="34">
        <v>0</v>
      </c>
      <c r="K95" s="34">
        <f t="shared" si="84"/>
        <v>0</v>
      </c>
      <c r="L95" s="34">
        <v>0</v>
      </c>
      <c r="M95" s="34">
        <f t="shared" si="85"/>
        <v>0</v>
      </c>
      <c r="N95" s="34">
        <v>0</v>
      </c>
      <c r="O95" s="34">
        <f t="shared" si="86"/>
        <v>0</v>
      </c>
      <c r="P95" s="34">
        <f>G95+I95+K95+M95+O95</f>
        <v>0</v>
      </c>
      <c r="Q95" s="34" t="s">
        <v>37</v>
      </c>
      <c r="R95" s="34">
        <f t="shared" si="78"/>
        <v>0</v>
      </c>
      <c r="T95" s="30"/>
    </row>
    <row r="96" spans="1:22">
      <c r="A96" s="31" t="s">
        <v>42</v>
      </c>
      <c r="B96" s="9"/>
      <c r="C96" s="9" t="s">
        <v>36</v>
      </c>
      <c r="D96" s="48" t="s">
        <v>41</v>
      </c>
      <c r="E96" s="34">
        <v>0</v>
      </c>
      <c r="F96" s="34">
        <v>0</v>
      </c>
      <c r="G96" s="34">
        <f t="shared" si="77"/>
        <v>0</v>
      </c>
      <c r="H96" s="34">
        <v>0</v>
      </c>
      <c r="I96" s="34">
        <f t="shared" ref="I96" si="88">H96*F96</f>
        <v>0</v>
      </c>
      <c r="J96" s="34">
        <v>0</v>
      </c>
      <c r="K96" s="34">
        <f t="shared" si="84"/>
        <v>0</v>
      </c>
      <c r="L96" s="34">
        <v>0</v>
      </c>
      <c r="M96" s="34">
        <f t="shared" si="85"/>
        <v>0</v>
      </c>
      <c r="N96" s="34">
        <v>0</v>
      </c>
      <c r="O96" s="34">
        <f t="shared" si="86"/>
        <v>0</v>
      </c>
      <c r="P96" s="34">
        <f>G96+I96+K96+M96+O96</f>
        <v>0</v>
      </c>
      <c r="Q96" s="34" t="s">
        <v>37</v>
      </c>
      <c r="R96" s="34">
        <f t="shared" si="78"/>
        <v>0</v>
      </c>
      <c r="T96" s="30"/>
    </row>
    <row r="97" spans="1:36">
      <c r="A97" s="21" t="s">
        <v>43</v>
      </c>
      <c r="B97" s="40"/>
      <c r="C97" s="41"/>
      <c r="D97" s="42"/>
      <c r="E97" s="42"/>
      <c r="F97" s="43"/>
      <c r="G97" s="43">
        <f>SUM(G89:G96)</f>
        <v>0</v>
      </c>
      <c r="H97" s="43"/>
      <c r="I97" s="43">
        <f>SUM(I89:I96)</f>
        <v>0</v>
      </c>
      <c r="J97" s="43"/>
      <c r="K97" s="43">
        <f>SUM(K89:K96)</f>
        <v>0</v>
      </c>
      <c r="L97" s="43"/>
      <c r="M97" s="43">
        <f>SUM(M89:M96)</f>
        <v>0</v>
      </c>
      <c r="N97" s="43"/>
      <c r="O97" s="43">
        <f>SUM(O89:O96)</f>
        <v>0</v>
      </c>
      <c r="P97" s="43">
        <f>SUM(P89:P96)</f>
        <v>0</v>
      </c>
      <c r="Q97" s="43">
        <f>SUM(Q89:Q96)</f>
        <v>0</v>
      </c>
      <c r="R97" s="43">
        <f>SUM(R89:R96)</f>
        <v>0</v>
      </c>
    </row>
    <row r="98" spans="1:36">
      <c r="A98" s="9"/>
      <c r="B98" s="9"/>
      <c r="C98" s="49"/>
      <c r="D98" s="48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T98" s="30"/>
    </row>
    <row r="99" spans="1:36">
      <c r="A99" s="21" t="s">
        <v>44</v>
      </c>
      <c r="B99" s="40"/>
      <c r="C99" s="41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</row>
    <row r="100" spans="1:36" ht="12" customHeight="1">
      <c r="A100" s="31" t="s">
        <v>45</v>
      </c>
      <c r="B100" s="31"/>
      <c r="C100" s="31" t="s">
        <v>46</v>
      </c>
      <c r="D100" s="48" t="s">
        <v>25</v>
      </c>
      <c r="E100" s="34">
        <v>0</v>
      </c>
      <c r="F100" s="34">
        <v>0</v>
      </c>
      <c r="G100" s="34">
        <f t="shared" ref="G100:G102" si="89">E100*F100</f>
        <v>0</v>
      </c>
      <c r="H100" s="34">
        <v>0</v>
      </c>
      <c r="I100" s="34">
        <f t="shared" ref="I100:I102" si="90">H100*F100</f>
        <v>0</v>
      </c>
      <c r="J100" s="34">
        <v>0</v>
      </c>
      <c r="K100" s="34">
        <f t="shared" ref="K100:K102" si="91">J100*F100</f>
        <v>0</v>
      </c>
      <c r="L100" s="34">
        <v>0</v>
      </c>
      <c r="M100" s="34">
        <f t="shared" ref="M100:M102" si="92">L100*F100</f>
        <v>0</v>
      </c>
      <c r="N100" s="34">
        <v>0</v>
      </c>
      <c r="O100" s="34">
        <f>N100*F100</f>
        <v>0</v>
      </c>
      <c r="P100" s="34">
        <f>G100+I100+K100+M100+O100</f>
        <v>0</v>
      </c>
      <c r="Q100" s="34">
        <v>0</v>
      </c>
      <c r="R100" s="34">
        <f t="shared" ref="R100:R102" si="93">SUM(P100:Q100)</f>
        <v>0</v>
      </c>
      <c r="S100" s="37"/>
    </row>
    <row r="101" spans="1:36">
      <c r="A101" s="31" t="s">
        <v>45</v>
      </c>
      <c r="B101" s="31"/>
      <c r="C101" s="31" t="s">
        <v>46</v>
      </c>
      <c r="D101" s="48" t="s">
        <v>25</v>
      </c>
      <c r="E101" s="34">
        <v>0</v>
      </c>
      <c r="F101" s="34">
        <v>0</v>
      </c>
      <c r="G101" s="34">
        <f t="shared" si="89"/>
        <v>0</v>
      </c>
      <c r="H101" s="34">
        <v>0</v>
      </c>
      <c r="I101" s="34">
        <f t="shared" si="90"/>
        <v>0</v>
      </c>
      <c r="J101" s="34">
        <v>0</v>
      </c>
      <c r="K101" s="34">
        <f t="shared" si="91"/>
        <v>0</v>
      </c>
      <c r="L101" s="34">
        <v>0</v>
      </c>
      <c r="M101" s="34">
        <f t="shared" si="92"/>
        <v>0</v>
      </c>
      <c r="N101" s="34">
        <v>0</v>
      </c>
      <c r="O101" s="34">
        <f t="shared" ref="O101:O102" si="94">N101*F101</f>
        <v>0</v>
      </c>
      <c r="P101" s="34">
        <f t="shared" ref="P101:P102" si="95">G101+I101+K101+M101+O101</f>
        <v>0</v>
      </c>
      <c r="Q101" s="34">
        <v>0</v>
      </c>
      <c r="R101" s="34">
        <f t="shared" si="93"/>
        <v>0</v>
      </c>
      <c r="S101" s="51"/>
      <c r="T101" s="52"/>
      <c r="U101" s="53"/>
      <c r="X101" s="54"/>
      <c r="Y101" s="34"/>
      <c r="Z101" s="34"/>
      <c r="AA101" s="34"/>
      <c r="AB101" s="34"/>
      <c r="AC101" s="34"/>
      <c r="AD101" s="54"/>
      <c r="AE101" s="34"/>
      <c r="AF101" s="54"/>
      <c r="AG101" s="54"/>
      <c r="AH101" s="54"/>
      <c r="AI101" s="55"/>
      <c r="AJ101" s="55"/>
    </row>
    <row r="102" spans="1:36">
      <c r="A102" s="31" t="s">
        <v>47</v>
      </c>
      <c r="B102" s="31"/>
      <c r="C102" s="31" t="s">
        <v>46</v>
      </c>
      <c r="D102" s="50" t="s">
        <v>48</v>
      </c>
      <c r="E102" s="34">
        <v>0</v>
      </c>
      <c r="F102" s="34">
        <v>0</v>
      </c>
      <c r="G102" s="34">
        <f t="shared" si="89"/>
        <v>0</v>
      </c>
      <c r="H102" s="34">
        <v>0</v>
      </c>
      <c r="I102" s="34">
        <f t="shared" si="90"/>
        <v>0</v>
      </c>
      <c r="J102" s="34">
        <v>0</v>
      </c>
      <c r="K102" s="34">
        <f t="shared" si="91"/>
        <v>0</v>
      </c>
      <c r="L102" s="34">
        <v>0</v>
      </c>
      <c r="M102" s="34">
        <f t="shared" si="92"/>
        <v>0</v>
      </c>
      <c r="N102" s="34">
        <v>0</v>
      </c>
      <c r="O102" s="34">
        <f t="shared" si="94"/>
        <v>0</v>
      </c>
      <c r="P102" s="34">
        <f t="shared" si="95"/>
        <v>0</v>
      </c>
      <c r="Q102" s="34">
        <v>0</v>
      </c>
      <c r="R102" s="34">
        <f t="shared" si="93"/>
        <v>0</v>
      </c>
      <c r="S102" s="51"/>
      <c r="T102" s="52"/>
      <c r="U102" s="53"/>
      <c r="X102" s="54"/>
      <c r="Y102" s="34"/>
      <c r="Z102" s="34"/>
      <c r="AA102" s="34"/>
      <c r="AB102" s="34"/>
      <c r="AC102" s="34"/>
      <c r="AD102" s="54"/>
      <c r="AE102" s="34"/>
      <c r="AF102" s="54"/>
      <c r="AG102" s="54"/>
      <c r="AH102" s="54"/>
      <c r="AI102" s="55"/>
      <c r="AJ102" s="55"/>
    </row>
    <row r="103" spans="1:36">
      <c r="A103" s="21" t="s">
        <v>49</v>
      </c>
      <c r="B103" s="40"/>
      <c r="C103" s="56"/>
      <c r="D103" s="43"/>
      <c r="E103" s="43"/>
      <c r="F103" s="43"/>
      <c r="G103" s="43">
        <f>SUM(G100:G102)</f>
        <v>0</v>
      </c>
      <c r="H103" s="43"/>
      <c r="I103" s="43">
        <f>SUM(I100:I102)</f>
        <v>0</v>
      </c>
      <c r="J103" s="43"/>
      <c r="K103" s="43">
        <f>SUM(K100:K102)</f>
        <v>0</v>
      </c>
      <c r="L103" s="43"/>
      <c r="M103" s="43">
        <f>SUM(M100:M102)</f>
        <v>0</v>
      </c>
      <c r="N103" s="43"/>
      <c r="O103" s="43">
        <f>SUM(O100:O102)</f>
        <v>0</v>
      </c>
      <c r="P103" s="43">
        <f>SUM(P100:P102)</f>
        <v>0</v>
      </c>
      <c r="Q103" s="43">
        <f>SUM(Q100:Q102)</f>
        <v>0</v>
      </c>
      <c r="R103" s="43">
        <f>SUM(R100:R102)</f>
        <v>0</v>
      </c>
    </row>
    <row r="104" spans="1:36">
      <c r="A104" s="9"/>
      <c r="B104" s="9"/>
      <c r="C104" s="49"/>
      <c r="D104" s="48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T104" s="30"/>
    </row>
    <row r="105" spans="1:36">
      <c r="A105" s="21" t="s">
        <v>50</v>
      </c>
      <c r="B105" s="40"/>
      <c r="C105" s="41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</row>
    <row r="106" spans="1:36" ht="12" customHeight="1">
      <c r="A106" s="31" t="s">
        <v>51</v>
      </c>
      <c r="B106" s="31"/>
      <c r="C106" s="31" t="s">
        <v>52</v>
      </c>
      <c r="D106" s="48" t="s">
        <v>25</v>
      </c>
      <c r="E106" s="34">
        <v>0</v>
      </c>
      <c r="F106" s="34">
        <v>0</v>
      </c>
      <c r="G106" s="34">
        <f t="shared" ref="G106:G108" si="96">E106*F106</f>
        <v>0</v>
      </c>
      <c r="H106" s="34">
        <v>0</v>
      </c>
      <c r="I106" s="34">
        <f t="shared" ref="I106:I108" si="97">H106*F106</f>
        <v>0</v>
      </c>
      <c r="J106" s="34">
        <v>0</v>
      </c>
      <c r="K106" s="34">
        <f t="shared" ref="K106:K108" si="98">J106*F106</f>
        <v>0</v>
      </c>
      <c r="L106" s="34">
        <v>0</v>
      </c>
      <c r="M106" s="34">
        <f t="shared" ref="M106:M108" si="99">L106*F106</f>
        <v>0</v>
      </c>
      <c r="N106" s="34">
        <v>0</v>
      </c>
      <c r="O106" s="34">
        <f>N106*F106</f>
        <v>0</v>
      </c>
      <c r="P106" s="34">
        <f>G106+I106+K106+M106+O106</f>
        <v>0</v>
      </c>
      <c r="Q106" s="34">
        <v>0</v>
      </c>
      <c r="R106" s="34">
        <f t="shared" ref="R106:R108" si="100">SUM(P106:Q106)</f>
        <v>0</v>
      </c>
      <c r="S106" s="37"/>
    </row>
    <row r="107" spans="1:36">
      <c r="A107" s="31" t="s">
        <v>47</v>
      </c>
      <c r="B107" s="31"/>
      <c r="C107" s="31" t="s">
        <v>53</v>
      </c>
      <c r="D107" s="50" t="s">
        <v>48</v>
      </c>
      <c r="E107" s="34">
        <v>0</v>
      </c>
      <c r="F107" s="34">
        <v>0</v>
      </c>
      <c r="G107" s="34">
        <f t="shared" si="96"/>
        <v>0</v>
      </c>
      <c r="H107" s="34">
        <v>0</v>
      </c>
      <c r="I107" s="34">
        <f t="shared" si="97"/>
        <v>0</v>
      </c>
      <c r="J107" s="34">
        <v>0</v>
      </c>
      <c r="K107" s="34">
        <f t="shared" si="98"/>
        <v>0</v>
      </c>
      <c r="L107" s="34">
        <v>0</v>
      </c>
      <c r="M107" s="34">
        <f t="shared" si="99"/>
        <v>0</v>
      </c>
      <c r="N107" s="34">
        <v>0</v>
      </c>
      <c r="O107" s="34">
        <f t="shared" ref="O107:O108" si="101">N107*F107</f>
        <v>0</v>
      </c>
      <c r="P107" s="34">
        <f t="shared" ref="P107:P108" si="102">G107+I107+K107+M107+O107</f>
        <v>0</v>
      </c>
      <c r="Q107" s="34">
        <v>0</v>
      </c>
      <c r="R107" s="34">
        <f t="shared" si="100"/>
        <v>0</v>
      </c>
      <c r="S107" s="51"/>
      <c r="T107" s="52"/>
      <c r="U107" s="53"/>
      <c r="X107" s="54"/>
      <c r="Y107" s="34"/>
      <c r="Z107" s="34"/>
      <c r="AA107" s="34"/>
      <c r="AB107" s="34"/>
      <c r="AC107" s="34"/>
      <c r="AD107" s="54"/>
      <c r="AE107" s="34"/>
      <c r="AF107" s="54"/>
      <c r="AG107" s="54"/>
      <c r="AH107" s="54"/>
      <c r="AI107" s="55"/>
      <c r="AJ107" s="55"/>
    </row>
    <row r="108" spans="1:36">
      <c r="A108" s="31" t="s">
        <v>47</v>
      </c>
      <c r="B108" s="31"/>
      <c r="C108" s="31" t="s">
        <v>53</v>
      </c>
      <c r="D108" s="50" t="s">
        <v>48</v>
      </c>
      <c r="E108" s="34">
        <v>0</v>
      </c>
      <c r="F108" s="34">
        <v>0</v>
      </c>
      <c r="G108" s="34">
        <f t="shared" si="96"/>
        <v>0</v>
      </c>
      <c r="H108" s="34">
        <v>0</v>
      </c>
      <c r="I108" s="34">
        <f t="shared" si="97"/>
        <v>0</v>
      </c>
      <c r="J108" s="34">
        <v>0</v>
      </c>
      <c r="K108" s="34">
        <f t="shared" si="98"/>
        <v>0</v>
      </c>
      <c r="L108" s="34">
        <v>0</v>
      </c>
      <c r="M108" s="34">
        <f t="shared" si="99"/>
        <v>0</v>
      </c>
      <c r="N108" s="34">
        <v>0</v>
      </c>
      <c r="O108" s="34">
        <f t="shared" si="101"/>
        <v>0</v>
      </c>
      <c r="P108" s="34">
        <f t="shared" si="102"/>
        <v>0</v>
      </c>
      <c r="Q108" s="34">
        <v>0</v>
      </c>
      <c r="R108" s="34">
        <f t="shared" si="100"/>
        <v>0</v>
      </c>
      <c r="S108" s="51"/>
      <c r="T108" s="52"/>
      <c r="U108" s="53"/>
      <c r="X108" s="54"/>
      <c r="Y108" s="34"/>
      <c r="Z108" s="34"/>
      <c r="AA108" s="34"/>
      <c r="AB108" s="34"/>
      <c r="AC108" s="34"/>
      <c r="AD108" s="54"/>
      <c r="AE108" s="34"/>
      <c r="AF108" s="54"/>
      <c r="AG108" s="54"/>
      <c r="AH108" s="54"/>
      <c r="AI108" s="55"/>
      <c r="AJ108" s="55"/>
    </row>
    <row r="109" spans="1:36">
      <c r="A109" s="21" t="s">
        <v>54</v>
      </c>
      <c r="B109" s="40"/>
      <c r="C109" s="56"/>
      <c r="D109" s="43"/>
      <c r="E109" s="43"/>
      <c r="F109" s="43"/>
      <c r="G109" s="43">
        <f>SUM(G106:G108)</f>
        <v>0</v>
      </c>
      <c r="H109" s="43"/>
      <c r="I109" s="43">
        <f>SUM(I106:I108)</f>
        <v>0</v>
      </c>
      <c r="J109" s="43"/>
      <c r="K109" s="43">
        <f>SUM(K106:K108)</f>
        <v>0</v>
      </c>
      <c r="L109" s="43"/>
      <c r="M109" s="43">
        <f>SUM(M106:M108)</f>
        <v>0</v>
      </c>
      <c r="N109" s="43"/>
      <c r="O109" s="43">
        <f>SUM(O106:O108)</f>
        <v>0</v>
      </c>
      <c r="P109" s="43">
        <f>SUM(P106:P108)</f>
        <v>0</v>
      </c>
      <c r="Q109" s="43">
        <f>SUM(Q106:Q108)</f>
        <v>0</v>
      </c>
      <c r="R109" s="43">
        <f>SUM(R106:R108)</f>
        <v>0</v>
      </c>
    </row>
    <row r="110" spans="1:36">
      <c r="A110" s="9"/>
      <c r="B110" s="9"/>
      <c r="C110" s="49"/>
      <c r="D110" s="48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T110" s="30"/>
    </row>
    <row r="111" spans="1:36">
      <c r="A111" s="21" t="s">
        <v>55</v>
      </c>
      <c r="B111" s="40"/>
      <c r="C111" s="41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T111" s="30"/>
    </row>
    <row r="112" spans="1:36" ht="12" customHeight="1">
      <c r="A112" s="9" t="s">
        <v>56</v>
      </c>
      <c r="B112" s="31"/>
      <c r="C112" s="31" t="s">
        <v>57</v>
      </c>
      <c r="D112" s="50" t="s">
        <v>48</v>
      </c>
      <c r="E112" s="34">
        <v>0</v>
      </c>
      <c r="F112" s="34">
        <v>0</v>
      </c>
      <c r="G112" s="34">
        <f t="shared" ref="G112:G116" si="103">E112*F112</f>
        <v>0</v>
      </c>
      <c r="H112" s="34">
        <v>0</v>
      </c>
      <c r="I112" s="34">
        <f t="shared" ref="I112:I116" si="104">H112*F112</f>
        <v>0</v>
      </c>
      <c r="J112" s="34">
        <v>0</v>
      </c>
      <c r="K112" s="34">
        <f t="shared" ref="K112:K116" si="105">J112*F112</f>
        <v>0</v>
      </c>
      <c r="L112" s="34">
        <v>0</v>
      </c>
      <c r="M112" s="34">
        <f t="shared" ref="M112:M116" si="106">L112*F112</f>
        <v>0</v>
      </c>
      <c r="N112" s="34">
        <v>0</v>
      </c>
      <c r="O112" s="34">
        <f>N112*F112</f>
        <v>0</v>
      </c>
      <c r="P112" s="34">
        <f>G112+I112+K112+M112+O112</f>
        <v>0</v>
      </c>
      <c r="Q112" s="34">
        <v>0</v>
      </c>
      <c r="R112" s="34">
        <f t="shared" ref="R112:R116" si="107">SUM(P112:Q112)</f>
        <v>0</v>
      </c>
    </row>
    <row r="113" spans="1:36" ht="12" customHeight="1">
      <c r="A113" s="31" t="s">
        <v>58</v>
      </c>
      <c r="B113" s="31"/>
      <c r="C113" s="31" t="s">
        <v>57</v>
      </c>
      <c r="D113" s="50" t="s">
        <v>48</v>
      </c>
      <c r="E113" s="34">
        <v>0</v>
      </c>
      <c r="F113" s="34">
        <v>0</v>
      </c>
      <c r="G113" s="34">
        <f t="shared" si="103"/>
        <v>0</v>
      </c>
      <c r="H113" s="34">
        <v>0</v>
      </c>
      <c r="I113" s="34">
        <f t="shared" si="104"/>
        <v>0</v>
      </c>
      <c r="J113" s="34">
        <v>0</v>
      </c>
      <c r="K113" s="34">
        <f t="shared" si="105"/>
        <v>0</v>
      </c>
      <c r="L113" s="34">
        <v>0</v>
      </c>
      <c r="M113" s="34">
        <f t="shared" si="106"/>
        <v>0</v>
      </c>
      <c r="N113" s="34">
        <v>0</v>
      </c>
      <c r="O113" s="34">
        <f t="shared" ref="O113" si="108">N113*F113</f>
        <v>0</v>
      </c>
      <c r="P113" s="34">
        <f t="shared" ref="P113:P116" si="109">G113+I113+K113+M113+O113</f>
        <v>0</v>
      </c>
      <c r="Q113" s="34">
        <v>0</v>
      </c>
      <c r="R113" s="34">
        <f t="shared" si="107"/>
        <v>0</v>
      </c>
    </row>
    <row r="114" spans="1:36">
      <c r="A114" s="9" t="s">
        <v>47</v>
      </c>
      <c r="B114" s="31"/>
      <c r="C114" s="31" t="s">
        <v>57</v>
      </c>
      <c r="D114" s="50" t="s">
        <v>48</v>
      </c>
      <c r="E114" s="34">
        <v>0</v>
      </c>
      <c r="F114" s="34">
        <v>0</v>
      </c>
      <c r="G114" s="34">
        <f t="shared" si="103"/>
        <v>0</v>
      </c>
      <c r="H114" s="34">
        <v>0</v>
      </c>
      <c r="I114" s="34">
        <f t="shared" si="104"/>
        <v>0</v>
      </c>
      <c r="J114" s="34">
        <v>0</v>
      </c>
      <c r="K114" s="34">
        <f t="shared" si="105"/>
        <v>0</v>
      </c>
      <c r="L114" s="34">
        <v>0</v>
      </c>
      <c r="M114" s="34">
        <f t="shared" si="106"/>
        <v>0</v>
      </c>
      <c r="N114" s="34">
        <v>0</v>
      </c>
      <c r="O114" s="34">
        <f>N114*F114</f>
        <v>0</v>
      </c>
      <c r="P114" s="34">
        <f t="shared" si="109"/>
        <v>0</v>
      </c>
      <c r="Q114" s="34">
        <v>0</v>
      </c>
      <c r="R114" s="34">
        <f t="shared" si="107"/>
        <v>0</v>
      </c>
    </row>
    <row r="115" spans="1:36">
      <c r="A115" s="31" t="s">
        <v>47</v>
      </c>
      <c r="B115" s="31"/>
      <c r="C115" s="31" t="s">
        <v>57</v>
      </c>
      <c r="D115" s="50" t="s">
        <v>48</v>
      </c>
      <c r="E115" s="34">
        <v>0</v>
      </c>
      <c r="F115" s="34">
        <v>0</v>
      </c>
      <c r="G115" s="34">
        <f t="shared" si="103"/>
        <v>0</v>
      </c>
      <c r="H115" s="34">
        <v>0</v>
      </c>
      <c r="I115" s="34">
        <f t="shared" si="104"/>
        <v>0</v>
      </c>
      <c r="J115" s="34">
        <v>0</v>
      </c>
      <c r="K115" s="34">
        <f t="shared" si="105"/>
        <v>0</v>
      </c>
      <c r="L115" s="34">
        <v>0</v>
      </c>
      <c r="M115" s="34">
        <f t="shared" si="106"/>
        <v>0</v>
      </c>
      <c r="N115" s="34">
        <v>0</v>
      </c>
      <c r="O115" s="34">
        <f t="shared" ref="O115:O116" si="110">N115*F115</f>
        <v>0</v>
      </c>
      <c r="P115" s="34">
        <f t="shared" si="109"/>
        <v>0</v>
      </c>
      <c r="Q115" s="34">
        <v>0</v>
      </c>
      <c r="R115" s="34">
        <f t="shared" si="107"/>
        <v>0</v>
      </c>
      <c r="S115" s="51"/>
      <c r="T115" s="52"/>
      <c r="U115" s="53"/>
      <c r="X115" s="54"/>
      <c r="Y115" s="34"/>
      <c r="Z115" s="34"/>
      <c r="AA115" s="34"/>
      <c r="AB115" s="34"/>
      <c r="AC115" s="34"/>
      <c r="AD115" s="54"/>
      <c r="AE115" s="34"/>
      <c r="AF115" s="54"/>
      <c r="AG115" s="54"/>
      <c r="AH115" s="54"/>
      <c r="AI115" s="55"/>
      <c r="AJ115" s="55"/>
    </row>
    <row r="116" spans="1:36">
      <c r="A116" s="31" t="s">
        <v>47</v>
      </c>
      <c r="B116" s="31"/>
      <c r="C116" s="31" t="s">
        <v>57</v>
      </c>
      <c r="D116" s="50" t="s">
        <v>48</v>
      </c>
      <c r="E116" s="34">
        <v>0</v>
      </c>
      <c r="F116" s="34">
        <v>0</v>
      </c>
      <c r="G116" s="34">
        <f t="shared" si="103"/>
        <v>0</v>
      </c>
      <c r="H116" s="34">
        <v>0</v>
      </c>
      <c r="I116" s="34">
        <f t="shared" si="104"/>
        <v>0</v>
      </c>
      <c r="J116" s="34">
        <v>0</v>
      </c>
      <c r="K116" s="34">
        <f t="shared" si="105"/>
        <v>0</v>
      </c>
      <c r="L116" s="34">
        <v>0</v>
      </c>
      <c r="M116" s="34">
        <f t="shared" si="106"/>
        <v>0</v>
      </c>
      <c r="N116" s="34">
        <v>0</v>
      </c>
      <c r="O116" s="34">
        <f t="shared" si="110"/>
        <v>0</v>
      </c>
      <c r="P116" s="34">
        <f t="shared" si="109"/>
        <v>0</v>
      </c>
      <c r="Q116" s="34">
        <v>0</v>
      </c>
      <c r="R116" s="34">
        <f t="shared" si="107"/>
        <v>0</v>
      </c>
      <c r="S116" s="57"/>
      <c r="T116" s="9"/>
      <c r="U116" s="9"/>
      <c r="V116" s="58"/>
      <c r="W116" s="54"/>
    </row>
    <row r="117" spans="1:36">
      <c r="A117" s="21" t="s">
        <v>59</v>
      </c>
      <c r="B117" s="40"/>
      <c r="C117" s="41"/>
      <c r="D117" s="42"/>
      <c r="E117" s="43"/>
      <c r="F117" s="43"/>
      <c r="G117" s="43">
        <f>SUM(G112:G116)</f>
        <v>0</v>
      </c>
      <c r="H117" s="43"/>
      <c r="I117" s="43">
        <f>SUM(I112:I116)</f>
        <v>0</v>
      </c>
      <c r="J117" s="43"/>
      <c r="K117" s="43">
        <f>SUM(K112:K116)</f>
        <v>0</v>
      </c>
      <c r="L117" s="43"/>
      <c r="M117" s="43">
        <f>SUM(M112:M116)</f>
        <v>0</v>
      </c>
      <c r="N117" s="43"/>
      <c r="O117" s="43">
        <f>SUM(O112:O116)</f>
        <v>0</v>
      </c>
      <c r="P117" s="43">
        <f>SUM(P112:P116)</f>
        <v>0</v>
      </c>
      <c r="Q117" s="43">
        <f>SUM(Q112:Q116)</f>
        <v>0</v>
      </c>
      <c r="R117" s="43">
        <f>SUM(R112:R116)</f>
        <v>0</v>
      </c>
    </row>
    <row r="118" spans="1:36">
      <c r="A118" s="9"/>
      <c r="B118" s="9"/>
      <c r="C118" s="49"/>
      <c r="D118" s="48"/>
      <c r="E118" s="34"/>
      <c r="F118" s="59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T118" s="30"/>
    </row>
    <row r="119" spans="1:36">
      <c r="A119" s="21" t="s">
        <v>60</v>
      </c>
      <c r="B119" s="40"/>
      <c r="C119" s="41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</row>
    <row r="120" spans="1:36">
      <c r="A120" s="31" t="s">
        <v>61</v>
      </c>
      <c r="B120" s="31"/>
      <c r="C120" s="31" t="s">
        <v>62</v>
      </c>
      <c r="D120" s="50" t="s">
        <v>48</v>
      </c>
      <c r="E120" s="34">
        <v>0</v>
      </c>
      <c r="F120" s="34">
        <v>0</v>
      </c>
      <c r="G120" s="34">
        <f t="shared" ref="G120:G122" si="111">E120*F120</f>
        <v>0</v>
      </c>
      <c r="H120" s="34">
        <v>0</v>
      </c>
      <c r="I120" s="34">
        <f t="shared" ref="I120:I122" si="112">H120*F120</f>
        <v>0</v>
      </c>
      <c r="J120" s="34">
        <v>0</v>
      </c>
      <c r="K120" s="34">
        <f t="shared" ref="K120:K122" si="113">J120*F120</f>
        <v>0</v>
      </c>
      <c r="L120" s="34">
        <v>0</v>
      </c>
      <c r="M120" s="34">
        <f t="shared" ref="M120:M122" si="114">L120*F120</f>
        <v>0</v>
      </c>
      <c r="N120" s="34">
        <v>0</v>
      </c>
      <c r="O120" s="34">
        <f t="shared" ref="O120:O122" si="115">N120*F120</f>
        <v>0</v>
      </c>
      <c r="P120" s="34">
        <f t="shared" ref="P120:P122" si="116">G120+I120+K120+M120+O120</f>
        <v>0</v>
      </c>
      <c r="Q120" s="34">
        <v>0</v>
      </c>
      <c r="R120" s="34">
        <f t="shared" ref="R120:R122" si="117">SUM(P120:Q120)</f>
        <v>0</v>
      </c>
      <c r="S120" s="51"/>
      <c r="T120" s="52"/>
      <c r="U120" s="53"/>
      <c r="X120" s="54"/>
      <c r="Y120" s="34"/>
      <c r="Z120" s="34"/>
      <c r="AA120" s="34"/>
      <c r="AB120" s="34"/>
      <c r="AC120" s="34"/>
      <c r="AD120" s="54"/>
      <c r="AE120" s="34"/>
      <c r="AF120" s="54"/>
      <c r="AG120" s="54"/>
      <c r="AH120" s="54"/>
      <c r="AI120" s="55"/>
      <c r="AJ120" s="55"/>
    </row>
    <row r="121" spans="1:36">
      <c r="A121" s="31" t="s">
        <v>61</v>
      </c>
      <c r="B121" s="31"/>
      <c r="C121" s="31" t="s">
        <v>62</v>
      </c>
      <c r="D121" s="50" t="s">
        <v>48</v>
      </c>
      <c r="E121" s="34">
        <v>0</v>
      </c>
      <c r="F121" s="34">
        <v>0</v>
      </c>
      <c r="G121" s="34">
        <f t="shared" si="111"/>
        <v>0</v>
      </c>
      <c r="H121" s="34">
        <v>0</v>
      </c>
      <c r="I121" s="34">
        <f t="shared" si="112"/>
        <v>0</v>
      </c>
      <c r="J121" s="34">
        <v>0</v>
      </c>
      <c r="K121" s="34">
        <f t="shared" si="113"/>
        <v>0</v>
      </c>
      <c r="L121" s="34">
        <v>0</v>
      </c>
      <c r="M121" s="34">
        <f t="shared" si="114"/>
        <v>0</v>
      </c>
      <c r="N121" s="34">
        <v>0</v>
      </c>
      <c r="O121" s="34">
        <f t="shared" si="115"/>
        <v>0</v>
      </c>
      <c r="P121" s="34">
        <f t="shared" si="116"/>
        <v>0</v>
      </c>
      <c r="Q121" s="34">
        <v>0</v>
      </c>
      <c r="R121" s="34">
        <f t="shared" si="117"/>
        <v>0</v>
      </c>
      <c r="S121" s="51"/>
      <c r="T121" s="52"/>
      <c r="U121" s="53"/>
      <c r="X121" s="54"/>
      <c r="Y121" s="34"/>
      <c r="Z121" s="34"/>
      <c r="AA121" s="34"/>
      <c r="AB121" s="34"/>
      <c r="AC121" s="34"/>
      <c r="AD121" s="54"/>
      <c r="AE121" s="34"/>
      <c r="AF121" s="54"/>
      <c r="AG121" s="54"/>
      <c r="AH121" s="54"/>
      <c r="AI121" s="55"/>
      <c r="AJ121" s="55"/>
    </row>
    <row r="122" spans="1:36">
      <c r="A122" s="31" t="s">
        <v>63</v>
      </c>
      <c r="B122" s="31"/>
      <c r="C122" s="31" t="s">
        <v>64</v>
      </c>
      <c r="D122" s="50" t="s">
        <v>48</v>
      </c>
      <c r="E122" s="34">
        <v>0</v>
      </c>
      <c r="F122" s="34">
        <v>0</v>
      </c>
      <c r="G122" s="34">
        <f t="shared" si="111"/>
        <v>0</v>
      </c>
      <c r="H122" s="34">
        <v>0</v>
      </c>
      <c r="I122" s="34">
        <f t="shared" si="112"/>
        <v>0</v>
      </c>
      <c r="J122" s="34">
        <v>0</v>
      </c>
      <c r="K122" s="34">
        <f t="shared" si="113"/>
        <v>0</v>
      </c>
      <c r="L122" s="34">
        <v>0</v>
      </c>
      <c r="M122" s="34">
        <f t="shared" si="114"/>
        <v>0</v>
      </c>
      <c r="N122" s="34">
        <v>0</v>
      </c>
      <c r="O122" s="34">
        <f t="shared" si="115"/>
        <v>0</v>
      </c>
      <c r="P122" s="34">
        <f t="shared" si="116"/>
        <v>0</v>
      </c>
      <c r="Q122" s="34">
        <v>0</v>
      </c>
      <c r="R122" s="34">
        <f t="shared" si="117"/>
        <v>0</v>
      </c>
      <c r="S122" s="51"/>
      <c r="T122" s="52"/>
      <c r="U122" s="53"/>
      <c r="X122" s="54"/>
      <c r="Y122" s="34"/>
      <c r="Z122" s="34"/>
      <c r="AA122" s="34"/>
      <c r="AB122" s="34"/>
      <c r="AC122" s="34"/>
      <c r="AD122" s="54"/>
      <c r="AE122" s="34"/>
      <c r="AF122" s="54"/>
      <c r="AG122" s="54"/>
      <c r="AH122" s="54"/>
      <c r="AI122" s="55"/>
      <c r="AJ122" s="55"/>
    </row>
    <row r="123" spans="1:36">
      <c r="A123" s="21" t="s">
        <v>65</v>
      </c>
      <c r="B123" s="40"/>
      <c r="C123" s="56"/>
      <c r="D123" s="43"/>
      <c r="E123" s="43"/>
      <c r="F123" s="43"/>
      <c r="G123" s="43">
        <f>SUM(G120:G122)</f>
        <v>0</v>
      </c>
      <c r="H123" s="43"/>
      <c r="I123" s="43">
        <f>SUM(I120:I122)</f>
        <v>0</v>
      </c>
      <c r="J123" s="43"/>
      <c r="K123" s="43">
        <f>SUM(K120:K122)</f>
        <v>0</v>
      </c>
      <c r="L123" s="43"/>
      <c r="M123" s="43">
        <f>SUM(M120:M122)</f>
        <v>0</v>
      </c>
      <c r="N123" s="43"/>
      <c r="O123" s="43">
        <f>SUM(O120:O122)</f>
        <v>0</v>
      </c>
      <c r="P123" s="43">
        <f>SUM(P120:P122)</f>
        <v>0</v>
      </c>
      <c r="Q123" s="43">
        <f>SUM(Q120:Q122)</f>
        <v>0</v>
      </c>
      <c r="R123" s="43">
        <f>SUM(R120:R122)</f>
        <v>0</v>
      </c>
    </row>
    <row r="124" spans="1:36">
      <c r="F124" s="4"/>
      <c r="G124" s="4"/>
      <c r="I124" s="4"/>
      <c r="K124" s="4"/>
      <c r="M124" s="4"/>
      <c r="O124" s="4"/>
    </row>
    <row r="125" spans="1:36" ht="14.45" thickBot="1">
      <c r="A125" s="61" t="s">
        <v>66</v>
      </c>
      <c r="B125" s="61"/>
      <c r="C125" s="61"/>
      <c r="D125" s="62"/>
      <c r="E125" s="62"/>
      <c r="F125" s="63"/>
      <c r="G125" s="64">
        <f>G123+G103+G117+G109+G97+G86+G81</f>
        <v>0</v>
      </c>
      <c r="H125" s="64"/>
      <c r="I125" s="64">
        <f>I123+I103+I117+I109+I97+I86+I81</f>
        <v>0</v>
      </c>
      <c r="J125" s="64"/>
      <c r="K125" s="64">
        <f>K123+K103+K117+K109+K97+K86+K81</f>
        <v>0</v>
      </c>
      <c r="L125" s="64"/>
      <c r="M125" s="64">
        <f>M123+M103+M117+M109+M97+M86+M81</f>
        <v>0</v>
      </c>
      <c r="N125" s="64"/>
      <c r="O125" s="64">
        <f>O123+O103+O117+O109+O97+O86+O81</f>
        <v>0</v>
      </c>
      <c r="P125" s="64">
        <f>P123+P103+P117+P109+P97+P86+P81</f>
        <v>0</v>
      </c>
      <c r="Q125" s="64">
        <f>Q123+Q103+Q117+Q109+Q97+Q86+Q81</f>
        <v>0</v>
      </c>
      <c r="R125" s="64">
        <f>R123+R103+R117+R109+R97+R86+R81</f>
        <v>0</v>
      </c>
    </row>
    <row r="127" spans="1:36">
      <c r="A127" s="65" t="s">
        <v>67</v>
      </c>
      <c r="B127" s="66"/>
      <c r="C127" s="9" t="s">
        <v>68</v>
      </c>
      <c r="D127" s="67"/>
      <c r="E127" s="67"/>
      <c r="F127" s="46">
        <v>0</v>
      </c>
      <c r="G127" s="68">
        <f>$F$66*G125</f>
        <v>0</v>
      </c>
      <c r="H127" s="68"/>
      <c r="I127" s="68">
        <f>$F$66*I125</f>
        <v>0</v>
      </c>
      <c r="J127" s="68"/>
      <c r="K127" s="68">
        <f>$F$66*K125</f>
        <v>0</v>
      </c>
      <c r="L127" s="54"/>
      <c r="M127" s="68">
        <f>$F$66*M125</f>
        <v>0</v>
      </c>
      <c r="N127" s="54"/>
      <c r="O127" s="68">
        <f>$F$66*O125</f>
        <v>0</v>
      </c>
      <c r="P127" s="68">
        <f>O127+M127+K127+I127+G127</f>
        <v>0</v>
      </c>
      <c r="Q127" s="68">
        <v>0</v>
      </c>
      <c r="R127" s="68">
        <f>SUM(P127:Q127)</f>
        <v>0</v>
      </c>
    </row>
    <row r="128" spans="1:36">
      <c r="A128" s="31"/>
      <c r="B128" s="32"/>
      <c r="C128" s="31"/>
      <c r="D128" s="48"/>
      <c r="E128" s="9"/>
      <c r="F128" s="58"/>
      <c r="H128" s="54"/>
      <c r="J128" s="54"/>
      <c r="L128" s="54"/>
      <c r="N128" s="54"/>
      <c r="P128" s="54"/>
      <c r="Q128" s="54"/>
      <c r="R128" s="54"/>
    </row>
    <row r="129" spans="1:19" ht="14.45" thickBot="1">
      <c r="A129" s="69" t="s">
        <v>69</v>
      </c>
      <c r="B129" s="70"/>
      <c r="C129" s="69"/>
      <c r="D129" s="69"/>
      <c r="E129" s="69"/>
      <c r="F129" s="69"/>
      <c r="G129" s="71">
        <f>G127+G125</f>
        <v>0</v>
      </c>
      <c r="H129" s="69"/>
      <c r="I129" s="71">
        <f>I127+I125</f>
        <v>0</v>
      </c>
      <c r="J129" s="69"/>
      <c r="K129" s="71">
        <f>K127+K125</f>
        <v>0</v>
      </c>
      <c r="L129" s="69"/>
      <c r="M129" s="71">
        <f>M127+M125</f>
        <v>0</v>
      </c>
      <c r="N129" s="69"/>
      <c r="O129" s="71">
        <f>O127+O125</f>
        <v>0</v>
      </c>
      <c r="P129" s="71">
        <f>P127+P125</f>
        <v>0</v>
      </c>
      <c r="Q129" s="71">
        <f>Q127+Q125</f>
        <v>0</v>
      </c>
      <c r="R129" s="71">
        <f>R127+R125</f>
        <v>0</v>
      </c>
    </row>
    <row r="130" spans="1:19">
      <c r="R130" s="72"/>
      <c r="S130" s="37"/>
    </row>
    <row r="131" spans="1:19" ht="14.45" thickBot="1">
      <c r="A131" s="69" t="s">
        <v>70</v>
      </c>
      <c r="B131" s="70"/>
      <c r="C131" s="69"/>
      <c r="D131" s="69"/>
      <c r="E131" s="69"/>
      <c r="F131" s="69"/>
      <c r="G131" s="71">
        <f>G129+G68</f>
        <v>0</v>
      </c>
      <c r="H131" s="71"/>
      <c r="I131" s="71">
        <f>I129+I68</f>
        <v>0</v>
      </c>
      <c r="J131" s="69"/>
      <c r="K131" s="71">
        <f>K129+K68</f>
        <v>0</v>
      </c>
      <c r="L131" s="69"/>
      <c r="M131" s="71">
        <f>M129+M68</f>
        <v>0</v>
      </c>
      <c r="N131" s="69"/>
      <c r="O131" s="71">
        <f>O129+O68</f>
        <v>0</v>
      </c>
      <c r="P131" s="71">
        <f>P129+P68</f>
        <v>0</v>
      </c>
      <c r="Q131" s="71">
        <f>Q129+Q68</f>
        <v>0</v>
      </c>
      <c r="R131" s="71">
        <f>R129+R68</f>
        <v>0</v>
      </c>
    </row>
    <row r="133" spans="1:19">
      <c r="R133" s="72"/>
      <c r="S133" s="37"/>
    </row>
  </sheetData>
  <mergeCells count="4">
    <mergeCell ref="A1:R1"/>
    <mergeCell ref="A2:R2"/>
    <mergeCell ref="A3:R3"/>
    <mergeCell ref="A5:B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97F9-D68E-4CBE-8C86-364B37643418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2A10F8C8-7E15-480E-96A6-2D39B5A2DADA}"/>
</file>

<file path=customXml/itemProps2.xml><?xml version="1.0" encoding="utf-8"?>
<ds:datastoreItem xmlns:ds="http://schemas.openxmlformats.org/officeDocument/2006/customXml" ds:itemID="{A7AE97D0-E7C9-424E-BE52-6D9F336D749B}"/>
</file>

<file path=customXml/itemProps3.xml><?xml version="1.0" encoding="utf-8"?>
<ds:datastoreItem xmlns:ds="http://schemas.openxmlformats.org/officeDocument/2006/customXml" ds:itemID="{4231E911-27A7-4952-A4A8-14F584482A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Margaret Arant</cp:lastModifiedBy>
  <cp:revision/>
  <dcterms:created xsi:type="dcterms:W3CDTF">2020-12-14T20:39:18Z</dcterms:created>
  <dcterms:modified xsi:type="dcterms:W3CDTF">2021-12-14T19:34:02Z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