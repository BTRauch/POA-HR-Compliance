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Supplemental Field Office Manuals/Honduras/"/>
    </mc:Choice>
  </mc:AlternateContent>
  <xr:revisionPtr revIDLastSave="3667" documentId="8_{7C420F36-FED6-4DDF-8B4E-98EA93625D24}" xr6:coauthVersionLast="47" xr6:coauthVersionMax="47" xr10:uidLastSave="{D09AB6F5-471E-4825-B36B-C6A3080612D9}"/>
  <bookViews>
    <workbookView xWindow="-96" yWindow="-96" windowWidth="23232" windowHeight="12552" xr2:uid="{AEB94C8E-E0DA-4D20-BB4A-F85D505F3E0C}"/>
  </bookViews>
  <sheets>
    <sheet name="POA Compensation Analysis  " sheetId="1" r:id="rId1"/>
    <sheet name="Birches Report " sheetId="11" state="hidden" r:id="rId2"/>
    <sheet name="Grade A" sheetId="6" r:id="rId3"/>
    <sheet name="Grade B" sheetId="9" r:id="rId4"/>
    <sheet name="Gade C" sheetId="8" r:id="rId5"/>
    <sheet name="Grade D" sheetId="10" r:id="rId6"/>
    <sheet name="Grade E" sheetId="14" r:id="rId7"/>
    <sheet name="Budget USDA Salary Categories" sheetId="3" r:id="rId8"/>
    <sheet name="Birches Report Level" sheetId="4" r:id="rId9"/>
    <sheet name="ONGLocal" sheetId="13" r:id="rId10"/>
    <sheet name="World Salaries" sheetId="15" r:id="rId11"/>
    <sheet name="TRM" sheetId="5" r:id="rId12"/>
    <sheet name="POA Compensation Org. Reference" sheetId="7" state="hidden" r:id="rId13"/>
  </sheets>
  <definedNames>
    <definedName name="_xlnm._FilterDatabase" localSheetId="7" hidden="1">'Budget USDA Salary Categories'!$A$5:$G$39</definedName>
    <definedName name="_xlnm.Print_Area" localSheetId="0">'POA Compensation Analysis  '!$C$3:$L$39</definedName>
    <definedName name="_xlnm.Print_Area" localSheetId="12">'POA Compensation Org. Reference'!$C$3:$L$39</definedName>
    <definedName name="_xlnm.Print_Titles" localSheetId="0">'POA Compensation Analysis  '!$3:$5</definedName>
    <definedName name="_xlnm.Print_Titles" localSheetId="12">'POA Compensation Org. Reference'!$3:$5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8" i="1" l="1"/>
  <c r="C6" i="3"/>
  <c r="D6" i="3"/>
  <c r="E6" i="3"/>
  <c r="I15" i="1"/>
  <c r="C9" i="3"/>
  <c r="H6" i="1"/>
  <c r="H8" i="14"/>
  <c r="I8" i="14"/>
  <c r="G8" i="14"/>
  <c r="C8" i="14"/>
  <c r="D8" i="14"/>
  <c r="B7" i="14"/>
  <c r="C7" i="14"/>
  <c r="D7" i="14"/>
  <c r="M12" i="10"/>
  <c r="N12" i="10"/>
  <c r="L12" i="10"/>
  <c r="H12" i="10"/>
  <c r="I12" i="10"/>
  <c r="G12" i="10"/>
  <c r="C12" i="10"/>
  <c r="D12" i="10"/>
  <c r="B12" i="10"/>
  <c r="M12" i="8"/>
  <c r="N12" i="8"/>
  <c r="L12" i="8"/>
  <c r="H12" i="8"/>
  <c r="I12" i="8"/>
  <c r="G12" i="8"/>
  <c r="C12" i="8"/>
  <c r="D12" i="8"/>
  <c r="B12" i="8"/>
  <c r="H12" i="9"/>
  <c r="I12" i="9"/>
  <c r="G12" i="9"/>
  <c r="M12" i="6"/>
  <c r="N12" i="6"/>
  <c r="L12" i="6"/>
  <c r="H12" i="6"/>
  <c r="I12" i="6"/>
  <c r="C12" i="6"/>
  <c r="D12" i="6"/>
  <c r="C12" i="9"/>
  <c r="D12" i="9"/>
  <c r="B12" i="9"/>
  <c r="M10" i="10"/>
  <c r="N10" i="10"/>
  <c r="M11" i="10"/>
  <c r="N11" i="10"/>
  <c r="L10" i="10"/>
  <c r="L11" i="10" s="1"/>
  <c r="H10" i="10"/>
  <c r="I10" i="10"/>
  <c r="H11" i="10"/>
  <c r="I11" i="10"/>
  <c r="G10" i="10"/>
  <c r="G11" i="10" s="1"/>
  <c r="C10" i="10"/>
  <c r="D10" i="10"/>
  <c r="C11" i="10"/>
  <c r="D11" i="10"/>
  <c r="B10" i="10"/>
  <c r="B11" i="10" s="1"/>
  <c r="M10" i="8"/>
  <c r="N10" i="8"/>
  <c r="M11" i="8"/>
  <c r="N11" i="8"/>
  <c r="L10" i="8"/>
  <c r="L11" i="8" s="1"/>
  <c r="H10" i="8"/>
  <c r="I10" i="8"/>
  <c r="H11" i="8"/>
  <c r="I11" i="8"/>
  <c r="G10" i="8"/>
  <c r="G11" i="8" s="1"/>
  <c r="C10" i="8"/>
  <c r="D10" i="8"/>
  <c r="C11" i="8"/>
  <c r="D11" i="8"/>
  <c r="B10" i="8"/>
  <c r="B11" i="8" s="1"/>
  <c r="H10" i="9"/>
  <c r="I10" i="9"/>
  <c r="H11" i="9"/>
  <c r="I11" i="9"/>
  <c r="G10" i="9"/>
  <c r="G11" i="9" s="1"/>
  <c r="C10" i="9"/>
  <c r="D10" i="9"/>
  <c r="C11" i="9"/>
  <c r="D11" i="9"/>
  <c r="B10" i="9"/>
  <c r="B11" i="9" s="1"/>
  <c r="M7" i="14"/>
  <c r="M10" i="14" s="1"/>
  <c r="M11" i="14" s="1"/>
  <c r="M12" i="14" s="1"/>
  <c r="L7" i="14"/>
  <c r="L10" i="14" s="1"/>
  <c r="L11" i="14" s="1"/>
  <c r="L12" i="14" s="1"/>
  <c r="H7" i="14"/>
  <c r="H10" i="14" s="1"/>
  <c r="H11" i="14" s="1"/>
  <c r="H12" i="14" s="1"/>
  <c r="I7" i="14"/>
  <c r="I10" i="14" s="1"/>
  <c r="I11" i="14" s="1"/>
  <c r="I12" i="14" s="1"/>
  <c r="G7" i="14"/>
  <c r="G10" i="14" s="1"/>
  <c r="G11" i="14" s="1"/>
  <c r="G12" i="14" s="1"/>
  <c r="C10" i="14"/>
  <c r="C11" i="14" s="1"/>
  <c r="C12" i="14" s="1"/>
  <c r="D10" i="14"/>
  <c r="D11" i="14" s="1"/>
  <c r="D12" i="14" s="1"/>
  <c r="B10" i="14"/>
  <c r="B11" i="14" s="1"/>
  <c r="B12" i="14" s="1"/>
  <c r="M8" i="14"/>
  <c r="L8" i="14"/>
  <c r="B8" i="14"/>
  <c r="C8" i="10"/>
  <c r="D8" i="10"/>
  <c r="B8" i="10"/>
  <c r="C7" i="10"/>
  <c r="D7" i="10"/>
  <c r="B7" i="10"/>
  <c r="M8" i="8"/>
  <c r="N8" i="8"/>
  <c r="L8" i="8"/>
  <c r="C8" i="8"/>
  <c r="D8" i="8"/>
  <c r="B8" i="8"/>
  <c r="H8" i="9"/>
  <c r="I8" i="9"/>
  <c r="G8" i="9"/>
  <c r="D8" i="9"/>
  <c r="C8" i="9"/>
  <c r="B8" i="9"/>
  <c r="L8" i="6"/>
  <c r="G8" i="6"/>
  <c r="B8" i="6"/>
  <c r="M8" i="6"/>
  <c r="N8" i="6"/>
  <c r="H8" i="6"/>
  <c r="I8" i="6"/>
  <c r="C8" i="6"/>
  <c r="D8" i="6"/>
  <c r="B7" i="6"/>
  <c r="B10" i="6" s="1"/>
  <c r="B11" i="6" s="1"/>
  <c r="B12" i="6" s="1"/>
  <c r="M7" i="8"/>
  <c r="N7" i="8"/>
  <c r="H8" i="8"/>
  <c r="I8" i="8"/>
  <c r="G8" i="8"/>
  <c r="H8" i="10"/>
  <c r="I8" i="10"/>
  <c r="G8" i="10"/>
  <c r="H7" i="10"/>
  <c r="I7" i="10"/>
  <c r="G7" i="10"/>
  <c r="M8" i="10"/>
  <c r="N8" i="10"/>
  <c r="M7" i="10"/>
  <c r="N7" i="10"/>
  <c r="L7" i="10"/>
  <c r="L8" i="10"/>
  <c r="L7" i="8"/>
  <c r="H7" i="8"/>
  <c r="I7" i="8"/>
  <c r="G7" i="8"/>
  <c r="C7" i="8"/>
  <c r="D7" i="8"/>
  <c r="B7" i="8"/>
  <c r="H7" i="9"/>
  <c r="I7" i="9"/>
  <c r="G7" i="9"/>
  <c r="C7" i="9"/>
  <c r="D7" i="9"/>
  <c r="B7" i="9"/>
  <c r="M7" i="6"/>
  <c r="M10" i="6" s="1"/>
  <c r="M11" i="6" s="1"/>
  <c r="N7" i="6"/>
  <c r="N10" i="6" s="1"/>
  <c r="N11" i="6" s="1"/>
  <c r="L7" i="6"/>
  <c r="L10" i="6" s="1"/>
  <c r="L11" i="6" s="1"/>
  <c r="H7" i="6"/>
  <c r="H10" i="6" s="1"/>
  <c r="H11" i="6" s="1"/>
  <c r="I7" i="6"/>
  <c r="I10" i="6" s="1"/>
  <c r="I11" i="6" s="1"/>
  <c r="G7" i="6"/>
  <c r="G10" i="6" s="1"/>
  <c r="G11" i="6" s="1"/>
  <c r="G12" i="6" s="1"/>
  <c r="C7" i="6"/>
  <c r="C10" i="6" s="1"/>
  <c r="C11" i="6" s="1"/>
  <c r="D7" i="6"/>
  <c r="D10" i="6" s="1"/>
  <c r="D11" i="6" s="1"/>
  <c r="A6" i="9"/>
  <c r="F3" i="15"/>
  <c r="F9" i="15"/>
  <c r="H2" i="15"/>
  <c r="E2" i="15"/>
  <c r="F2" i="15" s="1"/>
  <c r="C2" i="15"/>
  <c r="H10" i="15"/>
  <c r="E10" i="15"/>
  <c r="F10" i="15" s="1"/>
  <c r="C10" i="15"/>
  <c r="H6" i="15"/>
  <c r="E6" i="15"/>
  <c r="F6" i="15" s="1"/>
  <c r="C6" i="15"/>
  <c r="H11" i="15"/>
  <c r="E11" i="15"/>
  <c r="F11" i="15" s="1"/>
  <c r="C11" i="15"/>
  <c r="H8" i="15"/>
  <c r="E8" i="15"/>
  <c r="F8" i="15" s="1"/>
  <c r="C8" i="15"/>
  <c r="H7" i="15"/>
  <c r="E7" i="15"/>
  <c r="F7" i="15" s="1"/>
  <c r="C7" i="15"/>
  <c r="G6" i="15"/>
  <c r="D6" i="15"/>
  <c r="H5" i="15"/>
  <c r="E5" i="15"/>
  <c r="F5" i="15" s="1"/>
  <c r="C5" i="15"/>
  <c r="H4" i="15"/>
  <c r="E4" i="15"/>
  <c r="F4" i="15" s="1"/>
  <c r="C4" i="15"/>
  <c r="I3" i="15"/>
  <c r="I4" i="15"/>
  <c r="I5" i="15"/>
  <c r="I6" i="15"/>
  <c r="I7" i="15"/>
  <c r="I8" i="15"/>
  <c r="I9" i="15"/>
  <c r="I10" i="15"/>
  <c r="I11" i="15"/>
  <c r="I2" i="15"/>
  <c r="G3" i="15"/>
  <c r="G4" i="15"/>
  <c r="G5" i="15"/>
  <c r="G7" i="15"/>
  <c r="G8" i="15"/>
  <c r="G9" i="15"/>
  <c r="G10" i="15"/>
  <c r="G11" i="15"/>
  <c r="G2" i="15"/>
  <c r="D3" i="15"/>
  <c r="D4" i="15"/>
  <c r="D5" i="15"/>
  <c r="D7" i="15"/>
  <c r="D8" i="15"/>
  <c r="D9" i="15"/>
  <c r="D10" i="15"/>
  <c r="D11" i="15"/>
  <c r="D2" i="15"/>
  <c r="K6" i="6"/>
  <c r="F6" i="6"/>
  <c r="N6" i="14"/>
  <c r="J32" i="1"/>
  <c r="L29" i="1"/>
  <c r="J29" i="1"/>
  <c r="H29" i="1"/>
  <c r="L27" i="1"/>
  <c r="J27" i="1"/>
  <c r="H27" i="1"/>
  <c r="L25" i="1"/>
  <c r="H25" i="1"/>
  <c r="L2" i="13"/>
  <c r="K2" i="13"/>
  <c r="AA63" i="11"/>
  <c r="AA64" i="11"/>
  <c r="AA65" i="11"/>
  <c r="AA66" i="11"/>
  <c r="AA67" i="11"/>
  <c r="AA68" i="11"/>
  <c r="AA69" i="11"/>
  <c r="AA70" i="11"/>
  <c r="AA71" i="11"/>
  <c r="AA72" i="11"/>
  <c r="AA73" i="11"/>
  <c r="AA74" i="11"/>
  <c r="AA75" i="11"/>
  <c r="AA76" i="11"/>
  <c r="AA77" i="11"/>
  <c r="AA78" i="11"/>
  <c r="AA79" i="11"/>
  <c r="AA80" i="11"/>
  <c r="V61" i="11"/>
  <c r="W61" i="11"/>
  <c r="X61" i="11"/>
  <c r="Y61" i="11"/>
  <c r="Z61" i="11"/>
  <c r="V62" i="11"/>
  <c r="W62" i="11"/>
  <c r="X62" i="11"/>
  <c r="Y62" i="11"/>
  <c r="Z62" i="11"/>
  <c r="V63" i="11"/>
  <c r="W63" i="11"/>
  <c r="X63" i="11"/>
  <c r="Y63" i="11"/>
  <c r="Z63" i="11"/>
  <c r="V64" i="11"/>
  <c r="W64" i="11"/>
  <c r="X64" i="11"/>
  <c r="Y64" i="11"/>
  <c r="Z64" i="11"/>
  <c r="V65" i="11"/>
  <c r="W65" i="11"/>
  <c r="X65" i="11"/>
  <c r="Y65" i="11"/>
  <c r="Z65" i="11"/>
  <c r="V66" i="11"/>
  <c r="W66" i="11"/>
  <c r="X66" i="11"/>
  <c r="Y66" i="11"/>
  <c r="Z66" i="11"/>
  <c r="V67" i="11"/>
  <c r="W67" i="11"/>
  <c r="X67" i="11"/>
  <c r="Y67" i="11"/>
  <c r="Z67" i="11"/>
  <c r="V68" i="11"/>
  <c r="W68" i="11"/>
  <c r="X68" i="11"/>
  <c r="Y68" i="11"/>
  <c r="Z68" i="11"/>
  <c r="V69" i="11"/>
  <c r="W69" i="11"/>
  <c r="X69" i="11"/>
  <c r="Y69" i="11"/>
  <c r="Z69" i="11"/>
  <c r="V70" i="11"/>
  <c r="W70" i="11"/>
  <c r="X70" i="11"/>
  <c r="Y70" i="11"/>
  <c r="Z70" i="11"/>
  <c r="V71" i="11"/>
  <c r="W71" i="11"/>
  <c r="X71" i="11"/>
  <c r="Y71" i="11"/>
  <c r="Z71" i="11"/>
  <c r="V72" i="11"/>
  <c r="W72" i="11"/>
  <c r="X72" i="11"/>
  <c r="Y72" i="11"/>
  <c r="Z72" i="11"/>
  <c r="V73" i="11"/>
  <c r="W73" i="11"/>
  <c r="X73" i="11"/>
  <c r="Y73" i="11"/>
  <c r="Z73" i="11"/>
  <c r="V74" i="11"/>
  <c r="W74" i="11"/>
  <c r="X74" i="11"/>
  <c r="Y74" i="11"/>
  <c r="Z74" i="11"/>
  <c r="V75" i="11"/>
  <c r="W75" i="11"/>
  <c r="X75" i="11"/>
  <c r="Y75" i="11"/>
  <c r="Z75" i="11"/>
  <c r="V76" i="11"/>
  <c r="W76" i="11"/>
  <c r="X76" i="11"/>
  <c r="Y76" i="11"/>
  <c r="Z76" i="11"/>
  <c r="V77" i="11"/>
  <c r="W77" i="11"/>
  <c r="X77" i="11"/>
  <c r="Y77" i="11"/>
  <c r="Z77" i="11"/>
  <c r="V78" i="11"/>
  <c r="W78" i="11"/>
  <c r="X78" i="11"/>
  <c r="Y78" i="11"/>
  <c r="Z78" i="11"/>
  <c r="V79" i="11"/>
  <c r="W79" i="11"/>
  <c r="X79" i="11"/>
  <c r="Y79" i="11"/>
  <c r="Z79" i="11"/>
  <c r="V80" i="11"/>
  <c r="W80" i="11"/>
  <c r="X80" i="11"/>
  <c r="Y80" i="11"/>
  <c r="Z80" i="11"/>
  <c r="W60" i="11"/>
  <c r="X60" i="11"/>
  <c r="Y60" i="11"/>
  <c r="Z60" i="11"/>
  <c r="V60" i="11"/>
  <c r="T63" i="11"/>
  <c r="T64" i="11"/>
  <c r="T65" i="11"/>
  <c r="T66" i="11"/>
  <c r="T67" i="11"/>
  <c r="T68" i="11"/>
  <c r="T69" i="11"/>
  <c r="T70" i="11"/>
  <c r="T71" i="11"/>
  <c r="T72" i="11"/>
  <c r="T73" i="11"/>
  <c r="T74" i="11"/>
  <c r="T75" i="11"/>
  <c r="T76" i="11"/>
  <c r="T77" i="11"/>
  <c r="T78" i="11"/>
  <c r="T79" i="11"/>
  <c r="T80" i="11"/>
  <c r="O61" i="11"/>
  <c r="P61" i="11"/>
  <c r="Q61" i="11"/>
  <c r="R61" i="11"/>
  <c r="S61" i="11"/>
  <c r="O62" i="11"/>
  <c r="P62" i="11"/>
  <c r="Q62" i="11"/>
  <c r="R62" i="11"/>
  <c r="S62" i="11"/>
  <c r="O63" i="11"/>
  <c r="P63" i="11"/>
  <c r="Q63" i="11"/>
  <c r="R63" i="11"/>
  <c r="S63" i="11"/>
  <c r="O64" i="11"/>
  <c r="P64" i="11"/>
  <c r="Q64" i="11"/>
  <c r="R64" i="11"/>
  <c r="S64" i="11"/>
  <c r="O65" i="11"/>
  <c r="P65" i="11"/>
  <c r="Q65" i="11"/>
  <c r="R65" i="11"/>
  <c r="S65" i="11"/>
  <c r="O66" i="11"/>
  <c r="P66" i="11"/>
  <c r="Q66" i="11"/>
  <c r="R66" i="11"/>
  <c r="S66" i="11"/>
  <c r="O67" i="11"/>
  <c r="P67" i="11"/>
  <c r="Q67" i="11"/>
  <c r="R67" i="11"/>
  <c r="S67" i="11"/>
  <c r="O68" i="11"/>
  <c r="P68" i="11"/>
  <c r="Q68" i="11"/>
  <c r="R68" i="11"/>
  <c r="S68" i="11"/>
  <c r="O69" i="11"/>
  <c r="P69" i="11"/>
  <c r="Q69" i="11"/>
  <c r="R69" i="11"/>
  <c r="S69" i="11"/>
  <c r="O70" i="11"/>
  <c r="P70" i="11"/>
  <c r="Q70" i="11"/>
  <c r="R70" i="11"/>
  <c r="S70" i="11"/>
  <c r="O71" i="11"/>
  <c r="P71" i="11"/>
  <c r="Q71" i="11"/>
  <c r="R71" i="11"/>
  <c r="S71" i="11"/>
  <c r="O72" i="11"/>
  <c r="P72" i="11"/>
  <c r="Q72" i="11"/>
  <c r="R72" i="11"/>
  <c r="S72" i="11"/>
  <c r="O73" i="11"/>
  <c r="P73" i="11"/>
  <c r="Q73" i="11"/>
  <c r="R73" i="11"/>
  <c r="S73" i="11"/>
  <c r="O74" i="11"/>
  <c r="P74" i="11"/>
  <c r="Q74" i="11"/>
  <c r="R74" i="11"/>
  <c r="S74" i="11"/>
  <c r="O75" i="11"/>
  <c r="P75" i="11"/>
  <c r="Q75" i="11"/>
  <c r="R75" i="11"/>
  <c r="S75" i="11"/>
  <c r="O76" i="11"/>
  <c r="P76" i="11"/>
  <c r="Q76" i="11"/>
  <c r="R76" i="11"/>
  <c r="S76" i="11"/>
  <c r="O77" i="11"/>
  <c r="P77" i="11"/>
  <c r="Q77" i="11"/>
  <c r="R77" i="11"/>
  <c r="S77" i="11"/>
  <c r="O78" i="11"/>
  <c r="P78" i="11"/>
  <c r="Q78" i="11"/>
  <c r="R78" i="11"/>
  <c r="S78" i="11"/>
  <c r="O79" i="11"/>
  <c r="P79" i="11"/>
  <c r="Q79" i="11"/>
  <c r="R79" i="11"/>
  <c r="S79" i="11"/>
  <c r="O80" i="11"/>
  <c r="P80" i="11"/>
  <c r="Q80" i="11"/>
  <c r="R80" i="11"/>
  <c r="S80" i="11"/>
  <c r="P60" i="11"/>
  <c r="Q60" i="11"/>
  <c r="R60" i="11"/>
  <c r="S60" i="11"/>
  <c r="O60" i="11"/>
  <c r="L32" i="1"/>
  <c r="H32" i="1"/>
  <c r="L34" i="1"/>
  <c r="J34" i="1"/>
  <c r="J36" i="1"/>
  <c r="H36" i="1"/>
  <c r="L10" i="1"/>
  <c r="J10" i="1"/>
  <c r="H10" i="1"/>
  <c r="L8" i="1"/>
  <c r="J8" i="1"/>
  <c r="L6" i="1"/>
  <c r="J6" i="1"/>
  <c r="I6" i="1"/>
  <c r="L15" i="1"/>
  <c r="J15" i="1"/>
  <c r="H15" i="1"/>
  <c r="L13" i="1"/>
  <c r="J13" i="1"/>
  <c r="H13" i="1"/>
  <c r="J18" i="1"/>
  <c r="L18" i="1"/>
  <c r="L22" i="1"/>
  <c r="J22" i="1"/>
  <c r="H22" i="1"/>
  <c r="L20" i="1"/>
  <c r="J20" i="1"/>
  <c r="H20" i="1"/>
  <c r="H34" i="1"/>
  <c r="C4" i="10"/>
  <c r="I3" i="13"/>
  <c r="I4" i="13"/>
  <c r="I5" i="13"/>
  <c r="I6" i="13"/>
  <c r="I7" i="13"/>
  <c r="I8" i="13"/>
  <c r="I9" i="13"/>
  <c r="I10" i="13"/>
  <c r="I11" i="13"/>
  <c r="I12" i="13"/>
  <c r="I13" i="13"/>
  <c r="I2" i="13"/>
  <c r="G3" i="13"/>
  <c r="G4" i="13"/>
  <c r="G5" i="13"/>
  <c r="G6" i="13"/>
  <c r="G7" i="13"/>
  <c r="G8" i="13"/>
  <c r="G9" i="13"/>
  <c r="G10" i="13"/>
  <c r="G11" i="13"/>
  <c r="G12" i="13"/>
  <c r="G13" i="13"/>
  <c r="G2" i="13"/>
  <c r="E3" i="13"/>
  <c r="E4" i="13"/>
  <c r="E5" i="13"/>
  <c r="E6" i="13"/>
  <c r="E7" i="13"/>
  <c r="E8" i="13"/>
  <c r="E9" i="13"/>
  <c r="E10" i="13"/>
  <c r="E11" i="13"/>
  <c r="E12" i="13"/>
  <c r="E13" i="13"/>
  <c r="E2" i="13"/>
  <c r="H18" i="1"/>
  <c r="T21" i="4"/>
  <c r="AA21" i="4" s="1"/>
  <c r="U21" i="4"/>
  <c r="AB21" i="4" s="1"/>
  <c r="V21" i="4"/>
  <c r="AC21" i="4" s="1"/>
  <c r="W21" i="4"/>
  <c r="AD21" i="4" s="1"/>
  <c r="X21" i="4"/>
  <c r="AE21" i="4" s="1"/>
  <c r="T22" i="4"/>
  <c r="AA22" i="4" s="1"/>
  <c r="U22" i="4"/>
  <c r="AB22" i="4" s="1"/>
  <c r="V22" i="4"/>
  <c r="AC22" i="4" s="1"/>
  <c r="W22" i="4"/>
  <c r="AD22" i="4" s="1"/>
  <c r="X22" i="4"/>
  <c r="AE22" i="4" s="1"/>
  <c r="T23" i="4"/>
  <c r="AA23" i="4" s="1"/>
  <c r="U23" i="4"/>
  <c r="AB23" i="4" s="1"/>
  <c r="V23" i="4"/>
  <c r="AC23" i="4" s="1"/>
  <c r="W23" i="4"/>
  <c r="AD23" i="4" s="1"/>
  <c r="X23" i="4"/>
  <c r="AE23" i="4" s="1"/>
  <c r="T24" i="4"/>
  <c r="AA24" i="4" s="1"/>
  <c r="U24" i="4"/>
  <c r="AB24" i="4" s="1"/>
  <c r="V24" i="4"/>
  <c r="AC24" i="4" s="1"/>
  <c r="W24" i="4"/>
  <c r="AD24" i="4" s="1"/>
  <c r="X24" i="4"/>
  <c r="AE24" i="4" s="1"/>
  <c r="T25" i="4"/>
  <c r="AA25" i="4" s="1"/>
  <c r="U25" i="4"/>
  <c r="AB25" i="4" s="1"/>
  <c r="V25" i="4"/>
  <c r="AC25" i="4" s="1"/>
  <c r="W25" i="4"/>
  <c r="AD25" i="4" s="1"/>
  <c r="X25" i="4"/>
  <c r="AE25" i="4" s="1"/>
  <c r="T26" i="4"/>
  <c r="AA26" i="4" s="1"/>
  <c r="U26" i="4"/>
  <c r="AB26" i="4" s="1"/>
  <c r="V26" i="4"/>
  <c r="AC26" i="4" s="1"/>
  <c r="W26" i="4"/>
  <c r="AD26" i="4" s="1"/>
  <c r="X26" i="4"/>
  <c r="AE26" i="4" s="1"/>
  <c r="T27" i="4"/>
  <c r="AA27" i="4" s="1"/>
  <c r="U27" i="4"/>
  <c r="AB27" i="4" s="1"/>
  <c r="V27" i="4"/>
  <c r="AC27" i="4" s="1"/>
  <c r="W27" i="4"/>
  <c r="AD27" i="4" s="1"/>
  <c r="X27" i="4"/>
  <c r="AE27" i="4" s="1"/>
  <c r="T28" i="4"/>
  <c r="AA28" i="4" s="1"/>
  <c r="U28" i="4"/>
  <c r="AB28" i="4" s="1"/>
  <c r="V28" i="4"/>
  <c r="AC28" i="4" s="1"/>
  <c r="W28" i="4"/>
  <c r="AD28" i="4" s="1"/>
  <c r="X28" i="4"/>
  <c r="AE28" i="4" s="1"/>
  <c r="T29" i="4"/>
  <c r="AA29" i="4" s="1"/>
  <c r="U29" i="4"/>
  <c r="AB29" i="4" s="1"/>
  <c r="V29" i="4"/>
  <c r="AC29" i="4" s="1"/>
  <c r="W29" i="4"/>
  <c r="AD29" i="4" s="1"/>
  <c r="X29" i="4"/>
  <c r="AE29" i="4" s="1"/>
  <c r="T30" i="4"/>
  <c r="AA30" i="4" s="1"/>
  <c r="U30" i="4"/>
  <c r="AB30" i="4" s="1"/>
  <c r="V30" i="4"/>
  <c r="AC30" i="4" s="1"/>
  <c r="W30" i="4"/>
  <c r="AD30" i="4" s="1"/>
  <c r="X30" i="4"/>
  <c r="AE30" i="4" s="1"/>
  <c r="T31" i="4"/>
  <c r="AA31" i="4" s="1"/>
  <c r="U31" i="4"/>
  <c r="AB31" i="4" s="1"/>
  <c r="V31" i="4"/>
  <c r="AC31" i="4" s="1"/>
  <c r="W31" i="4"/>
  <c r="AD31" i="4" s="1"/>
  <c r="X31" i="4"/>
  <c r="AE31" i="4" s="1"/>
  <c r="T32" i="4"/>
  <c r="AA32" i="4" s="1"/>
  <c r="U32" i="4"/>
  <c r="AB32" i="4" s="1"/>
  <c r="V32" i="4"/>
  <c r="AC32" i="4" s="1"/>
  <c r="W32" i="4"/>
  <c r="AD32" i="4" s="1"/>
  <c r="X32" i="4"/>
  <c r="AE32" i="4" s="1"/>
  <c r="T33" i="4"/>
  <c r="AA33" i="4" s="1"/>
  <c r="U33" i="4"/>
  <c r="AB33" i="4" s="1"/>
  <c r="V33" i="4"/>
  <c r="AC33" i="4" s="1"/>
  <c r="W33" i="4"/>
  <c r="AD33" i="4" s="1"/>
  <c r="X33" i="4"/>
  <c r="AE33" i="4" s="1"/>
  <c r="T34" i="4"/>
  <c r="AA34" i="4" s="1"/>
  <c r="U34" i="4"/>
  <c r="AB34" i="4" s="1"/>
  <c r="V34" i="4"/>
  <c r="AC34" i="4" s="1"/>
  <c r="W34" i="4"/>
  <c r="AD34" i="4" s="1"/>
  <c r="X34" i="4"/>
  <c r="AE34" i="4" s="1"/>
  <c r="T35" i="4"/>
  <c r="AA35" i="4" s="1"/>
  <c r="U35" i="4"/>
  <c r="AB35" i="4" s="1"/>
  <c r="V35" i="4"/>
  <c r="AC35" i="4" s="1"/>
  <c r="W35" i="4"/>
  <c r="AD35" i="4" s="1"/>
  <c r="X35" i="4"/>
  <c r="AE35" i="4" s="1"/>
  <c r="T36" i="4"/>
  <c r="AA36" i="4" s="1"/>
  <c r="U36" i="4"/>
  <c r="AB36" i="4" s="1"/>
  <c r="V36" i="4"/>
  <c r="AC36" i="4" s="1"/>
  <c r="W36" i="4"/>
  <c r="AD36" i="4" s="1"/>
  <c r="X36" i="4"/>
  <c r="AE36" i="4" s="1"/>
  <c r="T37" i="4"/>
  <c r="AA37" i="4" s="1"/>
  <c r="U37" i="4"/>
  <c r="AB37" i="4" s="1"/>
  <c r="V37" i="4"/>
  <c r="AC37" i="4" s="1"/>
  <c r="W37" i="4"/>
  <c r="AD37" i="4" s="1"/>
  <c r="X37" i="4"/>
  <c r="AE37" i="4" s="1"/>
  <c r="T38" i="4"/>
  <c r="AA38" i="4" s="1"/>
  <c r="U38" i="4"/>
  <c r="AB38" i="4" s="1"/>
  <c r="V38" i="4"/>
  <c r="AC38" i="4" s="1"/>
  <c r="W38" i="4"/>
  <c r="AD38" i="4" s="1"/>
  <c r="X38" i="4"/>
  <c r="AE38" i="4" s="1"/>
  <c r="T19" i="4"/>
  <c r="AA19" i="4" s="1"/>
  <c r="U19" i="4"/>
  <c r="AB19" i="4" s="1"/>
  <c r="V19" i="4"/>
  <c r="AC19" i="4" s="1"/>
  <c r="W19" i="4"/>
  <c r="AD19" i="4" s="1"/>
  <c r="X19" i="4"/>
  <c r="AE19" i="4" s="1"/>
  <c r="T20" i="4"/>
  <c r="AA20" i="4" s="1"/>
  <c r="U20" i="4"/>
  <c r="AB20" i="4" s="1"/>
  <c r="V20" i="4"/>
  <c r="AC20" i="4" s="1"/>
  <c r="W20" i="4"/>
  <c r="AD20" i="4" s="1"/>
  <c r="X20" i="4"/>
  <c r="AE20" i="4" s="1"/>
  <c r="U18" i="4"/>
  <c r="AB18" i="4" s="1"/>
  <c r="V18" i="4"/>
  <c r="AC18" i="4" s="1"/>
  <c r="W18" i="4"/>
  <c r="AD18" i="4" s="1"/>
  <c r="X18" i="4"/>
  <c r="AE18" i="4" s="1"/>
  <c r="T18" i="4"/>
  <c r="AA18" i="4" s="1"/>
  <c r="T16" i="4"/>
  <c r="AA16" i="4" s="1"/>
  <c r="U16" i="4"/>
  <c r="AB16" i="4" s="1"/>
  <c r="V16" i="4"/>
  <c r="AC16" i="4" s="1"/>
  <c r="W16" i="4"/>
  <c r="AD16" i="4" s="1"/>
  <c r="X16" i="4"/>
  <c r="AE16" i="4" s="1"/>
  <c r="T17" i="4"/>
  <c r="AA17" i="4" s="1"/>
  <c r="U17" i="4"/>
  <c r="AB17" i="4" s="1"/>
  <c r="V17" i="4"/>
  <c r="AC17" i="4" s="1"/>
  <c r="W17" i="4"/>
  <c r="AD17" i="4" s="1"/>
  <c r="X17" i="4"/>
  <c r="AE17" i="4" s="1"/>
  <c r="U15" i="4"/>
  <c r="AB15" i="4" s="1"/>
  <c r="V15" i="4"/>
  <c r="AC15" i="4" s="1"/>
  <c r="W15" i="4"/>
  <c r="AD15" i="4" s="1"/>
  <c r="X15" i="4"/>
  <c r="AE15" i="4" s="1"/>
  <c r="T15" i="4"/>
  <c r="AA15" i="4" s="1"/>
  <c r="T13" i="4"/>
  <c r="AA13" i="4" s="1"/>
  <c r="U13" i="4"/>
  <c r="AB13" i="4" s="1"/>
  <c r="V13" i="4"/>
  <c r="AC13" i="4" s="1"/>
  <c r="W13" i="4"/>
  <c r="AD13" i="4" s="1"/>
  <c r="X13" i="4"/>
  <c r="AE13" i="4" s="1"/>
  <c r="T14" i="4"/>
  <c r="AA14" i="4" s="1"/>
  <c r="U14" i="4"/>
  <c r="AB14" i="4" s="1"/>
  <c r="V14" i="4"/>
  <c r="AC14" i="4" s="1"/>
  <c r="W14" i="4"/>
  <c r="AD14" i="4" s="1"/>
  <c r="X14" i="4"/>
  <c r="AE14" i="4" s="1"/>
  <c r="U12" i="4"/>
  <c r="AB12" i="4" s="1"/>
  <c r="V12" i="4"/>
  <c r="AC12" i="4" s="1"/>
  <c r="W12" i="4"/>
  <c r="AD12" i="4" s="1"/>
  <c r="X12" i="4"/>
  <c r="AE12" i="4" s="1"/>
  <c r="T12" i="4"/>
  <c r="AA12" i="4" s="1"/>
  <c r="T10" i="4"/>
  <c r="AA10" i="4" s="1"/>
  <c r="U10" i="4"/>
  <c r="AB10" i="4" s="1"/>
  <c r="V10" i="4"/>
  <c r="AC10" i="4" s="1"/>
  <c r="W10" i="4"/>
  <c r="AD10" i="4" s="1"/>
  <c r="X10" i="4"/>
  <c r="AE10" i="4" s="1"/>
  <c r="T11" i="4"/>
  <c r="AA11" i="4" s="1"/>
  <c r="U11" i="4"/>
  <c r="AB11" i="4" s="1"/>
  <c r="V11" i="4"/>
  <c r="AC11" i="4" s="1"/>
  <c r="W11" i="4"/>
  <c r="AD11" i="4" s="1"/>
  <c r="X11" i="4"/>
  <c r="AE11" i="4" s="1"/>
  <c r="U9" i="4"/>
  <c r="AB9" i="4" s="1"/>
  <c r="V9" i="4"/>
  <c r="AC9" i="4" s="1"/>
  <c r="W9" i="4"/>
  <c r="AD9" i="4" s="1"/>
  <c r="X9" i="4"/>
  <c r="AE9" i="4" s="1"/>
  <c r="T9" i="4"/>
  <c r="AA9" i="4" s="1"/>
  <c r="T7" i="4"/>
  <c r="AA7" i="4" s="1"/>
  <c r="U7" i="4"/>
  <c r="AB7" i="4" s="1"/>
  <c r="V7" i="4"/>
  <c r="AC7" i="4" s="1"/>
  <c r="W7" i="4"/>
  <c r="AD7" i="4" s="1"/>
  <c r="X7" i="4"/>
  <c r="AE7" i="4" s="1"/>
  <c r="T8" i="4"/>
  <c r="AA8" i="4" s="1"/>
  <c r="U8" i="4"/>
  <c r="AB8" i="4" s="1"/>
  <c r="V8" i="4"/>
  <c r="AC8" i="4" s="1"/>
  <c r="W8" i="4"/>
  <c r="AD8" i="4" s="1"/>
  <c r="X8" i="4"/>
  <c r="AE8" i="4" s="1"/>
  <c r="U6" i="4"/>
  <c r="AB6" i="4" s="1"/>
  <c r="V6" i="4"/>
  <c r="AC6" i="4" s="1"/>
  <c r="W6" i="4"/>
  <c r="AD6" i="4" s="1"/>
  <c r="X6" i="4"/>
  <c r="AE6" i="4" s="1"/>
  <c r="T6" i="4"/>
  <c r="AA6" i="4" s="1"/>
  <c r="T4" i="4"/>
  <c r="AA4" i="4" s="1"/>
  <c r="U4" i="4"/>
  <c r="AB4" i="4" s="1"/>
  <c r="V4" i="4"/>
  <c r="AC4" i="4" s="1"/>
  <c r="W4" i="4"/>
  <c r="AD4" i="4" s="1"/>
  <c r="X4" i="4"/>
  <c r="AE4" i="4" s="1"/>
  <c r="T5" i="4"/>
  <c r="AA5" i="4" s="1"/>
  <c r="U5" i="4"/>
  <c r="AB5" i="4" s="1"/>
  <c r="V5" i="4"/>
  <c r="AC5" i="4" s="1"/>
  <c r="W5" i="4"/>
  <c r="AD5" i="4" s="1"/>
  <c r="X5" i="4"/>
  <c r="AE5" i="4" s="1"/>
  <c r="U3" i="4"/>
  <c r="AB3" i="4" s="1"/>
  <c r="V3" i="4"/>
  <c r="AC3" i="4" s="1"/>
  <c r="W3" i="4"/>
  <c r="AD3" i="4" s="1"/>
  <c r="X3" i="4"/>
  <c r="AE3" i="4" s="1"/>
  <c r="T3" i="4"/>
  <c r="AA3" i="4" s="1"/>
  <c r="N36" i="4"/>
  <c r="O36" i="4"/>
  <c r="P36" i="4"/>
  <c r="Q36" i="4"/>
  <c r="N37" i="4"/>
  <c r="O37" i="4"/>
  <c r="P37" i="4"/>
  <c r="Q37" i="4"/>
  <c r="N38" i="4"/>
  <c r="O38" i="4"/>
  <c r="P38" i="4"/>
  <c r="Q38" i="4"/>
  <c r="M37" i="4"/>
  <c r="M38" i="4"/>
  <c r="M36" i="4"/>
  <c r="N33" i="4"/>
  <c r="O33" i="4"/>
  <c r="P33" i="4"/>
  <c r="Q33" i="4"/>
  <c r="N34" i="4"/>
  <c r="O34" i="4"/>
  <c r="P34" i="4"/>
  <c r="Q34" i="4"/>
  <c r="N35" i="4"/>
  <c r="O35" i="4"/>
  <c r="P35" i="4"/>
  <c r="Q35" i="4"/>
  <c r="M34" i="4"/>
  <c r="M35" i="4"/>
  <c r="M33" i="4"/>
  <c r="M31" i="4"/>
  <c r="N31" i="4"/>
  <c r="O31" i="4"/>
  <c r="P31" i="4"/>
  <c r="Q31" i="4"/>
  <c r="M32" i="4"/>
  <c r="N32" i="4"/>
  <c r="O32" i="4"/>
  <c r="P32" i="4"/>
  <c r="Q32" i="4"/>
  <c r="N30" i="4"/>
  <c r="O30" i="4"/>
  <c r="P30" i="4"/>
  <c r="Q30" i="4"/>
  <c r="M30" i="4"/>
  <c r="M28" i="4"/>
  <c r="N28" i="4"/>
  <c r="O28" i="4"/>
  <c r="P28" i="4"/>
  <c r="Q28" i="4"/>
  <c r="M29" i="4"/>
  <c r="N29" i="4"/>
  <c r="O29" i="4"/>
  <c r="P29" i="4"/>
  <c r="Q29" i="4"/>
  <c r="N27" i="4"/>
  <c r="O27" i="4"/>
  <c r="P27" i="4"/>
  <c r="Q27" i="4"/>
  <c r="M27" i="4"/>
  <c r="M25" i="4"/>
  <c r="N25" i="4"/>
  <c r="O25" i="4"/>
  <c r="P25" i="4"/>
  <c r="Q25" i="4"/>
  <c r="M26" i="4"/>
  <c r="N26" i="4"/>
  <c r="O26" i="4"/>
  <c r="P26" i="4"/>
  <c r="Q26" i="4"/>
  <c r="N24" i="4"/>
  <c r="O24" i="4"/>
  <c r="P24" i="4"/>
  <c r="Q24" i="4"/>
  <c r="M24" i="4"/>
  <c r="M22" i="4"/>
  <c r="N22" i="4"/>
  <c r="O22" i="4"/>
  <c r="P22" i="4"/>
  <c r="Q22" i="4"/>
  <c r="M23" i="4"/>
  <c r="N23" i="4"/>
  <c r="O23" i="4"/>
  <c r="P23" i="4"/>
  <c r="Q23" i="4"/>
  <c r="N21" i="4"/>
  <c r="O21" i="4"/>
  <c r="P21" i="4"/>
  <c r="Q21" i="4"/>
  <c r="M21" i="4"/>
  <c r="M19" i="4"/>
  <c r="N19" i="4"/>
  <c r="O19" i="4"/>
  <c r="P19" i="4"/>
  <c r="Q19" i="4"/>
  <c r="M20" i="4"/>
  <c r="N20" i="4"/>
  <c r="O20" i="4"/>
  <c r="P20" i="4"/>
  <c r="Q20" i="4"/>
  <c r="N18" i="4"/>
  <c r="O18" i="4"/>
  <c r="P18" i="4"/>
  <c r="Q18" i="4"/>
  <c r="M18" i="4"/>
  <c r="M16" i="4"/>
  <c r="N16" i="4"/>
  <c r="O16" i="4"/>
  <c r="P16" i="4"/>
  <c r="Q16" i="4"/>
  <c r="M17" i="4"/>
  <c r="N17" i="4"/>
  <c r="O17" i="4"/>
  <c r="P17" i="4"/>
  <c r="Q17" i="4"/>
  <c r="N15" i="4"/>
  <c r="O15" i="4"/>
  <c r="P15" i="4"/>
  <c r="Q15" i="4"/>
  <c r="M15" i="4"/>
  <c r="M13" i="4"/>
  <c r="N13" i="4"/>
  <c r="O13" i="4"/>
  <c r="P13" i="4"/>
  <c r="Q13" i="4"/>
  <c r="M14" i="4"/>
  <c r="N14" i="4"/>
  <c r="O14" i="4"/>
  <c r="P14" i="4"/>
  <c r="Q14" i="4"/>
  <c r="N12" i="4"/>
  <c r="O12" i="4"/>
  <c r="P12" i="4"/>
  <c r="Q12" i="4"/>
  <c r="M12" i="4"/>
  <c r="M10" i="4"/>
  <c r="N10" i="4"/>
  <c r="O10" i="4"/>
  <c r="P10" i="4"/>
  <c r="Q10" i="4"/>
  <c r="M11" i="4"/>
  <c r="N11" i="4"/>
  <c r="O11" i="4"/>
  <c r="P11" i="4"/>
  <c r="Q11" i="4"/>
  <c r="N9" i="4"/>
  <c r="O9" i="4"/>
  <c r="P9" i="4"/>
  <c r="Q9" i="4"/>
  <c r="M9" i="4"/>
  <c r="M7" i="4"/>
  <c r="N7" i="4"/>
  <c r="O7" i="4"/>
  <c r="P7" i="4"/>
  <c r="Q7" i="4"/>
  <c r="M8" i="4"/>
  <c r="N8" i="4"/>
  <c r="O8" i="4"/>
  <c r="P8" i="4"/>
  <c r="Q8" i="4"/>
  <c r="N6" i="4"/>
  <c r="O6" i="4"/>
  <c r="P6" i="4"/>
  <c r="Q6" i="4"/>
  <c r="M6" i="4"/>
  <c r="M4" i="4"/>
  <c r="N4" i="4"/>
  <c r="O4" i="4"/>
  <c r="P4" i="4"/>
  <c r="Q4" i="4"/>
  <c r="M5" i="4"/>
  <c r="N5" i="4"/>
  <c r="O5" i="4"/>
  <c r="P5" i="4"/>
  <c r="Q5" i="4"/>
  <c r="N3" i="4"/>
  <c r="O3" i="4"/>
  <c r="P3" i="4"/>
  <c r="Q3" i="4"/>
  <c r="M3" i="4"/>
  <c r="O34" i="11"/>
  <c r="V34" i="11" s="1"/>
  <c r="P34" i="11"/>
  <c r="W34" i="11" s="1"/>
  <c r="Q34" i="11"/>
  <c r="X34" i="11" s="1"/>
  <c r="R34" i="11"/>
  <c r="Y34" i="11" s="1"/>
  <c r="S34" i="11"/>
  <c r="Z34" i="11" s="1"/>
  <c r="O35" i="11"/>
  <c r="V35" i="11" s="1"/>
  <c r="P35" i="11"/>
  <c r="W35" i="11" s="1"/>
  <c r="Q35" i="11"/>
  <c r="X35" i="11" s="1"/>
  <c r="R35" i="11"/>
  <c r="Y35" i="11" s="1"/>
  <c r="S35" i="11"/>
  <c r="Z35" i="11" s="1"/>
  <c r="O36" i="11"/>
  <c r="P36" i="11"/>
  <c r="W36" i="11" s="1"/>
  <c r="Q36" i="11"/>
  <c r="X36" i="11" s="1"/>
  <c r="R36" i="11"/>
  <c r="Y36" i="11" s="1"/>
  <c r="S36" i="11"/>
  <c r="Z36" i="11" s="1"/>
  <c r="O37" i="11"/>
  <c r="P37" i="11"/>
  <c r="W37" i="11" s="1"/>
  <c r="Q37" i="11"/>
  <c r="X37" i="11" s="1"/>
  <c r="R37" i="11"/>
  <c r="Y37" i="11" s="1"/>
  <c r="S37" i="11"/>
  <c r="Z37" i="11" s="1"/>
  <c r="O38" i="11"/>
  <c r="P38" i="11"/>
  <c r="W38" i="11" s="1"/>
  <c r="Q38" i="11"/>
  <c r="X38" i="11" s="1"/>
  <c r="R38" i="11"/>
  <c r="Y38" i="11" s="1"/>
  <c r="S38" i="11"/>
  <c r="Z38" i="11" s="1"/>
  <c r="O39" i="11"/>
  <c r="P39" i="11"/>
  <c r="W39" i="11" s="1"/>
  <c r="Q39" i="11"/>
  <c r="X39" i="11" s="1"/>
  <c r="R39" i="11"/>
  <c r="Y39" i="11" s="1"/>
  <c r="S39" i="11"/>
  <c r="Z39" i="11" s="1"/>
  <c r="O40" i="11"/>
  <c r="P40" i="11"/>
  <c r="W40" i="11" s="1"/>
  <c r="Q40" i="11"/>
  <c r="X40" i="11" s="1"/>
  <c r="R40" i="11"/>
  <c r="Y40" i="11" s="1"/>
  <c r="S40" i="11"/>
  <c r="Z40" i="11" s="1"/>
  <c r="O41" i="11"/>
  <c r="P41" i="11"/>
  <c r="W41" i="11" s="1"/>
  <c r="Q41" i="11"/>
  <c r="X41" i="11" s="1"/>
  <c r="R41" i="11"/>
  <c r="Y41" i="11" s="1"/>
  <c r="S41" i="11"/>
  <c r="Z41" i="11" s="1"/>
  <c r="O42" i="11"/>
  <c r="P42" i="11"/>
  <c r="W42" i="11" s="1"/>
  <c r="Q42" i="11"/>
  <c r="X42" i="11" s="1"/>
  <c r="R42" i="11"/>
  <c r="Y42" i="11" s="1"/>
  <c r="S42" i="11"/>
  <c r="Z42" i="11" s="1"/>
  <c r="O43" i="11"/>
  <c r="P43" i="11"/>
  <c r="W43" i="11" s="1"/>
  <c r="Q43" i="11"/>
  <c r="X43" i="11" s="1"/>
  <c r="R43" i="11"/>
  <c r="Y43" i="11" s="1"/>
  <c r="S43" i="11"/>
  <c r="Z43" i="11" s="1"/>
  <c r="O44" i="11"/>
  <c r="P44" i="11"/>
  <c r="W44" i="11" s="1"/>
  <c r="Q44" i="11"/>
  <c r="X44" i="11" s="1"/>
  <c r="R44" i="11"/>
  <c r="Y44" i="11" s="1"/>
  <c r="S44" i="11"/>
  <c r="Z44" i="11" s="1"/>
  <c r="O45" i="11"/>
  <c r="P45" i="11"/>
  <c r="W45" i="11" s="1"/>
  <c r="Q45" i="11"/>
  <c r="X45" i="11" s="1"/>
  <c r="R45" i="11"/>
  <c r="Y45" i="11" s="1"/>
  <c r="S45" i="11"/>
  <c r="Z45" i="11" s="1"/>
  <c r="O46" i="11"/>
  <c r="P46" i="11"/>
  <c r="W46" i="11" s="1"/>
  <c r="Q46" i="11"/>
  <c r="X46" i="11" s="1"/>
  <c r="R46" i="11"/>
  <c r="Y46" i="11" s="1"/>
  <c r="S46" i="11"/>
  <c r="Z46" i="11" s="1"/>
  <c r="O47" i="11"/>
  <c r="P47" i="11"/>
  <c r="W47" i="11" s="1"/>
  <c r="Q47" i="11"/>
  <c r="X47" i="11" s="1"/>
  <c r="R47" i="11"/>
  <c r="Y47" i="11" s="1"/>
  <c r="S47" i="11"/>
  <c r="Z47" i="11" s="1"/>
  <c r="O48" i="11"/>
  <c r="P48" i="11"/>
  <c r="W48" i="11" s="1"/>
  <c r="Q48" i="11"/>
  <c r="X48" i="11" s="1"/>
  <c r="R48" i="11"/>
  <c r="Y48" i="11" s="1"/>
  <c r="S48" i="11"/>
  <c r="Z48" i="11" s="1"/>
  <c r="O49" i="11"/>
  <c r="P49" i="11"/>
  <c r="W49" i="11" s="1"/>
  <c r="Q49" i="11"/>
  <c r="X49" i="11" s="1"/>
  <c r="R49" i="11"/>
  <c r="Y49" i="11" s="1"/>
  <c r="S49" i="11"/>
  <c r="Z49" i="11" s="1"/>
  <c r="O50" i="11"/>
  <c r="P50" i="11"/>
  <c r="W50" i="11" s="1"/>
  <c r="Q50" i="11"/>
  <c r="X50" i="11" s="1"/>
  <c r="R50" i="11"/>
  <c r="Y50" i="11" s="1"/>
  <c r="S50" i="11"/>
  <c r="Z50" i="11" s="1"/>
  <c r="O51" i="11"/>
  <c r="P51" i="11"/>
  <c r="W51" i="11" s="1"/>
  <c r="Q51" i="11"/>
  <c r="X51" i="11" s="1"/>
  <c r="R51" i="11"/>
  <c r="Y51" i="11" s="1"/>
  <c r="S51" i="11"/>
  <c r="Z51" i="11" s="1"/>
  <c r="O52" i="11"/>
  <c r="P52" i="11"/>
  <c r="W52" i="11" s="1"/>
  <c r="Q52" i="11"/>
  <c r="X52" i="11" s="1"/>
  <c r="R52" i="11"/>
  <c r="Y52" i="11" s="1"/>
  <c r="S52" i="11"/>
  <c r="Z52" i="11" s="1"/>
  <c r="O53" i="11"/>
  <c r="P53" i="11"/>
  <c r="W53" i="11" s="1"/>
  <c r="Q53" i="11"/>
  <c r="X53" i="11" s="1"/>
  <c r="R53" i="11"/>
  <c r="Y53" i="11" s="1"/>
  <c r="S53" i="11"/>
  <c r="Z53" i="11" s="1"/>
  <c r="P33" i="11"/>
  <c r="W33" i="11" s="1"/>
  <c r="Q33" i="11"/>
  <c r="X33" i="11" s="1"/>
  <c r="R33" i="11"/>
  <c r="Y33" i="11" s="1"/>
  <c r="S33" i="11"/>
  <c r="Z33" i="11" s="1"/>
  <c r="O33" i="11"/>
  <c r="V33" i="11" s="1"/>
  <c r="O16" i="11"/>
  <c r="V16" i="11" s="1"/>
  <c r="P16" i="11"/>
  <c r="W16" i="11" s="1"/>
  <c r="Q16" i="11"/>
  <c r="X16" i="11" s="1"/>
  <c r="R16" i="11"/>
  <c r="Y16" i="11" s="1"/>
  <c r="S16" i="11"/>
  <c r="Z16" i="11" s="1"/>
  <c r="O17" i="11"/>
  <c r="V17" i="11" s="1"/>
  <c r="P17" i="11"/>
  <c r="W17" i="11" s="1"/>
  <c r="Q17" i="11"/>
  <c r="X17" i="11" s="1"/>
  <c r="R17" i="11"/>
  <c r="Y17" i="11" s="1"/>
  <c r="S17" i="11"/>
  <c r="Z17" i="11" s="1"/>
  <c r="O18" i="11"/>
  <c r="V18" i="11" s="1"/>
  <c r="P18" i="11"/>
  <c r="W18" i="11" s="1"/>
  <c r="Q18" i="11"/>
  <c r="X18" i="11" s="1"/>
  <c r="R18" i="11"/>
  <c r="Y18" i="11" s="1"/>
  <c r="S18" i="11"/>
  <c r="Z18" i="11" s="1"/>
  <c r="O19" i="11"/>
  <c r="V19" i="11" s="1"/>
  <c r="P19" i="11"/>
  <c r="W19" i="11" s="1"/>
  <c r="Q19" i="11"/>
  <c r="X19" i="11" s="1"/>
  <c r="R19" i="11"/>
  <c r="Y19" i="11" s="1"/>
  <c r="S19" i="11"/>
  <c r="Z19" i="11" s="1"/>
  <c r="O20" i="11"/>
  <c r="V20" i="11" s="1"/>
  <c r="P20" i="11"/>
  <c r="W20" i="11" s="1"/>
  <c r="Q20" i="11"/>
  <c r="X20" i="11" s="1"/>
  <c r="R20" i="11"/>
  <c r="Y20" i="11" s="1"/>
  <c r="S20" i="11"/>
  <c r="Z20" i="11" s="1"/>
  <c r="O21" i="11"/>
  <c r="V21" i="11" s="1"/>
  <c r="P21" i="11"/>
  <c r="W21" i="11" s="1"/>
  <c r="Q21" i="11"/>
  <c r="X21" i="11" s="1"/>
  <c r="R21" i="11"/>
  <c r="Y21" i="11" s="1"/>
  <c r="S21" i="11"/>
  <c r="Z21" i="11" s="1"/>
  <c r="O22" i="11"/>
  <c r="V22" i="11" s="1"/>
  <c r="P22" i="11"/>
  <c r="W22" i="11" s="1"/>
  <c r="Q22" i="11"/>
  <c r="X22" i="11" s="1"/>
  <c r="R22" i="11"/>
  <c r="Y22" i="11" s="1"/>
  <c r="S22" i="11"/>
  <c r="Z22" i="11" s="1"/>
  <c r="O23" i="11"/>
  <c r="V23" i="11" s="1"/>
  <c r="P23" i="11"/>
  <c r="W23" i="11" s="1"/>
  <c r="Q23" i="11"/>
  <c r="X23" i="11" s="1"/>
  <c r="R23" i="11"/>
  <c r="Y23" i="11" s="1"/>
  <c r="S23" i="11"/>
  <c r="Z23" i="11" s="1"/>
  <c r="O24" i="11"/>
  <c r="V24" i="11" s="1"/>
  <c r="P24" i="11"/>
  <c r="W24" i="11" s="1"/>
  <c r="Q24" i="11"/>
  <c r="X24" i="11" s="1"/>
  <c r="R24" i="11"/>
  <c r="Y24" i="11" s="1"/>
  <c r="S24" i="11"/>
  <c r="Z24" i="11" s="1"/>
  <c r="O25" i="11"/>
  <c r="V25" i="11" s="1"/>
  <c r="P25" i="11"/>
  <c r="W25" i="11" s="1"/>
  <c r="Q25" i="11"/>
  <c r="X25" i="11" s="1"/>
  <c r="R25" i="11"/>
  <c r="Y25" i="11" s="1"/>
  <c r="S25" i="11"/>
  <c r="Z25" i="11" s="1"/>
  <c r="O26" i="11"/>
  <c r="V26" i="11" s="1"/>
  <c r="P26" i="11"/>
  <c r="W26" i="11" s="1"/>
  <c r="Q26" i="11"/>
  <c r="X26" i="11" s="1"/>
  <c r="R26" i="11"/>
  <c r="Y26" i="11" s="1"/>
  <c r="S26" i="11"/>
  <c r="Z26" i="11" s="1"/>
  <c r="O27" i="11"/>
  <c r="V27" i="11" s="1"/>
  <c r="P27" i="11"/>
  <c r="W27" i="11" s="1"/>
  <c r="Q27" i="11"/>
  <c r="X27" i="11" s="1"/>
  <c r="R27" i="11"/>
  <c r="Y27" i="11" s="1"/>
  <c r="S27" i="11"/>
  <c r="Z27" i="11" s="1"/>
  <c r="O28" i="11"/>
  <c r="V28" i="11" s="1"/>
  <c r="P28" i="11"/>
  <c r="W28" i="11" s="1"/>
  <c r="Q28" i="11"/>
  <c r="X28" i="11" s="1"/>
  <c r="R28" i="11"/>
  <c r="Y28" i="11" s="1"/>
  <c r="S28" i="11"/>
  <c r="Z28" i="11" s="1"/>
  <c r="O29" i="11"/>
  <c r="V29" i="11" s="1"/>
  <c r="P29" i="11"/>
  <c r="W29" i="11" s="1"/>
  <c r="Q29" i="11"/>
  <c r="X29" i="11" s="1"/>
  <c r="R29" i="11"/>
  <c r="Y29" i="11" s="1"/>
  <c r="S29" i="11"/>
  <c r="Z29" i="11" s="1"/>
  <c r="O30" i="11"/>
  <c r="V30" i="11" s="1"/>
  <c r="P30" i="11"/>
  <c r="W30" i="11" s="1"/>
  <c r="Q30" i="11"/>
  <c r="X30" i="11" s="1"/>
  <c r="R30" i="11"/>
  <c r="Y30" i="11" s="1"/>
  <c r="S30" i="11"/>
  <c r="Z30" i="11" s="1"/>
  <c r="O31" i="11"/>
  <c r="V31" i="11" s="1"/>
  <c r="P31" i="11"/>
  <c r="W31" i="11" s="1"/>
  <c r="Q31" i="11"/>
  <c r="X31" i="11" s="1"/>
  <c r="R31" i="11"/>
  <c r="Y31" i="11" s="1"/>
  <c r="S31" i="11"/>
  <c r="Z31" i="11" s="1"/>
  <c r="O32" i="11"/>
  <c r="V32" i="11" s="1"/>
  <c r="P32" i="11"/>
  <c r="W32" i="11" s="1"/>
  <c r="Q32" i="11"/>
  <c r="X32" i="11" s="1"/>
  <c r="R32" i="11"/>
  <c r="Y32" i="11" s="1"/>
  <c r="S32" i="11"/>
  <c r="Z32" i="11" s="1"/>
  <c r="P15" i="11"/>
  <c r="W15" i="11" s="1"/>
  <c r="Q15" i="11"/>
  <c r="X15" i="11" s="1"/>
  <c r="R15" i="11"/>
  <c r="Y15" i="11" s="1"/>
  <c r="S15" i="11"/>
  <c r="Z15" i="11" s="1"/>
  <c r="O15" i="11"/>
  <c r="V15" i="11" s="1"/>
  <c r="O10" i="11"/>
  <c r="V10" i="11" s="1"/>
  <c r="P10" i="11"/>
  <c r="W10" i="11" s="1"/>
  <c r="Q10" i="11"/>
  <c r="X10" i="11" s="1"/>
  <c r="R10" i="11"/>
  <c r="Y10" i="11" s="1"/>
  <c r="S10" i="11"/>
  <c r="Z10" i="11" s="1"/>
  <c r="O11" i="11"/>
  <c r="V11" i="11" s="1"/>
  <c r="P11" i="11"/>
  <c r="W11" i="11" s="1"/>
  <c r="Q11" i="11"/>
  <c r="X11" i="11" s="1"/>
  <c r="R11" i="11"/>
  <c r="Y11" i="11" s="1"/>
  <c r="S11" i="11"/>
  <c r="Z11" i="11" s="1"/>
  <c r="O12" i="11"/>
  <c r="P12" i="11"/>
  <c r="W12" i="11" s="1"/>
  <c r="Q12" i="11"/>
  <c r="X12" i="11" s="1"/>
  <c r="R12" i="11"/>
  <c r="Y12" i="11" s="1"/>
  <c r="S12" i="11"/>
  <c r="Z12" i="11" s="1"/>
  <c r="O13" i="11"/>
  <c r="P13" i="11"/>
  <c r="W13" i="11" s="1"/>
  <c r="Q13" i="11"/>
  <c r="X13" i="11" s="1"/>
  <c r="R13" i="11"/>
  <c r="Y13" i="11" s="1"/>
  <c r="S13" i="11"/>
  <c r="Z13" i="11" s="1"/>
  <c r="O14" i="11"/>
  <c r="P14" i="11"/>
  <c r="W14" i="11" s="1"/>
  <c r="Q14" i="11"/>
  <c r="X14" i="11" s="1"/>
  <c r="R14" i="11"/>
  <c r="Y14" i="11" s="1"/>
  <c r="S14" i="11"/>
  <c r="Z14" i="11" s="1"/>
  <c r="P9" i="11"/>
  <c r="W9" i="11" s="1"/>
  <c r="Q9" i="11"/>
  <c r="X9" i="11" s="1"/>
  <c r="R9" i="11"/>
  <c r="Y9" i="11" s="1"/>
  <c r="S9" i="11"/>
  <c r="Z9" i="11" s="1"/>
  <c r="O9" i="11"/>
  <c r="V9" i="11" s="1"/>
  <c r="O3" i="11"/>
  <c r="V3" i="11"/>
  <c r="O4" i="11"/>
  <c r="V4" i="11" s="1"/>
  <c r="P4" i="11"/>
  <c r="W4" i="11" s="1"/>
  <c r="Q4" i="11"/>
  <c r="X4" i="11" s="1"/>
  <c r="R4" i="11"/>
  <c r="Y4" i="11" s="1"/>
  <c r="S4" i="11"/>
  <c r="Z4" i="11" s="1"/>
  <c r="O5" i="11"/>
  <c r="V5" i="11" s="1"/>
  <c r="P5" i="11"/>
  <c r="W5" i="11" s="1"/>
  <c r="Q5" i="11"/>
  <c r="X5" i="11" s="1"/>
  <c r="R5" i="11"/>
  <c r="Y5" i="11" s="1"/>
  <c r="S5" i="11"/>
  <c r="Z5" i="11" s="1"/>
  <c r="O6" i="11"/>
  <c r="V6" i="11" s="1"/>
  <c r="P6" i="11"/>
  <c r="W6" i="11" s="1"/>
  <c r="Q6" i="11"/>
  <c r="X6" i="11" s="1"/>
  <c r="R6" i="11"/>
  <c r="Y6" i="11" s="1"/>
  <c r="S6" i="11"/>
  <c r="Z6" i="11" s="1"/>
  <c r="O7" i="11"/>
  <c r="V7" i="11" s="1"/>
  <c r="P7" i="11"/>
  <c r="W7" i="11" s="1"/>
  <c r="Q7" i="11"/>
  <c r="X7" i="11" s="1"/>
  <c r="R7" i="11"/>
  <c r="Y7" i="11" s="1"/>
  <c r="S7" i="11"/>
  <c r="Z7" i="11" s="1"/>
  <c r="O8" i="11"/>
  <c r="V8" i="11" s="1"/>
  <c r="P8" i="11"/>
  <c r="W8" i="11" s="1"/>
  <c r="Q8" i="11"/>
  <c r="X8" i="11" s="1"/>
  <c r="R8" i="11"/>
  <c r="Y8" i="11" s="1"/>
  <c r="S8" i="11"/>
  <c r="Z8" i="11" s="1"/>
  <c r="P3" i="11"/>
  <c r="W3" i="11" s="1"/>
  <c r="Q3" i="11"/>
  <c r="X3" i="11" s="1"/>
  <c r="R3" i="11"/>
  <c r="Y3" i="11" s="1"/>
  <c r="S3" i="11"/>
  <c r="Z3" i="11" s="1"/>
  <c r="T4" i="11"/>
  <c r="T5" i="11"/>
  <c r="T6" i="11"/>
  <c r="T7" i="11"/>
  <c r="T8" i="11"/>
  <c r="T3" i="11"/>
  <c r="S98" i="11"/>
  <c r="Z98" i="11" s="1"/>
  <c r="R98" i="11"/>
  <c r="Y98" i="11" s="1"/>
  <c r="Q98" i="11"/>
  <c r="X98" i="11" s="1"/>
  <c r="P98" i="11"/>
  <c r="W98" i="11" s="1"/>
  <c r="O98" i="11"/>
  <c r="S97" i="11"/>
  <c r="Z97" i="11" s="1"/>
  <c r="R97" i="11"/>
  <c r="Y97" i="11" s="1"/>
  <c r="Q97" i="11"/>
  <c r="X97" i="11" s="1"/>
  <c r="P97" i="11"/>
  <c r="W97" i="11" s="1"/>
  <c r="O97" i="11"/>
  <c r="S96" i="11"/>
  <c r="Z96" i="11" s="1"/>
  <c r="R96" i="11"/>
  <c r="Y96" i="11" s="1"/>
  <c r="Q96" i="11"/>
  <c r="X96" i="11" s="1"/>
  <c r="P96" i="11"/>
  <c r="W96" i="11" s="1"/>
  <c r="O96" i="11"/>
  <c r="S95" i="11"/>
  <c r="Z95" i="11" s="1"/>
  <c r="R95" i="11"/>
  <c r="Y95" i="11" s="1"/>
  <c r="Q95" i="11"/>
  <c r="X95" i="11" s="1"/>
  <c r="P95" i="11"/>
  <c r="W95" i="11" s="1"/>
  <c r="O95" i="11"/>
  <c r="S94" i="11"/>
  <c r="Z94" i="11" s="1"/>
  <c r="R94" i="11"/>
  <c r="Y94" i="11" s="1"/>
  <c r="Q94" i="11"/>
  <c r="X94" i="11" s="1"/>
  <c r="P94" i="11"/>
  <c r="W94" i="11" s="1"/>
  <c r="O94" i="11"/>
  <c r="S93" i="11"/>
  <c r="Z93" i="11" s="1"/>
  <c r="R93" i="11"/>
  <c r="Y93" i="11" s="1"/>
  <c r="Q93" i="11"/>
  <c r="X93" i="11" s="1"/>
  <c r="P93" i="11"/>
  <c r="W93" i="11" s="1"/>
  <c r="O93" i="11"/>
  <c r="S92" i="11"/>
  <c r="Z92" i="11" s="1"/>
  <c r="R92" i="11"/>
  <c r="Y92" i="11" s="1"/>
  <c r="Q92" i="11"/>
  <c r="X92" i="11" s="1"/>
  <c r="P92" i="11"/>
  <c r="W92" i="11" s="1"/>
  <c r="O92" i="11"/>
  <c r="S91" i="11"/>
  <c r="Z91" i="11" s="1"/>
  <c r="R91" i="11"/>
  <c r="Y91" i="11" s="1"/>
  <c r="Q91" i="11"/>
  <c r="X91" i="11" s="1"/>
  <c r="P91" i="11"/>
  <c r="W91" i="11" s="1"/>
  <c r="O91" i="11"/>
  <c r="S90" i="11"/>
  <c r="Z90" i="11" s="1"/>
  <c r="R90" i="11"/>
  <c r="Y90" i="11" s="1"/>
  <c r="Q90" i="11"/>
  <c r="X90" i="11" s="1"/>
  <c r="P90" i="11"/>
  <c r="W90" i="11" s="1"/>
  <c r="O90" i="11"/>
  <c r="S89" i="11"/>
  <c r="Z89" i="11" s="1"/>
  <c r="R89" i="11"/>
  <c r="Y89" i="11" s="1"/>
  <c r="Q89" i="11"/>
  <c r="X89" i="11" s="1"/>
  <c r="P89" i="11"/>
  <c r="W89" i="11" s="1"/>
  <c r="O89" i="11"/>
  <c r="S88" i="11"/>
  <c r="Z88" i="11" s="1"/>
  <c r="R88" i="11"/>
  <c r="Y88" i="11" s="1"/>
  <c r="Q88" i="11"/>
  <c r="X88" i="11" s="1"/>
  <c r="P88" i="11"/>
  <c r="W88" i="11" s="1"/>
  <c r="O88" i="11"/>
  <c r="S87" i="11"/>
  <c r="Z87" i="11" s="1"/>
  <c r="R87" i="11"/>
  <c r="Y87" i="11" s="1"/>
  <c r="Q87" i="11"/>
  <c r="X87" i="11" s="1"/>
  <c r="P87" i="11"/>
  <c r="W87" i="11" s="1"/>
  <c r="O87" i="11"/>
  <c r="S86" i="11"/>
  <c r="Z86" i="11" s="1"/>
  <c r="R86" i="11"/>
  <c r="Y86" i="11" s="1"/>
  <c r="Q86" i="11"/>
  <c r="X86" i="11" s="1"/>
  <c r="P86" i="11"/>
  <c r="W86" i="11" s="1"/>
  <c r="O86" i="11"/>
  <c r="S85" i="11"/>
  <c r="Z85" i="11" s="1"/>
  <c r="R85" i="11"/>
  <c r="Y85" i="11" s="1"/>
  <c r="Q85" i="11"/>
  <c r="X85" i="11" s="1"/>
  <c r="P85" i="11"/>
  <c r="W85" i="11" s="1"/>
  <c r="O85" i="11"/>
  <c r="S84" i="11"/>
  <c r="Z84" i="11" s="1"/>
  <c r="R84" i="11"/>
  <c r="Y84" i="11" s="1"/>
  <c r="Q84" i="11"/>
  <c r="X84" i="11" s="1"/>
  <c r="P84" i="11"/>
  <c r="W84" i="11" s="1"/>
  <c r="O84" i="11"/>
  <c r="S83" i="11"/>
  <c r="Z83" i="11" s="1"/>
  <c r="R83" i="11"/>
  <c r="Y83" i="11" s="1"/>
  <c r="Q83" i="11"/>
  <c r="X83" i="11" s="1"/>
  <c r="P83" i="11"/>
  <c r="W83" i="11" s="1"/>
  <c r="O83" i="11"/>
  <c r="S82" i="11"/>
  <c r="Z82" i="11" s="1"/>
  <c r="R82" i="11"/>
  <c r="Y82" i="11" s="1"/>
  <c r="Q82" i="11"/>
  <c r="X82" i="11" s="1"/>
  <c r="P82" i="11"/>
  <c r="W82" i="11" s="1"/>
  <c r="O82" i="11"/>
  <c r="S81" i="11"/>
  <c r="Z81" i="11" s="1"/>
  <c r="R81" i="11"/>
  <c r="Y81" i="11" s="1"/>
  <c r="Q81" i="11"/>
  <c r="X81" i="11" s="1"/>
  <c r="P81" i="11"/>
  <c r="W81" i="11" s="1"/>
  <c r="O81" i="11"/>
  <c r="S59" i="11"/>
  <c r="Z59" i="11" s="1"/>
  <c r="R59" i="11"/>
  <c r="Y59" i="11" s="1"/>
  <c r="Q59" i="11"/>
  <c r="X59" i="11" s="1"/>
  <c r="P59" i="11"/>
  <c r="W59" i="11" s="1"/>
  <c r="O59" i="11"/>
  <c r="S58" i="11"/>
  <c r="Z58" i="11" s="1"/>
  <c r="R58" i="11"/>
  <c r="Y58" i="11" s="1"/>
  <c r="Q58" i="11"/>
  <c r="X58" i="11" s="1"/>
  <c r="P58" i="11"/>
  <c r="W58" i="11" s="1"/>
  <c r="O58" i="11"/>
  <c r="S57" i="11"/>
  <c r="Z57" i="11" s="1"/>
  <c r="R57" i="11"/>
  <c r="Y57" i="11" s="1"/>
  <c r="Q57" i="11"/>
  <c r="X57" i="11" s="1"/>
  <c r="P57" i="11"/>
  <c r="W57" i="11" s="1"/>
  <c r="O57" i="11"/>
  <c r="O36" i="7"/>
  <c r="M36" i="7"/>
  <c r="K36" i="7"/>
  <c r="J36" i="7"/>
  <c r="Q37" i="7" s="1"/>
  <c r="I36" i="7"/>
  <c r="H35" i="7"/>
  <c r="S34" i="7"/>
  <c r="S35" i="7" s="1"/>
  <c r="S36" i="7" s="1"/>
  <c r="S37" i="7" s="1"/>
  <c r="V32" i="7" s="1"/>
  <c r="V33" i="7" s="1"/>
  <c r="M34" i="7"/>
  <c r="L34" i="7"/>
  <c r="H37" i="7" s="1"/>
  <c r="K34" i="7"/>
  <c r="H34" i="7"/>
  <c r="I34" i="7" s="1"/>
  <c r="S33" i="7"/>
  <c r="L33" i="7"/>
  <c r="J33" i="7"/>
  <c r="S32" i="7"/>
  <c r="O32" i="7"/>
  <c r="M32" i="7"/>
  <c r="J32" i="7"/>
  <c r="K32" i="7" s="1"/>
  <c r="I32" i="7"/>
  <c r="M29" i="7"/>
  <c r="J29" i="7"/>
  <c r="Q30" i="7" s="1"/>
  <c r="H29" i="7"/>
  <c r="I29" i="7" s="1"/>
  <c r="H28" i="7"/>
  <c r="S27" i="7"/>
  <c r="S28" i="7" s="1"/>
  <c r="S29" i="7" s="1"/>
  <c r="S30" i="7" s="1"/>
  <c r="V25" i="7" s="1"/>
  <c r="V26" i="7" s="1"/>
  <c r="M27" i="7"/>
  <c r="L27" i="7"/>
  <c r="L28" i="7" s="1"/>
  <c r="K27" i="7"/>
  <c r="H27" i="7"/>
  <c r="I27" i="7" s="1"/>
  <c r="S26" i="7"/>
  <c r="L26" i="7"/>
  <c r="J26" i="7"/>
  <c r="S25" i="7"/>
  <c r="O25" i="7"/>
  <c r="M25" i="7"/>
  <c r="J25" i="7"/>
  <c r="K25" i="7" s="1"/>
  <c r="I25" i="7"/>
  <c r="Q23" i="7"/>
  <c r="J23" i="7"/>
  <c r="M22" i="7"/>
  <c r="K22" i="7"/>
  <c r="I22" i="7"/>
  <c r="H22" i="7"/>
  <c r="H23" i="7" s="1"/>
  <c r="L20" i="7"/>
  <c r="L21" i="7" s="1"/>
  <c r="K20" i="7"/>
  <c r="I20" i="7"/>
  <c r="H20" i="7"/>
  <c r="Q21" i="7" s="1"/>
  <c r="L19" i="7"/>
  <c r="J19" i="7"/>
  <c r="S18" i="7"/>
  <c r="S19" i="7" s="1"/>
  <c r="S20" i="7" s="1"/>
  <c r="S21" i="7" s="1"/>
  <c r="S22" i="7" s="1"/>
  <c r="S23" i="7" s="1"/>
  <c r="V18" i="7" s="1"/>
  <c r="V19" i="7" s="1"/>
  <c r="O18" i="7"/>
  <c r="O22" i="7" s="1"/>
  <c r="M18" i="7"/>
  <c r="K18" i="7"/>
  <c r="J18" i="7"/>
  <c r="I18" i="7"/>
  <c r="Q16" i="7"/>
  <c r="J16" i="7"/>
  <c r="H16" i="7"/>
  <c r="Q15" i="7"/>
  <c r="M15" i="7"/>
  <c r="K15" i="7"/>
  <c r="I15" i="7"/>
  <c r="BB14" i="7"/>
  <c r="BA14" i="7"/>
  <c r="S13" i="7"/>
  <c r="S14" i="7" s="1"/>
  <c r="S15" i="7" s="1"/>
  <c r="S16" i="7" s="1"/>
  <c r="V13" i="7" s="1"/>
  <c r="V14" i="7" s="1"/>
  <c r="V15" i="7" s="1"/>
  <c r="O13" i="7"/>
  <c r="O15" i="7" s="1"/>
  <c r="M13" i="7"/>
  <c r="K13" i="7"/>
  <c r="I13" i="7"/>
  <c r="AY11" i="7"/>
  <c r="Q11" i="7"/>
  <c r="AY10" i="7"/>
  <c r="M10" i="7"/>
  <c r="K10" i="7"/>
  <c r="I10" i="7"/>
  <c r="Q9" i="7"/>
  <c r="M8" i="7"/>
  <c r="K8" i="7"/>
  <c r="I8" i="7"/>
  <c r="S6" i="7"/>
  <c r="S7" i="7" s="1"/>
  <c r="S8" i="7" s="1"/>
  <c r="S9" i="7" s="1"/>
  <c r="S10" i="7" s="1"/>
  <c r="S11" i="7" s="1"/>
  <c r="V6" i="7" s="1"/>
  <c r="V7" i="7" s="1"/>
  <c r="O6" i="7"/>
  <c r="O10" i="7" s="1"/>
  <c r="M6" i="7"/>
  <c r="K6" i="7"/>
  <c r="I6" i="7"/>
  <c r="AX5" i="7"/>
  <c r="L1" i="7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6" i="4"/>
  <c r="R3" i="4"/>
  <c r="M32" i="1"/>
  <c r="K32" i="1"/>
  <c r="I32" i="1"/>
  <c r="I29" i="1"/>
  <c r="J37" i="1"/>
  <c r="H35" i="1"/>
  <c r="M36" i="1"/>
  <c r="K36" i="1"/>
  <c r="I36" i="1"/>
  <c r="I34" i="1"/>
  <c r="K34" i="1"/>
  <c r="M34" i="1"/>
  <c r="M29" i="1"/>
  <c r="K29" i="1"/>
  <c r="M27" i="1"/>
  <c r="K27" i="1"/>
  <c r="I27" i="1"/>
  <c r="M25" i="1"/>
  <c r="I25" i="1"/>
  <c r="I22" i="1"/>
  <c r="K22" i="1"/>
  <c r="M22" i="1"/>
  <c r="M20" i="1"/>
  <c r="K20" i="1"/>
  <c r="I20" i="1"/>
  <c r="I18" i="1"/>
  <c r="K18" i="1"/>
  <c r="M18" i="1"/>
  <c r="K15" i="1"/>
  <c r="M15" i="1"/>
  <c r="I13" i="1"/>
  <c r="K13" i="1"/>
  <c r="M13" i="1"/>
  <c r="M10" i="1"/>
  <c r="K10" i="1"/>
  <c r="I10" i="1"/>
  <c r="K8" i="1"/>
  <c r="M8" i="1"/>
  <c r="M6" i="1"/>
  <c r="K6" i="1"/>
  <c r="S32" i="1"/>
  <c r="S33" i="1" s="1"/>
  <c r="S34" i="1" s="1"/>
  <c r="S35" i="1" s="1"/>
  <c r="S36" i="1" s="1"/>
  <c r="S37" i="1" s="1"/>
  <c r="V32" i="1" s="1"/>
  <c r="V33" i="1" s="1"/>
  <c r="O32" i="1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4" i="4"/>
  <c r="Y5" i="4"/>
  <c r="C7" i="3"/>
  <c r="D7" i="3"/>
  <c r="E7" i="3"/>
  <c r="C8" i="3"/>
  <c r="D8" i="3"/>
  <c r="E8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C15" i="3"/>
  <c r="D15" i="3"/>
  <c r="E15" i="3"/>
  <c r="C16" i="3"/>
  <c r="D16" i="3"/>
  <c r="E16" i="3"/>
  <c r="C17" i="3"/>
  <c r="D17" i="3"/>
  <c r="E17" i="3"/>
  <c r="C18" i="3"/>
  <c r="D18" i="3"/>
  <c r="E18" i="3"/>
  <c r="C19" i="3"/>
  <c r="D19" i="3"/>
  <c r="E19" i="3"/>
  <c r="C20" i="3"/>
  <c r="D20" i="3"/>
  <c r="E20" i="3"/>
  <c r="C21" i="3"/>
  <c r="D21" i="3"/>
  <c r="E21" i="3"/>
  <c r="C22" i="3"/>
  <c r="D22" i="3"/>
  <c r="E22" i="3"/>
  <c r="C23" i="3"/>
  <c r="D23" i="3"/>
  <c r="E23" i="3"/>
  <c r="C24" i="3"/>
  <c r="D24" i="3"/>
  <c r="E24" i="3"/>
  <c r="C25" i="3"/>
  <c r="D25" i="3"/>
  <c r="E25" i="3"/>
  <c r="C26" i="3"/>
  <c r="D26" i="3"/>
  <c r="E26" i="3"/>
  <c r="C27" i="3"/>
  <c r="D27" i="3"/>
  <c r="E27" i="3"/>
  <c r="C28" i="3"/>
  <c r="D28" i="3"/>
  <c r="E28" i="3"/>
  <c r="C29" i="3"/>
  <c r="D29" i="3"/>
  <c r="E29" i="3"/>
  <c r="C30" i="3"/>
  <c r="D30" i="3"/>
  <c r="E30" i="3"/>
  <c r="C31" i="3"/>
  <c r="D31" i="3"/>
  <c r="E31" i="3"/>
  <c r="C32" i="3"/>
  <c r="D32" i="3"/>
  <c r="E32" i="3"/>
  <c r="C33" i="3"/>
  <c r="D33" i="3"/>
  <c r="E33" i="3"/>
  <c r="C34" i="3"/>
  <c r="D34" i="3"/>
  <c r="E34" i="3"/>
  <c r="C35" i="3"/>
  <c r="D35" i="3"/>
  <c r="E35" i="3"/>
  <c r="C36" i="3"/>
  <c r="D36" i="3"/>
  <c r="E36" i="3"/>
  <c r="C37" i="3"/>
  <c r="D37" i="3"/>
  <c r="E37" i="3"/>
  <c r="C38" i="3"/>
  <c r="D38" i="3"/>
  <c r="E38" i="3"/>
  <c r="C39" i="3"/>
  <c r="D39" i="3"/>
  <c r="E39" i="3"/>
  <c r="N8" i="14" l="1"/>
  <c r="N7" i="14"/>
  <c r="N10" i="14" s="1"/>
  <c r="N11" i="14" s="1"/>
  <c r="N12" i="14" s="1"/>
  <c r="A6" i="8"/>
  <c r="F6" i="9"/>
  <c r="J25" i="1"/>
  <c r="K25" i="1" s="1"/>
  <c r="V53" i="11"/>
  <c r="T53" i="11"/>
  <c r="V52" i="11"/>
  <c r="T52" i="11"/>
  <c r="V51" i="11"/>
  <c r="T51" i="11"/>
  <c r="V50" i="11"/>
  <c r="T50" i="11"/>
  <c r="V49" i="11"/>
  <c r="T49" i="11"/>
  <c r="V48" i="11"/>
  <c r="T48" i="11"/>
  <c r="V47" i="11"/>
  <c r="T47" i="11"/>
  <c r="V46" i="11"/>
  <c r="T46" i="11"/>
  <c r="V45" i="11"/>
  <c r="T45" i="11"/>
  <c r="V44" i="11"/>
  <c r="T44" i="11"/>
  <c r="V43" i="11"/>
  <c r="T43" i="11"/>
  <c r="V42" i="11"/>
  <c r="T42" i="11"/>
  <c r="V41" i="11"/>
  <c r="T41" i="11"/>
  <c r="V40" i="11"/>
  <c r="T40" i="11"/>
  <c r="V39" i="11"/>
  <c r="T39" i="11"/>
  <c r="V38" i="11"/>
  <c r="T38" i="11"/>
  <c r="V37" i="11"/>
  <c r="T37" i="11"/>
  <c r="V36" i="11"/>
  <c r="T36" i="11"/>
  <c r="AA53" i="11"/>
  <c r="AA52" i="11"/>
  <c r="AA51" i="11"/>
  <c r="AA50" i="11"/>
  <c r="AA49" i="11"/>
  <c r="AA48" i="11"/>
  <c r="AA47" i="11"/>
  <c r="AA46" i="11"/>
  <c r="AA45" i="11"/>
  <c r="AA44" i="11"/>
  <c r="AA43" i="11"/>
  <c r="AA42" i="11"/>
  <c r="AA41" i="11"/>
  <c r="AA40" i="11"/>
  <c r="AA39" i="11"/>
  <c r="AA38" i="11"/>
  <c r="AA37" i="11"/>
  <c r="AA36" i="11"/>
  <c r="AA32" i="11"/>
  <c r="AA31" i="11"/>
  <c r="AA30" i="11"/>
  <c r="AA29" i="11"/>
  <c r="AA28" i="11"/>
  <c r="AA27" i="11"/>
  <c r="AA26" i="11"/>
  <c r="AA25" i="11"/>
  <c r="AA24" i="11"/>
  <c r="AA23" i="11"/>
  <c r="AA22" i="11"/>
  <c r="AA21" i="11"/>
  <c r="AA20" i="11"/>
  <c r="AA19" i="11"/>
  <c r="AA18" i="11"/>
  <c r="V14" i="11"/>
  <c r="T14" i="11"/>
  <c r="V13" i="11"/>
  <c r="T13" i="11"/>
  <c r="V12" i="11"/>
  <c r="T12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AA14" i="11"/>
  <c r="AA13" i="11"/>
  <c r="AA12" i="11"/>
  <c r="AA8" i="11"/>
  <c r="AA7" i="11"/>
  <c r="AA6" i="11"/>
  <c r="AA3" i="11"/>
  <c r="AA4" i="11"/>
  <c r="AA5" i="11"/>
  <c r="AA9" i="11"/>
  <c r="T9" i="11"/>
  <c r="AA10" i="11"/>
  <c r="T10" i="11"/>
  <c r="AA11" i="11"/>
  <c r="T11" i="11"/>
  <c r="AA15" i="11"/>
  <c r="T15" i="11"/>
  <c r="AA16" i="11"/>
  <c r="AA17" i="11"/>
  <c r="AA33" i="11"/>
  <c r="T33" i="11"/>
  <c r="AA34" i="11"/>
  <c r="T34" i="11"/>
  <c r="AA35" i="11"/>
  <c r="T35" i="11"/>
  <c r="V57" i="11"/>
  <c r="AA57" i="11" s="1"/>
  <c r="T57" i="11"/>
  <c r="V58" i="11"/>
  <c r="AA58" i="11" s="1"/>
  <c r="T58" i="11"/>
  <c r="V59" i="11"/>
  <c r="AA59" i="11" s="1"/>
  <c r="T59" i="11"/>
  <c r="AA60" i="11"/>
  <c r="T60" i="11"/>
  <c r="AA61" i="11"/>
  <c r="T61" i="11"/>
  <c r="AA62" i="11"/>
  <c r="T62" i="11"/>
  <c r="V81" i="11"/>
  <c r="AA81" i="11" s="1"/>
  <c r="T81" i="11"/>
  <c r="V82" i="11"/>
  <c r="AA82" i="11" s="1"/>
  <c r="T82" i="11"/>
  <c r="V83" i="11"/>
  <c r="AA83" i="11" s="1"/>
  <c r="T83" i="11"/>
  <c r="V84" i="11"/>
  <c r="AA84" i="11" s="1"/>
  <c r="T84" i="11"/>
  <c r="V85" i="11"/>
  <c r="AA85" i="11" s="1"/>
  <c r="T85" i="11"/>
  <c r="V86" i="11"/>
  <c r="AA86" i="11" s="1"/>
  <c r="T86" i="11"/>
  <c r="V87" i="11"/>
  <c r="AA87" i="11" s="1"/>
  <c r="T87" i="11"/>
  <c r="V88" i="11"/>
  <c r="AA88" i="11" s="1"/>
  <c r="T88" i="11"/>
  <c r="V89" i="11"/>
  <c r="AA89" i="11" s="1"/>
  <c r="T89" i="11"/>
  <c r="V90" i="11"/>
  <c r="AA90" i="11" s="1"/>
  <c r="T90" i="11"/>
  <c r="V91" i="11"/>
  <c r="AA91" i="11" s="1"/>
  <c r="T91" i="11"/>
  <c r="V92" i="11"/>
  <c r="AA92" i="11" s="1"/>
  <c r="T92" i="11"/>
  <c r="V93" i="11"/>
  <c r="AA93" i="11" s="1"/>
  <c r="T93" i="11"/>
  <c r="V94" i="11"/>
  <c r="AA94" i="11" s="1"/>
  <c r="T94" i="11"/>
  <c r="V95" i="11"/>
  <c r="AA95" i="11" s="1"/>
  <c r="T95" i="11"/>
  <c r="V96" i="11"/>
  <c r="AA96" i="11" s="1"/>
  <c r="T96" i="11"/>
  <c r="V97" i="11"/>
  <c r="AA97" i="11" s="1"/>
  <c r="T97" i="11"/>
  <c r="V98" i="11"/>
  <c r="T98" i="11"/>
  <c r="H21" i="7"/>
  <c r="O29" i="7"/>
  <c r="L35" i="7"/>
  <c r="M20" i="7"/>
  <c r="Q28" i="7"/>
  <c r="Q35" i="7"/>
  <c r="H30" i="7"/>
  <c r="J37" i="7"/>
  <c r="J30" i="7"/>
  <c r="K29" i="7"/>
  <c r="R8" i="4"/>
  <c r="R7" i="4"/>
  <c r="R5" i="4"/>
  <c r="R4" i="4"/>
  <c r="AF5" i="4"/>
  <c r="AF4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3" i="4"/>
  <c r="Y3" i="4"/>
  <c r="J33" i="1"/>
  <c r="L35" i="1"/>
  <c r="L1" i="1"/>
  <c r="BB14" i="1"/>
  <c r="BA14" i="1"/>
  <c r="AY11" i="1"/>
  <c r="AY10" i="1"/>
  <c r="I8" i="1" l="1"/>
  <c r="A6" i="10"/>
  <c r="F6" i="10" s="1"/>
  <c r="K6" i="10" s="1"/>
  <c r="F6" i="8"/>
  <c r="K6" i="8" s="1"/>
  <c r="V99" i="11"/>
  <c r="AA98" i="11"/>
  <c r="H37" i="1"/>
  <c r="L33" i="1"/>
  <c r="AX5" i="1"/>
  <c r="Q35" i="1" l="1"/>
  <c r="Q37" i="1"/>
  <c r="O36" i="1"/>
  <c r="O13" i="1"/>
  <c r="S13" i="1"/>
  <c r="S14" i="1" s="1"/>
  <c r="S15" i="1" s="1"/>
  <c r="S16" i="1" s="1"/>
  <c r="V13" i="1" s="1"/>
  <c r="V14" i="1" s="1"/>
  <c r="V15" i="1" s="1"/>
  <c r="J16" i="1" l="1"/>
  <c r="O6" i="1"/>
  <c r="O18" i="1"/>
  <c r="O25" i="1"/>
  <c r="Q15" i="1"/>
  <c r="S25" i="1"/>
  <c r="S26" i="1" s="1"/>
  <c r="S27" i="1" s="1"/>
  <c r="S28" i="1" s="1"/>
  <c r="S29" i="1" s="1"/>
  <c r="S30" i="1" s="1"/>
  <c r="V25" i="1" s="1"/>
  <c r="V26" i="1" s="1"/>
  <c r="S6" i="1"/>
  <c r="S7" i="1" s="1"/>
  <c r="S8" i="1" s="1"/>
  <c r="S9" i="1" s="1"/>
  <c r="S10" i="1" s="1"/>
  <c r="S11" i="1" s="1"/>
  <c r="S18" i="1"/>
  <c r="S19" i="1" s="1"/>
  <c r="S20" i="1" s="1"/>
  <c r="S21" i="1" s="1"/>
  <c r="S22" i="1" s="1"/>
  <c r="S23" i="1" s="1"/>
  <c r="V18" i="1" s="1"/>
  <c r="V19" i="1" s="1"/>
  <c r="H16" i="1"/>
  <c r="V6" i="1" l="1"/>
  <c r="V7" i="1" s="1"/>
  <c r="Q16" i="1"/>
  <c r="O15" i="1"/>
  <c r="J19" i="1"/>
  <c r="J26" i="1"/>
  <c r="H21" i="1"/>
  <c r="L19" i="1"/>
  <c r="Q21" i="1" l="1"/>
  <c r="L26" i="1"/>
  <c r="Q9" i="1" l="1"/>
  <c r="H28" i="1"/>
  <c r="L21" i="1"/>
  <c r="O10" i="1" l="1"/>
  <c r="Q11" i="1"/>
  <c r="H23" i="1"/>
  <c r="Q28" i="1"/>
  <c r="O22" i="1" l="1"/>
  <c r="Q23" i="1"/>
  <c r="J23" i="1"/>
  <c r="L28" i="1"/>
  <c r="H30" i="1" l="1"/>
  <c r="O29" i="1" l="1"/>
  <c r="Q30" i="1"/>
  <c r="J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tc={531C79C7-2D1B-483E-B53B-265AC7807FEF}</author>
  </authors>
  <commentList>
    <comment ref="M22" authorId="0" shapeId="0" xr:uid="{531C79C7-2D1B-483E-B53B-265AC7807FE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suggest raising CIII to allow more flexibility. Some specialist roles may reach the ceiling too quickly, making recruitment difficult. A maximum closer to L 85,000/month would be ideal.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tc={EC4A5DEC-5F42-41E4-86A7-F72E4EFF3E5D}</author>
    <author>tc={1298A691-BA40-472C-88CE-23A890B33D81}</author>
  </authors>
  <commentList>
    <comment ref="B7" authorId="0" shapeId="0" xr:uid="{EC4A5DEC-5F42-41E4-86A7-F72E4EFF3E5D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ajustan manualmente porque está por debajo de una SMLMV</t>
      </text>
    </comment>
    <comment ref="G7" authorId="1" shapeId="0" xr:uid="{1298A691-BA40-472C-88CE-23A890B33D81}">
      <text>
        <t>[Threaded comment]
Your version of Excel allows you to read this threaded comment; however, any edits to it will get removed if the file is opened in a newer version of Excel. Learn more: https://go.microsoft.com/fwlink/?linkid=870924
Comment:
    Se ajustan manualmente porque está por debajo de una SMLMV</t>
      </text>
    </comment>
  </commentList>
</comments>
</file>

<file path=xl/sharedStrings.xml><?xml version="1.0" encoding="utf-8"?>
<sst xmlns="http://schemas.openxmlformats.org/spreadsheetml/2006/main" count="1219" uniqueCount="328">
  <si>
    <t>2019 Baseline * % increase:</t>
  </si>
  <si>
    <t>Analysis assuming 5% increase each year</t>
  </si>
  <si>
    <t xml:space="preserve">Partners of the Americas Salary Ranges for HONDURAS                                         </t>
  </si>
  <si>
    <t>Years in</t>
  </si>
  <si>
    <t>NOTES:</t>
  </si>
  <si>
    <t>Job Positions &amp; Bands</t>
  </si>
  <si>
    <t>Experience</t>
  </si>
  <si>
    <t>Minimum USD</t>
  </si>
  <si>
    <t>Minimum HNL</t>
  </si>
  <si>
    <t>Midpoint USD</t>
  </si>
  <si>
    <t>Midpoint HNL</t>
  </si>
  <si>
    <t>Maximum USD</t>
  </si>
  <si>
    <t>Maximum HNL</t>
  </si>
  <si>
    <t>Core competencies</t>
  </si>
  <si>
    <t>Level</t>
  </si>
  <si>
    <t>Yrs Exp</t>
  </si>
  <si>
    <t>Position</t>
  </si>
  <si>
    <t>- Management Skills:  Project mgmt</t>
  </si>
  <si>
    <t>Officer</t>
  </si>
  <si>
    <t>Maintenance
Driver
Assistant</t>
  </si>
  <si>
    <t>Grade A</t>
  </si>
  <si>
    <t>I</t>
  </si>
  <si>
    <t>Minimum: no degree; no experience; no technical skills.
Maximum: Grad school started;or 0-6 month of experience; with some technical skills.</t>
  </si>
  <si>
    <t>- Leadership Skills:  Project mgmt and personnel mgmt</t>
  </si>
  <si>
    <t>·Accountant Analyst – Field Office
·Administrative Officer
·Communications Officer
·Communication &amp; Outreach Officer
·Membership Officer
·Program Officer, CPU
·Program Officer, EGC
·Program Officer, EDH</t>
  </si>
  <si>
    <r>
      <rPr>
        <b/>
        <sz val="8"/>
        <color rgb="FF000000"/>
        <rFont val="Times New Roman"/>
      </rPr>
      <t>Provide physical and mechanic support  Core competencies required:                                                                                                           -</t>
    </r>
    <r>
      <rPr>
        <sz val="8"/>
        <color rgb="FF000000"/>
        <rFont val="Times New Roman"/>
      </rPr>
      <t>Ability to write effectively and think critically.                                                                                                           -Ability to work in a team as well as independently and demonstrate consistency</t>
    </r>
  </si>
  <si>
    <t xml:space="preserve"> No degree. No experience. No technical skills.</t>
  </si>
  <si>
    <t>- I added calculations to show the % increase between each point; I will hide these before sharing</t>
  </si>
  <si>
    <t>,00</t>
  </si>
  <si>
    <t>II</t>
  </si>
  <si>
    <t>2-4</t>
  </si>
  <si>
    <t>Minimum: Level I + min 2 years of experience, with some technical skills.</t>
  </si>
  <si>
    <t>- Note that these % increases are higher than the max 5% estimated increase each year</t>
  </si>
  <si>
    <t xml:space="preserve"> Bachelors degree + least 2 years of experience. Some technical skills or min 2 years in level I</t>
  </si>
  <si>
    <t>III</t>
  </si>
  <si>
    <t>4-6</t>
  </si>
  <si>
    <t>Minimum: 2 years of experience in Level II.</t>
  </si>
  <si>
    <t xml:space="preserve"> Masters degree + least 3 years experience level II; some technical skills; preferred min bilingual.</t>
  </si>
  <si>
    <t>Senior Officer</t>
  </si>
  <si>
    <t>Officer/Technical Officer
Sr. Officer/Sr. Technical Officer</t>
  </si>
  <si>
    <t>Grade B</t>
  </si>
  <si>
    <t>Minimum: 2 years of experience in Officer Level II, or equivalent; management skills demonstrated.</t>
  </si>
  <si>
    <t xml:space="preserve">·Senior Accountant
·Senior Program Officer, EDH
·Senior Program Officer, EGC
·Senior Program Officer, CPU </t>
  </si>
  <si>
    <r>
      <rPr>
        <b/>
        <sz val="8"/>
        <color rgb="FF000000"/>
        <rFont val="Times New Roman"/>
        <family val="1"/>
      </rPr>
      <t>Process basic transaction
Execute intrincate transactions
Core competencies:</t>
    </r>
    <r>
      <rPr>
        <sz val="8"/>
        <color rgb="FF000000"/>
        <rFont val="Times New Roman"/>
        <family val="1"/>
      </rPr>
      <t xml:space="preserve">
-Thorough understanding of federal award management (program SOs)
-Ability to contribute high-quality subsections of donor/partner reports/proposals
-Ability to competently contribute during donor/partner meetings
-Ability to manage 1-2 interns</t>
    </r>
  </si>
  <si>
    <t>2 years of experience in Officer Level II, or equivalent; management skills demonstrated.</t>
  </si>
  <si>
    <t>4-7</t>
  </si>
  <si>
    <t>Minimum: Masters degree preferred + at least 4 years of experience; 1 year as Sr Officer level I; technical skills required; leadership experience and language desired.
Ability to competently serve as interim-Associate Director when necessary.</t>
  </si>
  <si>
    <t>Masters degree preferred; 7+ years experience; 3 years as Sr Officer level I; technical skills required and leadership knowledge desired; preferred min bilingual.</t>
  </si>
  <si>
    <t>Associate Director</t>
  </si>
  <si>
    <t>Coordinator 
Specialist
Sr. Specialist</t>
  </si>
  <si>
    <t>Grade C</t>
  </si>
  <si>
    <t xml:space="preserve">Minimum: Bachelors degree. 6+ years experience; 2+ years as Sr Officer Level I or II; technical skills and leadership experience required; preferred min bilingual.
</t>
  </si>
  <si>
    <t>- Note that AD level and above are part of the SMT (Senior Management Team)</t>
  </si>
  <si>
    <t xml:space="preserve">·Associate Director, EDH - F2F
·Associate Director, EDH - AVOP
·Associate Director, EGC
·Associate Director, BD
·Associate Director, Membership
·Executive Administrative Officer </t>
  </si>
  <si>
    <r>
      <rPr>
        <b/>
        <sz val="8"/>
        <color rgb="FF000000"/>
        <rFont val="Times New Roman"/>
      </rPr>
      <t xml:space="preserve">Ensure process integrity
Manage integrated processes
In addition to grade B core competencies:
</t>
    </r>
    <r>
      <rPr>
        <sz val="8"/>
        <color rgb="FF000000"/>
        <rFont val="Times New Roman"/>
      </rPr>
      <t>-Ability to write high-quality full sections of proposals/reports
-Ability to deliver high-quality, detail-oriented, and professional donor/partner reports
-Ability to competently lead a donor/partner meeting
-Ability to manage 2-3 staff and/or interns</t>
    </r>
  </si>
  <si>
    <t>Bachelors degree. 6+ years experience; 2+ years as Sr Officer Level I or II; technical skills and leadership experience required; preferred min bilingual.</t>
  </si>
  <si>
    <t>Minimum: 3 additional years experience as AD Level I, or equivalent; international experience desired;
or Level I + Masters degree; international experience desired.</t>
  </si>
  <si>
    <t>4 yrs experience as manger/specialist level I; technical skills and leadership experience required; language required; international experience desired.</t>
  </si>
  <si>
    <t>Minimum: Level II + Masters degree + 3 additional years experience as AD Level II; international experience desired.
Ability to competently serve as interim-Director when necessary.</t>
  </si>
  <si>
    <t>Masters degree. 8+ years experience; 3 years as Manager or specialist Level II; international experience desired.</t>
  </si>
  <si>
    <t>Director</t>
  </si>
  <si>
    <t>Manager
Director
Sr. Director</t>
  </si>
  <si>
    <t>Grade D</t>
  </si>
  <si>
    <t>Minimum:  Masters degree and AD Level II or 3 years as AD Level I or equivalent; proven technical skills and leadership experience; 2nd language required; international experience desired.</t>
  </si>
  <si>
    <t>·Director of 100,000 Strong
·Director of EGC
·Director, BD</t>
  </si>
  <si>
    <r>
      <rPr>
        <b/>
        <sz val="8"/>
        <color rgb="FF000000"/>
        <rFont val="Times New Roman"/>
        <family val="1"/>
      </rPr>
      <t>Analyze - Adapt
In addition to Grade C core competencies:</t>
    </r>
    <r>
      <rPr>
        <sz val="8"/>
        <color rgb="FF000000"/>
        <rFont val="Times New Roman"/>
        <family val="1"/>
      </rPr>
      <t xml:space="preserve">
-Ability to lead a full proposal (design, strategy, delegation of duties, etc.)
-Ability to ensure full programmatic and financial compliance of a federal award from startup through closeout
-Ability to manage 3-5 staff, including remote supervision of field staff</t>
    </r>
  </si>
  <si>
    <t>manager/specialist Level I + Masters degree and 2 years as manager or equivalent; 2nd language required; international experience desired.</t>
  </si>
  <si>
    <t>Minimum: At least 2 years as Director Level I, or equivalent.</t>
  </si>
  <si>
    <t>At least 3 years as Director Level I &amp; II.</t>
  </si>
  <si>
    <t>12-14</t>
  </si>
  <si>
    <t>Minimum: At least 2 years as Director Level II.
Ability to competently serve as interim-Sr Director when necessary.</t>
  </si>
  <si>
    <t>At least 4 years as Director Level II &amp; III.</t>
  </si>
  <si>
    <t>Deputy Chief of Party/Deputy Project Director
Chief of Party/Project Director</t>
  </si>
  <si>
    <t>Grade E</t>
  </si>
  <si>
    <t>Minimum: At least 2 years as Director or 
equivalent; proven high confidence and decision - making; strong leader and manager</t>
  </si>
  <si>
    <r>
      <rPr>
        <b/>
        <sz val="8"/>
        <color rgb="FF000000"/>
        <rFont val="Times New Roman"/>
      </rPr>
      <t xml:space="preserve">In addition to Director competencies:
</t>
    </r>
    <r>
      <rPr>
        <sz val="8"/>
        <color rgb="FF000000"/>
        <rFont val="Times New Roman"/>
      </rPr>
      <t>-Ability to raise public and/or private funds
-Ability to manage multiple federal awards
-Ability to execute strategic and operational plans for the units
- Ability to manage a full team (staff, interns, contractors), including remote supervision of field 
staff</t>
    </r>
  </si>
  <si>
    <t>At least 2 years as Director; proven high 
confidence and decision-making; strong 
leader and manager.</t>
  </si>
  <si>
    <t>Minimum:  Dual or multiple Masters Degrees; at 
least 2 years as Sr. Director Level I; proven high 
confidence and decision-making; strong leader and 
manager.</t>
  </si>
  <si>
    <t>Dual or multiple Masters Degrees; at least 3 
years as Sr. Director; proven high 
confidence and decision-making; strong 
leader and manager</t>
  </si>
  <si>
    <t>Minimum: PhD "preference"; at least 2 years as Sr. 
Director.
Ability to competently serve as interim Vice - President when necesary.</t>
  </si>
  <si>
    <t>PhD preferance required.14+ years of 
experience; at least 4 years as Sr. Director or 
equivalent_x000D_</t>
  </si>
  <si>
    <t>Birchis 2023</t>
  </si>
  <si>
    <t>Estimado 2024 con incremento del 3.88%</t>
  </si>
  <si>
    <t>Estimado 2025 con incremento del 4.16%</t>
  </si>
  <si>
    <t>Purpose</t>
  </si>
  <si>
    <t>Proposed Field Office Grade</t>
  </si>
  <si>
    <t>Famili</t>
  </si>
  <si>
    <t>Titulo del trabajo</t>
  </si>
  <si>
    <t>Bajo</t>
  </si>
  <si>
    <t>Percentil 25</t>
  </si>
  <si>
    <t>Percentil 50</t>
  </si>
  <si>
    <t>Percentil 75</t>
  </si>
  <si>
    <t xml:space="preserve">Alto </t>
  </si>
  <si>
    <t xml:space="preserve">Media </t>
  </si>
  <si>
    <t>https://www.trabajo.gob.hn/tabla-de-salario-minimo/?utm_source=chatgpt.com</t>
  </si>
  <si>
    <t>BG-12</t>
  </si>
  <si>
    <t>Integrate-Transform</t>
  </si>
  <si>
    <t>Poa-E</t>
  </si>
  <si>
    <t>BG-12 Executive/DCOP</t>
  </si>
  <si>
    <t xml:space="preserve">GEN-12 </t>
  </si>
  <si>
    <t>Gerente / Experto 
reconocido</t>
  </si>
  <si>
    <t>Máx.</t>
  </si>
  <si>
    <t>Med</t>
  </si>
  <si>
    <t>Para una empresa con 11 a 50 empleados, los incrementos al salario mínimo en Honduras han sido del 5.5 % para 2024 y de nuevo del 5.5 % para 2025. trabajo.gob.hn+2Bloomberg Línea Brasil+2</t>
  </si>
  <si>
    <t>Min.</t>
  </si>
  <si>
    <r>
      <t xml:space="preserve">Si tomamos como base un salario mínimo de </t>
    </r>
    <r>
      <rPr>
        <b/>
        <sz val="11"/>
        <color theme="1"/>
        <rFont val="Calibri"/>
        <family val="2"/>
        <scheme val="minor"/>
      </rPr>
      <t>L 12,560.96</t>
    </r>
    <r>
      <rPr>
        <sz val="11"/>
        <color theme="1"/>
        <rFont val="Calibri"/>
        <family val="2"/>
        <scheme val="minor"/>
      </rPr>
      <t xml:space="preserve"> en enero de 2023, el estimado acumulado para octubre de 2025 sería:</t>
    </r>
  </si>
  <si>
    <t xml:space="preserve">DPM-12 </t>
  </si>
  <si>
    <t>Director nacional</t>
  </si>
  <si>
    <t>BG-11</t>
  </si>
  <si>
    <t>Innovate</t>
  </si>
  <si>
    <t>BG-11 Country Directors/COP</t>
  </si>
  <si>
    <t>GEN-11</t>
  </si>
  <si>
    <t xml:space="preserve">Gerente / Especialista 
con Autoridad </t>
  </si>
  <si>
    <r>
      <t xml:space="preserve">Después del primer ajuste (2024): L 12,560.96 × 1.055 ≈ </t>
    </r>
    <r>
      <rPr>
        <b/>
        <sz val="11"/>
        <color theme="1"/>
        <rFont val="Calibri"/>
        <family val="2"/>
        <scheme val="minor"/>
      </rPr>
      <t>L 13,250.11</t>
    </r>
  </si>
  <si>
    <r>
      <t xml:space="preserve">Después del segundo ajuste (2025): L 13,250.11 × 1.055 ≈ </t>
    </r>
    <r>
      <rPr>
        <b/>
        <sz val="11"/>
        <color theme="1"/>
        <rFont val="Calibri"/>
        <family val="2"/>
        <scheme val="minor"/>
      </rPr>
      <t>L 13,993.37</t>
    </r>
  </si>
  <si>
    <r>
      <rPr>
        <sz val="11"/>
        <color rgb="FF000000"/>
        <rFont val="Calibri"/>
        <scheme val="minor"/>
      </rPr>
      <t xml:space="preserve">Por tanto, un estimado razonable del salario mínimo para esa categoría en octubre de 2025 sería </t>
    </r>
    <r>
      <rPr>
        <b/>
        <sz val="11"/>
        <color rgb="FF000000"/>
        <rFont val="Calibri"/>
        <scheme val="minor"/>
      </rPr>
      <t>aproximadamente L 13,993.37</t>
    </r>
    <r>
      <rPr>
        <sz val="11"/>
        <color rgb="FF000000"/>
        <rFont val="Calibri"/>
        <scheme val="minor"/>
      </rPr>
      <t xml:space="preserve">, lo que representa un incremento acumulado de alrededor del </t>
    </r>
    <r>
      <rPr>
        <b/>
        <sz val="11"/>
        <color rgb="FF000000"/>
        <rFont val="Calibri"/>
        <scheme val="minor"/>
      </rPr>
      <t>11.4 %</t>
    </r>
    <r>
      <rPr>
        <sz val="11"/>
        <color rgb="FF000000"/>
        <rFont val="Calibri"/>
        <scheme val="minor"/>
      </rPr>
      <t xml:space="preserve"> desde enero de 2023.</t>
    </r>
  </si>
  <si>
    <t>DPM-11</t>
  </si>
  <si>
    <t xml:space="preserve">Responsable de 
programa senior </t>
  </si>
  <si>
    <t>BG-10</t>
  </si>
  <si>
    <t>Adapt</t>
  </si>
  <si>
    <t>Poa-D</t>
  </si>
  <si>
    <t>BG-10 Project Director</t>
  </si>
  <si>
    <t>GEN-10</t>
  </si>
  <si>
    <t xml:space="preserve">Profesional experto 
nivel operativo </t>
  </si>
  <si>
    <t>Inflación del 2024"fuente, Secretaria de Finanzas de Honduras": https://www.sefin.gob.hn/download_file.php?download_file=/wp-content/uploads/2025/liquidacion2024/2-Informe-Cierre-Fiscal-2024.pdf</t>
  </si>
  <si>
    <t>Inflación del 2025 "Fuente Banco central de Honduras": chrome-extension://efaidnbmnnnibpcajpcglclefindmkaj/https://www.bch.hn/estadisticos/GIE/LIBIPC/%C3%8Dndice%20de%20Precios%20al%20Consumidor%20Agosto%202025.pdf</t>
  </si>
  <si>
    <t>TRM</t>
  </si>
  <si>
    <t xml:space="preserve">ADM-10 </t>
  </si>
  <si>
    <t xml:space="preserve">Especialista Servicios 
Admin. </t>
  </si>
  <si>
    <t xml:space="preserve">DPM-10 </t>
  </si>
  <si>
    <t>FIN-10</t>
  </si>
  <si>
    <t xml:space="preserve">Experto contable </t>
  </si>
  <si>
    <t xml:space="preserve">FND-10 </t>
  </si>
  <si>
    <t xml:space="preserve">Senior Fundraising Post, 
Fundraising Manager </t>
  </si>
  <si>
    <t xml:space="preserve">HR-10 </t>
  </si>
  <si>
    <t xml:space="preserve"> Experto en RR.HH.</t>
  </si>
  <si>
    <t>BG-9</t>
  </si>
  <si>
    <t>Analyze</t>
  </si>
  <si>
    <t>BG-9 DCOP/DPD/Director of Function XX</t>
  </si>
  <si>
    <t xml:space="preserve">GEN-09 </t>
  </si>
  <si>
    <t xml:space="preserve">Profesional nivel 
operativo </t>
  </si>
  <si>
    <t xml:space="preserve">ADM-09 </t>
  </si>
  <si>
    <t xml:space="preserve">Responsable Servicios 
Administrativos </t>
  </si>
  <si>
    <t xml:space="preserve">DPM-09 </t>
  </si>
  <si>
    <t xml:space="preserve">Responsable de 
proyecto </t>
  </si>
  <si>
    <t>FIN-09</t>
  </si>
  <si>
    <t>Contable</t>
  </si>
  <si>
    <t>FND-09</t>
  </si>
  <si>
    <t>Fundraising Post, 
Regional Fundraiser</t>
  </si>
  <si>
    <t>HR-09</t>
  </si>
  <si>
    <t xml:space="preserve">Analista Servicios 
RR.HH. </t>
  </si>
  <si>
    <t>IT-09</t>
  </si>
  <si>
    <t xml:space="preserve">Analista/ </t>
  </si>
  <si>
    <t>BG-8</t>
  </si>
  <si>
    <t>Apply Basic Concepts</t>
  </si>
  <si>
    <t xml:space="preserve"> </t>
  </si>
  <si>
    <t>BG-8 Transitional Managerial</t>
  </si>
  <si>
    <t>BG-7</t>
  </si>
  <si>
    <t>Manage Integrated Processes</t>
  </si>
  <si>
    <t>Poa-C</t>
  </si>
  <si>
    <t>BG-7 Manager/Specialist</t>
  </si>
  <si>
    <t>GEN-07</t>
  </si>
  <si>
    <t xml:space="preserve">Proveedor de servicios / 
Examinador experto </t>
  </si>
  <si>
    <t xml:space="preserve">ADM-07 </t>
  </si>
  <si>
    <t>Asistente de 
administración senior</t>
  </si>
  <si>
    <t>DPM-07 A</t>
  </si>
  <si>
    <t xml:space="preserve">Asistente de programa 
senior </t>
  </si>
  <si>
    <t xml:space="preserve">FIN-07 </t>
  </si>
  <si>
    <t xml:space="preserve">Auxiliar contable 
experto </t>
  </si>
  <si>
    <t>HR-07</t>
  </si>
  <si>
    <t xml:space="preserve">Asistente-experto 
Servicios RR.HH. </t>
  </si>
  <si>
    <t>IT-07</t>
  </si>
  <si>
    <t>Webmaster</t>
  </si>
  <si>
    <t>LOG-07</t>
  </si>
  <si>
    <t>Coordinador logístico</t>
  </si>
  <si>
    <t>BG-6</t>
  </si>
  <si>
    <t>Ensure Process Integrity</t>
  </si>
  <si>
    <t>BG-6 Coordinator/Jr Specialist</t>
  </si>
  <si>
    <t>BG-5</t>
  </si>
  <si>
    <t>Execute Intricate Transactions</t>
  </si>
  <si>
    <t>Poa-B</t>
  </si>
  <si>
    <t>BG-5 Sr. Officer/Sr. Technical</t>
  </si>
  <si>
    <t>BG-4</t>
  </si>
  <si>
    <t>Process Basic Transactions</t>
  </si>
  <si>
    <t>BG-4 Officer/Technical</t>
  </si>
  <si>
    <t>BG-3</t>
  </si>
  <si>
    <t>Provide General Support</t>
  </si>
  <si>
    <t>Poa-A</t>
  </si>
  <si>
    <t>BG-3 Assistant</t>
  </si>
  <si>
    <t>BG-2</t>
  </si>
  <si>
    <t>Provide Mechanical Support</t>
  </si>
  <si>
    <t>BG-2 Driver</t>
  </si>
  <si>
    <t>BG-1</t>
  </si>
  <si>
    <t>Provide Physical Support</t>
  </si>
  <si>
    <t>BG-1 Maintenance</t>
  </si>
  <si>
    <t>remuneración total (salario base + bonificaciones y asignaciones fijas en efectivo + pagos variables/basados en el rendimiento + prestaciones en</t>
  </si>
  <si>
    <t>Maintenance (Nivel I)</t>
  </si>
  <si>
    <t>Driver (Nivel II)</t>
  </si>
  <si>
    <t>Assistant (Nivel III)</t>
  </si>
  <si>
    <t>Minimum</t>
  </si>
  <si>
    <t>Median</t>
  </si>
  <si>
    <t>Maximum</t>
  </si>
  <si>
    <t xml:space="preserve">Birtches </t>
  </si>
  <si>
    <t>PayLab</t>
  </si>
  <si>
    <t>ONG Local</t>
  </si>
  <si>
    <t>World Salaries</t>
  </si>
  <si>
    <t>Media</t>
  </si>
  <si>
    <t>Promedio</t>
  </si>
  <si>
    <t>HNL Anual</t>
  </si>
  <si>
    <t>HNL Mensual</t>
  </si>
  <si>
    <t>SMLMV / Mes</t>
  </si>
  <si>
    <t>Program Officer (Nivel I)</t>
  </si>
  <si>
    <t>Senior Program Officer (Nivel II)</t>
  </si>
  <si>
    <t>Admin officer</t>
  </si>
  <si>
    <t>(sales officer)</t>
  </si>
  <si>
    <t>ONG local</t>
  </si>
  <si>
    <t>Program Coordinator (Nivel I)</t>
  </si>
  <si>
    <t>Technical Specialist (Nivel II)</t>
  </si>
  <si>
    <t>Senior Specialist (Nivel III)</t>
  </si>
  <si>
    <t>Project Manager</t>
  </si>
  <si>
    <t>Project Manager (Nivel I)</t>
  </si>
  <si>
    <t>Director (Nivel II)</t>
  </si>
  <si>
    <t>Senior Director (Nivel III)</t>
  </si>
  <si>
    <t xml:space="preserve">Senior project Manager </t>
  </si>
  <si>
    <t xml:space="preserve">Technical Director </t>
  </si>
  <si>
    <t xml:space="preserve">Managing Director </t>
  </si>
  <si>
    <t>(Nivel I)</t>
  </si>
  <si>
    <t>(Nivel II)</t>
  </si>
  <si>
    <t>(Nivel III)</t>
  </si>
  <si>
    <t xml:space="preserve">chief executive officer </t>
  </si>
  <si>
    <t xml:space="preserve">Propuesta </t>
  </si>
  <si>
    <t>Presupuesto</t>
  </si>
  <si>
    <t>For field offices</t>
  </si>
  <si>
    <t>CCN Honduran Field Staff (LOE)</t>
  </si>
  <si>
    <t>Salario mensaul UDS</t>
  </si>
  <si>
    <t>Salario mensual HNL</t>
  </si>
  <si>
    <t>Salario anual UDS</t>
  </si>
  <si>
    <t>Salario anual HNL</t>
  </si>
  <si>
    <t xml:space="preserve">Key Personnel: Chief of Party </t>
  </si>
  <si>
    <t>POA D</t>
  </si>
  <si>
    <t>BG-11 Country Directors</t>
  </si>
  <si>
    <t>BG-12 Executive</t>
  </si>
  <si>
    <t xml:space="preserve">Key Personnel: Deputy Chief of Party </t>
  </si>
  <si>
    <t>Policy &amp; Sustainability Specialist</t>
  </si>
  <si>
    <t>POA C</t>
  </si>
  <si>
    <t>BG-10 Project Director/COP</t>
  </si>
  <si>
    <t>Education Director </t>
  </si>
  <si>
    <t>Education Specialist</t>
  </si>
  <si>
    <t>Education Officer</t>
  </si>
  <si>
    <t>POA B</t>
  </si>
  <si>
    <t>Nutrition and Health Specialist</t>
  </si>
  <si>
    <t>Nutrition Officer - (2 Individuals)</t>
  </si>
  <si>
    <t>School Feeding Specialist</t>
  </si>
  <si>
    <t>Food Aid Monitors - (2 Individuals)</t>
  </si>
  <si>
    <t>WASH Officer</t>
  </si>
  <si>
    <t>Communications Specialist</t>
  </si>
  <si>
    <t>Communications Officer</t>
  </si>
  <si>
    <t>Education &amp; Community Engagement Specialist</t>
  </si>
  <si>
    <t>Education &amp; Community Engagement Officer</t>
  </si>
  <si>
    <t>Private Sector Specialist</t>
  </si>
  <si>
    <t>Key Personnel: M&amp;E Director </t>
  </si>
  <si>
    <t>M&amp;E Specialist</t>
  </si>
  <si>
    <t>M&amp;E Officer</t>
  </si>
  <si>
    <t>Supply Chain Manager</t>
  </si>
  <si>
    <t>In-Country Logistics Specialist</t>
  </si>
  <si>
    <t>US Commodity Logistics Specialist</t>
  </si>
  <si>
    <t>Warehouse Manager</t>
  </si>
  <si>
    <t>Warehouse Officer - (2 Individuals)</t>
  </si>
  <si>
    <t>LRP Technical Specialist </t>
  </si>
  <si>
    <t>Finance &amp; Administration Director</t>
  </si>
  <si>
    <t>Contracts &amp; Compliance Manager</t>
  </si>
  <si>
    <t>Grants &amp; Procurement Specialist</t>
  </si>
  <si>
    <t>Grants &amp; Procurement Officer</t>
  </si>
  <si>
    <t>Finance Officer</t>
  </si>
  <si>
    <t>Accountant</t>
  </si>
  <si>
    <t>Operation &amp; HR Manager</t>
  </si>
  <si>
    <t>Administrative Assistant - (2 Individuals)</t>
  </si>
  <si>
    <t>POA A</t>
  </si>
  <si>
    <t>Driver - (2 Individuals)</t>
  </si>
  <si>
    <t>Estimado 2025 con incremento del 11.4%</t>
  </si>
  <si>
    <t>Estimado 2024 con incremento del 3%</t>
  </si>
  <si>
    <t>Estimado 2025 con incremento del 3%</t>
  </si>
  <si>
    <r>
      <rPr>
        <sz val="11"/>
        <color rgb="FF000000"/>
        <rFont val="Calibri"/>
        <scheme val="minor"/>
      </rPr>
      <t xml:space="preserve">Después del segundo ajuste (2025): L 13,250.11 × 1.055 ≈ </t>
    </r>
    <r>
      <rPr>
        <b/>
        <sz val="11"/>
        <color rgb="FF000000"/>
        <rFont val="Calibri"/>
        <scheme val="minor"/>
      </rPr>
      <t>L 13,993.37</t>
    </r>
  </si>
  <si>
    <t>Por Instrucción de HO</t>
  </si>
  <si>
    <t>SMLV</t>
  </si>
  <si>
    <t>Role</t>
  </si>
  <si>
    <t>Titles</t>
  </si>
  <si>
    <t>Entry</t>
  </si>
  <si>
    <t>Mid</t>
  </si>
  <si>
    <t>Top</t>
  </si>
  <si>
    <t>Manual Staff</t>
  </si>
  <si>
    <t>Gardener; Cook; Office Maintenance; Security Guard</t>
  </si>
  <si>
    <t>Drivers</t>
  </si>
  <si>
    <t>Driver</t>
  </si>
  <si>
    <t>Office Support</t>
  </si>
  <si>
    <t>Receptionist; Clerk</t>
  </si>
  <si>
    <t>General administrative support; process basic transactions</t>
  </si>
  <si>
    <t>Administrative Assistant, Warehouse Keeper; Procurement Assistant, Finance Assistant</t>
  </si>
  <si>
    <t>Specialized process support; process more advanced transactions</t>
  </si>
  <si>
    <t>Administrative Officer, Fleet Officer, Human Resources Assistant</t>
  </si>
  <si>
    <t>Comprehensive process support; consistent quality across transactions involving multiple processes</t>
  </si>
  <si>
    <t>Fleet Manager; Warehouse Officer; Transportation Officer; Logistics MIS Officer; Supply Chain Monitoring Officer; Procurement Officer</t>
  </si>
  <si>
    <t>Advanced support; oversee &amp; integrate related transactions</t>
  </si>
  <si>
    <t>Project Officer, Technical Associate , Administrative Manager, Logistics Officer, Human Resources Officer, Communications Officer</t>
  </si>
  <si>
    <t>Management of a key function or projects</t>
  </si>
  <si>
    <t>Project Officer Sr, Warehouse Manager; Procurement Manager, Finance Officer Sr; Project/Grant Accountant, Communications Manager</t>
  </si>
  <si>
    <t>Comprehensive management of a department or program; comprehensive technical advice</t>
  </si>
  <si>
    <t>Program Manager I; Project Manager,Technical Advisor I, Operations Manager; Regional Safeguarding Officer, Logistics Manager, Deputy Finance Manager, Human Resources Manager;Risk and Compliance Manager</t>
  </si>
  <si>
    <t>Complex management &amp; complex technical advice; adapt programs/policies</t>
  </si>
  <si>
    <t>Technical Advisor II, Deputy Chief of Party I, Supply Chain Manager; Regional Manager, Finance Manager</t>
  </si>
  <si>
    <t>Leadership &amp; high level management of programming; innovate, design new processes</t>
  </si>
  <si>
    <t>Chief of Party I; Deputy Chief of Party II, Head of Operations</t>
  </si>
  <si>
    <t>Overall country leadership; integrate diverse specializations into a robust program</t>
  </si>
  <si>
    <t>Chief of Party II</t>
  </si>
  <si>
    <t>Maintenance</t>
  </si>
  <si>
    <t>Assistant</t>
  </si>
  <si>
    <t>Officer/Technical Officer</t>
  </si>
  <si>
    <t>Sr. Officer/Sr. Technical Officer</t>
  </si>
  <si>
    <t>Coordinator</t>
  </si>
  <si>
    <t>Specialist</t>
  </si>
  <si>
    <t>Sr. Specialist</t>
  </si>
  <si>
    <t>Manager</t>
  </si>
  <si>
    <r>
      <rPr>
        <b/>
        <sz val="8"/>
        <color rgb="FF000000"/>
        <rFont val="Times New Roman"/>
        <family val="1"/>
      </rPr>
      <t>Provide physical and mechanic support  Core competencies required:                                                                                                           -</t>
    </r>
    <r>
      <rPr>
        <sz val="8"/>
        <color rgb="FF000000"/>
        <rFont val="Times New Roman"/>
        <family val="1"/>
      </rPr>
      <t>Ability to write effectively and think critically.                                                                                                           -Ability to work in a team as well as independently and demonstrate consistency</t>
    </r>
  </si>
  <si>
    <t>Manager - Level I
Director - Level II
Sr. Director - Level III</t>
  </si>
  <si>
    <t>Coordinator - Level I
Specialist - Level II
Sr. Specialist - Level III</t>
  </si>
  <si>
    <t>Officer/Technical Officer - Level I
Sr. Officer/Sr. Technical Officer - Level II</t>
  </si>
  <si>
    <t>Maintenance - Level I
Driver - Level II
Assistant - Level III</t>
  </si>
  <si>
    <t>Deputy Chief of Party/Deputy Project Director - Level I-II
Chief of Party/Project Director - Level II-III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</si>
</sst>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#,##0.0000"/>
    <numFmt numFmtId="166" formatCode="&quot;$&quot;#,##0"/>
    <numFmt numFmtId="167" formatCode="_([$HNL]\ * #,##0_);_([$HNL]\ * \(#,##0\);_([$HNL]\ * &quot;-&quot;??_);_(@_)"/>
    <numFmt numFmtId="168" formatCode="_([$$-409]* #,##0.00_);_([$$-409]* \(#,##0.00\);_([$$-409]* &quot;-&quot;??_);_(@_)"/>
    <numFmt numFmtId="169" formatCode="_(* #,##0.0000_);_(* \(#,##0.0000\);_(* &quot;-&quot;??_);_(@_)"/>
    <numFmt numFmtId="170" formatCode="[$HNL]\ #,##0.00"/>
    <numFmt numFmtId="171" formatCode="[$USD]\ #,##0.00"/>
    <numFmt numFmtId="172" formatCode="_([$$-409]* #,##0_);_([$$-409]* \(#,##0\);_([$$-409]* &quot;-&quot;??_);_(@_)"/>
  </numFmts>
  <fonts count="50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0"/>
      <name val="Calibri"/>
      <family val="2"/>
      <scheme val="minor"/>
    </font>
    <font>
      <b/>
      <sz val="13"/>
      <color theme="0"/>
      <name val="Times New Roman"/>
      <family val="1"/>
    </font>
    <font>
      <b/>
      <sz val="12"/>
      <color theme="0"/>
      <name val="Times New Roman"/>
      <family val="1"/>
    </font>
    <font>
      <b/>
      <sz val="12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8"/>
      <color rgb="FF000000"/>
      <name val="Times New Roman"/>
      <family val="1"/>
    </font>
    <font>
      <b/>
      <sz val="8"/>
      <color rgb="FF000000"/>
      <name val="Times New Roman"/>
      <family val="1"/>
    </font>
    <font>
      <sz val="6"/>
      <color theme="1"/>
      <name val="Times New Roman"/>
      <family val="1"/>
    </font>
    <font>
      <sz val="12"/>
      <color theme="1"/>
      <name val="Times New Roman"/>
      <family val="1"/>
    </font>
    <font>
      <b/>
      <sz val="8"/>
      <color theme="0"/>
      <name val="Times New Roman"/>
      <family val="1"/>
    </font>
    <font>
      <sz val="7"/>
      <color theme="1"/>
      <name val="Calibri"/>
      <family val="2"/>
      <scheme val="minor"/>
    </font>
    <font>
      <sz val="7"/>
      <color theme="0"/>
      <name val="Times New Roman"/>
      <family val="1"/>
    </font>
    <font>
      <sz val="11"/>
      <color theme="9" tint="0.39997558519241921"/>
      <name val="Calibri"/>
      <family val="2"/>
      <scheme val="minor"/>
    </font>
    <font>
      <b/>
      <sz val="12"/>
      <color rgb="FFFF0000"/>
      <name val="Times New Roman"/>
      <family val="1"/>
    </font>
    <font>
      <sz val="7"/>
      <color rgb="FFFF0000"/>
      <name val="Times New Roman"/>
      <family val="1"/>
    </font>
    <font>
      <b/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2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b/>
      <sz val="12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i/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FFFF"/>
      <name val="Aptos Narrow"/>
      <family val="2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11"/>
      <color rgb="FF242424"/>
      <name val="Aptos Narrow"/>
      <charset val="1"/>
    </font>
    <font>
      <b/>
      <sz val="8"/>
      <color rgb="FF000000"/>
      <name val="Times New Roman"/>
    </font>
    <font>
      <sz val="8"/>
      <color rgb="FF000000"/>
      <name val="Times New Roman"/>
    </font>
    <font>
      <b/>
      <sz val="16"/>
      <color rgb="FFFFFFFF"/>
      <name val="Times New Roman"/>
      <family val="1"/>
    </font>
    <font>
      <b/>
      <sz val="1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Aptos Narrow"/>
      <family val="2"/>
    </font>
    <font>
      <sz val="11"/>
      <color rgb="FFFF0000"/>
      <name val="Aptos Narrow"/>
    </font>
    <font>
      <sz val="11"/>
      <color theme="0"/>
      <name val="Aptos Narrow"/>
      <family val="2"/>
    </font>
    <font>
      <sz val="11"/>
      <color rgb="FF000000"/>
      <name val="Aptos Narrow"/>
    </font>
    <font>
      <sz val="11"/>
      <color theme="1"/>
      <name val="Aptos Narrow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Times New Roman"/>
      <charset val="1"/>
    </font>
    <font>
      <b/>
      <sz val="10"/>
      <color rgb="FFFF0000"/>
      <name val="Times New Roman"/>
      <charset val="1"/>
    </font>
    <font>
      <b/>
      <sz val="11"/>
      <color rgb="FFFF0000"/>
      <name val="Times New Roman"/>
      <charset val="1"/>
    </font>
    <font>
      <b/>
      <sz val="11"/>
      <color rgb="FFFF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FF6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A600"/>
        <bgColor indexed="64"/>
      </patternFill>
    </fill>
    <fill>
      <patternFill patternType="solid">
        <fgColor rgb="FFFFFF01"/>
        <bgColor indexed="64"/>
      </patternFill>
    </fill>
    <fill>
      <patternFill patternType="solid">
        <fgColor rgb="FF00DE00"/>
        <bgColor indexed="64"/>
      </patternFill>
    </fill>
    <fill>
      <patternFill patternType="solid">
        <fgColor rgb="FF01FFFF"/>
        <bgColor indexed="64"/>
      </patternFill>
    </fill>
    <fill>
      <patternFill patternType="solid">
        <fgColor rgb="FF0203F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A526CD"/>
        <bgColor indexed="64"/>
      </patternFill>
    </fill>
    <fill>
      <patternFill patternType="solid">
        <fgColor rgb="FFCC63FF"/>
        <bgColor indexed="64"/>
      </patternFill>
    </fill>
    <fill>
      <patternFill patternType="solid">
        <fgColor rgb="FF64C7FE"/>
        <bgColor indexed="64"/>
      </patternFill>
    </fill>
    <fill>
      <patternFill patternType="solid">
        <fgColor rgb="FFC7FF66"/>
        <bgColor indexed="64"/>
      </patternFill>
    </fill>
    <fill>
      <patternFill patternType="solid">
        <fgColor rgb="FF94C900"/>
        <bgColor indexed="64"/>
      </patternFill>
    </fill>
    <fill>
      <patternFill patternType="solid">
        <fgColor rgb="FF986401"/>
        <bgColor indexed="64"/>
      </patternFill>
    </fill>
    <fill>
      <patternFill patternType="solid">
        <fgColor rgb="FF64310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</fills>
  <borders count="6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9" fontId="8" fillId="0" borderId="0" applyFont="0" applyFill="0" applyBorder="0" applyAlignment="0" applyProtection="0"/>
    <xf numFmtId="0" fontId="29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396">
    <xf numFmtId="0" fontId="0" fillId="0" borderId="0" xfId="0"/>
    <xf numFmtId="6" fontId="1" fillId="3" borderId="4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8" fontId="0" fillId="0" borderId="0" xfId="0" applyNumberFormat="1"/>
    <xf numFmtId="10" fontId="14" fillId="0" borderId="0" xfId="1" applyNumberFormat="1" applyFont="1"/>
    <xf numFmtId="6" fontId="1" fillId="3" borderId="27" xfId="0" applyNumberFormat="1" applyFont="1" applyFill="1" applyBorder="1" applyAlignment="1">
      <alignment horizontal="center" vertical="center" wrapText="1"/>
    </xf>
    <xf numFmtId="0" fontId="0" fillId="0" borderId="0" xfId="0" quotePrefix="1"/>
    <xf numFmtId="0" fontId="5" fillId="4" borderId="5" xfId="0" applyFont="1" applyFill="1" applyBorder="1" applyAlignment="1">
      <alignment vertical="center" textRotation="180"/>
    </xf>
    <xf numFmtId="0" fontId="7" fillId="2" borderId="19" xfId="0" applyFont="1" applyFill="1" applyBorder="1" applyAlignment="1">
      <alignment vertical="center" wrapText="1"/>
    </xf>
    <xf numFmtId="0" fontId="7" fillId="2" borderId="11" xfId="0" applyFont="1" applyFill="1" applyBorder="1" applyAlignment="1">
      <alignment vertical="center" wrapText="1"/>
    </xf>
    <xf numFmtId="0" fontId="7" fillId="2" borderId="33" xfId="0" applyFont="1" applyFill="1" applyBorder="1" applyAlignment="1">
      <alignment vertical="center" wrapText="1"/>
    </xf>
    <xf numFmtId="0" fontId="6" fillId="4" borderId="0" xfId="0" applyFont="1" applyFill="1" applyAlignment="1">
      <alignment horizontal="center" vertical="center" wrapText="1"/>
    </xf>
    <xf numFmtId="0" fontId="13" fillId="4" borderId="31" xfId="0" applyFont="1" applyFill="1" applyBorder="1" applyAlignment="1">
      <alignment horizontal="center" vertical="center" wrapText="1"/>
    </xf>
    <xf numFmtId="0" fontId="13" fillId="4" borderId="25" xfId="0" applyFont="1" applyFill="1" applyBorder="1" applyAlignment="1">
      <alignment horizontal="center" vertical="center" wrapText="1"/>
    </xf>
    <xf numFmtId="0" fontId="13" fillId="4" borderId="34" xfId="0" applyFont="1" applyFill="1" applyBorder="1" applyAlignment="1">
      <alignment horizontal="center" vertical="center" wrapText="1"/>
    </xf>
    <xf numFmtId="8" fontId="4" fillId="0" borderId="0" xfId="0" applyNumberFormat="1" applyFont="1"/>
    <xf numFmtId="0" fontId="16" fillId="0" borderId="0" xfId="0" applyFont="1"/>
    <xf numFmtId="3" fontId="0" fillId="0" borderId="0" xfId="0" applyNumberFormat="1"/>
    <xf numFmtId="6" fontId="0" fillId="0" borderId="0" xfId="0" applyNumberFormat="1"/>
    <xf numFmtId="6" fontId="17" fillId="7" borderId="15" xfId="0" applyNumberFormat="1" applyFont="1" applyFill="1" applyBorder="1" applyAlignment="1">
      <alignment horizontal="center" vertical="center" wrapText="1"/>
    </xf>
    <xf numFmtId="6" fontId="17" fillId="7" borderId="16" xfId="0" applyNumberFormat="1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vertical="center" wrapText="1"/>
    </xf>
    <xf numFmtId="0" fontId="12" fillId="0" borderId="0" xfId="0" applyFont="1" applyAlignment="1">
      <alignment horizontal="justify" vertical="center"/>
    </xf>
    <xf numFmtId="0" fontId="21" fillId="0" borderId="35" xfId="0" applyFont="1" applyBorder="1" applyAlignment="1">
      <alignment horizontal="center" vertical="center" wrapText="1"/>
    </xf>
    <xf numFmtId="0" fontId="21" fillId="0" borderId="36" xfId="0" applyFont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 wrapText="1"/>
    </xf>
    <xf numFmtId="0" fontId="22" fillId="8" borderId="34" xfId="0" applyFont="1" applyFill="1" applyBorder="1" applyAlignment="1">
      <alignment horizontal="center" vertical="center" wrapText="1"/>
    </xf>
    <xf numFmtId="0" fontId="23" fillId="0" borderId="38" xfId="0" applyFont="1" applyBorder="1" applyAlignment="1">
      <alignment vertical="center" wrapText="1"/>
    </xf>
    <xf numFmtId="0" fontId="22" fillId="9" borderId="1" xfId="0" applyFont="1" applyFill="1" applyBorder="1" applyAlignment="1">
      <alignment horizontal="center" vertical="center" wrapText="1"/>
    </xf>
    <xf numFmtId="0" fontId="22" fillId="9" borderId="34" xfId="0" applyFont="1" applyFill="1" applyBorder="1" applyAlignment="1">
      <alignment horizontal="center" vertical="center" wrapText="1"/>
    </xf>
    <xf numFmtId="0" fontId="23" fillId="0" borderId="22" xfId="0" applyFont="1" applyBorder="1" applyAlignment="1">
      <alignment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center" vertical="center" wrapText="1"/>
    </xf>
    <xf numFmtId="0" fontId="22" fillId="11" borderId="1" xfId="0" applyFont="1" applyFill="1" applyBorder="1" applyAlignment="1">
      <alignment horizontal="center" vertical="center" wrapText="1"/>
    </xf>
    <xf numFmtId="0" fontId="22" fillId="11" borderId="39" xfId="0" applyFont="1" applyFill="1" applyBorder="1" applyAlignment="1">
      <alignment horizontal="center" vertical="center" wrapText="1"/>
    </xf>
    <xf numFmtId="0" fontId="22" fillId="12" borderId="1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22" fillId="13" borderId="40" xfId="0" applyFont="1" applyFill="1" applyBorder="1" applyAlignment="1">
      <alignment horizontal="center" vertical="center" wrapText="1"/>
    </xf>
    <xf numFmtId="0" fontId="23" fillId="13" borderId="22" xfId="0" applyFont="1" applyFill="1" applyBorder="1" applyAlignment="1">
      <alignment vertical="center" wrapText="1"/>
    </xf>
    <xf numFmtId="0" fontId="22" fillId="14" borderId="1" xfId="0" applyFont="1" applyFill="1" applyBorder="1" applyAlignment="1">
      <alignment horizontal="center" vertical="center" wrapText="1"/>
    </xf>
    <xf numFmtId="0" fontId="22" fillId="14" borderId="39" xfId="0" applyFont="1" applyFill="1" applyBorder="1" applyAlignment="1">
      <alignment horizontal="center" vertical="center" wrapText="1"/>
    </xf>
    <xf numFmtId="0" fontId="22" fillId="15" borderId="1" xfId="0" applyFont="1" applyFill="1" applyBorder="1" applyAlignment="1">
      <alignment horizontal="center" vertical="center" wrapText="1"/>
    </xf>
    <xf numFmtId="0" fontId="22" fillId="15" borderId="39" xfId="0" applyFont="1" applyFill="1" applyBorder="1" applyAlignment="1">
      <alignment horizontal="center" vertical="center" wrapText="1"/>
    </xf>
    <xf numFmtId="0" fontId="22" fillId="16" borderId="1" xfId="0" applyFont="1" applyFill="1" applyBorder="1" applyAlignment="1">
      <alignment horizontal="center" vertical="center" wrapText="1"/>
    </xf>
    <xf numFmtId="0" fontId="22" fillId="16" borderId="34" xfId="0" applyFont="1" applyFill="1" applyBorder="1" applyAlignment="1">
      <alignment horizontal="center" vertical="center" wrapText="1"/>
    </xf>
    <xf numFmtId="0" fontId="22" fillId="17" borderId="1" xfId="0" applyFont="1" applyFill="1" applyBorder="1" applyAlignment="1">
      <alignment horizontal="center" vertical="center" wrapText="1"/>
    </xf>
    <xf numFmtId="0" fontId="22" fillId="17" borderId="34" xfId="0" applyFont="1" applyFill="1" applyBorder="1" applyAlignment="1">
      <alignment horizontal="center" vertical="center" wrapText="1"/>
    </xf>
    <xf numFmtId="0" fontId="22" fillId="18" borderId="1" xfId="0" applyFont="1" applyFill="1" applyBorder="1" applyAlignment="1">
      <alignment horizontal="center" vertical="center" wrapText="1"/>
    </xf>
    <xf numFmtId="0" fontId="22" fillId="18" borderId="34" xfId="0" applyFont="1" applyFill="1" applyBorder="1" applyAlignment="1">
      <alignment horizontal="center" vertical="center" wrapText="1"/>
    </xf>
    <xf numFmtId="0" fontId="24" fillId="19" borderId="1" xfId="0" applyFont="1" applyFill="1" applyBorder="1" applyAlignment="1">
      <alignment horizontal="center" vertical="center" wrapText="1"/>
    </xf>
    <xf numFmtId="0" fontId="24" fillId="19" borderId="34" xfId="0" applyFont="1" applyFill="1" applyBorder="1" applyAlignment="1">
      <alignment horizontal="center" vertical="center" wrapText="1"/>
    </xf>
    <xf numFmtId="0" fontId="24" fillId="20" borderId="17" xfId="0" applyFont="1" applyFill="1" applyBorder="1" applyAlignment="1">
      <alignment horizontal="center" vertical="center" wrapText="1"/>
    </xf>
    <xf numFmtId="0" fontId="24" fillId="20" borderId="9" xfId="0" applyFont="1" applyFill="1" applyBorder="1" applyAlignment="1">
      <alignment horizontal="center" vertical="center" wrapText="1"/>
    </xf>
    <xf numFmtId="8" fontId="0" fillId="0" borderId="0" xfId="0" applyNumberFormat="1" applyAlignment="1">
      <alignment horizontal="center"/>
    </xf>
    <xf numFmtId="6" fontId="17" fillId="7" borderId="5" xfId="0" applyNumberFormat="1" applyFont="1" applyFill="1" applyBorder="1" applyAlignment="1">
      <alignment horizontal="center" vertical="center" wrapText="1"/>
    </xf>
    <xf numFmtId="6" fontId="17" fillId="7" borderId="15" xfId="0" applyNumberFormat="1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22" fillId="8" borderId="43" xfId="0" applyFont="1" applyFill="1" applyBorder="1" applyAlignment="1">
      <alignment horizontal="center" vertical="center" wrapText="1"/>
    </xf>
    <xf numFmtId="0" fontId="22" fillId="9" borderId="43" xfId="0" applyFont="1" applyFill="1" applyBorder="1" applyAlignment="1">
      <alignment horizontal="center" vertical="center" wrapText="1"/>
    </xf>
    <xf numFmtId="0" fontId="22" fillId="10" borderId="43" xfId="0" applyFont="1" applyFill="1" applyBorder="1" applyAlignment="1">
      <alignment horizontal="center" vertical="center" wrapText="1"/>
    </xf>
    <xf numFmtId="0" fontId="22" fillId="11" borderId="43" xfId="0" applyFont="1" applyFill="1" applyBorder="1" applyAlignment="1">
      <alignment horizontal="center" vertical="center" wrapText="1"/>
    </xf>
    <xf numFmtId="0" fontId="22" fillId="12" borderId="43" xfId="0" applyFont="1" applyFill="1" applyBorder="1" applyAlignment="1">
      <alignment horizontal="center" vertical="center" wrapText="1"/>
    </xf>
    <xf numFmtId="164" fontId="23" fillId="8" borderId="43" xfId="0" applyNumberFormat="1" applyFont="1" applyFill="1" applyBorder="1" applyAlignment="1">
      <alignment horizontal="right" vertical="center" wrapText="1"/>
    </xf>
    <xf numFmtId="164" fontId="23" fillId="9" borderId="43" xfId="0" applyNumberFormat="1" applyFont="1" applyFill="1" applyBorder="1" applyAlignment="1">
      <alignment horizontal="right" vertical="center" wrapText="1"/>
    </xf>
    <xf numFmtId="164" fontId="23" fillId="10" borderId="43" xfId="0" applyNumberFormat="1" applyFont="1" applyFill="1" applyBorder="1" applyAlignment="1">
      <alignment horizontal="right" vertical="center" wrapText="1"/>
    </xf>
    <xf numFmtId="3" fontId="23" fillId="11" borderId="43" xfId="0" applyNumberFormat="1" applyFont="1" applyFill="1" applyBorder="1" applyAlignment="1">
      <alignment vertical="center" wrapText="1"/>
    </xf>
    <xf numFmtId="3" fontId="23" fillId="12" borderId="43" xfId="0" applyNumberFormat="1" applyFont="1" applyFill="1" applyBorder="1" applyAlignment="1">
      <alignment vertical="center" wrapText="1"/>
    </xf>
    <xf numFmtId="0" fontId="22" fillId="14" borderId="44" xfId="0" applyFont="1" applyFill="1" applyBorder="1" applyAlignment="1">
      <alignment horizontal="center" vertical="center" wrapText="1"/>
    </xf>
    <xf numFmtId="0" fontId="22" fillId="15" borderId="44" xfId="0" applyFont="1" applyFill="1" applyBorder="1" applyAlignment="1">
      <alignment horizontal="center" vertical="center" wrapText="1"/>
    </xf>
    <xf numFmtId="3" fontId="23" fillId="14" borderId="44" xfId="0" applyNumberFormat="1" applyFont="1" applyFill="1" applyBorder="1" applyAlignment="1">
      <alignment vertical="center" wrapText="1"/>
    </xf>
    <xf numFmtId="3" fontId="23" fillId="15" borderId="44" xfId="0" applyNumberFormat="1" applyFont="1" applyFill="1" applyBorder="1" applyAlignment="1">
      <alignment vertical="center" wrapText="1"/>
    </xf>
    <xf numFmtId="0" fontId="22" fillId="16" borderId="44" xfId="0" applyFont="1" applyFill="1" applyBorder="1" applyAlignment="1">
      <alignment horizontal="center" vertical="center" wrapText="1"/>
    </xf>
    <xf numFmtId="164" fontId="23" fillId="16" borderId="44" xfId="0" applyNumberFormat="1" applyFont="1" applyFill="1" applyBorder="1" applyAlignment="1">
      <alignment vertical="center" wrapText="1"/>
    </xf>
    <xf numFmtId="3" fontId="23" fillId="17" borderId="44" xfId="0" applyNumberFormat="1" applyFont="1" applyFill="1" applyBorder="1" applyAlignment="1">
      <alignment vertical="center" wrapText="1"/>
    </xf>
    <xf numFmtId="0" fontId="24" fillId="19" borderId="43" xfId="0" applyFont="1" applyFill="1" applyBorder="1" applyAlignment="1">
      <alignment horizontal="center" vertical="center" wrapText="1"/>
    </xf>
    <xf numFmtId="0" fontId="24" fillId="20" borderId="43" xfId="0" applyFont="1" applyFill="1" applyBorder="1" applyAlignment="1">
      <alignment horizontal="center" vertical="center" wrapText="1"/>
    </xf>
    <xf numFmtId="0" fontId="22" fillId="18" borderId="43" xfId="0" applyFont="1" applyFill="1" applyBorder="1" applyAlignment="1">
      <alignment horizontal="center" vertical="center" wrapText="1"/>
    </xf>
    <xf numFmtId="0" fontId="25" fillId="21" borderId="43" xfId="0" applyFont="1" applyFill="1" applyBorder="1" applyAlignment="1">
      <alignment horizontal="center" vertical="center" wrapText="1"/>
    </xf>
    <xf numFmtId="0" fontId="26" fillId="21" borderId="43" xfId="0" applyFont="1" applyFill="1" applyBorder="1" applyAlignment="1">
      <alignment horizontal="center" vertical="center" wrapText="1"/>
    </xf>
    <xf numFmtId="0" fontId="26" fillId="21" borderId="43" xfId="0" applyFont="1" applyFill="1" applyBorder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wrapText="1"/>
    </xf>
    <xf numFmtId="165" fontId="0" fillId="0" borderId="0" xfId="0" applyNumberFormat="1"/>
    <xf numFmtId="43" fontId="0" fillId="0" borderId="0" xfId="0" applyNumberFormat="1"/>
    <xf numFmtId="10" fontId="0" fillId="0" borderId="0" xfId="0" applyNumberFormat="1"/>
    <xf numFmtId="0" fontId="29" fillId="0" borderId="0" xfId="2"/>
    <xf numFmtId="0" fontId="29" fillId="0" borderId="0" xfId="2" applyAlignment="1">
      <alignment wrapText="1"/>
    </xf>
    <xf numFmtId="164" fontId="23" fillId="18" borderId="43" xfId="0" applyNumberFormat="1" applyFont="1" applyFill="1" applyBorder="1" applyAlignment="1">
      <alignment vertical="center" wrapText="1"/>
    </xf>
    <xf numFmtId="164" fontId="30" fillId="19" borderId="43" xfId="0" applyNumberFormat="1" applyFont="1" applyFill="1" applyBorder="1" applyAlignment="1">
      <alignment vertical="center" wrapText="1"/>
    </xf>
    <xf numFmtId="164" fontId="30" fillId="20" borderId="43" xfId="0" applyNumberFormat="1" applyFont="1" applyFill="1" applyBorder="1" applyAlignment="1">
      <alignment vertical="center" wrapText="1"/>
    </xf>
    <xf numFmtId="0" fontId="31" fillId="0" borderId="0" xfId="0" applyFont="1" applyAlignment="1">
      <alignment wrapText="1"/>
    </xf>
    <xf numFmtId="3" fontId="22" fillId="17" borderId="44" xfId="0" applyNumberFormat="1" applyFont="1" applyFill="1" applyBorder="1" applyAlignment="1">
      <alignment horizontal="center" vertical="center" wrapText="1"/>
    </xf>
    <xf numFmtId="8" fontId="0" fillId="5" borderId="0" xfId="0" applyNumberFormat="1" applyFill="1" applyAlignment="1">
      <alignment horizontal="center"/>
    </xf>
    <xf numFmtId="0" fontId="26" fillId="0" borderId="0" xfId="0" applyFont="1" applyAlignment="1">
      <alignment horizontal="center" wrapText="1"/>
    </xf>
    <xf numFmtId="0" fontId="26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6" fontId="1" fillId="3" borderId="15" xfId="0" applyNumberFormat="1" applyFont="1" applyFill="1" applyBorder="1" applyAlignment="1">
      <alignment horizontal="center" vertical="center" wrapText="1"/>
    </xf>
    <xf numFmtId="6" fontId="17" fillId="7" borderId="0" xfId="0" applyNumberFormat="1" applyFont="1" applyFill="1" applyAlignment="1">
      <alignment horizontal="center" vertical="center" wrapText="1"/>
    </xf>
    <xf numFmtId="10" fontId="15" fillId="7" borderId="9" xfId="1" applyNumberFormat="1" applyFont="1" applyFill="1" applyBorder="1" applyAlignment="1">
      <alignment horizontal="center" vertical="center" wrapText="1"/>
    </xf>
    <xf numFmtId="10" fontId="15" fillId="0" borderId="0" xfId="1" applyNumberFormat="1" applyFont="1" applyBorder="1" applyAlignment="1">
      <alignment horizontal="center" vertical="center" wrapText="1"/>
    </xf>
    <xf numFmtId="10" fontId="15" fillId="0" borderId="9" xfId="1" applyNumberFormat="1" applyFont="1" applyBorder="1" applyAlignment="1">
      <alignment horizontal="center" vertical="center" wrapText="1"/>
    </xf>
    <xf numFmtId="6" fontId="17" fillId="7" borderId="48" xfId="0" applyNumberFormat="1" applyFont="1" applyFill="1" applyBorder="1" applyAlignment="1">
      <alignment horizontal="center" vertical="center" wrapText="1"/>
    </xf>
    <xf numFmtId="10" fontId="18" fillId="7" borderId="0" xfId="1" applyNumberFormat="1" applyFont="1" applyFill="1" applyBorder="1" applyAlignment="1">
      <alignment horizontal="center" vertical="center" wrapText="1"/>
    </xf>
    <xf numFmtId="6" fontId="17" fillId="7" borderId="4" xfId="0" applyNumberFormat="1" applyFont="1" applyFill="1" applyBorder="1" applyAlignment="1">
      <alignment horizontal="center" vertical="center" wrapText="1"/>
    </xf>
    <xf numFmtId="10" fontId="18" fillId="0" borderId="2" xfId="1" applyNumberFormat="1" applyFont="1" applyBorder="1" applyAlignment="1">
      <alignment horizontal="center" vertical="center" wrapText="1"/>
    </xf>
    <xf numFmtId="10" fontId="18" fillId="0" borderId="49" xfId="1" applyNumberFormat="1" applyFont="1" applyBorder="1" applyAlignment="1">
      <alignment horizontal="center" vertical="center" wrapText="1"/>
    </xf>
    <xf numFmtId="6" fontId="17" fillId="7" borderId="2" xfId="0" applyNumberFormat="1" applyFont="1" applyFill="1" applyBorder="1" applyAlignment="1">
      <alignment horizontal="center" vertical="center" wrapText="1"/>
    </xf>
    <xf numFmtId="9" fontId="18" fillId="7" borderId="5" xfId="1" applyFont="1" applyFill="1" applyBorder="1" applyAlignment="1">
      <alignment horizontal="center" vertical="center" wrapText="1"/>
    </xf>
    <xf numFmtId="10" fontId="15" fillId="7" borderId="49" xfId="1" applyNumberFormat="1" applyFont="1" applyFill="1" applyBorder="1" applyAlignment="1">
      <alignment horizontal="center" vertical="center" wrapText="1"/>
    </xf>
    <xf numFmtId="10" fontId="18" fillId="7" borderId="49" xfId="1" applyNumberFormat="1" applyFont="1" applyFill="1" applyBorder="1" applyAlignment="1">
      <alignment horizontal="center" vertical="center" wrapText="1"/>
    </xf>
    <xf numFmtId="10" fontId="15" fillId="7" borderId="5" xfId="1" applyNumberFormat="1" applyFont="1" applyFill="1" applyBorder="1" applyAlignment="1">
      <alignment horizontal="center" vertical="center" wrapText="1"/>
    </xf>
    <xf numFmtId="10" fontId="15" fillId="0" borderId="1" xfId="1" applyNumberFormat="1" applyFont="1" applyBorder="1" applyAlignment="1">
      <alignment horizontal="center" vertical="center" wrapText="1"/>
    </xf>
    <xf numFmtId="166" fontId="17" fillId="7" borderId="15" xfId="1" applyNumberFormat="1" applyFont="1" applyFill="1" applyBorder="1" applyAlignment="1">
      <alignment horizontal="center" vertical="center" wrapText="1"/>
    </xf>
    <xf numFmtId="10" fontId="15" fillId="0" borderId="49" xfId="1" applyNumberFormat="1" applyFont="1" applyBorder="1" applyAlignment="1">
      <alignment horizontal="center" vertical="center" wrapText="1"/>
    </xf>
    <xf numFmtId="6" fontId="1" fillId="3" borderId="23" xfId="0" applyNumberFormat="1" applyFont="1" applyFill="1" applyBorder="1" applyAlignment="1">
      <alignment horizontal="center" vertical="center" wrapText="1"/>
    </xf>
    <xf numFmtId="9" fontId="15" fillId="0" borderId="49" xfId="1" applyFont="1" applyBorder="1" applyAlignment="1">
      <alignment horizontal="center" vertical="center" wrapText="1"/>
    </xf>
    <xf numFmtId="10" fontId="15" fillId="0" borderId="2" xfId="1" applyNumberFormat="1" applyFont="1" applyBorder="1" applyAlignment="1">
      <alignment horizontal="center" vertical="center" wrapText="1"/>
    </xf>
    <xf numFmtId="6" fontId="1" fillId="3" borderId="13" xfId="0" applyNumberFormat="1" applyFont="1" applyFill="1" applyBorder="1" applyAlignment="1">
      <alignment horizontal="center" vertical="center" wrapText="1"/>
    </xf>
    <xf numFmtId="10" fontId="15" fillId="0" borderId="5" xfId="1" applyNumberFormat="1" applyFont="1" applyBorder="1" applyAlignment="1">
      <alignment horizontal="center" vertical="center" wrapText="1"/>
    </xf>
    <xf numFmtId="0" fontId="19" fillId="2" borderId="11" xfId="0" applyFont="1" applyFill="1" applyBorder="1" applyAlignment="1">
      <alignment vertical="center" wrapText="1"/>
    </xf>
    <xf numFmtId="6" fontId="1" fillId="3" borderId="1" xfId="0" applyNumberFormat="1" applyFont="1" applyFill="1" applyBorder="1" applyAlignment="1">
      <alignment horizontal="center" vertical="center" wrapText="1"/>
    </xf>
    <xf numFmtId="9" fontId="15" fillId="0" borderId="5" xfId="1" applyFont="1" applyBorder="1" applyAlignment="1">
      <alignment horizontal="center" vertical="center" wrapText="1"/>
    </xf>
    <xf numFmtId="6" fontId="1" fillId="3" borderId="7" xfId="0" applyNumberFormat="1" applyFont="1" applyFill="1" applyBorder="1" applyAlignment="1">
      <alignment horizontal="center" vertical="center" wrapText="1"/>
    </xf>
    <xf numFmtId="6" fontId="1" fillId="3" borderId="3" xfId="0" applyNumberFormat="1" applyFont="1" applyFill="1" applyBorder="1" applyAlignment="1">
      <alignment horizontal="center" vertical="center" wrapText="1"/>
    </xf>
    <xf numFmtId="6" fontId="1" fillId="3" borderId="6" xfId="0" applyNumberFormat="1" applyFont="1" applyFill="1" applyBorder="1" applyAlignment="1">
      <alignment horizontal="center" vertical="center" wrapText="1"/>
    </xf>
    <xf numFmtId="6" fontId="17" fillId="0" borderId="5" xfId="0" applyNumberFormat="1" applyFont="1" applyBorder="1" applyAlignment="1">
      <alignment horizontal="center" vertical="center" wrapText="1"/>
    </xf>
    <xf numFmtId="0" fontId="19" fillId="2" borderId="33" xfId="0" applyFont="1" applyFill="1" applyBorder="1" applyAlignment="1">
      <alignment vertical="center" wrapText="1"/>
    </xf>
    <xf numFmtId="0" fontId="0" fillId="0" borderId="0" xfId="0" applyAlignment="1">
      <alignment horizontal="center" wrapText="1"/>
    </xf>
    <xf numFmtId="167" fontId="0" fillId="0" borderId="0" xfId="0" applyNumberFormat="1"/>
    <xf numFmtId="167" fontId="1" fillId="3" borderId="15" xfId="0" applyNumberFormat="1" applyFont="1" applyFill="1" applyBorder="1" applyAlignment="1">
      <alignment horizontal="center" vertical="center" wrapText="1"/>
    </xf>
    <xf numFmtId="167" fontId="17" fillId="7" borderId="0" xfId="0" applyNumberFormat="1" applyFont="1" applyFill="1" applyAlignment="1">
      <alignment horizontal="center" vertical="center" wrapText="1"/>
    </xf>
    <xf numFmtId="167" fontId="18" fillId="0" borderId="0" xfId="1" applyNumberFormat="1" applyFont="1" applyBorder="1" applyAlignment="1">
      <alignment horizontal="center" vertical="center" wrapText="1"/>
    </xf>
    <xf numFmtId="167" fontId="17" fillId="7" borderId="4" xfId="0" applyNumberFormat="1" applyFont="1" applyFill="1" applyBorder="1" applyAlignment="1">
      <alignment horizontal="center" vertical="center" wrapText="1"/>
    </xf>
    <xf numFmtId="167" fontId="18" fillId="0" borderId="1" xfId="1" applyNumberFormat="1" applyFont="1" applyBorder="1" applyAlignment="1">
      <alignment horizontal="center" vertical="center" wrapText="1"/>
    </xf>
    <xf numFmtId="167" fontId="1" fillId="3" borderId="59" xfId="0" applyNumberFormat="1" applyFont="1" applyFill="1" applyBorder="1" applyAlignment="1">
      <alignment horizontal="center" vertical="center" wrapText="1"/>
    </xf>
    <xf numFmtId="167" fontId="17" fillId="7" borderId="15" xfId="0" applyNumberFormat="1" applyFont="1" applyFill="1" applyBorder="1" applyAlignment="1">
      <alignment horizontal="center" vertical="center" wrapText="1"/>
    </xf>
    <xf numFmtId="167" fontId="15" fillId="7" borderId="5" xfId="1" applyNumberFormat="1" applyFont="1" applyFill="1" applyBorder="1" applyAlignment="1">
      <alignment horizontal="center" vertical="center" wrapText="1"/>
    </xf>
    <xf numFmtId="167" fontId="1" fillId="3" borderId="49" xfId="0" applyNumberFormat="1" applyFont="1" applyFill="1" applyBorder="1" applyAlignment="1">
      <alignment horizontal="center" vertical="center" wrapText="1"/>
    </xf>
    <xf numFmtId="167" fontId="17" fillId="7" borderId="48" xfId="0" applyNumberFormat="1" applyFont="1" applyFill="1" applyBorder="1" applyAlignment="1">
      <alignment horizontal="center" vertical="center" wrapText="1"/>
    </xf>
    <xf numFmtId="167" fontId="15" fillId="0" borderId="0" xfId="1" applyNumberFormat="1" applyFont="1" applyBorder="1" applyAlignment="1">
      <alignment horizontal="center" vertical="center" wrapText="1"/>
    </xf>
    <xf numFmtId="167" fontId="15" fillId="0" borderId="5" xfId="1" applyNumberFormat="1" applyFont="1" applyBorder="1" applyAlignment="1">
      <alignment horizontal="center" vertical="center" wrapText="1"/>
    </xf>
    <xf numFmtId="167" fontId="1" fillId="3" borderId="21" xfId="0" applyNumberFormat="1" applyFont="1" applyFill="1" applyBorder="1" applyAlignment="1">
      <alignment horizontal="center" vertical="center" wrapText="1"/>
    </xf>
    <xf numFmtId="167" fontId="15" fillId="0" borderId="2" xfId="1" applyNumberFormat="1" applyFont="1" applyBorder="1" applyAlignment="1">
      <alignment horizontal="center" vertical="center" wrapText="1"/>
    </xf>
    <xf numFmtId="167" fontId="0" fillId="0" borderId="0" xfId="0" applyNumberFormat="1" applyAlignment="1">
      <alignment horizontal="right"/>
    </xf>
    <xf numFmtId="167" fontId="18" fillId="7" borderId="2" xfId="1" applyNumberFormat="1" applyFont="1" applyFill="1" applyBorder="1" applyAlignment="1">
      <alignment horizontal="center" vertical="center" wrapText="1"/>
    </xf>
    <xf numFmtId="167" fontId="15" fillId="7" borderId="49" xfId="1" applyNumberFormat="1" applyFont="1" applyFill="1" applyBorder="1" applyAlignment="1">
      <alignment horizontal="center" vertical="center" wrapText="1"/>
    </xf>
    <xf numFmtId="167" fontId="18" fillId="7" borderId="5" xfId="1" applyNumberFormat="1" applyFont="1" applyFill="1" applyBorder="1" applyAlignment="1">
      <alignment horizontal="center" vertical="center" wrapText="1"/>
    </xf>
    <xf numFmtId="167" fontId="17" fillId="7" borderId="5" xfId="0" applyNumberFormat="1" applyFont="1" applyFill="1" applyBorder="1" applyAlignment="1">
      <alignment horizontal="center" vertical="center" wrapText="1"/>
    </xf>
    <xf numFmtId="167" fontId="1" fillId="3" borderId="4" xfId="0" applyNumberFormat="1" applyFont="1" applyFill="1" applyBorder="1" applyAlignment="1">
      <alignment horizontal="center" vertical="center" wrapText="1"/>
    </xf>
    <xf numFmtId="167" fontId="1" fillId="3" borderId="32" xfId="0" applyNumberFormat="1" applyFont="1" applyFill="1" applyBorder="1" applyAlignment="1">
      <alignment horizontal="center" vertical="center" wrapText="1"/>
    </xf>
    <xf numFmtId="167" fontId="15" fillId="0" borderId="1" xfId="1" applyNumberFormat="1" applyFont="1" applyBorder="1" applyAlignment="1">
      <alignment horizontal="center" vertical="center" wrapText="1"/>
    </xf>
    <xf numFmtId="167" fontId="15" fillId="0" borderId="49" xfId="1" applyNumberFormat="1" applyFont="1" applyBorder="1" applyAlignment="1">
      <alignment horizontal="center" vertical="center" wrapText="1"/>
    </xf>
    <xf numFmtId="167" fontId="1" fillId="3" borderId="3" xfId="0" applyNumberFormat="1" applyFont="1" applyFill="1" applyBorder="1" applyAlignment="1">
      <alignment horizontal="center" vertical="center" wrapText="1"/>
    </xf>
    <xf numFmtId="167" fontId="17" fillId="7" borderId="3" xfId="0" applyNumberFormat="1" applyFont="1" applyFill="1" applyBorder="1" applyAlignment="1">
      <alignment horizontal="center" vertical="center" wrapText="1"/>
    </xf>
    <xf numFmtId="167" fontId="16" fillId="0" borderId="0" xfId="0" applyNumberFormat="1" applyFont="1"/>
    <xf numFmtId="167" fontId="18" fillId="7" borderId="1" xfId="1" applyNumberFormat="1" applyFont="1" applyFill="1" applyBorder="1" applyAlignment="1">
      <alignment horizontal="center" vertical="center" wrapText="1"/>
    </xf>
    <xf numFmtId="167" fontId="17" fillId="7" borderId="4" xfId="0" applyNumberFormat="1" applyFont="1" applyFill="1" applyBorder="1" applyAlignment="1">
      <alignment horizontal="center" vertical="top" wrapText="1"/>
    </xf>
    <xf numFmtId="167" fontId="15" fillId="7" borderId="2" xfId="1" applyNumberFormat="1" applyFont="1" applyFill="1" applyBorder="1" applyAlignment="1">
      <alignment horizontal="center" vertical="center" wrapText="1"/>
    </xf>
    <xf numFmtId="167" fontId="1" fillId="3" borderId="60" xfId="0" applyNumberFormat="1" applyFont="1" applyFill="1" applyBorder="1" applyAlignment="1">
      <alignment horizontal="center" vertical="center" wrapText="1"/>
    </xf>
    <xf numFmtId="167" fontId="1" fillId="3" borderId="26" xfId="0" applyNumberFormat="1" applyFont="1" applyFill="1" applyBorder="1" applyAlignment="1">
      <alignment horizontal="center" vertical="center" wrapText="1"/>
    </xf>
    <xf numFmtId="167" fontId="17" fillId="7" borderId="2" xfId="0" applyNumberFormat="1" applyFont="1" applyFill="1" applyBorder="1" applyAlignment="1">
      <alignment horizontal="center" vertical="center" wrapText="1"/>
    </xf>
    <xf numFmtId="167" fontId="1" fillId="3" borderId="10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168" fontId="0" fillId="0" borderId="0" xfId="0" applyNumberFormat="1"/>
    <xf numFmtId="168" fontId="26" fillId="0" borderId="0" xfId="0" applyNumberFormat="1" applyFont="1"/>
    <xf numFmtId="0" fontId="26" fillId="0" borderId="0" xfId="0" applyFont="1"/>
    <xf numFmtId="44" fontId="0" fillId="0" borderId="0" xfId="3" applyFont="1"/>
    <xf numFmtId="44" fontId="26" fillId="0" borderId="0" xfId="3" applyFont="1"/>
    <xf numFmtId="0" fontId="22" fillId="0" borderId="43" xfId="0" applyFont="1" applyBorder="1" applyAlignment="1">
      <alignment horizontal="center" vertical="center" wrapText="1"/>
    </xf>
    <xf numFmtId="0" fontId="22" fillId="15" borderId="45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16" borderId="45" xfId="0" applyFont="1" applyFill="1" applyBorder="1" applyAlignment="1">
      <alignment horizontal="center" vertical="center" wrapText="1"/>
    </xf>
    <xf numFmtId="0" fontId="22" fillId="17" borderId="44" xfId="0" applyFont="1" applyFill="1" applyBorder="1" applyAlignment="1">
      <alignment horizontal="center" vertical="center" wrapText="1"/>
    </xf>
    <xf numFmtId="0" fontId="22" fillId="17" borderId="45" xfId="0" applyFont="1" applyFill="1" applyBorder="1" applyAlignment="1">
      <alignment horizontal="center" vertical="center" wrapText="1"/>
    </xf>
    <xf numFmtId="44" fontId="38" fillId="0" borderId="0" xfId="3" applyFont="1"/>
    <xf numFmtId="44" fontId="39" fillId="0" borderId="0" xfId="3" applyFont="1"/>
    <xf numFmtId="0" fontId="39" fillId="0" borderId="0" xfId="0" applyFont="1"/>
    <xf numFmtId="169" fontId="0" fillId="0" borderId="0" xfId="0" applyNumberFormat="1"/>
    <xf numFmtId="3" fontId="40" fillId="17" borderId="44" xfId="0" applyNumberFormat="1" applyFont="1" applyFill="1" applyBorder="1" applyAlignment="1">
      <alignment vertical="center" wrapText="1"/>
    </xf>
    <xf numFmtId="164" fontId="40" fillId="19" borderId="43" xfId="0" applyNumberFormat="1" applyFont="1" applyFill="1" applyBorder="1" applyAlignment="1">
      <alignment vertical="center" wrapText="1"/>
    </xf>
    <xf numFmtId="164" fontId="41" fillId="20" borderId="43" xfId="0" applyNumberFormat="1" applyFont="1" applyFill="1" applyBorder="1" applyAlignment="1">
      <alignment vertical="center" wrapText="1"/>
    </xf>
    <xf numFmtId="164" fontId="40" fillId="20" borderId="43" xfId="0" applyNumberFormat="1" applyFont="1" applyFill="1" applyBorder="1" applyAlignment="1">
      <alignment vertical="center" wrapText="1"/>
    </xf>
    <xf numFmtId="164" fontId="40" fillId="16" borderId="44" xfId="0" applyNumberFormat="1" applyFont="1" applyFill="1" applyBorder="1" applyAlignment="1">
      <alignment vertical="center" wrapText="1"/>
    </xf>
    <xf numFmtId="3" fontId="40" fillId="15" borderId="44" xfId="0" applyNumberFormat="1" applyFont="1" applyFill="1" applyBorder="1" applyAlignment="1">
      <alignment vertical="center" wrapText="1"/>
    </xf>
    <xf numFmtId="164" fontId="42" fillId="19" borderId="43" xfId="0" applyNumberFormat="1" applyFont="1" applyFill="1" applyBorder="1" applyAlignment="1">
      <alignment vertical="center" wrapText="1"/>
    </xf>
    <xf numFmtId="164" fontId="42" fillId="20" borderId="43" xfId="0" applyNumberFormat="1" applyFont="1" applyFill="1" applyBorder="1" applyAlignment="1">
      <alignment vertical="center" wrapText="1"/>
    </xf>
    <xf numFmtId="3" fontId="40" fillId="14" borderId="44" xfId="0" applyNumberFormat="1" applyFont="1" applyFill="1" applyBorder="1" applyAlignment="1">
      <alignment vertical="center" wrapText="1"/>
    </xf>
    <xf numFmtId="164" fontId="40" fillId="18" borderId="43" xfId="0" applyNumberFormat="1" applyFont="1" applyFill="1" applyBorder="1" applyAlignment="1">
      <alignment vertical="center" wrapText="1"/>
    </xf>
    <xf numFmtId="3" fontId="40" fillId="11" borderId="43" xfId="0" applyNumberFormat="1" applyFont="1" applyFill="1" applyBorder="1" applyAlignment="1">
      <alignment vertical="center" wrapText="1"/>
    </xf>
    <xf numFmtId="164" fontId="40" fillId="10" borderId="43" xfId="0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70" fontId="0" fillId="0" borderId="0" xfId="0" applyNumberFormat="1"/>
    <xf numFmtId="0" fontId="0" fillId="0" borderId="0" xfId="0" applyAlignment="1">
      <alignment horizontal="left" vertical="center" wrapText="1"/>
    </xf>
    <xf numFmtId="171" fontId="0" fillId="6" borderId="0" xfId="0" applyNumberFormat="1" applyFill="1"/>
    <xf numFmtId="164" fontId="40" fillId="8" borderId="43" xfId="0" applyNumberFormat="1" applyFont="1" applyFill="1" applyBorder="1" applyAlignment="1">
      <alignment horizontal="right" vertical="center" wrapText="1"/>
    </xf>
    <xf numFmtId="164" fontId="43" fillId="8" borderId="43" xfId="0" applyNumberFormat="1" applyFont="1" applyFill="1" applyBorder="1" applyAlignment="1">
      <alignment horizontal="right" vertical="center" wrapText="1"/>
    </xf>
    <xf numFmtId="164" fontId="44" fillId="10" borderId="43" xfId="0" applyNumberFormat="1" applyFont="1" applyFill="1" applyBorder="1" applyAlignment="1">
      <alignment horizontal="right" vertical="center" wrapText="1"/>
    </xf>
    <xf numFmtId="164" fontId="41" fillId="8" borderId="43" xfId="0" applyNumberFormat="1" applyFont="1" applyFill="1" applyBorder="1" applyAlignment="1">
      <alignment horizontal="right" vertical="center" wrapText="1"/>
    </xf>
    <xf numFmtId="44" fontId="45" fillId="0" borderId="0" xfId="3" applyFont="1"/>
    <xf numFmtId="168" fontId="45" fillId="0" borderId="0" xfId="0" applyNumberFormat="1" applyFont="1"/>
    <xf numFmtId="164" fontId="44" fillId="9" borderId="43" xfId="0" applyNumberFormat="1" applyFont="1" applyFill="1" applyBorder="1" applyAlignment="1">
      <alignment horizontal="right" vertical="center" wrapText="1"/>
    </xf>
    <xf numFmtId="44" fontId="0" fillId="0" borderId="0" xfId="0" applyNumberFormat="1"/>
    <xf numFmtId="9" fontId="0" fillId="0" borderId="0" xfId="0" applyNumberFormat="1"/>
    <xf numFmtId="44" fontId="39" fillId="0" borderId="0" xfId="3" applyFont="1" applyAlignment="1">
      <alignment wrapText="1"/>
    </xf>
    <xf numFmtId="8" fontId="39" fillId="0" borderId="0" xfId="3" applyNumberFormat="1" applyFont="1"/>
    <xf numFmtId="8" fontId="27" fillId="0" borderId="0" xfId="0" applyNumberFormat="1" applyFont="1"/>
    <xf numFmtId="168" fontId="26" fillId="0" borderId="0" xfId="3" applyNumberFormat="1" applyFont="1"/>
    <xf numFmtId="0" fontId="46" fillId="2" borderId="0" xfId="0" applyFont="1" applyFill="1"/>
    <xf numFmtId="0" fontId="47" fillId="2" borderId="0" xfId="0" applyFont="1" applyFill="1"/>
    <xf numFmtId="0" fontId="48" fillId="2" borderId="0" xfId="0" applyFont="1" applyFill="1"/>
    <xf numFmtId="170" fontId="0" fillId="0" borderId="0" xfId="0" applyNumberFormat="1" applyAlignment="1">
      <alignment wrapText="1"/>
    </xf>
    <xf numFmtId="168" fontId="0" fillId="0" borderId="0" xfId="3" applyNumberFormat="1" applyFont="1"/>
    <xf numFmtId="0" fontId="49" fillId="0" borderId="0" xfId="0" applyFont="1"/>
    <xf numFmtId="0" fontId="45" fillId="0" borderId="0" xfId="0" applyFont="1"/>
    <xf numFmtId="172" fontId="0" fillId="0" borderId="0" xfId="0" applyNumberFormat="1"/>
    <xf numFmtId="4" fontId="27" fillId="0" borderId="0" xfId="0" applyNumberFormat="1" applyFont="1"/>
    <xf numFmtId="168" fontId="49" fillId="0" borderId="0" xfId="3" applyNumberFormat="1" applyFont="1"/>
    <xf numFmtId="172" fontId="1" fillId="3" borderId="4" xfId="0" applyNumberFormat="1" applyFont="1" applyFill="1" applyBorder="1" applyAlignment="1">
      <alignment horizontal="center" vertical="center" wrapText="1"/>
    </xf>
    <xf numFmtId="172" fontId="17" fillId="7" borderId="2" xfId="0" applyNumberFormat="1" applyFont="1" applyFill="1" applyBorder="1" applyAlignment="1">
      <alignment horizontal="center" vertical="center" wrapText="1"/>
    </xf>
    <xf numFmtId="172" fontId="18" fillId="0" borderId="2" xfId="1" applyNumberFormat="1" applyFont="1" applyBorder="1" applyAlignment="1">
      <alignment horizontal="center" vertical="center" wrapText="1"/>
    </xf>
    <xf numFmtId="172" fontId="17" fillId="7" borderId="15" xfId="0" applyNumberFormat="1" applyFont="1" applyFill="1" applyBorder="1" applyAlignment="1">
      <alignment horizontal="center" vertical="center" wrapText="1"/>
    </xf>
    <xf numFmtId="172" fontId="18" fillId="0" borderId="49" xfId="1" applyNumberFormat="1" applyFont="1" applyBorder="1" applyAlignment="1">
      <alignment horizontal="center" vertical="center" wrapText="1"/>
    </xf>
    <xf numFmtId="172" fontId="1" fillId="3" borderId="13" xfId="0" applyNumberFormat="1" applyFont="1" applyFill="1" applyBorder="1" applyAlignment="1">
      <alignment horizontal="center" vertical="center" wrapText="1"/>
    </xf>
    <xf numFmtId="172" fontId="15" fillId="7" borderId="5" xfId="1" applyNumberFormat="1" applyFont="1" applyFill="1" applyBorder="1" applyAlignment="1">
      <alignment horizontal="center" vertical="center" wrapText="1"/>
    </xf>
    <xf numFmtId="172" fontId="1" fillId="3" borderId="1" xfId="0" applyNumberFormat="1" applyFont="1" applyFill="1" applyBorder="1" applyAlignment="1">
      <alignment horizontal="center" vertical="center" wrapText="1"/>
    </xf>
    <xf numFmtId="172" fontId="17" fillId="7" borderId="4" xfId="0" applyNumberFormat="1" applyFont="1" applyFill="1" applyBorder="1" applyAlignment="1">
      <alignment horizontal="center" vertical="center" wrapText="1"/>
    </xf>
    <xf numFmtId="172" fontId="15" fillId="0" borderId="2" xfId="1" applyNumberFormat="1" applyFont="1" applyBorder="1" applyAlignment="1">
      <alignment horizontal="center" vertical="center" wrapText="1"/>
    </xf>
    <xf numFmtId="172" fontId="15" fillId="0" borderId="5" xfId="1" applyNumberFormat="1" applyFont="1" applyBorder="1" applyAlignment="1">
      <alignment horizontal="center" vertical="center" wrapText="1"/>
    </xf>
    <xf numFmtId="172" fontId="1" fillId="3" borderId="7" xfId="0" applyNumberFormat="1" applyFont="1" applyFill="1" applyBorder="1" applyAlignment="1">
      <alignment horizontal="center" vertical="center" wrapText="1"/>
    </xf>
    <xf numFmtId="172" fontId="15" fillId="0" borderId="1" xfId="1" applyNumberFormat="1" applyFont="1" applyBorder="1" applyAlignment="1">
      <alignment horizontal="center" vertical="center" wrapText="1"/>
    </xf>
    <xf numFmtId="172" fontId="17" fillId="7" borderId="16" xfId="0" applyNumberFormat="1" applyFont="1" applyFill="1" applyBorder="1" applyAlignment="1">
      <alignment horizontal="center" vertical="center" wrapText="1"/>
    </xf>
    <xf numFmtId="172" fontId="15" fillId="0" borderId="0" xfId="1" applyNumberFormat="1" applyFont="1" applyBorder="1" applyAlignment="1">
      <alignment horizontal="center" vertical="center" wrapText="1"/>
    </xf>
    <xf numFmtId="172" fontId="0" fillId="0" borderId="0" xfId="0" applyNumberFormat="1" applyAlignment="1">
      <alignment horizontal="right"/>
    </xf>
    <xf numFmtId="172" fontId="18" fillId="7" borderId="5" xfId="1" applyNumberFormat="1" applyFont="1" applyFill="1" applyBorder="1" applyAlignment="1">
      <alignment horizontal="center" vertical="center" wrapText="1"/>
    </xf>
    <xf numFmtId="172" fontId="17" fillId="7" borderId="0" xfId="0" applyNumberFormat="1" applyFont="1" applyFill="1" applyAlignment="1">
      <alignment horizontal="center" vertical="center" wrapText="1"/>
    </xf>
    <xf numFmtId="172" fontId="15" fillId="7" borderId="9" xfId="1" applyNumberFormat="1" applyFont="1" applyFill="1" applyBorder="1" applyAlignment="1">
      <alignment horizontal="center" vertical="center" wrapText="1"/>
    </xf>
    <xf numFmtId="172" fontId="17" fillId="7" borderId="15" xfId="1" applyNumberFormat="1" applyFont="1" applyFill="1" applyBorder="1" applyAlignment="1">
      <alignment horizontal="center" vertical="center" wrapText="1"/>
    </xf>
    <xf numFmtId="172" fontId="17" fillId="7" borderId="5" xfId="0" applyNumberFormat="1" applyFont="1" applyFill="1" applyBorder="1" applyAlignment="1">
      <alignment horizontal="center" vertical="center" wrapText="1"/>
    </xf>
    <xf numFmtId="172" fontId="15" fillId="0" borderId="49" xfId="1" applyNumberFormat="1" applyFont="1" applyBorder="1" applyAlignment="1">
      <alignment horizontal="center" vertical="center" wrapText="1"/>
    </xf>
    <xf numFmtId="172" fontId="1" fillId="3" borderId="3" xfId="0" applyNumberFormat="1" applyFont="1" applyFill="1" applyBorder="1" applyAlignment="1">
      <alignment horizontal="center" vertical="center" wrapText="1"/>
    </xf>
    <xf numFmtId="172" fontId="16" fillId="0" borderId="0" xfId="0" applyNumberFormat="1" applyFont="1"/>
    <xf numFmtId="172" fontId="17" fillId="7" borderId="48" xfId="0" applyNumberFormat="1" applyFont="1" applyFill="1" applyBorder="1" applyAlignment="1">
      <alignment horizontal="center" vertical="center" wrapText="1"/>
    </xf>
    <xf numFmtId="172" fontId="18" fillId="7" borderId="0" xfId="1" applyNumberFormat="1" applyFont="1" applyFill="1" applyBorder="1" applyAlignment="1">
      <alignment horizontal="center" vertical="center" wrapText="1"/>
    </xf>
    <xf numFmtId="172" fontId="1" fillId="3" borderId="27" xfId="0" applyNumberFormat="1" applyFont="1" applyFill="1" applyBorder="1" applyAlignment="1">
      <alignment horizontal="center" vertical="center" wrapText="1"/>
    </xf>
    <xf numFmtId="172" fontId="18" fillId="7" borderId="49" xfId="1" applyNumberFormat="1" applyFont="1" applyFill="1" applyBorder="1" applyAlignment="1">
      <alignment horizontal="center" vertical="center" wrapText="1"/>
    </xf>
    <xf numFmtId="172" fontId="1" fillId="3" borderId="23" xfId="0" applyNumberFormat="1" applyFont="1" applyFill="1" applyBorder="1" applyAlignment="1">
      <alignment horizontal="center" vertical="center" wrapText="1"/>
    </xf>
    <xf numFmtId="172" fontId="15" fillId="7" borderId="49" xfId="1" applyNumberFormat="1" applyFont="1" applyFill="1" applyBorder="1" applyAlignment="1">
      <alignment horizontal="center" vertical="center" wrapText="1"/>
    </xf>
    <xf numFmtId="172" fontId="15" fillId="0" borderId="9" xfId="1" applyNumberFormat="1" applyFont="1" applyBorder="1" applyAlignment="1">
      <alignment horizontal="center" vertical="center" wrapText="1"/>
    </xf>
    <xf numFmtId="172" fontId="1" fillId="3" borderId="15" xfId="0" applyNumberFormat="1" applyFont="1" applyFill="1" applyBorder="1" applyAlignment="1">
      <alignment horizontal="center" vertical="center" wrapText="1"/>
    </xf>
    <xf numFmtId="172" fontId="17" fillId="0" borderId="5" xfId="0" applyNumberFormat="1" applyFont="1" applyBorder="1" applyAlignment="1">
      <alignment horizontal="center" vertical="center" wrapText="1"/>
    </xf>
    <xf numFmtId="172" fontId="1" fillId="3" borderId="6" xfId="0" applyNumberFormat="1" applyFont="1" applyFill="1" applyBorder="1" applyAlignment="1">
      <alignment horizontal="center" vertical="center" wrapText="1"/>
    </xf>
    <xf numFmtId="0" fontId="0" fillId="6" borderId="0" xfId="0" applyFill="1"/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 wrapText="1"/>
    </xf>
    <xf numFmtId="6" fontId="11" fillId="3" borderId="48" xfId="0" applyNumberFormat="1" applyFont="1" applyFill="1" applyBorder="1" applyAlignment="1">
      <alignment horizontal="center" vertical="center" wrapText="1"/>
    </xf>
    <xf numFmtId="6" fontId="11" fillId="3" borderId="16" xfId="0" applyNumberFormat="1" applyFont="1" applyFill="1" applyBorder="1" applyAlignment="1">
      <alignment horizontal="center" vertical="center" wrapText="1"/>
    </xf>
    <xf numFmtId="0" fontId="2" fillId="4" borderId="59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2" fillId="4" borderId="61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6" fontId="11" fillId="3" borderId="19" xfId="0" applyNumberFormat="1" applyFont="1" applyFill="1" applyBorder="1" applyAlignment="1">
      <alignment horizontal="center" vertical="center" wrapText="1"/>
    </xf>
    <xf numFmtId="6" fontId="11" fillId="3" borderId="28" xfId="0" applyNumberFormat="1" applyFont="1" applyFill="1" applyBorder="1" applyAlignment="1">
      <alignment horizontal="center" vertical="center" wrapText="1"/>
    </xf>
    <xf numFmtId="6" fontId="11" fillId="3" borderId="49" xfId="0" applyNumberFormat="1" applyFont="1" applyFill="1" applyBorder="1" applyAlignment="1">
      <alignment horizontal="center" vertical="center" wrapText="1"/>
    </xf>
    <xf numFmtId="6" fontId="11" fillId="3" borderId="3" xfId="0" applyNumberFormat="1" applyFont="1" applyFill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6" xfId="0" quotePrefix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6" fillId="4" borderId="59" xfId="0" applyFont="1" applyFill="1" applyBorder="1" applyAlignment="1">
      <alignment horizontal="center" vertical="center"/>
    </xf>
    <xf numFmtId="0" fontId="36" fillId="4" borderId="61" xfId="0" applyFont="1" applyFill="1" applyBorder="1" applyAlignment="1">
      <alignment horizontal="center" vertical="center"/>
    </xf>
    <xf numFmtId="0" fontId="36" fillId="4" borderId="32" xfId="0" applyFont="1" applyFill="1" applyBorder="1" applyAlignment="1">
      <alignment horizontal="center" vertical="center"/>
    </xf>
    <xf numFmtId="6" fontId="11" fillId="3" borderId="15" xfId="0" applyNumberFormat="1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167" fontId="6" fillId="4" borderId="10" xfId="0" applyNumberFormat="1" applyFont="1" applyFill="1" applyBorder="1" applyAlignment="1">
      <alignment horizontal="center" vertical="center" wrapText="1"/>
    </xf>
    <xf numFmtId="167" fontId="6" fillId="4" borderId="24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2" fillId="0" borderId="2" xfId="0" quotePrefix="1" applyFont="1" applyBorder="1" applyAlignment="1">
      <alignment horizontal="center" vertical="center" wrapText="1"/>
    </xf>
    <xf numFmtId="0" fontId="1" fillId="0" borderId="55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left" vertical="center" wrapText="1"/>
    </xf>
    <xf numFmtId="0" fontId="9" fillId="2" borderId="21" xfId="0" applyFont="1" applyFill="1" applyBorder="1" applyAlignment="1">
      <alignment horizontal="left" vertical="center" wrapText="1"/>
    </xf>
    <xf numFmtId="0" fontId="5" fillId="4" borderId="29" xfId="0" applyFont="1" applyFill="1" applyBorder="1" applyAlignment="1">
      <alignment horizontal="center" vertical="center" textRotation="180"/>
    </xf>
    <xf numFmtId="0" fontId="5" fillId="4" borderId="30" xfId="0" applyFont="1" applyFill="1" applyBorder="1" applyAlignment="1">
      <alignment horizontal="center" vertical="center" textRotation="180"/>
    </xf>
    <xf numFmtId="0" fontId="5" fillId="4" borderId="31" xfId="0" applyFont="1" applyFill="1" applyBorder="1" applyAlignment="1">
      <alignment horizontal="center" vertical="center" textRotation="180"/>
    </xf>
    <xf numFmtId="0" fontId="9" fillId="2" borderId="50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8" fontId="0" fillId="5" borderId="0" xfId="0" applyNumberFormat="1" applyFill="1" applyAlignment="1">
      <alignment horizontal="center"/>
    </xf>
    <xf numFmtId="0" fontId="3" fillId="0" borderId="4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6" fontId="11" fillId="3" borderId="61" xfId="0" applyNumberFormat="1" applyFont="1" applyFill="1" applyBorder="1" applyAlignment="1">
      <alignment horizontal="center" vertical="center" wrapText="1"/>
    </xf>
    <xf numFmtId="6" fontId="11" fillId="3" borderId="59" xfId="0" applyNumberFormat="1" applyFont="1" applyFill="1" applyBorder="1" applyAlignment="1">
      <alignment horizontal="center" vertical="center" wrapText="1"/>
    </xf>
    <xf numFmtId="6" fontId="11" fillId="3" borderId="32" xfId="0" applyNumberFormat="1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49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2" fillId="4" borderId="39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2" fontId="0" fillId="0" borderId="0" xfId="0" applyNumberFormat="1" applyAlignment="1">
      <alignment horizontal="center"/>
    </xf>
    <xf numFmtId="0" fontId="3" fillId="0" borderId="49" xfId="0" applyFont="1" applyBorder="1" applyAlignment="1">
      <alignment horizontal="left" vertical="center" wrapText="1"/>
    </xf>
    <xf numFmtId="0" fontId="35" fillId="2" borderId="50" xfId="0" applyFont="1" applyFill="1" applyBorder="1" applyAlignment="1">
      <alignment horizontal="left" vertical="center" wrapText="1"/>
    </xf>
    <xf numFmtId="0" fontId="9" fillId="2" borderId="51" xfId="0" applyFont="1" applyFill="1" applyBorder="1" applyAlignment="1">
      <alignment horizontal="left" vertical="center" wrapText="1"/>
    </xf>
    <xf numFmtId="0" fontId="5" fillId="4" borderId="21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172" fontId="6" fillId="4" borderId="10" xfId="0" applyNumberFormat="1" applyFont="1" applyFill="1" applyBorder="1" applyAlignment="1">
      <alignment horizontal="center" vertical="center" wrapText="1"/>
    </xf>
    <xf numFmtId="172" fontId="6" fillId="4" borderId="24" xfId="0" applyNumberFormat="1" applyFont="1" applyFill="1" applyBorder="1" applyAlignment="1">
      <alignment horizontal="center" vertical="center" wrapText="1"/>
    </xf>
    <xf numFmtId="6" fontId="11" fillId="3" borderId="56" xfId="0" applyNumberFormat="1" applyFont="1" applyFill="1" applyBorder="1" applyAlignment="1">
      <alignment horizontal="center" vertical="center" wrapText="1"/>
    </xf>
    <xf numFmtId="6" fontId="11" fillId="3" borderId="57" xfId="0" applyNumberFormat="1" applyFont="1" applyFill="1" applyBorder="1" applyAlignment="1">
      <alignment horizontal="center" vertical="center" wrapText="1"/>
    </xf>
    <xf numFmtId="6" fontId="11" fillId="3" borderId="58" xfId="0" applyNumberFormat="1" applyFont="1" applyFill="1" applyBorder="1" applyAlignment="1">
      <alignment horizontal="center" vertical="center" wrapText="1"/>
    </xf>
    <xf numFmtId="6" fontId="11" fillId="3" borderId="39" xfId="0" applyNumberFormat="1" applyFont="1" applyFill="1" applyBorder="1" applyAlignment="1">
      <alignment horizontal="center" vertical="center" wrapText="1"/>
    </xf>
    <xf numFmtId="0" fontId="35" fillId="2" borderId="11" xfId="0" applyFont="1" applyFill="1" applyBorder="1" applyAlignment="1">
      <alignment horizontal="left" vertical="center" wrapText="1"/>
    </xf>
    <xf numFmtId="0" fontId="12" fillId="0" borderId="11" xfId="0" applyFont="1" applyBorder="1" applyAlignment="1">
      <alignment horizontal="left" vertical="center" wrapText="1"/>
    </xf>
    <xf numFmtId="0" fontId="2" fillId="0" borderId="19" xfId="0" quotePrefix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5" fillId="4" borderId="4" xfId="0" applyFont="1" applyFill="1" applyBorder="1" applyAlignment="1">
      <alignment horizontal="center" vertical="center" textRotation="180"/>
    </xf>
    <xf numFmtId="0" fontId="5" fillId="4" borderId="2" xfId="0" applyFont="1" applyFill="1" applyBorder="1" applyAlignment="1">
      <alignment horizontal="center" vertical="center" textRotation="180"/>
    </xf>
    <xf numFmtId="0" fontId="5" fillId="4" borderId="1" xfId="0" applyFont="1" applyFill="1" applyBorder="1" applyAlignment="1">
      <alignment horizontal="center" vertical="center" textRotation="180"/>
    </xf>
    <xf numFmtId="0" fontId="22" fillId="14" borderId="44" xfId="0" applyFont="1" applyFill="1" applyBorder="1" applyAlignment="1">
      <alignment horizontal="center" vertical="center" wrapText="1"/>
    </xf>
    <xf numFmtId="0" fontId="22" fillId="14" borderId="45" xfId="0" applyFont="1" applyFill="1" applyBorder="1" applyAlignment="1">
      <alignment horizontal="center" vertical="center" wrapText="1"/>
    </xf>
    <xf numFmtId="0" fontId="22" fillId="14" borderId="46" xfId="0" applyFont="1" applyFill="1" applyBorder="1" applyAlignment="1">
      <alignment horizontal="center" vertical="center" wrapText="1"/>
    </xf>
    <xf numFmtId="0" fontId="37" fillId="0" borderId="47" xfId="0" applyFont="1" applyBorder="1" applyAlignment="1">
      <alignment horizontal="center"/>
    </xf>
    <xf numFmtId="0" fontId="22" fillId="8" borderId="44" xfId="0" applyFont="1" applyFill="1" applyBorder="1" applyAlignment="1">
      <alignment horizontal="center" vertical="center" wrapText="1"/>
    </xf>
    <xf numFmtId="0" fontId="22" fillId="8" borderId="45" xfId="0" applyFont="1" applyFill="1" applyBorder="1" applyAlignment="1">
      <alignment horizontal="center" vertical="center" wrapText="1"/>
    </xf>
    <xf numFmtId="0" fontId="22" fillId="8" borderId="46" xfId="0" applyFont="1" applyFill="1" applyBorder="1" applyAlignment="1">
      <alignment horizontal="center" vertical="center" wrapText="1"/>
    </xf>
    <xf numFmtId="0" fontId="22" fillId="13" borderId="44" xfId="0" applyFont="1" applyFill="1" applyBorder="1" applyAlignment="1">
      <alignment horizontal="center" vertical="center" wrapText="1"/>
    </xf>
    <xf numFmtId="0" fontId="22" fillId="13" borderId="45" xfId="0" applyFont="1" applyFill="1" applyBorder="1" applyAlignment="1">
      <alignment horizontal="center" vertical="center" wrapText="1"/>
    </xf>
    <xf numFmtId="0" fontId="22" fillId="13" borderId="46" xfId="0" applyFont="1" applyFill="1" applyBorder="1" applyAlignment="1">
      <alignment horizontal="center" vertical="center" wrapText="1"/>
    </xf>
    <xf numFmtId="0" fontId="22" fillId="10" borderId="43" xfId="0" applyFont="1" applyFill="1" applyBorder="1" applyAlignment="1">
      <alignment horizontal="center" vertical="center" wrapText="1"/>
    </xf>
    <xf numFmtId="0" fontId="22" fillId="11" borderId="43" xfId="0" applyFont="1" applyFill="1" applyBorder="1" applyAlignment="1">
      <alignment horizontal="center" vertical="center" wrapText="1"/>
    </xf>
    <xf numFmtId="0" fontId="22" fillId="10" borderId="44" xfId="0" applyFont="1" applyFill="1" applyBorder="1" applyAlignment="1">
      <alignment horizontal="center" vertical="center" wrapText="1"/>
    </xf>
    <xf numFmtId="0" fontId="22" fillId="10" borderId="45" xfId="0" applyFont="1" applyFill="1" applyBorder="1" applyAlignment="1">
      <alignment horizontal="center" vertical="center" wrapText="1"/>
    </xf>
    <xf numFmtId="0" fontId="22" fillId="10" borderId="46" xfId="0" applyFont="1" applyFill="1" applyBorder="1" applyAlignment="1">
      <alignment horizontal="center" vertical="center" wrapText="1"/>
    </xf>
    <xf numFmtId="0" fontId="22" fillId="9" borderId="44" xfId="0" applyFont="1" applyFill="1" applyBorder="1" applyAlignment="1">
      <alignment horizontal="center" vertical="center" wrapText="1"/>
    </xf>
    <xf numFmtId="0" fontId="22" fillId="9" borderId="45" xfId="0" applyFont="1" applyFill="1" applyBorder="1" applyAlignment="1">
      <alignment horizontal="center" vertical="center" wrapText="1"/>
    </xf>
    <xf numFmtId="0" fontId="22" fillId="9" borderId="46" xfId="0" applyFont="1" applyFill="1" applyBorder="1" applyAlignment="1">
      <alignment horizontal="center" vertical="center" wrapText="1"/>
    </xf>
    <xf numFmtId="0" fontId="22" fillId="12" borderId="43" xfId="0" applyFont="1" applyFill="1" applyBorder="1" applyAlignment="1">
      <alignment horizontal="center" vertical="center" wrapText="1"/>
    </xf>
    <xf numFmtId="0" fontId="22" fillId="13" borderId="43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6" xfId="0" applyFont="1" applyBorder="1" applyAlignment="1">
      <alignment horizontal="center" vertical="center" wrapText="1"/>
    </xf>
    <xf numFmtId="0" fontId="22" fillId="15" borderId="44" xfId="0" applyFont="1" applyFill="1" applyBorder="1" applyAlignment="1">
      <alignment horizontal="center" vertical="center" wrapText="1"/>
    </xf>
    <xf numFmtId="0" fontId="22" fillId="15" borderId="45" xfId="0" applyFont="1" applyFill="1" applyBorder="1" applyAlignment="1">
      <alignment horizontal="center" vertical="center" wrapText="1"/>
    </xf>
    <xf numFmtId="0" fontId="22" fillId="15" borderId="46" xfId="0" applyFont="1" applyFill="1" applyBorder="1" applyAlignment="1">
      <alignment horizontal="center" vertical="center" wrapText="1"/>
    </xf>
    <xf numFmtId="0" fontId="24" fillId="19" borderId="43" xfId="0" applyFont="1" applyFill="1" applyBorder="1" applyAlignment="1">
      <alignment horizontal="center" vertical="center" wrapText="1"/>
    </xf>
    <xf numFmtId="0" fontId="24" fillId="20" borderId="43" xfId="0" applyFont="1" applyFill="1" applyBorder="1" applyAlignment="1">
      <alignment horizontal="center" vertical="center" wrapText="1"/>
    </xf>
    <xf numFmtId="0" fontId="22" fillId="16" borderId="44" xfId="0" applyFont="1" applyFill="1" applyBorder="1" applyAlignment="1">
      <alignment horizontal="center" vertical="center" wrapText="1"/>
    </xf>
    <xf numFmtId="0" fontId="22" fillId="16" borderId="45" xfId="0" applyFont="1" applyFill="1" applyBorder="1" applyAlignment="1">
      <alignment horizontal="center" vertical="center" wrapText="1"/>
    </xf>
    <xf numFmtId="0" fontId="22" fillId="16" borderId="46" xfId="0" applyFont="1" applyFill="1" applyBorder="1" applyAlignment="1">
      <alignment horizontal="center" vertical="center" wrapText="1"/>
    </xf>
    <xf numFmtId="0" fontId="22" fillId="17" borderId="44" xfId="0" applyFont="1" applyFill="1" applyBorder="1" applyAlignment="1">
      <alignment horizontal="center" vertical="center" wrapText="1"/>
    </xf>
    <xf numFmtId="0" fontId="22" fillId="17" borderId="45" xfId="0" applyFont="1" applyFill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22" fillId="18" borderId="43" xfId="0" applyFont="1" applyFill="1" applyBorder="1" applyAlignment="1">
      <alignment horizontal="center" vertical="center" wrapText="1"/>
    </xf>
    <xf numFmtId="0" fontId="22" fillId="0" borderId="43" xfId="0" applyFont="1" applyBorder="1" applyAlignment="1">
      <alignment horizontal="center" vertical="center" wrapText="1"/>
    </xf>
    <xf numFmtId="0" fontId="22" fillId="11" borderId="44" xfId="0" applyFont="1" applyFill="1" applyBorder="1" applyAlignment="1">
      <alignment horizontal="center" vertical="center" wrapText="1"/>
    </xf>
    <xf numFmtId="0" fontId="22" fillId="11" borderId="45" xfId="0" applyFont="1" applyFill="1" applyBorder="1" applyAlignment="1">
      <alignment horizontal="center" vertical="center" wrapText="1"/>
    </xf>
    <xf numFmtId="0" fontId="22" fillId="11" borderId="46" xfId="0" applyFont="1" applyFill="1" applyBorder="1" applyAlignment="1">
      <alignment horizontal="center" vertical="center" wrapText="1"/>
    </xf>
    <xf numFmtId="168" fontId="26" fillId="22" borderId="0" xfId="0" applyNumberFormat="1" applyFont="1" applyFill="1" applyAlignment="1">
      <alignment horizontal="center"/>
    </xf>
    <xf numFmtId="0" fontId="22" fillId="0" borderId="41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22" fillId="0" borderId="42" xfId="0" applyFont="1" applyBorder="1" applyAlignment="1">
      <alignment horizontal="center" vertical="center" wrapText="1"/>
    </xf>
    <xf numFmtId="0" fontId="22" fillId="0" borderId="37" xfId="0" applyFont="1" applyBorder="1" applyAlignment="1">
      <alignment horizontal="center" vertical="center" wrapText="1"/>
    </xf>
    <xf numFmtId="0" fontId="22" fillId="8" borderId="43" xfId="0" applyFont="1" applyFill="1" applyBorder="1" applyAlignment="1">
      <alignment horizontal="center" vertical="center" wrapText="1"/>
    </xf>
    <xf numFmtId="0" fontId="22" fillId="9" borderId="43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</cellXfs>
  <cellStyles count="4">
    <cellStyle name="Currency" xfId="3" builtinId="4"/>
    <cellStyle name="Hyperlink" xfId="2" xr:uid="{00000000-000B-0000-0000-000008000000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147439</xdr:rowOff>
    </xdr:from>
    <xdr:to>
      <xdr:col>8</xdr:col>
      <xdr:colOff>929597</xdr:colOff>
      <xdr:row>65</xdr:row>
      <xdr:rowOff>123411</xdr:rowOff>
    </xdr:to>
    <xdr:pic>
      <xdr:nvPicPr>
        <xdr:cNvPr id="7" name="Picture 1">
          <a:extLst>
            <a:ext uri="{FF2B5EF4-FFF2-40B4-BE49-F238E27FC236}">
              <a16:creationId xmlns:a16="http://schemas.microsoft.com/office/drawing/2014/main" id="{962ACC37-02BC-83D9-FF0E-DC7B2B73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229757"/>
          <a:ext cx="8924655" cy="50340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142875</xdr:colOff>
      <xdr:row>19</xdr:row>
      <xdr:rowOff>85725</xdr:rowOff>
    </xdr:from>
    <xdr:to>
      <xdr:col>28</xdr:col>
      <xdr:colOff>4714875</xdr:colOff>
      <xdr:row>30</xdr:row>
      <xdr:rowOff>28575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77B5AD-1A10-B343-D586-3CBA9CDFE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75400" y="5000625"/>
          <a:ext cx="4572000" cy="2038350"/>
        </a:xfrm>
        <a:prstGeom prst="rect">
          <a:avLst/>
        </a:prstGeom>
      </xdr:spPr>
    </xdr:pic>
    <xdr:clientData/>
  </xdr:twoCellAnchor>
  <xdr:twoCellAnchor editAs="oneCell">
    <xdr:from>
      <xdr:col>28</xdr:col>
      <xdr:colOff>5038725</xdr:colOff>
      <xdr:row>19</xdr:row>
      <xdr:rowOff>19050</xdr:rowOff>
    </xdr:from>
    <xdr:to>
      <xdr:col>30</xdr:col>
      <xdr:colOff>438150</xdr:colOff>
      <xdr:row>41</xdr:row>
      <xdr:rowOff>142875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FD9D42-5039-C2E7-74C7-9AEC4746784F}"/>
            </a:ext>
            <a:ext uri="{147F2762-F138-4A5C-976F-8EAC2B608ADB}">
              <a16:predDERef xmlns:a16="http://schemas.microsoft.com/office/drawing/2014/main" pred="{1477B5AD-1A10-B343-D586-3CBA9CDFE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671250" y="4933950"/>
          <a:ext cx="3848100" cy="43148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304800</xdr:colOff>
      <xdr:row>15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A3E2E78-783F-FC66-9D52-02B11F53A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572000" cy="30003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39</xdr:row>
      <xdr:rowOff>147439</xdr:rowOff>
    </xdr:from>
    <xdr:to>
      <xdr:col>8</xdr:col>
      <xdr:colOff>1418173</xdr:colOff>
      <xdr:row>65</xdr:row>
      <xdr:rowOff>123411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990703-A5C8-4338-A36E-19B5A7412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225639"/>
          <a:ext cx="9255343" cy="492897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Leonardo Torres" id="{E0B95DD8-6D9E-4C12-8615-2E0A58CE9387}" userId="S::ltorres@partners.net::0411b1c9-fac9-4aa8-8725-2b8609cc18e0" providerId="AD"/>
  <person displayName="Roger Sanchez" id="{673E8F83-B4C0-4A97-B064-88F50CFBB662}" userId="S::rsanchez@partners.net::50ade738-df91-4789-bbfa-70e8d934ab1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22" dT="2025-11-17T04:14:48.57" personId="{673E8F83-B4C0-4A97-B064-88F50CFBB662}" id="{531C79C7-2D1B-483E-B53B-265AC7807FEF}">
    <text xml:space="preserve">I suggest raising CIII to allow more flexibility. Some specialist roles may reach the ceiling too quickly, making recruitment difficult. A maximum closer to L 85,000/month would be ideal.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7" dT="2025-11-10T22:06:00.36" personId="{E0B95DD8-6D9E-4C12-8615-2E0A58CE9387}" id="{EC4A5DEC-5F42-41E4-86A7-F72E4EFF3E5D}">
    <text>Se ajustan manualmente porque está por debajo de una SMLMV</text>
  </threadedComment>
  <threadedComment ref="G7" dT="2025-11-10T22:06:41.49" personId="{E0B95DD8-6D9E-4C12-8615-2E0A58CE9387}" id="{1298A691-BA40-472C-88CE-23A890B33D81}">
    <text>Se ajustan manualmente porque está por debajo de una SMLMV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s://www.trabajo.gob.hn/tabla-de-salario-minimo/?utm_source=chatgpt.com" TargetMode="External"/><Relationship Id="rId1" Type="http://schemas.openxmlformats.org/officeDocument/2006/relationships/hyperlink" Target="https://www.trabajo.gob.hn/tabla-de-salario-minimo/?utm_source=chatgp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rabajo.gob.hn/tabla-de-salario-minimo/?utm_source=chatgpt.com" TargetMode="External"/><Relationship Id="rId1" Type="http://schemas.openxmlformats.org/officeDocument/2006/relationships/hyperlink" Target="https://www.trabajo.gob.hn/tabla-de-salario-minimo/?utm_source=chatgpt.co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2DB0B-56D1-4CB9-BEA2-04F2D9B3DCA2}">
  <dimension ref="A1:BL39"/>
  <sheetViews>
    <sheetView tabSelected="1" topLeftCell="C27" zoomScale="55" zoomScaleNormal="55" workbookViewId="0">
      <selection activeCell="F32" sqref="F32:F33"/>
    </sheetView>
  </sheetViews>
  <sheetFormatPr defaultColWidth="9.15625" defaultRowHeight="15" customHeight="1" outlineLevelRow="1" outlineLevelCol="2" x14ac:dyDescent="0.55000000000000004"/>
  <cols>
    <col min="1" max="1" width="3.83984375" hidden="1" customWidth="1"/>
    <col min="2" max="2" width="23" hidden="1" customWidth="1" outlineLevel="1"/>
    <col min="3" max="3" width="35" customWidth="1" collapsed="1"/>
    <col min="4" max="4" width="10.41796875" style="2" bestFit="1" customWidth="1"/>
    <col min="5" max="5" width="9.578125" customWidth="1"/>
    <col min="6" max="6" width="5.83984375" customWidth="1" outlineLevel="1"/>
    <col min="7" max="7" width="32.15625" customWidth="1"/>
    <col min="8" max="8" width="22" style="218" customWidth="1" outlineLevel="2"/>
    <col min="9" max="9" width="22" style="130" customWidth="1" outlineLevel="2"/>
    <col min="10" max="10" width="22" style="218" customWidth="1" outlineLevel="2"/>
    <col min="11" max="11" width="22" style="130" customWidth="1" outlineLevel="2"/>
    <col min="12" max="12" width="22" style="218" customWidth="1" outlineLevel="2"/>
    <col min="13" max="13" width="22" style="130" customWidth="1" outlineLevel="2"/>
    <col min="14" max="14" width="5.26171875" customWidth="1"/>
    <col min="15" max="15" width="11.26171875" hidden="1" customWidth="1"/>
    <col min="16" max="16" width="4.15625" hidden="1" customWidth="1"/>
    <col min="17" max="17" width="6.83984375" hidden="1" customWidth="1" outlineLevel="1"/>
    <col min="18" max="18" width="3.68359375" hidden="1" customWidth="1" outlineLevel="1"/>
    <col min="19" max="19" width="15.68359375" hidden="1" customWidth="1" outlineLevel="1"/>
    <col min="20" max="20" width="8.68359375" hidden="1" customWidth="1" outlineLevel="1"/>
    <col min="21" max="21" width="4.15625" hidden="1" customWidth="1" outlineLevel="1"/>
    <col min="22" max="22" width="15.68359375" hidden="1" customWidth="1" outlineLevel="1"/>
    <col min="23" max="23" width="8.68359375" hidden="1" customWidth="1" outlineLevel="1"/>
    <col min="24" max="24" width="4.83984375" hidden="1" customWidth="1" outlineLevel="1"/>
    <col min="25" max="25" width="10.41796875" hidden="1" customWidth="1" outlineLevel="1"/>
    <col min="26" max="26" width="8.68359375" hidden="1" customWidth="1" collapsed="1"/>
    <col min="27" max="50" width="8.68359375" hidden="1" customWidth="1"/>
    <col min="51" max="51" width="9.578125" hidden="1" customWidth="1"/>
    <col min="52" max="53" width="10.41796875" hidden="1" customWidth="1"/>
    <col min="54" max="58" width="8.68359375" hidden="1" customWidth="1"/>
    <col min="59" max="59" width="11.578125" hidden="1" customWidth="1"/>
    <col min="60" max="61" width="0" hidden="1" customWidth="1"/>
    <col min="62" max="64" width="8.68359375" hidden="1" customWidth="1"/>
    <col min="65" max="78" width="0" hidden="1" customWidth="1"/>
  </cols>
  <sheetData>
    <row r="1" spans="2:60" ht="14.4" hidden="1" x14ac:dyDescent="0.55000000000000004">
      <c r="J1" s="236" t="s">
        <v>0</v>
      </c>
      <c r="K1" s="145"/>
      <c r="L1" s="218">
        <f>1.05*1*1.03*1*1.03</f>
        <v>1.1139450000000002</v>
      </c>
    </row>
    <row r="2" spans="2:60" ht="14.4" hidden="1" x14ac:dyDescent="0.55000000000000004">
      <c r="L2" s="244"/>
      <c r="M2" s="156"/>
      <c r="S2" s="309" t="s">
        <v>1</v>
      </c>
      <c r="T2" s="309"/>
      <c r="U2" s="309"/>
      <c r="V2" s="309"/>
      <c r="W2" s="309"/>
    </row>
    <row r="3" spans="2:60" ht="21" customHeight="1" thickBot="1" x14ac:dyDescent="0.6">
      <c r="C3" s="285" t="s">
        <v>2</v>
      </c>
      <c r="D3" s="286"/>
      <c r="E3" s="286"/>
      <c r="F3" s="286"/>
      <c r="G3" s="286"/>
      <c r="H3" s="286"/>
      <c r="I3" s="286"/>
      <c r="J3" s="286"/>
      <c r="K3" s="286"/>
      <c r="L3" s="286"/>
      <c r="M3" s="287"/>
      <c r="T3" s="13" t="s">
        <v>3</v>
      </c>
      <c r="W3" s="13" t="s">
        <v>3</v>
      </c>
      <c r="Y3" t="s">
        <v>4</v>
      </c>
      <c r="BG3" s="55"/>
    </row>
    <row r="4" spans="2:60" ht="16.2" thickBot="1" x14ac:dyDescent="0.6">
      <c r="C4" s="328" t="s">
        <v>5</v>
      </c>
      <c r="D4" s="329"/>
      <c r="E4" s="329"/>
      <c r="F4" s="329"/>
      <c r="G4" s="330" t="s">
        <v>6</v>
      </c>
      <c r="H4" s="332" t="s">
        <v>7</v>
      </c>
      <c r="I4" s="291" t="s">
        <v>8</v>
      </c>
      <c r="J4" s="332" t="s">
        <v>9</v>
      </c>
      <c r="K4" s="291" t="s">
        <v>10</v>
      </c>
      <c r="L4" s="332" t="s">
        <v>11</v>
      </c>
      <c r="M4" s="291" t="s">
        <v>12</v>
      </c>
      <c r="T4" s="13"/>
      <c r="W4" s="13"/>
      <c r="AX4">
        <v>37440</v>
      </c>
      <c r="BG4" s="324"/>
    </row>
    <row r="5" spans="2:60" ht="10.5" customHeight="1" x14ac:dyDescent="0.55000000000000004">
      <c r="C5" s="15" t="s">
        <v>13</v>
      </c>
      <c r="D5" s="9"/>
      <c r="E5" s="14" t="s">
        <v>14</v>
      </c>
      <c r="F5" s="16" t="s">
        <v>15</v>
      </c>
      <c r="G5" s="331"/>
      <c r="H5" s="332"/>
      <c r="I5" s="291"/>
      <c r="J5" s="332"/>
      <c r="K5" s="291"/>
      <c r="L5" s="333"/>
      <c r="M5" s="292"/>
      <c r="T5" s="13" t="s">
        <v>16</v>
      </c>
      <c r="W5" s="13" t="s">
        <v>16</v>
      </c>
      <c r="Y5" s="8" t="s">
        <v>17</v>
      </c>
      <c r="AX5" s="5">
        <f>AX4/H6</f>
        <v>5.7720591966052499</v>
      </c>
      <c r="BG5" s="324"/>
    </row>
    <row r="6" spans="2:60" ht="42.75" customHeight="1" outlineLevel="1" x14ac:dyDescent="0.55000000000000004">
      <c r="B6" s="12" t="s">
        <v>18</v>
      </c>
      <c r="C6" s="128" t="s">
        <v>326</v>
      </c>
      <c r="D6" s="302" t="s">
        <v>20</v>
      </c>
      <c r="E6" s="298" t="s">
        <v>21</v>
      </c>
      <c r="F6" s="293">
        <v>0</v>
      </c>
      <c r="G6" s="313" t="s">
        <v>22</v>
      </c>
      <c r="H6" s="221">
        <f>+('Birches Report Level'!AG13*12)/'Birches Report Level'!AG12</f>
        <v>6486.4199629171817</v>
      </c>
      <c r="I6" s="131">
        <f>H6*TRM!$I$9</f>
        <v>167920.44</v>
      </c>
      <c r="J6" s="224">
        <f>+'Grade A'!C7</f>
        <v>7348.0356711866498</v>
      </c>
      <c r="K6" s="134">
        <f>J6*TRM!$I$9</f>
        <v>190225.94745568</v>
      </c>
      <c r="L6" s="245">
        <f>+'Grade A'!D7</f>
        <v>9634.2842693077873</v>
      </c>
      <c r="M6" s="134">
        <f>L6*TRM!$I$9</f>
        <v>249412.35116384001</v>
      </c>
      <c r="O6" s="17">
        <f>(L10-H6)/6</f>
        <v>968.09325828594956</v>
      </c>
      <c r="S6" s="5">
        <f>H6*1.05</f>
        <v>6810.7409610630411</v>
      </c>
      <c r="T6">
        <v>1</v>
      </c>
      <c r="V6" s="5">
        <f>S11*1.05</f>
        <v>9127.0442713467055</v>
      </c>
      <c r="W6">
        <v>7</v>
      </c>
      <c r="Y6" s="8" t="s">
        <v>23</v>
      </c>
      <c r="BG6" s="20"/>
    </row>
    <row r="7" spans="2:60" ht="34.5" customHeight="1" outlineLevel="1" x14ac:dyDescent="0.55000000000000004">
      <c r="B7" s="300" t="s">
        <v>24</v>
      </c>
      <c r="C7" s="326" t="s">
        <v>25</v>
      </c>
      <c r="D7" s="303"/>
      <c r="E7" s="257"/>
      <c r="F7" s="294"/>
      <c r="G7" s="325"/>
      <c r="H7" s="334" t="s">
        <v>26</v>
      </c>
      <c r="I7" s="335"/>
      <c r="J7" s="237"/>
      <c r="K7" s="146"/>
      <c r="L7" s="246"/>
      <c r="M7" s="157"/>
      <c r="S7" s="5">
        <f>S6*1.05</f>
        <v>7151.2780091161931</v>
      </c>
      <c r="T7">
        <v>2</v>
      </c>
      <c r="V7" s="5">
        <f>V6*1.05</f>
        <v>9583.3964849140411</v>
      </c>
      <c r="W7">
        <v>8</v>
      </c>
      <c r="Y7" s="8" t="s">
        <v>27</v>
      </c>
      <c r="AY7" t="s">
        <v>28</v>
      </c>
      <c r="BG7" s="5"/>
    </row>
    <row r="8" spans="2:60" ht="34.5" customHeight="1" outlineLevel="1" x14ac:dyDescent="0.55000000000000004">
      <c r="B8" s="300"/>
      <c r="C8" s="305"/>
      <c r="D8" s="303"/>
      <c r="E8" s="256" t="s">
        <v>29</v>
      </c>
      <c r="F8" s="295" t="s">
        <v>30</v>
      </c>
      <c r="G8" s="313" t="s">
        <v>31</v>
      </c>
      <c r="H8" s="222">
        <f>MEDIAN(H6,J6)</f>
        <v>6917.2278170519157</v>
      </c>
      <c r="I8" s="132">
        <f>H8*TRM!$I$9</f>
        <v>179073.19372784</v>
      </c>
      <c r="J8" s="221">
        <f>+'Grade A'!H7</f>
        <v>8701.0730781829407</v>
      </c>
      <c r="K8" s="131">
        <f>J8*TRM!$I$9</f>
        <v>225253.37984799998</v>
      </c>
      <c r="L8" s="224">
        <f>+'Grade A'!I7</f>
        <v>11779.476319320149</v>
      </c>
      <c r="M8" s="134">
        <f>L8*TRM!$I$9</f>
        <v>304947.08295456006</v>
      </c>
      <c r="S8" s="5">
        <f>S7*1.05</f>
        <v>7508.8419095720028</v>
      </c>
      <c r="T8">
        <v>3</v>
      </c>
      <c r="V8" s="5"/>
      <c r="Y8" s="8" t="s">
        <v>32</v>
      </c>
      <c r="BG8" s="5"/>
    </row>
    <row r="9" spans="2:60" ht="34.5" customHeight="1" outlineLevel="1" x14ac:dyDescent="0.55000000000000004">
      <c r="B9" s="300"/>
      <c r="C9" s="305"/>
      <c r="D9" s="303"/>
      <c r="E9" s="257"/>
      <c r="F9" s="296"/>
      <c r="G9" s="325"/>
      <c r="H9" s="223"/>
      <c r="I9" s="133"/>
      <c r="J9" s="334" t="s">
        <v>33</v>
      </c>
      <c r="K9" s="336"/>
      <c r="L9" s="227"/>
      <c r="M9" s="159"/>
      <c r="Q9" s="6">
        <f>J8/H8</f>
        <v>1.2578844167505372</v>
      </c>
      <c r="S9" s="5">
        <f>S8*1.05</f>
        <v>7884.2840050506029</v>
      </c>
      <c r="T9">
        <v>4</v>
      </c>
      <c r="V9" s="5"/>
      <c r="X9" s="6"/>
      <c r="Y9" s="8"/>
      <c r="BG9" s="5"/>
    </row>
    <row r="10" spans="2:60" ht="34.5" customHeight="1" outlineLevel="1" x14ac:dyDescent="0.55000000000000004">
      <c r="B10" s="300"/>
      <c r="C10" s="305"/>
      <c r="D10" s="303"/>
      <c r="E10" s="256" t="s">
        <v>34</v>
      </c>
      <c r="F10" s="295" t="s">
        <v>35</v>
      </c>
      <c r="G10" s="313" t="s">
        <v>36</v>
      </c>
      <c r="H10" s="224">
        <f>+'Grade A'!L7</f>
        <v>7436</v>
      </c>
      <c r="I10" s="134">
        <f>H10*TRM!$I$9</f>
        <v>192503.16800000001</v>
      </c>
      <c r="J10" s="238">
        <f>+'Grade A'!M7</f>
        <v>10176.792262051917</v>
      </c>
      <c r="K10" s="137">
        <f>J10*TRM!$I$9</f>
        <v>263456.79808000004</v>
      </c>
      <c r="L10" s="247">
        <f>+'Grade A'!N7</f>
        <v>12294.979512632879</v>
      </c>
      <c r="M10" s="160">
        <f>L10*TRM!$I$9</f>
        <v>318292.42962304002</v>
      </c>
      <c r="O10" s="17">
        <f>J10+O6</f>
        <v>11144.885520337866</v>
      </c>
      <c r="S10" s="5">
        <f>S9*1.05</f>
        <v>8278.4982053031326</v>
      </c>
      <c r="T10">
        <v>5</v>
      </c>
      <c r="V10" s="5"/>
      <c r="Y10" s="8"/>
      <c r="AY10">
        <f>55000/63000</f>
        <v>0.87301587301587302</v>
      </c>
      <c r="BG10" s="5"/>
      <c r="BH10" s="20"/>
    </row>
    <row r="11" spans="2:60" ht="34.5" customHeight="1" outlineLevel="1" x14ac:dyDescent="0.55000000000000004">
      <c r="B11" s="300"/>
      <c r="C11" s="327"/>
      <c r="D11" s="304"/>
      <c r="E11" s="299"/>
      <c r="F11" s="297"/>
      <c r="G11" s="314"/>
      <c r="H11" s="225"/>
      <c r="I11" s="135"/>
      <c r="J11" s="239"/>
      <c r="K11" s="147"/>
      <c r="L11" s="269" t="s">
        <v>37</v>
      </c>
      <c r="M11" s="337"/>
      <c r="Q11" s="6">
        <f>L10/J10</f>
        <v>1.2081389887931031</v>
      </c>
      <c r="S11" s="5">
        <f>S10*1.05</f>
        <v>8692.4231155682901</v>
      </c>
      <c r="T11">
        <v>6</v>
      </c>
      <c r="V11" s="5"/>
      <c r="X11" s="6"/>
      <c r="Y11" s="8"/>
      <c r="AY11">
        <f>100-87</f>
        <v>13</v>
      </c>
      <c r="BG11" s="5"/>
    </row>
    <row r="12" spans="2:60" ht="11.5" customHeight="1" x14ac:dyDescent="0.55000000000000004">
      <c r="C12" s="289"/>
      <c r="D12" s="263"/>
      <c r="E12" s="263"/>
      <c r="F12" s="263"/>
      <c r="G12" s="263"/>
      <c r="H12" s="263"/>
      <c r="I12" s="263"/>
      <c r="J12" s="263"/>
      <c r="K12" s="263"/>
      <c r="L12" s="263"/>
      <c r="M12" s="263"/>
      <c r="S12" s="310"/>
      <c r="T12" s="310"/>
      <c r="U12" s="310"/>
      <c r="V12" s="310"/>
      <c r="W12" s="310"/>
      <c r="BG12" s="5"/>
    </row>
    <row r="13" spans="2:60" ht="43.5" customHeight="1" outlineLevel="1" x14ac:dyDescent="0.55000000000000004">
      <c r="B13" s="11" t="s">
        <v>38</v>
      </c>
      <c r="C13" s="121" t="s">
        <v>325</v>
      </c>
      <c r="D13" s="302" t="s">
        <v>40</v>
      </c>
      <c r="E13" s="256" t="s">
        <v>21</v>
      </c>
      <c r="F13" s="293">
        <v>4</v>
      </c>
      <c r="G13" s="311" t="s">
        <v>41</v>
      </c>
      <c r="H13" s="226">
        <f>+'Grade B'!B7</f>
        <v>7553</v>
      </c>
      <c r="I13" s="136">
        <f>H13*TRM!$I$9</f>
        <v>195532.06400000001</v>
      </c>
      <c r="J13" s="224">
        <f>+'Grade B'!C7</f>
        <v>11988.5</v>
      </c>
      <c r="K13" s="137">
        <f>J13*TRM!$I$9</f>
        <v>310358.288</v>
      </c>
      <c r="L13" s="224">
        <f>+'Grade B'!D7</f>
        <v>16423.5</v>
      </c>
      <c r="M13" s="134">
        <f>L13*TRM!$I$9</f>
        <v>425171.56800000003</v>
      </c>
      <c r="O13" s="17">
        <f>(L15-H13)/4</f>
        <v>3431</v>
      </c>
      <c r="S13" s="5">
        <f>H13*1.05</f>
        <v>7930.6500000000005</v>
      </c>
      <c r="T13">
        <v>1</v>
      </c>
      <c r="V13" s="5">
        <f>S16*1.05</f>
        <v>9639.754641562502</v>
      </c>
      <c r="W13">
        <v>5</v>
      </c>
      <c r="Y13" s="8"/>
      <c r="BG13" s="5"/>
    </row>
    <row r="14" spans="2:60" ht="43.5" customHeight="1" outlineLevel="1" x14ac:dyDescent="0.55000000000000004">
      <c r="B14" s="300" t="s">
        <v>42</v>
      </c>
      <c r="C14" s="305" t="s">
        <v>43</v>
      </c>
      <c r="D14" s="303"/>
      <c r="E14" s="257"/>
      <c r="F14" s="294"/>
      <c r="G14" s="312"/>
      <c r="H14" s="288" t="s">
        <v>44</v>
      </c>
      <c r="I14" s="258"/>
      <c r="J14" s="237"/>
      <c r="K14" s="148"/>
      <c r="L14" s="248"/>
      <c r="M14" s="157"/>
      <c r="S14" s="5">
        <f>S13*1.05</f>
        <v>8327.1825000000008</v>
      </c>
      <c r="T14">
        <v>2</v>
      </c>
      <c r="V14" s="5">
        <f>V13*1.05</f>
        <v>10121.742373640627</v>
      </c>
      <c r="W14">
        <v>6</v>
      </c>
      <c r="Y14" s="8"/>
      <c r="AY14">
        <v>58000</v>
      </c>
      <c r="AZ14" s="5"/>
      <c r="BA14" s="5">
        <f>AY14/AY15</f>
        <v>0.92063492063492058</v>
      </c>
      <c r="BB14">
        <f>100-92</f>
        <v>8</v>
      </c>
      <c r="BG14" s="5"/>
    </row>
    <row r="15" spans="2:60" ht="43.5" customHeight="1" outlineLevel="1" x14ac:dyDescent="0.55000000000000004">
      <c r="B15" s="300"/>
      <c r="C15" s="305"/>
      <c r="D15" s="303"/>
      <c r="E15" s="256" t="s">
        <v>29</v>
      </c>
      <c r="F15" s="295" t="s">
        <v>45</v>
      </c>
      <c r="G15" s="313" t="s">
        <v>46</v>
      </c>
      <c r="H15" s="224">
        <f>+'Grade B'!G7</f>
        <v>8662.9823478244743</v>
      </c>
      <c r="I15" s="137">
        <f>H15*TRM!$I$9</f>
        <v>224267.28702048</v>
      </c>
      <c r="J15" s="240">
        <f>+'Grade B'!H7</f>
        <v>14325.501017911</v>
      </c>
      <c r="K15" s="134">
        <f>J15*TRM!$I$9</f>
        <v>370858.57035167998</v>
      </c>
      <c r="L15" s="249">
        <f>+'Grade B'!I7</f>
        <v>21277</v>
      </c>
      <c r="M15" s="161">
        <f>L15*TRM!$I$9</f>
        <v>550818.97600000002</v>
      </c>
      <c r="O15" s="17">
        <f>J15+O13</f>
        <v>17756.501017911</v>
      </c>
      <c r="Q15" s="6">
        <f>J15/H15</f>
        <v>1.6536454124841369</v>
      </c>
      <c r="S15" s="5">
        <f>S14*1.05</f>
        <v>8743.5416250000017</v>
      </c>
      <c r="T15">
        <v>3</v>
      </c>
      <c r="V15" s="5">
        <f>V14*1.05</f>
        <v>10627.829492322659</v>
      </c>
      <c r="W15">
        <v>7</v>
      </c>
      <c r="X15" s="6"/>
      <c r="AY15">
        <v>63000</v>
      </c>
      <c r="BG15" s="5"/>
    </row>
    <row r="16" spans="2:60" ht="43.5" customHeight="1" outlineLevel="1" x14ac:dyDescent="0.55000000000000004">
      <c r="B16" s="301"/>
      <c r="C16" s="305"/>
      <c r="D16" s="303"/>
      <c r="E16" s="299"/>
      <c r="F16" s="297"/>
      <c r="G16" s="314"/>
      <c r="H16" s="227">
        <f>H15/L13</f>
        <v>0.52747479817483933</v>
      </c>
      <c r="I16" s="138"/>
      <c r="J16" s="231">
        <f>J15/H15</f>
        <v>1.6536454124841369</v>
      </c>
      <c r="K16" s="144"/>
      <c r="L16" s="258" t="s">
        <v>47</v>
      </c>
      <c r="M16" s="259"/>
      <c r="Q16" s="6">
        <f>L15/J15</f>
        <v>1.4852534632748708</v>
      </c>
      <c r="S16" s="5">
        <f>S15*1.05</f>
        <v>9180.7187062500016</v>
      </c>
      <c r="T16">
        <v>4</v>
      </c>
      <c r="V16" s="5"/>
      <c r="X16" s="6"/>
      <c r="Y16" s="8"/>
      <c r="AY16" s="20"/>
      <c r="BG16" s="5"/>
    </row>
    <row r="17" spans="2:59" ht="12" customHeight="1" x14ac:dyDescent="0.55000000000000004">
      <c r="C17" s="260"/>
      <c r="D17" s="262"/>
      <c r="E17" s="262"/>
      <c r="F17" s="262"/>
      <c r="G17" s="262"/>
      <c r="H17" s="262"/>
      <c r="I17" s="262"/>
      <c r="J17" s="262"/>
      <c r="K17" s="262"/>
      <c r="L17" s="262"/>
      <c r="M17" s="290"/>
      <c r="S17" s="310"/>
      <c r="T17" s="310"/>
      <c r="U17" s="310"/>
      <c r="V17" s="310"/>
      <c r="W17" s="310"/>
      <c r="BG17" s="5"/>
    </row>
    <row r="18" spans="2:59" ht="44.25" customHeight="1" outlineLevel="1" x14ac:dyDescent="0.55000000000000004">
      <c r="B18" s="10" t="s">
        <v>48</v>
      </c>
      <c r="C18" s="121" t="s">
        <v>324</v>
      </c>
      <c r="D18" s="303" t="s">
        <v>50</v>
      </c>
      <c r="E18" s="299" t="s">
        <v>21</v>
      </c>
      <c r="F18" s="306">
        <v>6</v>
      </c>
      <c r="G18" s="265" t="s">
        <v>51</v>
      </c>
      <c r="H18" s="228">
        <f>+'Gade C'!B7</f>
        <v>10720</v>
      </c>
      <c r="I18" s="139">
        <f>H18*TRM!$I$9</f>
        <v>277519.36000000004</v>
      </c>
      <c r="J18" s="241">
        <f>+'Gade C'!C7</f>
        <v>17186.5</v>
      </c>
      <c r="K18" s="149">
        <f>J18*TRM!$I$9</f>
        <v>444924.11200000002</v>
      </c>
      <c r="L18" s="241">
        <f>+'Gade C'!D7</f>
        <v>23652.5</v>
      </c>
      <c r="M18" s="162">
        <f>L18*TRM!$I$9</f>
        <v>612315.92000000004</v>
      </c>
      <c r="O18" s="17">
        <f>(L22-H18)/6</f>
        <v>3914.0833333333335</v>
      </c>
      <c r="S18" s="5">
        <f>H18*1.05</f>
        <v>11256</v>
      </c>
      <c r="T18">
        <v>1</v>
      </c>
      <c r="V18" s="5">
        <f>S23*1.05</f>
        <v>15084.116530875004</v>
      </c>
      <c r="W18">
        <v>7</v>
      </c>
      <c r="Y18" s="8" t="s">
        <v>52</v>
      </c>
      <c r="BG18" s="5"/>
    </row>
    <row r="19" spans="2:59" ht="37.5" customHeight="1" outlineLevel="1" x14ac:dyDescent="0.55000000000000004">
      <c r="B19" s="300" t="s">
        <v>53</v>
      </c>
      <c r="C19" s="305" t="s">
        <v>54</v>
      </c>
      <c r="D19" s="303"/>
      <c r="E19" s="257"/>
      <c r="F19" s="307"/>
      <c r="G19" s="266"/>
      <c r="H19" s="288" t="s">
        <v>55</v>
      </c>
      <c r="I19" s="315"/>
      <c r="J19" s="231">
        <f>J18/H18</f>
        <v>1.6032182835820896</v>
      </c>
      <c r="K19" s="142"/>
      <c r="L19" s="250">
        <f>L18/J18</f>
        <v>1.3762255258487766</v>
      </c>
      <c r="M19" s="159"/>
      <c r="S19" s="5">
        <f>S18*1.05</f>
        <v>11818.800000000001</v>
      </c>
      <c r="T19">
        <v>2</v>
      </c>
      <c r="V19" s="5">
        <f>V18*1.05</f>
        <v>15838.322357418756</v>
      </c>
      <c r="W19">
        <v>8</v>
      </c>
      <c r="Y19" s="8"/>
      <c r="BG19" s="5"/>
    </row>
    <row r="20" spans="2:59" ht="44.25" customHeight="1" outlineLevel="1" x14ac:dyDescent="0.55000000000000004">
      <c r="B20" s="300"/>
      <c r="C20" s="305"/>
      <c r="D20" s="303"/>
      <c r="E20" s="256" t="s">
        <v>29</v>
      </c>
      <c r="F20" s="308">
        <v>9</v>
      </c>
      <c r="G20" s="322" t="s">
        <v>56</v>
      </c>
      <c r="H20" s="229">
        <f>+'Gade C'!G7</f>
        <v>12034.189024400494</v>
      </c>
      <c r="I20" s="140">
        <f>H20*TRM!$I$9</f>
        <v>311541.08546367998</v>
      </c>
      <c r="J20" s="221">
        <f>+'Gade C'!H7</f>
        <v>19806.5</v>
      </c>
      <c r="K20" s="150">
        <f>J20*TRM!$I$9</f>
        <v>512750.67200000002</v>
      </c>
      <c r="L20" s="238">
        <f>+'Gade C'!I7</f>
        <v>27185.5</v>
      </c>
      <c r="M20" s="134">
        <f>L20*TRM!$I$9</f>
        <v>703778.22400000005</v>
      </c>
      <c r="S20" s="5">
        <f>S19*1.05</f>
        <v>12409.740000000002</v>
      </c>
      <c r="T20">
        <v>3</v>
      </c>
      <c r="V20" s="5"/>
      <c r="Y20" s="8"/>
      <c r="BG20" s="5"/>
    </row>
    <row r="21" spans="2:59" ht="37.5" customHeight="1" outlineLevel="1" x14ac:dyDescent="0.55000000000000004">
      <c r="B21" s="300"/>
      <c r="C21" s="305"/>
      <c r="D21" s="303"/>
      <c r="E21" s="257"/>
      <c r="F21" s="307"/>
      <c r="G21" s="323"/>
      <c r="H21" s="230">
        <f>H20/L18</f>
        <v>0.50879141842936237</v>
      </c>
      <c r="I21" s="141"/>
      <c r="J21" s="316" t="s">
        <v>57</v>
      </c>
      <c r="K21" s="317"/>
      <c r="L21" s="251">
        <f>L20/J20</f>
        <v>1.3725544644434908</v>
      </c>
      <c r="M21" s="144"/>
      <c r="Q21" s="6">
        <f>J20/H20</f>
        <v>1.6458524924147682</v>
      </c>
      <c r="S21" s="5">
        <f>S20*1.05</f>
        <v>13030.227000000003</v>
      </c>
      <c r="T21">
        <v>4</v>
      </c>
      <c r="V21" s="5"/>
      <c r="X21" s="6"/>
      <c r="Y21" s="5"/>
    </row>
    <row r="22" spans="2:59" ht="44.25" customHeight="1" outlineLevel="1" x14ac:dyDescent="0.55000000000000004">
      <c r="B22" s="300"/>
      <c r="C22" s="305"/>
      <c r="D22" s="303"/>
      <c r="E22" s="256" t="s">
        <v>34</v>
      </c>
      <c r="F22" s="308">
        <v>12</v>
      </c>
      <c r="G22" s="322" t="s">
        <v>58</v>
      </c>
      <c r="H22" s="224">
        <f>+'Gade C'!L7</f>
        <v>13049.877795191594</v>
      </c>
      <c r="I22" s="137">
        <f>H22*TRM!$I$9</f>
        <v>337835.23636192002</v>
      </c>
      <c r="J22" s="222">
        <f>+'Gade C'!M7</f>
        <v>23349.157589616807</v>
      </c>
      <c r="K22" s="132">
        <f>J22*TRM!$I$9</f>
        <v>604462.99167999998</v>
      </c>
      <c r="L22" s="252">
        <f>+'Gade C'!N7</f>
        <v>34204.5</v>
      </c>
      <c r="M22" s="150">
        <f>L22*TRM!$I$9</f>
        <v>885486.09600000002</v>
      </c>
      <c r="O22" s="17">
        <f>J22+O18</f>
        <v>27263.240922950139</v>
      </c>
      <c r="S22" s="5">
        <f>S21*1.05</f>
        <v>13681.738350000003</v>
      </c>
      <c r="T22">
        <v>5</v>
      </c>
      <c r="V22" s="5"/>
      <c r="Y22" s="5"/>
      <c r="BG22" s="20"/>
    </row>
    <row r="23" spans="2:59" ht="37.5" customHeight="1" outlineLevel="1" x14ac:dyDescent="0.55000000000000004">
      <c r="B23" s="301"/>
      <c r="C23" s="305"/>
      <c r="D23" s="303"/>
      <c r="E23" s="299"/>
      <c r="F23" s="306"/>
      <c r="G23" s="314"/>
      <c r="H23" s="231">
        <f>H22/L20</f>
        <v>0.48003081772237388</v>
      </c>
      <c r="I23" s="142"/>
      <c r="J23" s="230">
        <f>J22/H22</f>
        <v>1.7892242330591113</v>
      </c>
      <c r="K23" s="141"/>
      <c r="L23" s="288" t="s">
        <v>59</v>
      </c>
      <c r="M23" s="259"/>
      <c r="Q23" s="6">
        <f>L22/J22</f>
        <v>1.4649136641747829</v>
      </c>
      <c r="S23" s="5">
        <f>S22*1.05</f>
        <v>14365.825267500004</v>
      </c>
      <c r="T23">
        <v>6</v>
      </c>
      <c r="V23" s="5"/>
      <c r="X23" s="6"/>
      <c r="Y23" s="5"/>
      <c r="BG23" s="5"/>
    </row>
    <row r="24" spans="2:59" ht="13.35" customHeight="1" x14ac:dyDescent="0.55000000000000004">
      <c r="C24" s="260"/>
      <c r="D24" s="262"/>
      <c r="E24" s="262"/>
      <c r="F24" s="262"/>
      <c r="G24" s="262"/>
      <c r="H24" s="262"/>
      <c r="I24" s="262"/>
      <c r="J24" s="261"/>
      <c r="K24" s="261"/>
      <c r="L24" s="261"/>
      <c r="M24" s="264"/>
      <c r="S24" s="310"/>
      <c r="T24" s="310"/>
      <c r="U24" s="310"/>
      <c r="V24" s="310"/>
      <c r="W24" s="310"/>
      <c r="Y24" s="5"/>
      <c r="BG24" s="5"/>
    </row>
    <row r="25" spans="2:59" ht="44.25" customHeight="1" outlineLevel="1" x14ac:dyDescent="0.55000000000000004">
      <c r="B25" s="10" t="s">
        <v>60</v>
      </c>
      <c r="C25" s="23" t="s">
        <v>323</v>
      </c>
      <c r="D25" s="303" t="s">
        <v>62</v>
      </c>
      <c r="E25" s="281" t="s">
        <v>21</v>
      </c>
      <c r="F25" s="278">
        <v>8</v>
      </c>
      <c r="G25" s="283" t="s">
        <v>63</v>
      </c>
      <c r="H25" s="232">
        <f>+'Grade D'!B7</f>
        <v>11000</v>
      </c>
      <c r="I25" s="143">
        <f>H25*TRM!$I$9</f>
        <v>284768</v>
      </c>
      <c r="J25" s="224">
        <f>+'Grade D'!C7</f>
        <v>28000</v>
      </c>
      <c r="K25" s="137">
        <f>J25*TRM!$I$9</f>
        <v>724864</v>
      </c>
      <c r="L25" s="224">
        <f>+'Grade D'!D7</f>
        <v>45000</v>
      </c>
      <c r="M25" s="134">
        <f>L25*TRM!$I$9</f>
        <v>1164960</v>
      </c>
      <c r="O25" s="17">
        <f>(L29-H25)/6</f>
        <v>8470.4321851833538</v>
      </c>
      <c r="S25" s="5">
        <f>H25*1.05</f>
        <v>11550</v>
      </c>
      <c r="T25">
        <v>1</v>
      </c>
      <c r="V25" s="5">
        <f>S30*1.05</f>
        <v>15478.104649218752</v>
      </c>
      <c r="W25">
        <v>7</v>
      </c>
      <c r="Y25" s="8"/>
      <c r="BG25" s="5"/>
    </row>
    <row r="26" spans="2:59" ht="37.5" customHeight="1" outlineLevel="1" x14ac:dyDescent="0.55000000000000004">
      <c r="B26" s="300" t="s">
        <v>64</v>
      </c>
      <c r="C26" s="300" t="s">
        <v>65</v>
      </c>
      <c r="D26" s="303"/>
      <c r="E26" s="282"/>
      <c r="F26" s="280"/>
      <c r="G26" s="284"/>
      <c r="H26" s="267" t="s">
        <v>66</v>
      </c>
      <c r="I26" s="268"/>
      <c r="J26" s="231">
        <f>J25/H25</f>
        <v>2.5454545454545454</v>
      </c>
      <c r="K26" s="142"/>
      <c r="L26" s="231">
        <f>L25/J25</f>
        <v>1.6071428571428572</v>
      </c>
      <c r="M26" s="144"/>
      <c r="S26" s="5">
        <f>S25*1.05</f>
        <v>12127.5</v>
      </c>
      <c r="T26">
        <v>2</v>
      </c>
      <c r="V26" s="5">
        <f>V25*1.05</f>
        <v>16252.009881679691</v>
      </c>
      <c r="W26">
        <v>8</v>
      </c>
      <c r="Y26" s="8"/>
    </row>
    <row r="27" spans="2:59" ht="44.25" customHeight="1" outlineLevel="1" x14ac:dyDescent="0.55000000000000004">
      <c r="B27" s="300"/>
      <c r="C27" s="300"/>
      <c r="D27" s="303"/>
      <c r="E27" s="271" t="s">
        <v>29</v>
      </c>
      <c r="F27" s="279">
        <v>10</v>
      </c>
      <c r="G27" s="273" t="s">
        <v>67</v>
      </c>
      <c r="H27" s="229">
        <f>+'Grade D'!G7</f>
        <v>16544.717196613103</v>
      </c>
      <c r="I27" s="137">
        <f>H27*TRM!$I$9</f>
        <v>428309.63878592005</v>
      </c>
      <c r="J27" s="226">
        <f>+'Grade D'!H7</f>
        <v>33579.5</v>
      </c>
      <c r="K27" s="151">
        <f>J27*TRM!$I$9</f>
        <v>869306.09600000002</v>
      </c>
      <c r="L27" s="245">
        <f>+'Grade D'!I7</f>
        <v>46880.660071446226</v>
      </c>
      <c r="M27" s="134">
        <f>L27*TRM!$I$9</f>
        <v>1213646.5279295999</v>
      </c>
      <c r="S27" s="5">
        <f>S26*1.05</f>
        <v>12733.875</v>
      </c>
      <c r="T27">
        <v>3</v>
      </c>
      <c r="BG27" s="5"/>
    </row>
    <row r="28" spans="2:59" ht="37.5" customHeight="1" outlineLevel="1" x14ac:dyDescent="0.55000000000000004">
      <c r="B28" s="300"/>
      <c r="C28" s="300"/>
      <c r="D28" s="303"/>
      <c r="E28" s="281"/>
      <c r="F28" s="280"/>
      <c r="G28" s="274"/>
      <c r="H28" s="233">
        <f>H27/L25</f>
        <v>0.36766038214695784</v>
      </c>
      <c r="I28" s="144"/>
      <c r="J28" s="269" t="s">
        <v>68</v>
      </c>
      <c r="K28" s="270"/>
      <c r="L28" s="242">
        <f>L27/J27</f>
        <v>1.3961095332404063</v>
      </c>
      <c r="M28" s="152"/>
      <c r="Q28" s="6">
        <f>J27/H27</f>
        <v>2.02962066990629</v>
      </c>
      <c r="S28" s="5">
        <f>S27*1.05</f>
        <v>13370.56875</v>
      </c>
      <c r="T28">
        <v>4</v>
      </c>
      <c r="X28" s="6"/>
      <c r="BG28" s="5"/>
    </row>
    <row r="29" spans="2:59" ht="44.25" customHeight="1" outlineLevel="1" x14ac:dyDescent="0.55000000000000004">
      <c r="B29" s="300"/>
      <c r="C29" s="300"/>
      <c r="D29" s="303"/>
      <c r="E29" s="271" t="s">
        <v>34</v>
      </c>
      <c r="F29" s="277" t="s">
        <v>69</v>
      </c>
      <c r="G29" s="275" t="s">
        <v>70</v>
      </c>
      <c r="H29" s="229">
        <f>+'Grade D'!L7</f>
        <v>27533.59700899876</v>
      </c>
      <c r="I29" s="137">
        <f>H29*TRM!$I$9</f>
        <v>712789.75936895993</v>
      </c>
      <c r="J29" s="224">
        <f>+'Grade D'!M7</f>
        <v>41447.929542645237</v>
      </c>
      <c r="K29" s="134">
        <f>J29*TRM!$I$9</f>
        <v>1073004</v>
      </c>
      <c r="L29" s="249">
        <f>+'Grade D'!N7</f>
        <v>61822.593111100119</v>
      </c>
      <c r="M29" s="163">
        <f>L29*TRM!$I$9</f>
        <v>1600463.29046016</v>
      </c>
      <c r="O29" s="17">
        <f>J29+O25</f>
        <v>49918.361727828589</v>
      </c>
      <c r="S29" s="5">
        <f>S28*1.05</f>
        <v>14039.097187500001</v>
      </c>
      <c r="T29">
        <v>5</v>
      </c>
      <c r="BG29" s="5"/>
    </row>
    <row r="30" spans="2:59" ht="37.5" customHeight="1" outlineLevel="1" x14ac:dyDescent="0.55000000000000004">
      <c r="B30" s="301"/>
      <c r="C30" s="300"/>
      <c r="D30" s="303"/>
      <c r="E30" s="272"/>
      <c r="F30" s="278"/>
      <c r="G30" s="276"/>
      <c r="H30" s="230">
        <f>H29/L27</f>
        <v>0.58731248593849783</v>
      </c>
      <c r="I30" s="142"/>
      <c r="J30" s="231">
        <f>J29/H29</f>
        <v>1.505358327468034</v>
      </c>
      <c r="K30" s="152"/>
      <c r="L30" s="258" t="s">
        <v>71</v>
      </c>
      <c r="M30" s="259"/>
      <c r="Q30" s="6">
        <f>L29/J29</f>
        <v>1.4915725295154165</v>
      </c>
      <c r="S30" s="5">
        <f>S29*1.05</f>
        <v>14741.052046875002</v>
      </c>
      <c r="T30">
        <v>6</v>
      </c>
      <c r="X30" s="6"/>
      <c r="BG30" s="5"/>
    </row>
    <row r="31" spans="2:59" ht="11.5" customHeight="1" x14ac:dyDescent="0.55000000000000004">
      <c r="C31" s="260"/>
      <c r="D31" s="261"/>
      <c r="E31" s="262"/>
      <c r="F31" s="262"/>
      <c r="G31" s="262"/>
      <c r="H31" s="262"/>
      <c r="I31" s="262"/>
      <c r="J31" s="261"/>
      <c r="K31" s="263"/>
      <c r="L31" s="261"/>
      <c r="M31" s="264"/>
      <c r="S31" s="310"/>
      <c r="T31" s="310"/>
      <c r="U31" s="310"/>
      <c r="V31" s="310"/>
      <c r="W31" s="310"/>
    </row>
    <row r="32" spans="2:59" ht="44.25" customHeight="1" outlineLevel="1" x14ac:dyDescent="0.55000000000000004">
      <c r="B32" s="10" t="s">
        <v>60</v>
      </c>
      <c r="C32" s="23" t="s">
        <v>327</v>
      </c>
      <c r="D32" s="343" t="s">
        <v>73</v>
      </c>
      <c r="E32" s="281" t="s">
        <v>21</v>
      </c>
      <c r="F32" s="278">
        <v>10</v>
      </c>
      <c r="G32" s="283" t="s">
        <v>74</v>
      </c>
      <c r="H32" s="232">
        <f>+'Grade E'!B7</f>
        <v>52692.54889011124</v>
      </c>
      <c r="I32" s="143">
        <f>H32*TRM!$I$9</f>
        <v>1364104.7056671998</v>
      </c>
      <c r="J32" s="224">
        <f>+'Grade E'!C7</f>
        <v>63939.467313003704</v>
      </c>
      <c r="K32" s="137">
        <f>J32*TRM!$I$9</f>
        <v>1655264.9297990401</v>
      </c>
      <c r="L32" s="224">
        <f>+'Grade E'!D7</f>
        <v>78000</v>
      </c>
      <c r="M32" s="134">
        <f>L32*TRM!$I$9</f>
        <v>2019264.0000000002</v>
      </c>
      <c r="O32" s="17">
        <f>(L36-H32)/6</f>
        <v>11217.908518314793</v>
      </c>
      <c r="S32" s="5">
        <f>H32*1.05</f>
        <v>55327.176334616808</v>
      </c>
      <c r="T32">
        <v>1</v>
      </c>
      <c r="V32" s="5">
        <f>S37*1.05</f>
        <v>74143.707814110676</v>
      </c>
      <c r="W32">
        <v>7</v>
      </c>
      <c r="Y32" s="8"/>
      <c r="BG32" s="5"/>
    </row>
    <row r="33" spans="2:59" ht="37.5" customHeight="1" outlineLevel="1" x14ac:dyDescent="0.55000000000000004">
      <c r="B33" s="300" t="s">
        <v>64</v>
      </c>
      <c r="C33" s="338" t="s">
        <v>75</v>
      </c>
      <c r="D33" s="344"/>
      <c r="E33" s="282"/>
      <c r="F33" s="280"/>
      <c r="G33" s="284"/>
      <c r="H33" s="267" t="s">
        <v>76</v>
      </c>
      <c r="I33" s="268"/>
      <c r="J33" s="242">
        <f>J32/H32</f>
        <v>1.2134441901140061</v>
      </c>
      <c r="K33" s="153"/>
      <c r="L33" s="242">
        <f>L32/J32</f>
        <v>1.2199038133703177</v>
      </c>
      <c r="M33" s="144"/>
      <c r="S33" s="5">
        <f>S32*1.05</f>
        <v>58093.535151347649</v>
      </c>
      <c r="T33">
        <v>2</v>
      </c>
      <c r="V33" s="5">
        <f>V32*1.05</f>
        <v>77850.89320481621</v>
      </c>
      <c r="W33">
        <v>8</v>
      </c>
      <c r="Y33" s="8"/>
    </row>
    <row r="34" spans="2:59" ht="44.25" customHeight="1" outlineLevel="1" x14ac:dyDescent="0.55000000000000004">
      <c r="B34" s="300"/>
      <c r="C34" s="300"/>
      <c r="D34" s="344"/>
      <c r="E34" s="271" t="s">
        <v>29</v>
      </c>
      <c r="F34" s="279">
        <v>12</v>
      </c>
      <c r="G34" s="273" t="s">
        <v>77</v>
      </c>
      <c r="H34" s="224">
        <f>+'Grade E'!G7</f>
        <v>22000</v>
      </c>
      <c r="I34" s="134">
        <f>H34*TRM!$I$9</f>
        <v>569536</v>
      </c>
      <c r="J34" s="243">
        <f>+'Grade E'!H7</f>
        <v>58000</v>
      </c>
      <c r="K34" s="154">
        <f>J34*TRM!$I$9</f>
        <v>1501504</v>
      </c>
      <c r="L34" s="253">
        <f>+'Grade E'!I7</f>
        <v>94000</v>
      </c>
      <c r="M34" s="134">
        <f>L34*TRM!$I$9</f>
        <v>2433472</v>
      </c>
      <c r="S34" s="5">
        <f>S33*1.05</f>
        <v>60998.211908915036</v>
      </c>
      <c r="T34">
        <v>3</v>
      </c>
      <c r="BG34" s="5"/>
    </row>
    <row r="35" spans="2:59" ht="37.5" customHeight="1" outlineLevel="1" x14ac:dyDescent="0.55000000000000004">
      <c r="B35" s="300"/>
      <c r="C35" s="300"/>
      <c r="D35" s="344"/>
      <c r="E35" s="281"/>
      <c r="F35" s="280"/>
      <c r="G35" s="339"/>
      <c r="H35" s="231">
        <f>H34/L32</f>
        <v>0.28205128205128205</v>
      </c>
      <c r="I35" s="142"/>
      <c r="J35" s="288" t="s">
        <v>78</v>
      </c>
      <c r="K35" s="317"/>
      <c r="L35" s="251">
        <f>L34/J34</f>
        <v>1.6206896551724137</v>
      </c>
      <c r="M35" s="152"/>
      <c r="Q35" s="6">
        <f>J34/H34</f>
        <v>2.6363636363636362</v>
      </c>
      <c r="S35" s="5">
        <f>S34*1.05</f>
        <v>64048.122504360792</v>
      </c>
      <c r="T35">
        <v>4</v>
      </c>
      <c r="X35" s="6"/>
      <c r="BG35" s="5"/>
    </row>
    <row r="36" spans="2:59" ht="44.25" customHeight="1" outlineLevel="1" x14ac:dyDescent="0.55000000000000004">
      <c r="B36" s="300"/>
      <c r="C36" s="300"/>
      <c r="D36" s="344"/>
      <c r="E36" s="271" t="s">
        <v>34</v>
      </c>
      <c r="F36" s="340">
        <v>14</v>
      </c>
      <c r="G36" s="311" t="s">
        <v>79</v>
      </c>
      <c r="H36" s="234">
        <f>+'Grade E'!L7</f>
        <v>62633.248350074166</v>
      </c>
      <c r="I36" s="137">
        <f>H36*TRM!$I$9</f>
        <v>1621449.53328672</v>
      </c>
      <c r="J36" s="229">
        <f>+'Grade E'!M7</f>
        <v>80238.34191594561</v>
      </c>
      <c r="K36" s="155">
        <f>J36*TRM!$I$9</f>
        <v>2077210.1955200001</v>
      </c>
      <c r="L36" s="254">
        <v>120000</v>
      </c>
      <c r="M36" s="163">
        <f>L36*TRM!$I$9</f>
        <v>3106560</v>
      </c>
      <c r="O36" s="17">
        <f>J36+O32</f>
        <v>91456.250434260408</v>
      </c>
      <c r="S36" s="5">
        <f>S35*1.05</f>
        <v>67250.528629578839</v>
      </c>
      <c r="T36">
        <v>5</v>
      </c>
      <c r="BG36" s="5"/>
    </row>
    <row r="37" spans="2:59" ht="37.5" customHeight="1" outlineLevel="1" x14ac:dyDescent="0.55000000000000004">
      <c r="B37" s="301"/>
      <c r="C37" s="300"/>
      <c r="D37" s="345"/>
      <c r="E37" s="272"/>
      <c r="F37" s="341"/>
      <c r="G37" s="342"/>
      <c r="H37" s="235">
        <f>H36/L34</f>
        <v>0.66631115266036345</v>
      </c>
      <c r="I37" s="142"/>
      <c r="J37" s="233">
        <f>J36/H36</f>
        <v>1.2810822371445885</v>
      </c>
      <c r="K37" s="141"/>
      <c r="L37" s="288" t="s">
        <v>80</v>
      </c>
      <c r="M37" s="259"/>
      <c r="Q37" s="6">
        <f>L36/J36</f>
        <v>1.4955443636373627</v>
      </c>
      <c r="S37" s="5">
        <f>S36*1.05</f>
        <v>70613.055061057777</v>
      </c>
      <c r="T37">
        <v>6</v>
      </c>
      <c r="X37" s="6"/>
      <c r="BG37" s="5"/>
    </row>
    <row r="38" spans="2:59" ht="11.5" customHeight="1" x14ac:dyDescent="0.55000000000000004">
      <c r="C38" s="318"/>
      <c r="D38" s="263"/>
      <c r="E38" s="261"/>
      <c r="F38" s="261"/>
      <c r="G38" s="263"/>
      <c r="H38" s="261"/>
      <c r="I38" s="261"/>
      <c r="J38" s="263"/>
      <c r="K38" s="261"/>
      <c r="L38" s="261"/>
      <c r="M38" s="264"/>
      <c r="S38" s="94"/>
      <c r="T38" s="94"/>
      <c r="U38" s="94"/>
      <c r="V38" s="94"/>
      <c r="W38" s="94"/>
    </row>
    <row r="39" spans="2:59" ht="12" customHeight="1" x14ac:dyDescent="0.55000000000000004">
      <c r="C39" s="319"/>
      <c r="D39" s="320"/>
      <c r="E39" s="320"/>
      <c r="F39" s="320"/>
      <c r="G39" s="320"/>
      <c r="H39" s="320"/>
      <c r="I39" s="320"/>
      <c r="J39" s="320"/>
      <c r="K39" s="320"/>
      <c r="L39" s="320"/>
      <c r="M39" s="321"/>
      <c r="S39" s="310"/>
      <c r="T39" s="310"/>
      <c r="U39" s="310"/>
      <c r="V39" s="310"/>
      <c r="W39" s="310"/>
    </row>
  </sheetData>
  <sheetProtection algorithmName="SHA-512" hashValue="/ksQlnsOXKY/YbxJD3dZsWL9jaVXgEWIuR5Gg/jHl7Wp8TI7B7aadqmBQtVBxxfErRqb5L3MNsK4mrB8eZTPHg==" saltValue="QjX9WR5ZZwok71ud1Lc30Q==" spinCount="100000" sheet="1" objects="1" scenarios="1"/>
  <mergeCells count="93">
    <mergeCell ref="B33:B37"/>
    <mergeCell ref="C33:C37"/>
    <mergeCell ref="E34:E35"/>
    <mergeCell ref="F34:F35"/>
    <mergeCell ref="G34:G35"/>
    <mergeCell ref="E36:E37"/>
    <mergeCell ref="F36:F37"/>
    <mergeCell ref="G36:G37"/>
    <mergeCell ref="D32:D37"/>
    <mergeCell ref="BG4:BG5"/>
    <mergeCell ref="G6:G7"/>
    <mergeCell ref="G8:G9"/>
    <mergeCell ref="D13:D16"/>
    <mergeCell ref="C7:C11"/>
    <mergeCell ref="C4:F4"/>
    <mergeCell ref="G4:G5"/>
    <mergeCell ref="H4:H5"/>
    <mergeCell ref="J4:J5"/>
    <mergeCell ref="L4:L5"/>
    <mergeCell ref="H7:I7"/>
    <mergeCell ref="J9:K9"/>
    <mergeCell ref="L11:M11"/>
    <mergeCell ref="E8:E9"/>
    <mergeCell ref="E10:E11"/>
    <mergeCell ref="G10:G11"/>
    <mergeCell ref="G13:G14"/>
    <mergeCell ref="G15:G16"/>
    <mergeCell ref="S39:W39"/>
    <mergeCell ref="H19:I19"/>
    <mergeCell ref="L23:M23"/>
    <mergeCell ref="J21:K21"/>
    <mergeCell ref="L37:M37"/>
    <mergeCell ref="J35:K35"/>
    <mergeCell ref="C38:M38"/>
    <mergeCell ref="C39:M39"/>
    <mergeCell ref="E25:E26"/>
    <mergeCell ref="E22:E23"/>
    <mergeCell ref="G20:G21"/>
    <mergeCell ref="F25:F26"/>
    <mergeCell ref="G22:G23"/>
    <mergeCell ref="E18:E19"/>
    <mergeCell ref="S2:W2"/>
    <mergeCell ref="S12:W12"/>
    <mergeCell ref="S17:W17"/>
    <mergeCell ref="S24:W24"/>
    <mergeCell ref="S31:W31"/>
    <mergeCell ref="B7:B11"/>
    <mergeCell ref="B14:B16"/>
    <mergeCell ref="B19:B23"/>
    <mergeCell ref="B26:B30"/>
    <mergeCell ref="D6:D11"/>
    <mergeCell ref="C26:C30"/>
    <mergeCell ref="D18:D23"/>
    <mergeCell ref="D25:D30"/>
    <mergeCell ref="C14:C16"/>
    <mergeCell ref="C19:C23"/>
    <mergeCell ref="C24:M24"/>
    <mergeCell ref="H26:I26"/>
    <mergeCell ref="F18:F19"/>
    <mergeCell ref="F20:F21"/>
    <mergeCell ref="F22:F23"/>
    <mergeCell ref="G25:G26"/>
    <mergeCell ref="C3:M3"/>
    <mergeCell ref="H14:I14"/>
    <mergeCell ref="C12:M12"/>
    <mergeCell ref="L16:M16"/>
    <mergeCell ref="C17:M17"/>
    <mergeCell ref="I4:I5"/>
    <mergeCell ref="K4:K5"/>
    <mergeCell ref="M4:M5"/>
    <mergeCell ref="F6:F7"/>
    <mergeCell ref="F8:F9"/>
    <mergeCell ref="F10:F11"/>
    <mergeCell ref="F13:F14"/>
    <mergeCell ref="F15:F16"/>
    <mergeCell ref="E6:E7"/>
    <mergeCell ref="E15:E16"/>
    <mergeCell ref="E13:E14"/>
    <mergeCell ref="E20:E21"/>
    <mergeCell ref="L30:M30"/>
    <mergeCell ref="C31:M31"/>
    <mergeCell ref="G18:G19"/>
    <mergeCell ref="H33:I33"/>
    <mergeCell ref="J28:K28"/>
    <mergeCell ref="E29:E30"/>
    <mergeCell ref="G27:G28"/>
    <mergeCell ref="G29:G30"/>
    <mergeCell ref="F29:F30"/>
    <mergeCell ref="F27:F28"/>
    <mergeCell ref="E27:E28"/>
    <mergeCell ref="E32:E33"/>
    <mergeCell ref="F32:F33"/>
    <mergeCell ref="G32:G33"/>
  </mergeCells>
  <pageMargins left="0.7" right="0.7" top="0.75" bottom="0.75" header="0.3" footer="0.3"/>
  <pageSetup scale="80" fitToHeight="0" orientation="landscape" r:id="rId1"/>
  <headerFooter>
    <oddHeader>&amp;RINTERNAL:  Not for external distribution</oddHeader>
    <oddFooter>&amp;L&amp;F&amp;C&amp;P / &amp;N&amp;R&amp;D</oddFooter>
  </headerFooter>
  <rowBreaks count="1" manualBreakCount="1">
    <brk id="24" max="16383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61DC4-0B12-454D-BE1B-8B940274A40A}">
  <dimension ref="A1:AC101"/>
  <sheetViews>
    <sheetView zoomScale="70" zoomScaleNormal="70" workbookViewId="0">
      <selection activeCell="D15" sqref="D15:D32"/>
    </sheetView>
  </sheetViews>
  <sheetFormatPr defaultColWidth="48.578125" defaultRowHeight="15" customHeight="1" x14ac:dyDescent="0.55000000000000004"/>
  <cols>
    <col min="1" max="1" width="20" bestFit="1" customWidth="1"/>
    <col min="2" max="2" width="27.68359375" bestFit="1" customWidth="1"/>
    <col min="3" max="3" width="27.26171875" bestFit="1" customWidth="1"/>
    <col min="4" max="4" width="27.26171875" customWidth="1"/>
    <col min="5" max="6" width="21.41796875" customWidth="1"/>
    <col min="7" max="7" width="9.26171875" customWidth="1"/>
    <col min="8" max="8" width="10.41796875" bestFit="1" customWidth="1"/>
    <col min="9" max="11" width="11.41796875" bestFit="1" customWidth="1"/>
    <col min="12" max="13" width="10.41796875" bestFit="1" customWidth="1"/>
    <col min="14" max="14" width="10" customWidth="1"/>
    <col min="15" max="15" width="10.41796875" bestFit="1" customWidth="1"/>
    <col min="16" max="18" width="11.41796875" bestFit="1" customWidth="1"/>
    <col min="19" max="19" width="12.15625" customWidth="1"/>
    <col min="20" max="20" width="10.41796875" bestFit="1" customWidth="1"/>
    <col min="21" max="21" width="10.41796875" customWidth="1"/>
    <col min="22" max="22" width="12.15625" customWidth="1"/>
    <col min="23" max="25" width="10.41796875" customWidth="1"/>
    <col min="26" max="26" width="12.41796875" customWidth="1"/>
    <col min="27" max="27" width="10.41796875" customWidth="1"/>
    <col min="28" max="28" width="100.41796875" customWidth="1"/>
    <col min="29" max="29" width="78.15625" customWidth="1"/>
  </cols>
  <sheetData>
    <row r="1" spans="1:29" ht="23.1" x14ac:dyDescent="0.85">
      <c r="G1" s="349" t="s">
        <v>81</v>
      </c>
      <c r="H1" s="349"/>
      <c r="I1" s="349"/>
      <c r="J1" s="349"/>
      <c r="K1" s="349"/>
      <c r="L1" s="349"/>
      <c r="M1" s="349"/>
      <c r="N1" s="349" t="s">
        <v>82</v>
      </c>
      <c r="O1" s="349"/>
      <c r="P1" s="349"/>
      <c r="Q1" s="349"/>
      <c r="R1" s="349"/>
      <c r="S1" s="349"/>
      <c r="T1" s="349"/>
      <c r="U1" s="349" t="s">
        <v>83</v>
      </c>
      <c r="V1" s="349"/>
      <c r="W1" s="349"/>
      <c r="X1" s="349"/>
      <c r="Y1" s="349"/>
      <c r="Z1" s="349"/>
      <c r="AA1" s="349"/>
    </row>
    <row r="2" spans="1:29" ht="30" x14ac:dyDescent="0.55000000000000004">
      <c r="A2" s="79" t="s">
        <v>14</v>
      </c>
      <c r="B2" s="79" t="s">
        <v>84</v>
      </c>
      <c r="C2" s="79" t="s">
        <v>85</v>
      </c>
      <c r="D2" s="79" t="s">
        <v>84</v>
      </c>
      <c r="E2" s="79" t="s">
        <v>86</v>
      </c>
      <c r="F2" s="79" t="s">
        <v>87</v>
      </c>
      <c r="G2" s="80"/>
      <c r="H2" s="81" t="s">
        <v>88</v>
      </c>
      <c r="I2" s="81" t="s">
        <v>89</v>
      </c>
      <c r="J2" s="81" t="s">
        <v>90</v>
      </c>
      <c r="K2" s="81" t="s">
        <v>91</v>
      </c>
      <c r="L2" s="81" t="s">
        <v>92</v>
      </c>
      <c r="M2" s="81" t="s">
        <v>93</v>
      </c>
      <c r="N2" s="80"/>
      <c r="O2" s="81" t="s">
        <v>88</v>
      </c>
      <c r="P2" s="81" t="s">
        <v>89</v>
      </c>
      <c r="Q2" s="81" t="s">
        <v>90</v>
      </c>
      <c r="R2" s="81" t="s">
        <v>91</v>
      </c>
      <c r="S2" s="81" t="s">
        <v>92</v>
      </c>
      <c r="T2" s="81" t="s">
        <v>93</v>
      </c>
      <c r="U2" s="80"/>
      <c r="V2" s="81" t="s">
        <v>88</v>
      </c>
      <c r="W2" s="81" t="s">
        <v>89</v>
      </c>
      <c r="X2" s="81" t="s">
        <v>90</v>
      </c>
      <c r="Y2" s="81" t="s">
        <v>91</v>
      </c>
      <c r="Z2" s="81" t="s">
        <v>92</v>
      </c>
      <c r="AA2" s="81" t="s">
        <v>93</v>
      </c>
      <c r="AB2" s="87" t="s">
        <v>94</v>
      </c>
    </row>
    <row r="3" spans="1:29" ht="14.4" x14ac:dyDescent="0.55000000000000004">
      <c r="A3" s="350" t="s">
        <v>95</v>
      </c>
      <c r="B3" s="350" t="s">
        <v>96</v>
      </c>
      <c r="C3" s="366" t="s">
        <v>97</v>
      </c>
      <c r="D3" s="350" t="s">
        <v>98</v>
      </c>
      <c r="E3" s="350" t="s">
        <v>99</v>
      </c>
      <c r="F3" s="350" t="s">
        <v>100</v>
      </c>
      <c r="G3" s="59" t="s">
        <v>101</v>
      </c>
      <c r="H3" s="64">
        <v>1453935</v>
      </c>
      <c r="I3" s="64">
        <v>1603580</v>
      </c>
      <c r="J3" s="64">
        <v>1753226</v>
      </c>
      <c r="K3" s="64">
        <v>1958113</v>
      </c>
      <c r="L3" s="64">
        <v>2163000</v>
      </c>
      <c r="M3" s="64">
        <v>1790054</v>
      </c>
      <c r="N3" s="59" t="s">
        <v>101</v>
      </c>
      <c r="O3" s="64">
        <f>((H3*$AB$15)+H3)/$AB$17</f>
        <v>58341.613025339924</v>
      </c>
      <c r="P3" s="64">
        <f t="shared" ref="P3:S3" si="0">((I3*$AB$15)+I3)/$AB$17</f>
        <v>64346.372991347343</v>
      </c>
      <c r="Q3" s="64">
        <f t="shared" si="0"/>
        <v>70351.17308405439</v>
      </c>
      <c r="R3" s="64">
        <f t="shared" si="0"/>
        <v>78572.612190976506</v>
      </c>
      <c r="S3" s="64">
        <f t="shared" si="0"/>
        <v>86794.051297898637</v>
      </c>
      <c r="T3" s="64">
        <f t="shared" ref="T3" si="1">+((1281000*$AB$15)+M3)/$AB$17</f>
        <v>71066.007416563662</v>
      </c>
      <c r="U3" s="59" t="s">
        <v>101</v>
      </c>
      <c r="V3" s="64">
        <f>((O3*$AB$16)+O3)</f>
        <v>60768.624127194067</v>
      </c>
      <c r="W3" s="64">
        <f t="shared" ref="W3:Z3" si="2">((P3*$AB$16)+P3)</f>
        <v>67023.18210778739</v>
      </c>
      <c r="X3" s="64">
        <f t="shared" si="2"/>
        <v>73277.781884351047</v>
      </c>
      <c r="Y3" s="64">
        <f t="shared" si="2"/>
        <v>81841.232858121133</v>
      </c>
      <c r="Z3" s="64">
        <f t="shared" si="2"/>
        <v>90404.68383189122</v>
      </c>
      <c r="AA3" s="64">
        <f>MEDIAN(V3:Z3)</f>
        <v>73277.781884351047</v>
      </c>
      <c r="AC3" s="85"/>
    </row>
    <row r="4" spans="1:29" ht="28.8" x14ac:dyDescent="0.55000000000000004">
      <c r="A4" s="351"/>
      <c r="B4" s="351"/>
      <c r="C4" s="367"/>
      <c r="D4" s="351"/>
      <c r="E4" s="351"/>
      <c r="F4" s="351"/>
      <c r="G4" s="59" t="s">
        <v>102</v>
      </c>
      <c r="H4" s="64">
        <v>1453835</v>
      </c>
      <c r="I4" s="64">
        <v>1585506</v>
      </c>
      <c r="J4" s="64">
        <v>1717176</v>
      </c>
      <c r="K4" s="64">
        <v>1940088</v>
      </c>
      <c r="L4" s="64">
        <v>2163000</v>
      </c>
      <c r="M4" s="64">
        <v>1778004</v>
      </c>
      <c r="N4" s="59" t="s">
        <v>102</v>
      </c>
      <c r="O4" s="64">
        <f t="shared" ref="O4:O8" si="3">((H4*$AB$15)+H4)/$AB$17</f>
        <v>58337.600355377006</v>
      </c>
      <c r="P4" s="64">
        <f t="shared" ref="P4:P9" si="4">((I4*$AB$15)+I4)/$AB$17</f>
        <v>63621.123022249689</v>
      </c>
      <c r="Q4" s="64">
        <f t="shared" ref="Q4:Q9" si="5">((J4*$AB$15)+J4)/$AB$17</f>
        <v>68904.605562422745</v>
      </c>
      <c r="R4" s="64">
        <f t="shared" ref="R4:R9" si="6">((K4*$AB$15)+K4)/$AB$17</f>
        <v>77849.328430160691</v>
      </c>
      <c r="S4" s="64">
        <f t="shared" ref="S4:S9" si="7">((L4*$AB$15)+L4)/$AB$17</f>
        <v>86794.051297898637</v>
      </c>
      <c r="T4" s="64">
        <f>MEDIAN(O4:S4)</f>
        <v>68904.605562422745</v>
      </c>
      <c r="U4" s="59" t="s">
        <v>102</v>
      </c>
      <c r="V4" s="64">
        <f t="shared" ref="V4:V8" si="8">((O4*$AB$16)+O4)</f>
        <v>60764.44453016069</v>
      </c>
      <c r="W4" s="64">
        <f t="shared" ref="W4:W9" si="9">((P4*$AB$16)+P4)</f>
        <v>66267.761739975278</v>
      </c>
      <c r="X4" s="64">
        <f t="shared" ref="X4:X9" si="10">((Q4*$AB$16)+Q4)</f>
        <v>71771.037153819532</v>
      </c>
      <c r="Y4" s="64">
        <f t="shared" ref="Y4:Y9" si="11">((R4*$AB$16)+R4)</f>
        <v>81087.860492855369</v>
      </c>
      <c r="Z4" s="64">
        <f t="shared" ref="Z4:Z9" si="12">((S4*$AB$16)+S4)</f>
        <v>90404.68383189122</v>
      </c>
      <c r="AA4" s="64">
        <f t="shared" ref="AA4:AA98" si="13">MEDIAN(V4:Z4)</f>
        <v>71771.037153819532</v>
      </c>
      <c r="AB4" s="88" t="s">
        <v>103</v>
      </c>
      <c r="AC4" s="85"/>
    </row>
    <row r="5" spans="1:29" ht="28.8" x14ac:dyDescent="0.55000000000000004">
      <c r="A5" s="351"/>
      <c r="B5" s="351"/>
      <c r="C5" s="367"/>
      <c r="D5" s="351"/>
      <c r="E5" s="352"/>
      <c r="F5" s="352"/>
      <c r="G5" s="59" t="s">
        <v>104</v>
      </c>
      <c r="H5" s="64">
        <v>1453735</v>
      </c>
      <c r="I5" s="64">
        <v>1567430</v>
      </c>
      <c r="J5" s="64">
        <v>1681126</v>
      </c>
      <c r="K5" s="64">
        <v>1922063</v>
      </c>
      <c r="L5" s="64">
        <v>2163000</v>
      </c>
      <c r="M5" s="64">
        <v>1765954</v>
      </c>
      <c r="N5" s="59" t="s">
        <v>104</v>
      </c>
      <c r="O5" s="64">
        <f t="shared" si="3"/>
        <v>58333.587685414088</v>
      </c>
      <c r="P5" s="64">
        <f t="shared" si="4"/>
        <v>62895.792799752773</v>
      </c>
      <c r="Q5" s="64">
        <f t="shared" si="5"/>
        <v>67458.0380407911</v>
      </c>
      <c r="R5" s="64">
        <f t="shared" si="6"/>
        <v>77126.044669344861</v>
      </c>
      <c r="S5" s="64">
        <f t="shared" si="7"/>
        <v>86794.051297898637</v>
      </c>
      <c r="T5" s="64">
        <f>MEDIAN(O5:S5)</f>
        <v>67458.0380407911</v>
      </c>
      <c r="U5" s="59" t="s">
        <v>104</v>
      </c>
      <c r="V5" s="64">
        <f t="shared" si="8"/>
        <v>60760.264933127313</v>
      </c>
      <c r="W5" s="64">
        <f t="shared" si="9"/>
        <v>65512.257780222491</v>
      </c>
      <c r="X5" s="64">
        <f t="shared" si="10"/>
        <v>70264.292423288003</v>
      </c>
      <c r="Y5" s="64">
        <f t="shared" si="11"/>
        <v>80334.488127589604</v>
      </c>
      <c r="Z5" s="64">
        <f t="shared" si="12"/>
        <v>90404.68383189122</v>
      </c>
      <c r="AA5" s="64">
        <f t="shared" si="13"/>
        <v>70264.292423288003</v>
      </c>
      <c r="AB5" s="58" t="s">
        <v>105</v>
      </c>
      <c r="AC5" s="85"/>
    </row>
    <row r="6" spans="1:29" ht="14.4" x14ac:dyDescent="0.55000000000000004">
      <c r="A6" s="351"/>
      <c r="B6" s="351"/>
      <c r="C6" s="367"/>
      <c r="D6" s="351"/>
      <c r="E6" s="351" t="s">
        <v>106</v>
      </c>
      <c r="F6" s="350" t="s">
        <v>107</v>
      </c>
      <c r="G6" s="59" t="s">
        <v>101</v>
      </c>
      <c r="H6" s="64">
        <v>1281000</v>
      </c>
      <c r="I6" s="64">
        <v>1739664</v>
      </c>
      <c r="J6" s="64">
        <v>1761060</v>
      </c>
      <c r="K6" s="64">
        <v>2163000</v>
      </c>
      <c r="L6" s="64">
        <v>2800000</v>
      </c>
      <c r="M6" s="64">
        <v>1934687</v>
      </c>
      <c r="N6" s="59" t="s">
        <v>101</v>
      </c>
      <c r="O6" s="64">
        <f t="shared" si="3"/>
        <v>51402.302224969098</v>
      </c>
      <c r="P6" s="64">
        <f t="shared" si="4"/>
        <v>69806.97478368356</v>
      </c>
      <c r="Q6" s="64">
        <f t="shared" si="5"/>
        <v>70665.525648949319</v>
      </c>
      <c r="R6" s="64">
        <f t="shared" si="6"/>
        <v>86794.051297898637</v>
      </c>
      <c r="S6" s="64">
        <f t="shared" si="7"/>
        <v>112354.75896168109</v>
      </c>
      <c r="T6" s="64">
        <f>MEDIAN(O6:S6)</f>
        <v>70665.525648949319</v>
      </c>
      <c r="U6" s="59" t="s">
        <v>101</v>
      </c>
      <c r="V6" s="64">
        <f t="shared" si="8"/>
        <v>53540.637997527811</v>
      </c>
      <c r="W6" s="64">
        <f t="shared" si="9"/>
        <v>72710.944934684798</v>
      </c>
      <c r="X6" s="64">
        <f t="shared" si="10"/>
        <v>73605.211515945615</v>
      </c>
      <c r="Y6" s="64">
        <f t="shared" si="11"/>
        <v>90404.68383189122</v>
      </c>
      <c r="Z6" s="64">
        <f t="shared" si="12"/>
        <v>117028.71693448702</v>
      </c>
      <c r="AA6" s="64">
        <f t="shared" si="13"/>
        <v>73605.211515945615</v>
      </c>
      <c r="AB6" s="58"/>
      <c r="AC6" s="85"/>
    </row>
    <row r="7" spans="1:29" ht="14.4" x14ac:dyDescent="0.55000000000000004">
      <c r="A7" s="351"/>
      <c r="B7" s="351"/>
      <c r="C7" s="367"/>
      <c r="D7" s="351"/>
      <c r="E7" s="351"/>
      <c r="F7" s="351"/>
      <c r="G7" s="59" t="s">
        <v>102</v>
      </c>
      <c r="H7" s="64">
        <v>1281000</v>
      </c>
      <c r="I7" s="64">
        <v>1467550</v>
      </c>
      <c r="J7" s="64">
        <v>1739005</v>
      </c>
      <c r="K7" s="64">
        <v>1862190</v>
      </c>
      <c r="L7" s="64">
        <v>2333333</v>
      </c>
      <c r="M7" s="64">
        <v>1750725</v>
      </c>
      <c r="N7" s="59" t="s">
        <v>102</v>
      </c>
      <c r="O7" s="64">
        <f t="shared" si="3"/>
        <v>51402.302224969098</v>
      </c>
      <c r="P7" s="64">
        <f t="shared" si="4"/>
        <v>58887.938040791094</v>
      </c>
      <c r="Q7" s="64">
        <f t="shared" si="5"/>
        <v>69780.531288627928</v>
      </c>
      <c r="R7" s="64">
        <f t="shared" si="6"/>
        <v>74723.53878244746</v>
      </c>
      <c r="S7" s="64">
        <f t="shared" si="7"/>
        <v>93628.952425834359</v>
      </c>
      <c r="T7" s="64">
        <f>MEDIAN(O7:S7)</f>
        <v>69780.531288627928</v>
      </c>
      <c r="U7" s="59" t="s">
        <v>102</v>
      </c>
      <c r="V7" s="64">
        <f t="shared" si="8"/>
        <v>53540.637997527811</v>
      </c>
      <c r="W7" s="64">
        <f t="shared" si="9"/>
        <v>61337.676263288005</v>
      </c>
      <c r="X7" s="64">
        <f t="shared" si="10"/>
        <v>72683.401390234852</v>
      </c>
      <c r="Y7" s="64">
        <f t="shared" si="11"/>
        <v>77832.037995797276</v>
      </c>
      <c r="Z7" s="64">
        <f t="shared" si="12"/>
        <v>97523.916846749067</v>
      </c>
      <c r="AA7" s="64">
        <f t="shared" si="13"/>
        <v>72683.401390234852</v>
      </c>
      <c r="AB7" s="58"/>
      <c r="AC7" s="85"/>
    </row>
    <row r="8" spans="1:29" ht="14.4" x14ac:dyDescent="0.55000000000000004">
      <c r="A8" s="352"/>
      <c r="B8" s="352"/>
      <c r="C8" s="367"/>
      <c r="D8" s="352"/>
      <c r="E8" s="352"/>
      <c r="F8" s="352"/>
      <c r="G8" s="59" t="s">
        <v>104</v>
      </c>
      <c r="H8" s="64">
        <v>1174040</v>
      </c>
      <c r="I8" s="64">
        <v>1363558</v>
      </c>
      <c r="J8" s="64">
        <v>1453735</v>
      </c>
      <c r="K8" s="64">
        <v>1738346</v>
      </c>
      <c r="L8" s="64">
        <v>2163000</v>
      </c>
      <c r="M8" s="64">
        <v>1566764</v>
      </c>
      <c r="N8" s="59" t="s">
        <v>104</v>
      </c>
      <c r="O8" s="64">
        <f t="shared" si="3"/>
        <v>47110.350432632884</v>
      </c>
      <c r="P8" s="64">
        <f t="shared" si="4"/>
        <v>54715.082292954263</v>
      </c>
      <c r="Q8" s="64">
        <f t="shared" si="5"/>
        <v>58333.587685414088</v>
      </c>
      <c r="R8" s="64">
        <f t="shared" si="6"/>
        <v>69754.087793572311</v>
      </c>
      <c r="S8" s="64">
        <f t="shared" si="7"/>
        <v>86794.051297898637</v>
      </c>
      <c r="T8" s="64">
        <f>MEDIAN(O8:S8)</f>
        <v>58333.587685414088</v>
      </c>
      <c r="U8" s="59" t="s">
        <v>104</v>
      </c>
      <c r="V8" s="64">
        <f t="shared" si="8"/>
        <v>49070.14101063041</v>
      </c>
      <c r="W8" s="64">
        <f t="shared" si="9"/>
        <v>56991.229716341157</v>
      </c>
      <c r="X8" s="64">
        <f t="shared" si="10"/>
        <v>60760.264933127313</v>
      </c>
      <c r="Y8" s="64">
        <f t="shared" si="11"/>
        <v>72655.857845784922</v>
      </c>
      <c r="Z8" s="64">
        <f t="shared" si="12"/>
        <v>90404.68383189122</v>
      </c>
      <c r="AA8" s="64">
        <f t="shared" si="13"/>
        <v>60760.264933127313</v>
      </c>
      <c r="AB8" s="58"/>
      <c r="AC8" s="85"/>
    </row>
    <row r="9" spans="1:29" ht="21.75" customHeight="1" x14ac:dyDescent="0.55000000000000004">
      <c r="A9" s="361" t="s">
        <v>108</v>
      </c>
      <c r="B9" s="361" t="s">
        <v>109</v>
      </c>
      <c r="C9" s="367"/>
      <c r="D9" s="361" t="s">
        <v>110</v>
      </c>
      <c r="E9" s="361" t="s">
        <v>111</v>
      </c>
      <c r="F9" s="361" t="s">
        <v>112</v>
      </c>
      <c r="G9" s="60" t="s">
        <v>101</v>
      </c>
      <c r="H9" s="65">
        <v>941347</v>
      </c>
      <c r="I9" s="65">
        <v>1542070</v>
      </c>
      <c r="J9" s="65">
        <v>1886528</v>
      </c>
      <c r="K9" s="65">
        <v>2129776</v>
      </c>
      <c r="L9" s="65">
        <v>3450528</v>
      </c>
      <c r="M9" s="65">
        <v>1961246</v>
      </c>
      <c r="N9" s="60" t="s">
        <v>101</v>
      </c>
      <c r="O9" s="65">
        <f>((H9*$AB$15)+H9)/$AB$17</f>
        <v>37773.148315822</v>
      </c>
      <c r="P9" s="65">
        <f t="shared" si="4"/>
        <v>61878.179697156986</v>
      </c>
      <c r="Q9" s="65">
        <f t="shared" si="5"/>
        <v>75700.142398022246</v>
      </c>
      <c r="R9" s="65">
        <f t="shared" si="6"/>
        <v>85460.881829419028</v>
      </c>
      <c r="S9" s="65">
        <f t="shared" si="7"/>
        <v>138458.30061804695</v>
      </c>
      <c r="T9" s="65">
        <f t="shared" ref="T9:T98" si="14">MEDIAN(O9:S9)</f>
        <v>75700.142398022246</v>
      </c>
      <c r="U9" s="60" t="s">
        <v>101</v>
      </c>
      <c r="V9" s="65">
        <f>((O9*$AB$16)+O9)</f>
        <v>39344.511285760193</v>
      </c>
      <c r="W9" s="65">
        <f t="shared" si="9"/>
        <v>64452.311972558717</v>
      </c>
      <c r="X9" s="65">
        <f t="shared" si="10"/>
        <v>78849.268321779964</v>
      </c>
      <c r="Y9" s="65">
        <f t="shared" si="11"/>
        <v>89016.05451352286</v>
      </c>
      <c r="Z9" s="65">
        <f t="shared" si="12"/>
        <v>144218.16592375771</v>
      </c>
      <c r="AA9" s="65">
        <f t="shared" si="13"/>
        <v>78849.268321779964</v>
      </c>
      <c r="AB9" s="58" t="s">
        <v>113</v>
      </c>
    </row>
    <row r="10" spans="1:29" ht="21.75" customHeight="1" x14ac:dyDescent="0.55000000000000004">
      <c r="A10" s="362"/>
      <c r="B10" s="362"/>
      <c r="C10" s="367"/>
      <c r="D10" s="362"/>
      <c r="E10" s="362"/>
      <c r="F10" s="362"/>
      <c r="G10" s="60" t="s">
        <v>102</v>
      </c>
      <c r="H10" s="65">
        <v>760167</v>
      </c>
      <c r="I10" s="65">
        <v>1309132</v>
      </c>
      <c r="J10" s="65">
        <v>1452829</v>
      </c>
      <c r="K10" s="65">
        <v>1846013</v>
      </c>
      <c r="L10" s="65">
        <v>2239464</v>
      </c>
      <c r="M10" s="65">
        <v>1538094</v>
      </c>
      <c r="N10" s="60" t="s">
        <v>102</v>
      </c>
      <c r="O10" s="65">
        <f t="shared" ref="O10:O15" si="15">((H10*$AB$15)+H10)/$AB$17</f>
        <v>30502.992877008648</v>
      </c>
      <c r="P10" s="65">
        <f t="shared" ref="P10:P15" si="16">((I10*$AB$15)+I10)/$AB$17</f>
        <v>52531.146538936955</v>
      </c>
      <c r="Q10" s="65">
        <f t="shared" ref="Q10:Q15" si="17">((J10*$AB$15)+J10)/$AB$17</f>
        <v>58297.232895550056</v>
      </c>
      <c r="R10" s="65">
        <f t="shared" ref="R10:R15" si="18">((K10*$AB$15)+K10)/$AB$17</f>
        <v>74074.409162546348</v>
      </c>
      <c r="S10" s="65">
        <f t="shared" ref="S10:S15" si="19">((L10*$AB$15)+L10)/$AB$17</f>
        <v>89862.299258343628</v>
      </c>
      <c r="T10" s="65">
        <f t="shared" si="14"/>
        <v>58297.232895550056</v>
      </c>
      <c r="U10" s="60" t="s">
        <v>102</v>
      </c>
      <c r="V10" s="65">
        <f t="shared" ref="V10:V15" si="20">((O10*$AB$16)+O10)</f>
        <v>31771.917380692208</v>
      </c>
      <c r="W10" s="65">
        <f t="shared" ref="W10:W15" si="21">((P10*$AB$16)+P10)</f>
        <v>54716.442234956732</v>
      </c>
      <c r="X10" s="65">
        <f t="shared" ref="X10:X15" si="22">((Q10*$AB$16)+Q10)</f>
        <v>60722.397784004941</v>
      </c>
      <c r="Y10" s="65">
        <f t="shared" ref="Y10:Y15" si="23">((R10*$AB$16)+R10)</f>
        <v>77155.904583708281</v>
      </c>
      <c r="Z10" s="65">
        <f t="shared" ref="Z10:Z15" si="24">((S10*$AB$16)+S10)</f>
        <v>93600.570907490721</v>
      </c>
      <c r="AA10" s="65">
        <f t="shared" si="13"/>
        <v>60722.397784004941</v>
      </c>
      <c r="AB10" s="58" t="s">
        <v>114</v>
      </c>
    </row>
    <row r="11" spans="1:29" ht="21.75" customHeight="1" x14ac:dyDescent="0.55000000000000004">
      <c r="A11" s="362"/>
      <c r="B11" s="362"/>
      <c r="C11" s="367"/>
      <c r="D11" s="362"/>
      <c r="E11" s="363"/>
      <c r="F11" s="363"/>
      <c r="G11" s="60" t="s">
        <v>104</v>
      </c>
      <c r="H11" s="65">
        <v>578987</v>
      </c>
      <c r="I11" s="65">
        <v>961524</v>
      </c>
      <c r="J11" s="65">
        <v>1036042</v>
      </c>
      <c r="K11" s="65">
        <v>1150800</v>
      </c>
      <c r="L11" s="65">
        <v>1898048</v>
      </c>
      <c r="M11" s="65">
        <v>1114941</v>
      </c>
      <c r="N11" s="60" t="s">
        <v>104</v>
      </c>
      <c r="O11" s="65">
        <f t="shared" si="15"/>
        <v>23232.8374381953</v>
      </c>
      <c r="P11" s="65">
        <f t="shared" si="16"/>
        <v>38582.784734239794</v>
      </c>
      <c r="Q11" s="65">
        <f t="shared" si="17"/>
        <v>41572.946137206425</v>
      </c>
      <c r="R11" s="65">
        <f t="shared" si="18"/>
        <v>46177.805933250922</v>
      </c>
      <c r="S11" s="65">
        <f t="shared" si="19"/>
        <v>76162.401977750298</v>
      </c>
      <c r="T11" s="65">
        <f t="shared" si="14"/>
        <v>41572.946137206425</v>
      </c>
      <c r="U11" s="60" t="s">
        <v>104</v>
      </c>
      <c r="V11" s="65">
        <f t="shared" si="20"/>
        <v>24199.323475624224</v>
      </c>
      <c r="W11" s="65">
        <f t="shared" si="21"/>
        <v>40187.82857918417</v>
      </c>
      <c r="X11" s="65">
        <f t="shared" si="22"/>
        <v>43302.380696514214</v>
      </c>
      <c r="Y11" s="65">
        <f t="shared" si="23"/>
        <v>48098.802660074158</v>
      </c>
      <c r="Z11" s="65">
        <f t="shared" si="24"/>
        <v>79330.757900024706</v>
      </c>
      <c r="AA11" s="65">
        <f t="shared" si="13"/>
        <v>43302.380696514214</v>
      </c>
      <c r="AB11" s="92" t="s">
        <v>115</v>
      </c>
    </row>
    <row r="12" spans="1:29" ht="21.75" customHeight="1" x14ac:dyDescent="0.55000000000000004">
      <c r="A12" s="362"/>
      <c r="B12" s="362"/>
      <c r="C12" s="367"/>
      <c r="D12" s="362"/>
      <c r="E12" s="361" t="s">
        <v>116</v>
      </c>
      <c r="F12" s="361" t="s">
        <v>117</v>
      </c>
      <c r="G12" s="60" t="s">
        <v>101</v>
      </c>
      <c r="H12" s="65">
        <v>941347</v>
      </c>
      <c r="I12" s="65">
        <v>1593906</v>
      </c>
      <c r="J12" s="65">
        <v>1875008</v>
      </c>
      <c r="K12" s="65">
        <v>2087050</v>
      </c>
      <c r="L12" s="65">
        <v>3450528</v>
      </c>
      <c r="M12" s="65">
        <v>1974961</v>
      </c>
      <c r="N12" s="60" t="s">
        <v>101</v>
      </c>
      <c r="O12" s="65">
        <f t="shared" si="15"/>
        <v>37773.148315822</v>
      </c>
      <c r="P12" s="65">
        <f t="shared" si="16"/>
        <v>63958.187299134726</v>
      </c>
      <c r="Q12" s="65">
        <f t="shared" si="17"/>
        <v>75237.882818294194</v>
      </c>
      <c r="R12" s="65">
        <f t="shared" si="18"/>
        <v>83746.428461063042</v>
      </c>
      <c r="S12" s="65">
        <f t="shared" si="19"/>
        <v>138458.30061804695</v>
      </c>
      <c r="T12" s="65">
        <f t="shared" si="14"/>
        <v>75237.882818294194</v>
      </c>
      <c r="U12" s="60" t="s">
        <v>101</v>
      </c>
      <c r="V12" s="65">
        <f t="shared" si="20"/>
        <v>39344.511285760193</v>
      </c>
      <c r="W12" s="65">
        <f t="shared" si="21"/>
        <v>66618.847890778736</v>
      </c>
      <c r="X12" s="65">
        <f t="shared" si="22"/>
        <v>78367.778743535237</v>
      </c>
      <c r="Y12" s="65">
        <f t="shared" si="23"/>
        <v>87230.279885043259</v>
      </c>
      <c r="Z12" s="65">
        <f t="shared" si="24"/>
        <v>144218.16592375771</v>
      </c>
      <c r="AA12" s="65">
        <f t="shared" si="13"/>
        <v>78367.778743535237</v>
      </c>
      <c r="AB12" s="92"/>
    </row>
    <row r="13" spans="1:29" ht="21.75" customHeight="1" x14ac:dyDescent="0.55000000000000004">
      <c r="A13" s="362"/>
      <c r="B13" s="362"/>
      <c r="C13" s="367"/>
      <c r="D13" s="362"/>
      <c r="E13" s="362"/>
      <c r="F13" s="362"/>
      <c r="G13" s="60" t="s">
        <v>102</v>
      </c>
      <c r="H13" s="65">
        <v>760167</v>
      </c>
      <c r="I13" s="65">
        <v>1309132</v>
      </c>
      <c r="J13" s="65">
        <v>1446312</v>
      </c>
      <c r="K13" s="65">
        <v>1846013</v>
      </c>
      <c r="L13" s="65">
        <v>2239464</v>
      </c>
      <c r="M13" s="65">
        <v>1541168</v>
      </c>
      <c r="N13" s="60" t="s">
        <v>102</v>
      </c>
      <c r="O13" s="65">
        <f t="shared" si="15"/>
        <v>30502.992877008648</v>
      </c>
      <c r="P13" s="65">
        <f t="shared" si="16"/>
        <v>52531.146538936955</v>
      </c>
      <c r="Q13" s="65">
        <f t="shared" si="17"/>
        <v>58035.727194066742</v>
      </c>
      <c r="R13" s="65">
        <f t="shared" si="18"/>
        <v>74074.409162546348</v>
      </c>
      <c r="S13" s="65">
        <f t="shared" si="19"/>
        <v>89862.299258343628</v>
      </c>
      <c r="T13" s="65">
        <f t="shared" si="14"/>
        <v>58035.727194066742</v>
      </c>
      <c r="U13" s="60" t="s">
        <v>102</v>
      </c>
      <c r="V13" s="65">
        <f t="shared" si="20"/>
        <v>31771.917380692208</v>
      </c>
      <c r="W13" s="65">
        <f t="shared" si="21"/>
        <v>54716.442234956732</v>
      </c>
      <c r="X13" s="65">
        <f t="shared" si="22"/>
        <v>60450.013445339915</v>
      </c>
      <c r="Y13" s="65">
        <f t="shared" si="23"/>
        <v>77155.904583708281</v>
      </c>
      <c r="Z13" s="65">
        <f t="shared" si="24"/>
        <v>93600.570907490721</v>
      </c>
      <c r="AA13" s="65">
        <f t="shared" si="13"/>
        <v>60450.013445339915</v>
      </c>
      <c r="AB13" s="92"/>
    </row>
    <row r="14" spans="1:29" ht="21.75" customHeight="1" x14ac:dyDescent="0.55000000000000004">
      <c r="A14" s="363"/>
      <c r="B14" s="363"/>
      <c r="C14" s="368"/>
      <c r="D14" s="363"/>
      <c r="E14" s="363"/>
      <c r="F14" s="363"/>
      <c r="G14" s="60" t="s">
        <v>104</v>
      </c>
      <c r="H14" s="65">
        <v>578987</v>
      </c>
      <c r="I14" s="65">
        <v>973893</v>
      </c>
      <c r="J14" s="65">
        <v>1028400</v>
      </c>
      <c r="K14" s="65">
        <v>1120000</v>
      </c>
      <c r="L14" s="65">
        <v>1898048</v>
      </c>
      <c r="M14" s="65">
        <v>1107374</v>
      </c>
      <c r="N14" s="60" t="s">
        <v>104</v>
      </c>
      <c r="O14" s="65">
        <f t="shared" si="15"/>
        <v>23232.8374381953</v>
      </c>
      <c r="P14" s="65">
        <f t="shared" si="16"/>
        <v>39079.111881953024</v>
      </c>
      <c r="Q14" s="65">
        <f t="shared" si="17"/>
        <v>41266.297898640289</v>
      </c>
      <c r="R14" s="65">
        <f t="shared" si="18"/>
        <v>44941.903584672429</v>
      </c>
      <c r="S14" s="65">
        <f t="shared" si="19"/>
        <v>76162.401977750298</v>
      </c>
      <c r="T14" s="65">
        <f t="shared" si="14"/>
        <v>41266.297898640289</v>
      </c>
      <c r="U14" s="60" t="s">
        <v>104</v>
      </c>
      <c r="V14" s="65">
        <f t="shared" si="20"/>
        <v>24199.323475624224</v>
      </c>
      <c r="W14" s="65">
        <f t="shared" si="21"/>
        <v>40704.802936242268</v>
      </c>
      <c r="X14" s="65">
        <f t="shared" si="22"/>
        <v>42982.975891223723</v>
      </c>
      <c r="Y14" s="65">
        <f t="shared" si="23"/>
        <v>46811.486773794801</v>
      </c>
      <c r="Z14" s="65">
        <f t="shared" si="24"/>
        <v>79330.757900024706</v>
      </c>
      <c r="AA14" s="65">
        <f t="shared" si="13"/>
        <v>42982.975891223723</v>
      </c>
      <c r="AB14" s="92"/>
    </row>
    <row r="15" spans="1:29" ht="15" customHeight="1" x14ac:dyDescent="0.55000000000000004">
      <c r="A15" s="358" t="s">
        <v>118</v>
      </c>
      <c r="B15" s="358" t="s">
        <v>119</v>
      </c>
      <c r="C15" s="366" t="s">
        <v>120</v>
      </c>
      <c r="D15" s="358" t="s">
        <v>121</v>
      </c>
      <c r="E15" s="356" t="s">
        <v>122</v>
      </c>
      <c r="F15" s="358" t="s">
        <v>123</v>
      </c>
      <c r="G15" s="61" t="s">
        <v>101</v>
      </c>
      <c r="H15" s="66">
        <v>815061</v>
      </c>
      <c r="I15" s="66">
        <v>960251</v>
      </c>
      <c r="J15" s="66">
        <v>1211352</v>
      </c>
      <c r="K15" s="66">
        <v>1391583</v>
      </c>
      <c r="L15" s="66">
        <v>1670873</v>
      </c>
      <c r="M15" s="66">
        <v>1200348</v>
      </c>
      <c r="N15" s="61" t="s">
        <v>101</v>
      </c>
      <c r="O15" s="66">
        <f t="shared" si="15"/>
        <v>32705.707926452407</v>
      </c>
      <c r="P15" s="66">
        <f t="shared" si="16"/>
        <v>38531.703445611864</v>
      </c>
      <c r="Q15" s="66">
        <f t="shared" si="17"/>
        <v>48607.557849196543</v>
      </c>
      <c r="R15" s="66">
        <f t="shared" si="18"/>
        <v>55839.633050061799</v>
      </c>
      <c r="S15" s="66">
        <f t="shared" si="19"/>
        <v>67046.618989493203</v>
      </c>
      <c r="T15" s="66">
        <f t="shared" si="14"/>
        <v>48607.557849196543</v>
      </c>
      <c r="U15" s="61" t="s">
        <v>101</v>
      </c>
      <c r="V15" s="66">
        <f t="shared" si="20"/>
        <v>34066.26537619283</v>
      </c>
      <c r="W15" s="66">
        <f t="shared" si="21"/>
        <v>40134.622308949314</v>
      </c>
      <c r="X15" s="66">
        <f t="shared" si="22"/>
        <v>50629.632255723118</v>
      </c>
      <c r="Y15" s="66">
        <f t="shared" si="23"/>
        <v>58162.561784944366</v>
      </c>
      <c r="Z15" s="66">
        <f t="shared" si="24"/>
        <v>69835.758339456122</v>
      </c>
      <c r="AA15" s="66">
        <f t="shared" si="13"/>
        <v>50629.632255723118</v>
      </c>
      <c r="AB15" s="86">
        <v>3.8800000000000001E-2</v>
      </c>
      <c r="AC15" s="193" t="s">
        <v>124</v>
      </c>
    </row>
    <row r="16" spans="1:29" ht="15.75" customHeight="1" x14ac:dyDescent="0.55000000000000004">
      <c r="A16" s="359"/>
      <c r="B16" s="359"/>
      <c r="C16" s="367"/>
      <c r="D16" s="359"/>
      <c r="E16" s="356"/>
      <c r="F16" s="359"/>
      <c r="G16" s="61" t="s">
        <v>102</v>
      </c>
      <c r="H16" s="66">
        <v>658762</v>
      </c>
      <c r="I16" s="66">
        <v>884411</v>
      </c>
      <c r="J16" s="66">
        <v>1065812</v>
      </c>
      <c r="K16" s="66">
        <v>1111487</v>
      </c>
      <c r="L16" s="66">
        <v>1386043</v>
      </c>
      <c r="M16" s="66">
        <v>1013324</v>
      </c>
      <c r="N16" s="61" t="s">
        <v>102</v>
      </c>
      <c r="O16" s="66">
        <f t="shared" ref="O16:O33" si="25">((H16*$AB$15)+H16)/$AB$17</f>
        <v>26433.944901112482</v>
      </c>
      <c r="P16" s="66">
        <f t="shared" ref="P16:P33" si="26">((I16*$AB$15)+I16)/$AB$17</f>
        <v>35488.49454573547</v>
      </c>
      <c r="Q16" s="66">
        <f t="shared" ref="Q16:Q33" si="27">((J16*$AB$15)+J16)/$AB$17</f>
        <v>42767.517985166873</v>
      </c>
      <c r="R16" s="66">
        <f t="shared" ref="R16:R33" si="28">((K16*$AB$15)+K16)/$AB$17</f>
        <v>44600.304990729295</v>
      </c>
      <c r="S16" s="66">
        <f t="shared" ref="S16:S33" si="29">((L16*$AB$15)+L16)/$AB$17</f>
        <v>55617.331134116183</v>
      </c>
      <c r="T16" s="66">
        <f t="shared" si="14"/>
        <v>42767.517985166873</v>
      </c>
      <c r="U16" s="61" t="s">
        <v>102</v>
      </c>
      <c r="V16" s="66">
        <f t="shared" ref="V16:V33" si="30">((O16*$AB$16)+O16)</f>
        <v>27533.59700899876</v>
      </c>
      <c r="W16" s="66">
        <f t="shared" ref="W16:W33" si="31">((P16*$AB$16)+P16)</f>
        <v>36964.815918838067</v>
      </c>
      <c r="X16" s="66">
        <f t="shared" ref="X16:X33" si="32">((Q16*$AB$16)+Q16)</f>
        <v>44546.646733349815</v>
      </c>
      <c r="Y16" s="66">
        <f t="shared" ref="Y16:Y33" si="33">((R16*$AB$16)+R16)</f>
        <v>46455.677678343636</v>
      </c>
      <c r="Z16" s="66">
        <f t="shared" ref="Z16:Z33" si="34">((S16*$AB$16)+S16)</f>
        <v>57931.012109295414</v>
      </c>
      <c r="AA16" s="66">
        <f t="shared" si="13"/>
        <v>44546.646733349815</v>
      </c>
      <c r="AB16" s="86">
        <v>4.1599999999999998E-2</v>
      </c>
      <c r="AC16" t="s">
        <v>125</v>
      </c>
    </row>
    <row r="17" spans="1:29" ht="15.75" customHeight="1" x14ac:dyDescent="0.55000000000000004">
      <c r="A17" s="359"/>
      <c r="B17" s="359"/>
      <c r="C17" s="367"/>
      <c r="D17" s="359"/>
      <c r="E17" s="356"/>
      <c r="F17" s="360"/>
      <c r="G17" s="61" t="s">
        <v>104</v>
      </c>
      <c r="H17" s="66">
        <v>457498</v>
      </c>
      <c r="I17" s="66">
        <v>692264</v>
      </c>
      <c r="J17" s="66">
        <v>806580</v>
      </c>
      <c r="K17" s="66">
        <v>1047138</v>
      </c>
      <c r="L17" s="66">
        <v>1101212</v>
      </c>
      <c r="M17" s="66">
        <v>826299</v>
      </c>
      <c r="N17" s="61" t="s">
        <v>104</v>
      </c>
      <c r="O17" s="66">
        <f t="shared" si="25"/>
        <v>18357.884826946847</v>
      </c>
      <c r="P17" s="66">
        <f t="shared" si="26"/>
        <v>27778.269592088996</v>
      </c>
      <c r="Q17" s="66">
        <f t="shared" si="27"/>
        <v>32365.393386897402</v>
      </c>
      <c r="R17" s="66">
        <f t="shared" si="28"/>
        <v>42018.191996291716</v>
      </c>
      <c r="S17" s="66">
        <f t="shared" si="29"/>
        <v>44188.003152039557</v>
      </c>
      <c r="T17" s="66">
        <f t="shared" si="14"/>
        <v>32365.393386897402</v>
      </c>
      <c r="U17" s="61" t="s">
        <v>104</v>
      </c>
      <c r="V17" s="66">
        <f t="shared" si="30"/>
        <v>19121.572835747837</v>
      </c>
      <c r="W17" s="66">
        <f t="shared" si="31"/>
        <v>28933.8456071199</v>
      </c>
      <c r="X17" s="66">
        <f t="shared" si="32"/>
        <v>33711.793751792335</v>
      </c>
      <c r="Y17" s="66">
        <f t="shared" si="33"/>
        <v>43766.148783337449</v>
      </c>
      <c r="Z17" s="66">
        <f t="shared" si="34"/>
        <v>46026.224083164401</v>
      </c>
      <c r="AA17" s="66">
        <f t="shared" si="13"/>
        <v>33711.793751792335</v>
      </c>
      <c r="AB17" s="180">
        <v>25.888000000000002</v>
      </c>
      <c r="AC17" t="s">
        <v>126</v>
      </c>
    </row>
    <row r="18" spans="1:29" ht="15.75" customHeight="1" x14ac:dyDescent="0.55000000000000004">
      <c r="A18" s="359"/>
      <c r="B18" s="359"/>
      <c r="C18" s="367"/>
      <c r="D18" s="359"/>
      <c r="E18" s="358" t="s">
        <v>127</v>
      </c>
      <c r="F18" s="358" t="s">
        <v>128</v>
      </c>
      <c r="G18" s="61" t="s">
        <v>101</v>
      </c>
      <c r="H18" s="66">
        <v>1065812</v>
      </c>
      <c r="I18" s="66">
        <v>1215095</v>
      </c>
      <c r="J18" s="66">
        <v>1243828</v>
      </c>
      <c r="K18" s="66">
        <v>1312275</v>
      </c>
      <c r="L18" s="66">
        <v>1595668</v>
      </c>
      <c r="M18" s="66">
        <v>1281624</v>
      </c>
      <c r="N18" s="61" t="s">
        <v>101</v>
      </c>
      <c r="O18" s="66">
        <f t="shared" si="25"/>
        <v>42767.517985166873</v>
      </c>
      <c r="P18" s="66">
        <f t="shared" si="26"/>
        <v>48757.752085908527</v>
      </c>
      <c r="Q18" s="66">
        <f t="shared" si="27"/>
        <v>49910.712546353527</v>
      </c>
      <c r="R18" s="66">
        <f t="shared" si="28"/>
        <v>52657.264755871445</v>
      </c>
      <c r="S18" s="66">
        <f t="shared" si="29"/>
        <v>64028.890543881331</v>
      </c>
      <c r="T18" s="66">
        <f t="shared" si="14"/>
        <v>49910.712546353527</v>
      </c>
      <c r="U18" s="61" t="s">
        <v>101</v>
      </c>
      <c r="V18" s="66">
        <f t="shared" si="30"/>
        <v>44546.646733349815</v>
      </c>
      <c r="W18" s="66">
        <f t="shared" si="31"/>
        <v>50786.074572682322</v>
      </c>
      <c r="X18" s="66">
        <f t="shared" si="32"/>
        <v>51986.998188281832</v>
      </c>
      <c r="Y18" s="66">
        <f t="shared" si="33"/>
        <v>54847.806969715697</v>
      </c>
      <c r="Z18" s="66">
        <f t="shared" si="34"/>
        <v>66692.492390506799</v>
      </c>
      <c r="AA18" s="66">
        <f t="shared" si="13"/>
        <v>51986.998188281832</v>
      </c>
      <c r="AB18" s="180"/>
    </row>
    <row r="19" spans="1:29" ht="14.4" x14ac:dyDescent="0.55000000000000004">
      <c r="A19" s="359"/>
      <c r="B19" s="359"/>
      <c r="C19" s="367"/>
      <c r="D19" s="359"/>
      <c r="E19" s="359"/>
      <c r="F19" s="359"/>
      <c r="G19" s="61" t="s">
        <v>102</v>
      </c>
      <c r="H19" s="66">
        <v>876510</v>
      </c>
      <c r="I19" s="66">
        <v>1046596</v>
      </c>
      <c r="J19" s="66">
        <v>1068106</v>
      </c>
      <c r="K19" s="66">
        <v>1177590</v>
      </c>
      <c r="L19" s="66">
        <v>1285805</v>
      </c>
      <c r="M19" s="66">
        <v>1092006</v>
      </c>
      <c r="N19" s="61" t="s">
        <v>102</v>
      </c>
      <c r="O19" s="66">
        <f t="shared" si="25"/>
        <v>35171.453491965389</v>
      </c>
      <c r="P19" s="66">
        <f t="shared" si="26"/>
        <v>41996.443325092703</v>
      </c>
      <c r="Q19" s="66">
        <f t="shared" si="27"/>
        <v>42859.568634116185</v>
      </c>
      <c r="R19" s="66">
        <f t="shared" si="28"/>
        <v>47252.800216316442</v>
      </c>
      <c r="S19" s="66">
        <f t="shared" si="29"/>
        <v>51595.11101668726</v>
      </c>
      <c r="T19" s="66">
        <f t="shared" si="14"/>
        <v>42859.568634116185</v>
      </c>
      <c r="U19" s="61" t="s">
        <v>102</v>
      </c>
      <c r="V19" s="66">
        <f t="shared" si="30"/>
        <v>36634.585957231146</v>
      </c>
      <c r="W19" s="66">
        <f t="shared" si="31"/>
        <v>43743.495367416559</v>
      </c>
      <c r="X19" s="66">
        <f t="shared" si="32"/>
        <v>44642.526689295417</v>
      </c>
      <c r="Y19" s="66">
        <f t="shared" si="33"/>
        <v>49218.516705315204</v>
      </c>
      <c r="Z19" s="66">
        <f t="shared" si="34"/>
        <v>53741.467634981447</v>
      </c>
      <c r="AA19" s="66">
        <f t="shared" si="13"/>
        <v>44642.526689295417</v>
      </c>
      <c r="AB19" s="180"/>
    </row>
    <row r="20" spans="1:29" ht="14.4" x14ac:dyDescent="0.55000000000000004">
      <c r="A20" s="359"/>
      <c r="B20" s="359"/>
      <c r="C20" s="367"/>
      <c r="D20" s="359"/>
      <c r="E20" s="360"/>
      <c r="F20" s="360"/>
      <c r="G20" s="61" t="s">
        <v>104</v>
      </c>
      <c r="H20" s="66">
        <v>545311</v>
      </c>
      <c r="I20" s="66">
        <v>816706</v>
      </c>
      <c r="J20" s="66">
        <v>909534</v>
      </c>
      <c r="K20" s="66">
        <v>1043345</v>
      </c>
      <c r="L20" s="66">
        <v>1176239</v>
      </c>
      <c r="M20" s="66">
        <v>902388</v>
      </c>
      <c r="N20" s="61" t="s">
        <v>104</v>
      </c>
      <c r="O20" s="66">
        <f t="shared" si="25"/>
        <v>21881.530701483312</v>
      </c>
      <c r="P20" s="66">
        <f t="shared" si="26"/>
        <v>32771.716347342393</v>
      </c>
      <c r="Q20" s="66">
        <f t="shared" si="27"/>
        <v>36496.597620519155</v>
      </c>
      <c r="R20" s="66">
        <f t="shared" si="28"/>
        <v>41865.991424598273</v>
      </c>
      <c r="S20" s="66">
        <f t="shared" si="29"/>
        <v>47198.589045117427</v>
      </c>
      <c r="T20" s="66">
        <f t="shared" si="14"/>
        <v>36496.597620519155</v>
      </c>
      <c r="U20" s="61" t="s">
        <v>104</v>
      </c>
      <c r="V20" s="66">
        <f t="shared" si="30"/>
        <v>22791.802378665019</v>
      </c>
      <c r="W20" s="66">
        <f t="shared" si="31"/>
        <v>34135.019747391838</v>
      </c>
      <c r="X20" s="66">
        <f t="shared" si="32"/>
        <v>38014.856081532751</v>
      </c>
      <c r="Y20" s="66">
        <f t="shared" si="33"/>
        <v>43607.616667861563</v>
      </c>
      <c r="Z20" s="66">
        <f t="shared" si="34"/>
        <v>49162.050349394311</v>
      </c>
      <c r="AA20" s="66">
        <f t="shared" si="13"/>
        <v>38014.856081532751</v>
      </c>
      <c r="AB20" s="180"/>
    </row>
    <row r="21" spans="1:29" ht="14.4" x14ac:dyDescent="0.55000000000000004">
      <c r="A21" s="359"/>
      <c r="B21" s="359"/>
      <c r="C21" s="367"/>
      <c r="D21" s="359"/>
      <c r="E21" s="358" t="s">
        <v>129</v>
      </c>
      <c r="F21" s="358" t="s">
        <v>117</v>
      </c>
      <c r="G21" s="61" t="s">
        <v>101</v>
      </c>
      <c r="H21" s="66">
        <v>857087</v>
      </c>
      <c r="I21" s="66">
        <v>1111499</v>
      </c>
      <c r="J21" s="66">
        <v>1274246</v>
      </c>
      <c r="K21" s="66">
        <v>1584249</v>
      </c>
      <c r="L21" s="66">
        <v>2126740</v>
      </c>
      <c r="M21" s="66">
        <v>1367979</v>
      </c>
      <c r="N21" s="61" t="s">
        <v>101</v>
      </c>
      <c r="O21" s="66">
        <f t="shared" si="25"/>
        <v>34392.07260506798</v>
      </c>
      <c r="P21" s="66">
        <f t="shared" si="26"/>
        <v>44600.786511124839</v>
      </c>
      <c r="Q21" s="66">
        <f t="shared" si="27"/>
        <v>51131.286495673667</v>
      </c>
      <c r="R21" s="66">
        <f t="shared" si="28"/>
        <v>63570.683760815817</v>
      </c>
      <c r="S21" s="66">
        <f t="shared" si="29"/>
        <v>85339.057169344873</v>
      </c>
      <c r="T21" s="66">
        <f t="shared" si="14"/>
        <v>51131.286495673667</v>
      </c>
      <c r="U21" s="61" t="s">
        <v>101</v>
      </c>
      <c r="V21" s="66">
        <f t="shared" si="30"/>
        <v>35822.782825438808</v>
      </c>
      <c r="W21" s="66">
        <f t="shared" si="31"/>
        <v>46456.179229987632</v>
      </c>
      <c r="X21" s="66">
        <f t="shared" si="32"/>
        <v>53258.348013893694</v>
      </c>
      <c r="Y21" s="66">
        <f t="shared" si="33"/>
        <v>66215.224205265753</v>
      </c>
      <c r="Z21" s="66">
        <f t="shared" si="34"/>
        <v>88889.161947589615</v>
      </c>
      <c r="AA21" s="66">
        <f t="shared" si="13"/>
        <v>53258.348013893694</v>
      </c>
      <c r="AB21" s="180"/>
    </row>
    <row r="22" spans="1:29" ht="14.4" x14ac:dyDescent="0.55000000000000004">
      <c r="A22" s="359"/>
      <c r="B22" s="359"/>
      <c r="C22" s="367"/>
      <c r="D22" s="359"/>
      <c r="E22" s="359"/>
      <c r="F22" s="359"/>
      <c r="G22" s="61" t="s">
        <v>102</v>
      </c>
      <c r="H22" s="66">
        <v>680033</v>
      </c>
      <c r="I22" s="66">
        <v>964818</v>
      </c>
      <c r="J22" s="66">
        <v>1057479</v>
      </c>
      <c r="K22" s="66">
        <v>1260085</v>
      </c>
      <c r="L22" s="66">
        <v>1452336</v>
      </c>
      <c r="M22" s="66">
        <v>1109861</v>
      </c>
      <c r="N22" s="61" t="s">
        <v>102</v>
      </c>
      <c r="O22" s="66">
        <f t="shared" si="25"/>
        <v>27287.479928924597</v>
      </c>
      <c r="P22" s="66">
        <f t="shared" si="26"/>
        <v>38714.962082818289</v>
      </c>
      <c r="Q22" s="66">
        <f t="shared" si="27"/>
        <v>42433.14219715698</v>
      </c>
      <c r="R22" s="66">
        <f t="shared" si="28"/>
        <v>50563.052302224962</v>
      </c>
      <c r="S22" s="66">
        <f t="shared" si="29"/>
        <v>58277.450432632875</v>
      </c>
      <c r="T22" s="66">
        <f t="shared" si="14"/>
        <v>42433.14219715698</v>
      </c>
      <c r="U22" s="61" t="s">
        <v>102</v>
      </c>
      <c r="V22" s="66">
        <f t="shared" si="30"/>
        <v>28422.63909396786</v>
      </c>
      <c r="W22" s="66">
        <f t="shared" si="31"/>
        <v>40325.504505463527</v>
      </c>
      <c r="X22" s="66">
        <f t="shared" si="32"/>
        <v>44198.36091255871</v>
      </c>
      <c r="Y22" s="66">
        <f t="shared" si="33"/>
        <v>52666.475277997517</v>
      </c>
      <c r="Z22" s="66">
        <f t="shared" si="34"/>
        <v>60701.792370630399</v>
      </c>
      <c r="AA22" s="66">
        <f t="shared" si="13"/>
        <v>44198.36091255871</v>
      </c>
      <c r="AB22" s="180"/>
    </row>
    <row r="23" spans="1:29" ht="14.4" x14ac:dyDescent="0.55000000000000004">
      <c r="A23" s="359"/>
      <c r="B23" s="359"/>
      <c r="C23" s="367"/>
      <c r="D23" s="359"/>
      <c r="E23" s="360"/>
      <c r="F23" s="360"/>
      <c r="G23" s="61" t="s">
        <v>104</v>
      </c>
      <c r="H23" s="66">
        <v>502979</v>
      </c>
      <c r="I23" s="66">
        <v>716872</v>
      </c>
      <c r="J23" s="66">
        <v>807240</v>
      </c>
      <c r="K23" s="66">
        <v>996061</v>
      </c>
      <c r="L23" s="66">
        <v>1243740</v>
      </c>
      <c r="M23" s="66">
        <v>851744</v>
      </c>
      <c r="N23" s="61" t="s">
        <v>104</v>
      </c>
      <c r="O23" s="66">
        <f t="shared" si="25"/>
        <v>20182.887252781209</v>
      </c>
      <c r="P23" s="66">
        <f t="shared" si="26"/>
        <v>28765.707416563659</v>
      </c>
      <c r="Q23" s="66">
        <f t="shared" si="27"/>
        <v>32391.877008652657</v>
      </c>
      <c r="R23" s="66">
        <f t="shared" si="28"/>
        <v>39968.640559332503</v>
      </c>
      <c r="S23" s="66">
        <f t="shared" si="29"/>
        <v>49907.181396786153</v>
      </c>
      <c r="T23" s="66">
        <f t="shared" si="14"/>
        <v>32391.877008652657</v>
      </c>
      <c r="U23" s="61" t="s">
        <v>104</v>
      </c>
      <c r="V23" s="66">
        <f t="shared" si="30"/>
        <v>21022.495362496906</v>
      </c>
      <c r="W23" s="66">
        <f t="shared" si="31"/>
        <v>29962.360845092706</v>
      </c>
      <c r="X23" s="66">
        <f t="shared" si="32"/>
        <v>33739.379092212606</v>
      </c>
      <c r="Y23" s="66">
        <f t="shared" si="33"/>
        <v>41631.336006600737</v>
      </c>
      <c r="Z23" s="66">
        <f t="shared" si="34"/>
        <v>51983.320142892459</v>
      </c>
      <c r="AA23" s="66">
        <f t="shared" si="13"/>
        <v>33739.379092212606</v>
      </c>
      <c r="AB23" s="180"/>
    </row>
    <row r="24" spans="1:29" ht="14.4" x14ac:dyDescent="0.55000000000000004">
      <c r="A24" s="359"/>
      <c r="B24" s="359"/>
      <c r="C24" s="367"/>
      <c r="D24" s="359"/>
      <c r="E24" s="358" t="s">
        <v>130</v>
      </c>
      <c r="F24" s="358" t="s">
        <v>131</v>
      </c>
      <c r="G24" s="61" t="s">
        <v>101</v>
      </c>
      <c r="H24" s="66">
        <v>857087</v>
      </c>
      <c r="I24" s="66">
        <v>1136760</v>
      </c>
      <c r="J24" s="66">
        <v>1237256</v>
      </c>
      <c r="K24" s="66">
        <v>1299991</v>
      </c>
      <c r="L24" s="66">
        <v>1595668</v>
      </c>
      <c r="M24" s="66">
        <v>1213294</v>
      </c>
      <c r="N24" s="61" t="s">
        <v>101</v>
      </c>
      <c r="O24" s="66">
        <f t="shared" si="25"/>
        <v>34392.07260506798</v>
      </c>
      <c r="P24" s="66">
        <f t="shared" si="26"/>
        <v>45614.42707045735</v>
      </c>
      <c r="Q24" s="66">
        <f t="shared" si="27"/>
        <v>49646.999876390597</v>
      </c>
      <c r="R24" s="66">
        <f t="shared" si="28"/>
        <v>52164.348377626695</v>
      </c>
      <c r="S24" s="66">
        <f t="shared" si="29"/>
        <v>64028.890543881331</v>
      </c>
      <c r="T24" s="66">
        <f t="shared" si="14"/>
        <v>49646.999876390597</v>
      </c>
      <c r="U24" s="61" t="s">
        <v>101</v>
      </c>
      <c r="V24" s="66">
        <f t="shared" si="30"/>
        <v>35822.782825438808</v>
      </c>
      <c r="W24" s="66">
        <f t="shared" si="31"/>
        <v>47511.987236588378</v>
      </c>
      <c r="X24" s="66">
        <f t="shared" si="32"/>
        <v>51712.315071248449</v>
      </c>
      <c r="Y24" s="66">
        <f t="shared" si="33"/>
        <v>54334.385270135965</v>
      </c>
      <c r="Z24" s="66">
        <f t="shared" si="34"/>
        <v>66692.492390506799</v>
      </c>
      <c r="AA24" s="66">
        <f t="shared" si="13"/>
        <v>51712.315071248449</v>
      </c>
      <c r="AB24" s="180"/>
    </row>
    <row r="25" spans="1:29" ht="14.4" x14ac:dyDescent="0.55000000000000004">
      <c r="A25" s="359"/>
      <c r="B25" s="359"/>
      <c r="C25" s="367"/>
      <c r="D25" s="359"/>
      <c r="E25" s="359"/>
      <c r="F25" s="359"/>
      <c r="G25" s="61" t="s">
        <v>102</v>
      </c>
      <c r="H25" s="66">
        <v>658762</v>
      </c>
      <c r="I25" s="66">
        <v>887053</v>
      </c>
      <c r="J25" s="66">
        <v>1053541</v>
      </c>
      <c r="K25" s="66">
        <v>1173703</v>
      </c>
      <c r="L25" s="66">
        <v>1297569</v>
      </c>
      <c r="M25" s="66">
        <v>1012638</v>
      </c>
      <c r="N25" s="61" t="s">
        <v>102</v>
      </c>
      <c r="O25" s="66">
        <f t="shared" si="25"/>
        <v>26433.944901112482</v>
      </c>
      <c r="P25" s="66">
        <f t="shared" si="26"/>
        <v>35594.509286155742</v>
      </c>
      <c r="Q25" s="66">
        <f t="shared" si="27"/>
        <v>42275.1232540173</v>
      </c>
      <c r="R25" s="66">
        <f t="shared" si="28"/>
        <v>47096.827734857849</v>
      </c>
      <c r="S25" s="66">
        <f t="shared" si="29"/>
        <v>52067.161511124847</v>
      </c>
      <c r="T25" s="66">
        <f t="shared" si="14"/>
        <v>42275.1232540173</v>
      </c>
      <c r="U25" s="61" t="s">
        <v>102</v>
      </c>
      <c r="V25" s="66">
        <f t="shared" si="30"/>
        <v>27533.59700899876</v>
      </c>
      <c r="W25" s="66">
        <f t="shared" si="31"/>
        <v>37075.240872459821</v>
      </c>
      <c r="X25" s="66">
        <f t="shared" si="32"/>
        <v>44033.76838138442</v>
      </c>
      <c r="Y25" s="66">
        <f t="shared" si="33"/>
        <v>49056.055768627935</v>
      </c>
      <c r="Z25" s="66">
        <f t="shared" si="34"/>
        <v>54233.155429987637</v>
      </c>
      <c r="AA25" s="66">
        <f t="shared" si="13"/>
        <v>44033.76838138442</v>
      </c>
      <c r="AB25" s="180"/>
    </row>
    <row r="26" spans="1:29" ht="14.4" x14ac:dyDescent="0.55000000000000004">
      <c r="A26" s="359"/>
      <c r="B26" s="359"/>
      <c r="C26" s="367"/>
      <c r="D26" s="359"/>
      <c r="E26" s="360"/>
      <c r="F26" s="360"/>
      <c r="G26" s="61" t="s">
        <v>104</v>
      </c>
      <c r="H26" s="66">
        <v>457498</v>
      </c>
      <c r="I26" s="66">
        <v>524145</v>
      </c>
      <c r="J26" s="66">
        <v>843126</v>
      </c>
      <c r="K26" s="66">
        <v>1028145</v>
      </c>
      <c r="L26" s="66">
        <v>1176239</v>
      </c>
      <c r="M26" s="66">
        <v>811983</v>
      </c>
      <c r="N26" s="61" t="s">
        <v>104</v>
      </c>
      <c r="O26" s="66">
        <f t="shared" si="25"/>
        <v>18357.884826946847</v>
      </c>
      <c r="P26" s="66">
        <f t="shared" si="26"/>
        <v>21032.208977132261</v>
      </c>
      <c r="Q26" s="66">
        <f t="shared" si="27"/>
        <v>33831.863751545112</v>
      </c>
      <c r="R26" s="66">
        <f t="shared" si="28"/>
        <v>41256.065590234859</v>
      </c>
      <c r="S26" s="66">
        <f t="shared" si="29"/>
        <v>47198.589045117427</v>
      </c>
      <c r="T26" s="66">
        <f t="shared" si="14"/>
        <v>33831.863751545112</v>
      </c>
      <c r="U26" s="61" t="s">
        <v>104</v>
      </c>
      <c r="V26" s="66">
        <f t="shared" si="30"/>
        <v>19121.572835747837</v>
      </c>
      <c r="W26" s="66">
        <f t="shared" si="31"/>
        <v>21907.148870580964</v>
      </c>
      <c r="X26" s="66">
        <f t="shared" si="32"/>
        <v>35239.269283609392</v>
      </c>
      <c r="Y26" s="66">
        <f t="shared" si="33"/>
        <v>42972.317918788627</v>
      </c>
      <c r="Z26" s="66">
        <f t="shared" si="34"/>
        <v>49162.050349394311</v>
      </c>
      <c r="AA26" s="66">
        <f t="shared" si="13"/>
        <v>35239.269283609392</v>
      </c>
      <c r="AB26" s="180"/>
    </row>
    <row r="27" spans="1:29" ht="14.4" x14ac:dyDescent="0.55000000000000004">
      <c r="A27" s="359"/>
      <c r="B27" s="359"/>
      <c r="C27" s="367"/>
      <c r="D27" s="359"/>
      <c r="E27" s="358" t="s">
        <v>132</v>
      </c>
      <c r="F27" s="358" t="s">
        <v>133</v>
      </c>
      <c r="G27" s="61" t="s">
        <v>101</v>
      </c>
      <c r="H27" s="66">
        <v>857087</v>
      </c>
      <c r="I27" s="66">
        <v>871891</v>
      </c>
      <c r="J27" s="66">
        <v>984273</v>
      </c>
      <c r="K27" s="66">
        <v>1184027</v>
      </c>
      <c r="L27" s="66">
        <v>1460946</v>
      </c>
      <c r="M27" s="66">
        <v>1071645</v>
      </c>
      <c r="N27" s="61" t="s">
        <v>101</v>
      </c>
      <c r="O27" s="66">
        <f t="shared" si="25"/>
        <v>34392.07260506798</v>
      </c>
      <c r="P27" s="66">
        <f t="shared" si="26"/>
        <v>34986.108266378244</v>
      </c>
      <c r="Q27" s="66">
        <f t="shared" si="27"/>
        <v>39495.627024103829</v>
      </c>
      <c r="R27" s="66">
        <f t="shared" si="28"/>
        <v>47511.095781829412</v>
      </c>
      <c r="S27" s="66">
        <f t="shared" si="29"/>
        <v>58622.941316440047</v>
      </c>
      <c r="T27" s="66">
        <f t="shared" si="14"/>
        <v>39495.627024103829</v>
      </c>
      <c r="U27" s="61" t="s">
        <v>101</v>
      </c>
      <c r="V27" s="66">
        <f t="shared" si="30"/>
        <v>35822.782825438808</v>
      </c>
      <c r="W27" s="66">
        <f t="shared" si="31"/>
        <v>36441.530370259577</v>
      </c>
      <c r="X27" s="66">
        <f t="shared" si="32"/>
        <v>41138.645108306548</v>
      </c>
      <c r="Y27" s="66">
        <f t="shared" si="33"/>
        <v>49487.557366353518</v>
      </c>
      <c r="Z27" s="66">
        <f t="shared" si="34"/>
        <v>61061.655675203954</v>
      </c>
      <c r="AA27" s="66">
        <f t="shared" si="13"/>
        <v>41138.645108306548</v>
      </c>
      <c r="AB27" s="180"/>
    </row>
    <row r="28" spans="1:29" ht="14.4" x14ac:dyDescent="0.55000000000000004">
      <c r="A28" s="359"/>
      <c r="B28" s="359"/>
      <c r="C28" s="367"/>
      <c r="D28" s="359"/>
      <c r="E28" s="359"/>
      <c r="F28" s="359"/>
      <c r="G28" s="61" t="s">
        <v>102</v>
      </c>
      <c r="H28" s="66">
        <v>680033</v>
      </c>
      <c r="I28" s="66">
        <v>709429</v>
      </c>
      <c r="J28" s="66">
        <v>814509</v>
      </c>
      <c r="K28" s="66">
        <v>987744</v>
      </c>
      <c r="L28" s="66">
        <v>1221604</v>
      </c>
      <c r="M28" s="66">
        <v>882664</v>
      </c>
      <c r="N28" s="61" t="s">
        <v>102</v>
      </c>
      <c r="O28" s="66">
        <f t="shared" si="25"/>
        <v>27287.479928924597</v>
      </c>
      <c r="P28" s="66">
        <f t="shared" si="26"/>
        <v>28467.044391223732</v>
      </c>
      <c r="Q28" s="66">
        <f t="shared" si="27"/>
        <v>32683.557988257107</v>
      </c>
      <c r="R28" s="66">
        <f t="shared" si="28"/>
        <v>39634.906798516684</v>
      </c>
      <c r="S28" s="66">
        <f t="shared" si="29"/>
        <v>49018.936773794805</v>
      </c>
      <c r="T28" s="66">
        <f t="shared" si="14"/>
        <v>32683.557988257107</v>
      </c>
      <c r="U28" s="61" t="s">
        <v>102</v>
      </c>
      <c r="V28" s="66">
        <f t="shared" si="30"/>
        <v>28422.63909396786</v>
      </c>
      <c r="W28" s="66">
        <f t="shared" si="31"/>
        <v>29651.273437898639</v>
      </c>
      <c r="X28" s="66">
        <f t="shared" si="32"/>
        <v>34043.194000568605</v>
      </c>
      <c r="Y28" s="66">
        <f t="shared" si="33"/>
        <v>41283.718921334977</v>
      </c>
      <c r="Z28" s="66">
        <f t="shared" si="34"/>
        <v>51058.124543584672</v>
      </c>
      <c r="AA28" s="66">
        <f t="shared" si="13"/>
        <v>34043.194000568605</v>
      </c>
      <c r="AB28" s="180"/>
    </row>
    <row r="29" spans="1:29" ht="14.4" x14ac:dyDescent="0.55000000000000004">
      <c r="A29" s="359"/>
      <c r="B29" s="359"/>
      <c r="C29" s="367"/>
      <c r="D29" s="359"/>
      <c r="E29" s="360"/>
      <c r="F29" s="360"/>
      <c r="G29" s="61" t="s">
        <v>104</v>
      </c>
      <c r="H29" s="66">
        <v>502979</v>
      </c>
      <c r="I29" s="66">
        <v>546967</v>
      </c>
      <c r="J29" s="66">
        <v>644745</v>
      </c>
      <c r="K29" s="66">
        <v>791460</v>
      </c>
      <c r="L29" s="66">
        <v>982262</v>
      </c>
      <c r="M29" s="66">
        <v>693683</v>
      </c>
      <c r="N29" s="61" t="s">
        <v>104</v>
      </c>
      <c r="O29" s="66">
        <f t="shared" si="25"/>
        <v>20182.887252781209</v>
      </c>
      <c r="P29" s="66">
        <f t="shared" si="26"/>
        <v>21947.980516069223</v>
      </c>
      <c r="Q29" s="66">
        <f t="shared" si="27"/>
        <v>25871.488952410382</v>
      </c>
      <c r="R29" s="66">
        <f t="shared" si="28"/>
        <v>31758.677688504325</v>
      </c>
      <c r="S29" s="66">
        <f t="shared" si="29"/>
        <v>39414.932231149563</v>
      </c>
      <c r="T29" s="66">
        <f t="shared" si="14"/>
        <v>25871.488952410382</v>
      </c>
      <c r="U29" s="61" t="s">
        <v>104</v>
      </c>
      <c r="V29" s="66">
        <f t="shared" si="30"/>
        <v>21022.495362496906</v>
      </c>
      <c r="W29" s="66">
        <f t="shared" si="31"/>
        <v>22861.016505537704</v>
      </c>
      <c r="X29" s="66">
        <f t="shared" si="32"/>
        <v>26947.742892830654</v>
      </c>
      <c r="Y29" s="66">
        <f t="shared" si="33"/>
        <v>33079.838680346104</v>
      </c>
      <c r="Z29" s="66">
        <f t="shared" si="34"/>
        <v>41054.593411965383</v>
      </c>
      <c r="AA29" s="66">
        <f t="shared" si="13"/>
        <v>26947.742892830654</v>
      </c>
      <c r="AB29" s="180"/>
    </row>
    <row r="30" spans="1:29" ht="14.4" x14ac:dyDescent="0.55000000000000004">
      <c r="A30" s="359"/>
      <c r="B30" s="359"/>
      <c r="C30" s="367"/>
      <c r="D30" s="359"/>
      <c r="E30" s="358" t="s">
        <v>134</v>
      </c>
      <c r="F30" s="358" t="s">
        <v>135</v>
      </c>
      <c r="G30" s="61" t="s">
        <v>101</v>
      </c>
      <c r="H30" s="66">
        <v>857087</v>
      </c>
      <c r="I30" s="66">
        <v>1162995</v>
      </c>
      <c r="J30" s="66">
        <v>1460946</v>
      </c>
      <c r="K30" s="66">
        <v>1555867</v>
      </c>
      <c r="L30" s="66">
        <v>2100460</v>
      </c>
      <c r="M30" s="66">
        <v>1408031</v>
      </c>
      <c r="N30" s="61" t="s">
        <v>101</v>
      </c>
      <c r="O30" s="66">
        <f t="shared" si="25"/>
        <v>34392.07260506798</v>
      </c>
      <c r="P30" s="66">
        <f t="shared" si="26"/>
        <v>46667.151035228671</v>
      </c>
      <c r="Q30" s="66">
        <f t="shared" si="27"/>
        <v>58622.941316440047</v>
      </c>
      <c r="R30" s="66">
        <f t="shared" si="28"/>
        <v>62431.807771940665</v>
      </c>
      <c r="S30" s="66">
        <f t="shared" si="29"/>
        <v>84284.527503090241</v>
      </c>
      <c r="T30" s="66">
        <f t="shared" si="14"/>
        <v>58622.941316440047</v>
      </c>
      <c r="U30" s="61" t="s">
        <v>101</v>
      </c>
      <c r="V30" s="66">
        <f t="shared" si="30"/>
        <v>35822.782825438808</v>
      </c>
      <c r="W30" s="66">
        <f t="shared" si="31"/>
        <v>48608.504518294183</v>
      </c>
      <c r="X30" s="66">
        <f t="shared" si="32"/>
        <v>61061.655675203954</v>
      </c>
      <c r="Y30" s="66">
        <f t="shared" si="33"/>
        <v>65028.970975253396</v>
      </c>
      <c r="Z30" s="66">
        <f t="shared" si="34"/>
        <v>87790.763847218797</v>
      </c>
      <c r="AA30" s="66">
        <f t="shared" si="13"/>
        <v>61061.655675203954</v>
      </c>
      <c r="AB30" s="180"/>
    </row>
    <row r="31" spans="1:29" ht="14.4" x14ac:dyDescent="0.55000000000000004">
      <c r="A31" s="359"/>
      <c r="B31" s="359"/>
      <c r="C31" s="367"/>
      <c r="D31" s="359"/>
      <c r="E31" s="359"/>
      <c r="F31" s="359"/>
      <c r="G31" s="61" t="s">
        <v>102</v>
      </c>
      <c r="H31" s="66">
        <v>680033</v>
      </c>
      <c r="I31" s="66">
        <v>1025330</v>
      </c>
      <c r="J31" s="66">
        <v>1180125</v>
      </c>
      <c r="K31" s="66">
        <v>1240225</v>
      </c>
      <c r="L31" s="66">
        <v>1479152</v>
      </c>
      <c r="M31" s="66">
        <v>1124346</v>
      </c>
      <c r="N31" s="61" t="s">
        <v>102</v>
      </c>
      <c r="O31" s="66">
        <f t="shared" si="25"/>
        <v>27287.479928924597</v>
      </c>
      <c r="P31" s="66">
        <f t="shared" si="26"/>
        <v>41143.108930778733</v>
      </c>
      <c r="Q31" s="66">
        <f t="shared" si="27"/>
        <v>47354.521399876394</v>
      </c>
      <c r="R31" s="66">
        <f t="shared" si="28"/>
        <v>49766.136047589614</v>
      </c>
      <c r="S31" s="66">
        <f t="shared" si="29"/>
        <v>59353.488009888744</v>
      </c>
      <c r="T31" s="66">
        <f t="shared" si="14"/>
        <v>47354.521399876394</v>
      </c>
      <c r="U31" s="61" t="s">
        <v>102</v>
      </c>
      <c r="V31" s="66">
        <f t="shared" si="30"/>
        <v>28422.63909396786</v>
      </c>
      <c r="W31" s="66">
        <f t="shared" si="31"/>
        <v>42854.662262299127</v>
      </c>
      <c r="X31" s="66">
        <f t="shared" si="32"/>
        <v>49324.469490111253</v>
      </c>
      <c r="Y31" s="66">
        <f t="shared" si="33"/>
        <v>51836.407307169342</v>
      </c>
      <c r="Z31" s="66">
        <f t="shared" si="34"/>
        <v>61822.593111100119</v>
      </c>
      <c r="AA31" s="66">
        <f t="shared" si="13"/>
        <v>49324.469490111253</v>
      </c>
      <c r="AB31" s="180"/>
    </row>
    <row r="32" spans="1:29" ht="14.4" x14ac:dyDescent="0.55000000000000004">
      <c r="A32" s="359"/>
      <c r="B32" s="359"/>
      <c r="C32" s="367"/>
      <c r="D32" s="359"/>
      <c r="E32" s="360"/>
      <c r="F32" s="360"/>
      <c r="G32" s="61" t="s">
        <v>104</v>
      </c>
      <c r="H32" s="66">
        <v>502979</v>
      </c>
      <c r="I32" s="66">
        <v>781346</v>
      </c>
      <c r="J32" s="66">
        <v>857845</v>
      </c>
      <c r="K32" s="66">
        <v>952144</v>
      </c>
      <c r="L32" s="66">
        <v>1056820</v>
      </c>
      <c r="M32" s="66">
        <v>840660</v>
      </c>
      <c r="N32" s="61" t="s">
        <v>104</v>
      </c>
      <c r="O32" s="66">
        <f t="shared" si="25"/>
        <v>20182.887252781209</v>
      </c>
      <c r="P32" s="66">
        <f t="shared" si="26"/>
        <v>31352.836248454878</v>
      </c>
      <c r="Q32" s="66">
        <f t="shared" si="27"/>
        <v>34422.488643386896</v>
      </c>
      <c r="R32" s="66">
        <f t="shared" si="28"/>
        <v>38206.396291718171</v>
      </c>
      <c r="S32" s="66">
        <f t="shared" si="29"/>
        <v>42406.698702101356</v>
      </c>
      <c r="T32" s="66">
        <f t="shared" si="14"/>
        <v>34422.488643386896</v>
      </c>
      <c r="U32" s="61" t="s">
        <v>104</v>
      </c>
      <c r="V32" s="66">
        <f t="shared" si="30"/>
        <v>21022.495362496906</v>
      </c>
      <c r="W32" s="66">
        <f t="shared" si="31"/>
        <v>32657.1142363906</v>
      </c>
      <c r="X32" s="66">
        <f t="shared" si="32"/>
        <v>35854.464170951789</v>
      </c>
      <c r="Y32" s="66">
        <f t="shared" si="33"/>
        <v>39795.782377453645</v>
      </c>
      <c r="Z32" s="66">
        <f t="shared" si="34"/>
        <v>44170.817368108772</v>
      </c>
      <c r="AA32" s="66">
        <f t="shared" si="13"/>
        <v>35854.464170951789</v>
      </c>
      <c r="AB32" s="180"/>
    </row>
    <row r="33" spans="1:28" ht="15" customHeight="1" x14ac:dyDescent="0.55000000000000004">
      <c r="A33" s="382" t="s">
        <v>136</v>
      </c>
      <c r="B33" s="382" t="s">
        <v>137</v>
      </c>
      <c r="C33" s="367"/>
      <c r="D33" s="382" t="s">
        <v>138</v>
      </c>
      <c r="E33" s="357" t="s">
        <v>139</v>
      </c>
      <c r="F33" s="382" t="s">
        <v>140</v>
      </c>
      <c r="G33" s="62" t="s">
        <v>101</v>
      </c>
      <c r="H33" s="67">
        <v>431487</v>
      </c>
      <c r="I33" s="67">
        <v>820593</v>
      </c>
      <c r="J33" s="67">
        <v>859600</v>
      </c>
      <c r="K33" s="67">
        <v>1144676</v>
      </c>
      <c r="L33" s="67">
        <v>1946078</v>
      </c>
      <c r="M33" s="67">
        <v>974641</v>
      </c>
      <c r="N33" s="62" t="s">
        <v>101</v>
      </c>
      <c r="O33" s="67">
        <f t="shared" si="25"/>
        <v>17314.149242892458</v>
      </c>
      <c r="P33" s="67">
        <f t="shared" si="26"/>
        <v>32927.688828800987</v>
      </c>
      <c r="Q33" s="67">
        <f t="shared" si="27"/>
        <v>34492.911001236091</v>
      </c>
      <c r="R33" s="67">
        <f t="shared" si="28"/>
        <v>45932.070024721877</v>
      </c>
      <c r="S33" s="67">
        <f t="shared" si="29"/>
        <v>78089.687360939424</v>
      </c>
      <c r="T33" s="67">
        <f t="shared" si="14"/>
        <v>34492.911001236091</v>
      </c>
      <c r="U33" s="62" t="s">
        <v>101</v>
      </c>
      <c r="V33" s="67">
        <f t="shared" si="30"/>
        <v>18034.417851396785</v>
      </c>
      <c r="W33" s="67">
        <f t="shared" si="31"/>
        <v>34297.480684079106</v>
      </c>
      <c r="X33" s="67">
        <f t="shared" si="32"/>
        <v>35927.81609888751</v>
      </c>
      <c r="Y33" s="67">
        <f t="shared" si="33"/>
        <v>47842.844137750304</v>
      </c>
      <c r="Z33" s="67">
        <f t="shared" si="34"/>
        <v>81338.218355154502</v>
      </c>
      <c r="AA33" s="67">
        <f t="shared" si="13"/>
        <v>35927.81609888751</v>
      </c>
    </row>
    <row r="34" spans="1:28" ht="14.4" x14ac:dyDescent="0.55000000000000004">
      <c r="A34" s="383"/>
      <c r="B34" s="383"/>
      <c r="C34" s="367"/>
      <c r="D34" s="383"/>
      <c r="E34" s="357"/>
      <c r="F34" s="383"/>
      <c r="G34" s="62" t="s">
        <v>102</v>
      </c>
      <c r="H34" s="67">
        <v>414767</v>
      </c>
      <c r="I34" s="67">
        <v>675902</v>
      </c>
      <c r="J34" s="67">
        <v>784178</v>
      </c>
      <c r="K34" s="67">
        <v>912905</v>
      </c>
      <c r="L34" s="67">
        <v>1622087</v>
      </c>
      <c r="M34" s="67">
        <v>823932</v>
      </c>
      <c r="N34" s="62" t="s">
        <v>102</v>
      </c>
      <c r="O34" s="67">
        <f t="shared" ref="O34:O53" si="35">((H34*$AB$15)+H34)/$AB$17</f>
        <v>16643.230825092705</v>
      </c>
      <c r="P34" s="67">
        <f t="shared" ref="P34:P53" si="36">((I34*$AB$15)+I34)/$AB$17</f>
        <v>27121.716532756487</v>
      </c>
      <c r="Q34" s="67">
        <f t="shared" ref="Q34:Q53" si="37">((J34*$AB$15)+J34)/$AB$17</f>
        <v>31466.475061804696</v>
      </c>
      <c r="R34" s="67">
        <f t="shared" ref="R34:R53" si="38">((K34*$AB$15)+K34)/$AB$17</f>
        <v>36631.864724969098</v>
      </c>
      <c r="S34" s="67">
        <f t="shared" ref="S34:S53" si="39">((L34*$AB$15)+L34)/$AB$17</f>
        <v>65088.997821384422</v>
      </c>
      <c r="T34" s="67">
        <f t="shared" si="14"/>
        <v>31466.475061804696</v>
      </c>
      <c r="U34" s="62" t="s">
        <v>102</v>
      </c>
      <c r="V34" s="67">
        <f t="shared" ref="V34:V53" si="40">((O34*$AB$16)+O34)</f>
        <v>17335.589227416564</v>
      </c>
      <c r="W34" s="67">
        <f t="shared" ref="W34:W53" si="41">((P34*$AB$16)+P34)</f>
        <v>28249.979940519159</v>
      </c>
      <c r="X34" s="67">
        <f t="shared" ref="X34:X53" si="42">((Q34*$AB$16)+Q34)</f>
        <v>32775.480424375768</v>
      </c>
      <c r="Y34" s="67">
        <f t="shared" ref="Y34:Y53" si="43">((R34*$AB$16)+R34)</f>
        <v>38155.750297527811</v>
      </c>
      <c r="Z34" s="67">
        <f t="shared" ref="Z34:Z53" si="44">((S34*$AB$16)+S34)</f>
        <v>67796.700130754019</v>
      </c>
      <c r="AA34" s="67">
        <f t="shared" si="13"/>
        <v>32775.480424375768</v>
      </c>
    </row>
    <row r="35" spans="1:28" ht="14.4" x14ac:dyDescent="0.55000000000000004">
      <c r="A35" s="383"/>
      <c r="B35" s="383"/>
      <c r="C35" s="367"/>
      <c r="D35" s="383"/>
      <c r="E35" s="357"/>
      <c r="F35" s="384"/>
      <c r="G35" s="62" t="s">
        <v>104</v>
      </c>
      <c r="H35" s="67">
        <v>398046</v>
      </c>
      <c r="I35" s="67">
        <v>544206</v>
      </c>
      <c r="J35" s="67">
        <v>605500</v>
      </c>
      <c r="K35" s="67">
        <v>690891</v>
      </c>
      <c r="L35" s="67">
        <v>1374707</v>
      </c>
      <c r="M35" s="67">
        <v>673222</v>
      </c>
      <c r="N35" s="62" t="s">
        <v>104</v>
      </c>
      <c r="O35" s="67">
        <f t="shared" si="35"/>
        <v>15972.272280593324</v>
      </c>
      <c r="P35" s="67">
        <f t="shared" si="36"/>
        <v>21837.190698393075</v>
      </c>
      <c r="Q35" s="67">
        <f t="shared" si="37"/>
        <v>24296.716625463534</v>
      </c>
      <c r="R35" s="67">
        <f t="shared" si="38"/>
        <v>27723.175633498144</v>
      </c>
      <c r="S35" s="67">
        <f t="shared" si="39"/>
        <v>55162.454867119894</v>
      </c>
      <c r="T35" s="67">
        <f t="shared" si="14"/>
        <v>24296.716625463534</v>
      </c>
      <c r="U35" s="62" t="s">
        <v>104</v>
      </c>
      <c r="V35" s="67">
        <f t="shared" si="40"/>
        <v>16636.718807466008</v>
      </c>
      <c r="W35" s="67">
        <f t="shared" si="41"/>
        <v>22745.617831446227</v>
      </c>
      <c r="X35" s="67">
        <f t="shared" si="42"/>
        <v>25307.460037082816</v>
      </c>
      <c r="Y35" s="67">
        <f t="shared" si="43"/>
        <v>28876.459739851667</v>
      </c>
      <c r="Z35" s="67">
        <f t="shared" si="44"/>
        <v>57457.212989592081</v>
      </c>
      <c r="AA35" s="67">
        <f t="shared" si="13"/>
        <v>25307.460037082816</v>
      </c>
      <c r="AB35" s="164"/>
    </row>
    <row r="36" spans="1:28" ht="14.4" x14ac:dyDescent="0.55000000000000004">
      <c r="A36" s="383"/>
      <c r="B36" s="383"/>
      <c r="C36" s="367"/>
      <c r="D36" s="383"/>
      <c r="E36" s="357" t="s">
        <v>141</v>
      </c>
      <c r="F36" s="357" t="s">
        <v>142</v>
      </c>
      <c r="G36" s="62" t="s">
        <v>101</v>
      </c>
      <c r="H36" s="67">
        <v>563226</v>
      </c>
      <c r="I36" s="67">
        <v>669647</v>
      </c>
      <c r="J36" s="67">
        <v>816237</v>
      </c>
      <c r="K36" s="67">
        <v>891313</v>
      </c>
      <c r="L36" s="67">
        <v>1519105</v>
      </c>
      <c r="M36" s="67">
        <v>875321</v>
      </c>
      <c r="N36" s="62" t="s">
        <v>101</v>
      </c>
      <c r="O36" s="67">
        <f t="shared" si="35"/>
        <v>22600.400525339923</v>
      </c>
      <c r="P36" s="67">
        <f t="shared" si="36"/>
        <v>26870.724026576019</v>
      </c>
      <c r="Q36" s="67">
        <f t="shared" si="37"/>
        <v>32752.896925216315</v>
      </c>
      <c r="R36" s="67">
        <f t="shared" si="38"/>
        <v>35765.449026576018</v>
      </c>
      <c r="S36" s="67">
        <f t="shared" si="39"/>
        <v>60956.670040173049</v>
      </c>
      <c r="T36" s="67">
        <f t="shared" si="14"/>
        <v>32752.896925216315</v>
      </c>
      <c r="U36" s="62" t="s">
        <v>101</v>
      </c>
      <c r="V36" s="67">
        <f t="shared" si="40"/>
        <v>23540.577187194063</v>
      </c>
      <c r="W36" s="67">
        <f t="shared" si="41"/>
        <v>27988.546146081582</v>
      </c>
      <c r="X36" s="67">
        <f t="shared" si="42"/>
        <v>34115.41743730531</v>
      </c>
      <c r="Y36" s="67">
        <f t="shared" si="43"/>
        <v>37253.291706081582</v>
      </c>
      <c r="Z36" s="67">
        <f t="shared" si="44"/>
        <v>63492.467513844247</v>
      </c>
      <c r="AA36" s="67">
        <f t="shared" si="13"/>
        <v>34115.41743730531</v>
      </c>
      <c r="AB36" s="164"/>
    </row>
    <row r="37" spans="1:28" ht="14.4" x14ac:dyDescent="0.55000000000000004">
      <c r="A37" s="383"/>
      <c r="B37" s="383"/>
      <c r="C37" s="367"/>
      <c r="D37" s="383"/>
      <c r="E37" s="357"/>
      <c r="F37" s="357"/>
      <c r="G37" s="62" t="s">
        <v>102</v>
      </c>
      <c r="H37" s="67">
        <v>495221</v>
      </c>
      <c r="I37" s="67">
        <v>645518</v>
      </c>
      <c r="J37" s="67">
        <v>743226</v>
      </c>
      <c r="K37" s="67">
        <v>830399</v>
      </c>
      <c r="L37" s="67">
        <v>1012737</v>
      </c>
      <c r="M37" s="67">
        <v>744469</v>
      </c>
      <c r="N37" s="62" t="s">
        <v>102</v>
      </c>
      <c r="O37" s="67">
        <f t="shared" si="35"/>
        <v>19871.584317058096</v>
      </c>
      <c r="P37" s="67">
        <f t="shared" si="36"/>
        <v>25902.506891223733</v>
      </c>
      <c r="Q37" s="67">
        <f t="shared" si="37"/>
        <v>29823.206458590852</v>
      </c>
      <c r="R37" s="67">
        <f t="shared" si="38"/>
        <v>33321.171245364647</v>
      </c>
      <c r="S37" s="67">
        <f t="shared" si="39"/>
        <v>40637.793402348572</v>
      </c>
      <c r="T37" s="67">
        <f t="shared" si="14"/>
        <v>29823.206458590852</v>
      </c>
      <c r="U37" s="62" t="s">
        <v>102</v>
      </c>
      <c r="V37" s="67">
        <f t="shared" si="40"/>
        <v>20698.242224647711</v>
      </c>
      <c r="W37" s="67">
        <f t="shared" si="41"/>
        <v>26980.05117789864</v>
      </c>
      <c r="X37" s="67">
        <f t="shared" si="42"/>
        <v>31063.85184726823</v>
      </c>
      <c r="Y37" s="67">
        <f t="shared" si="43"/>
        <v>34707.331969171813</v>
      </c>
      <c r="Z37" s="67">
        <f t="shared" si="44"/>
        <v>42328.325607886276</v>
      </c>
      <c r="AA37" s="67">
        <f t="shared" si="13"/>
        <v>31063.85184726823</v>
      </c>
      <c r="AB37" s="164"/>
    </row>
    <row r="38" spans="1:28" ht="14.4" x14ac:dyDescent="0.55000000000000004">
      <c r="A38" s="383"/>
      <c r="B38" s="383"/>
      <c r="C38" s="367"/>
      <c r="D38" s="383"/>
      <c r="E38" s="357"/>
      <c r="F38" s="357"/>
      <c r="G38" s="62" t="s">
        <v>104</v>
      </c>
      <c r="H38" s="67">
        <v>427216</v>
      </c>
      <c r="I38" s="67">
        <v>520001</v>
      </c>
      <c r="J38" s="67">
        <v>589430</v>
      </c>
      <c r="K38" s="67">
        <v>739138</v>
      </c>
      <c r="L38" s="67">
        <v>789728</v>
      </c>
      <c r="M38" s="67">
        <v>613617</v>
      </c>
      <c r="N38" s="62" t="s">
        <v>104</v>
      </c>
      <c r="O38" s="67">
        <f t="shared" si="35"/>
        <v>17142.768108776265</v>
      </c>
      <c r="P38" s="67">
        <f t="shared" si="36"/>
        <v>20865.923933868973</v>
      </c>
      <c r="Q38" s="67">
        <f t="shared" si="37"/>
        <v>23651.880562422743</v>
      </c>
      <c r="R38" s="67">
        <f t="shared" si="38"/>
        <v>29659.168510506799</v>
      </c>
      <c r="S38" s="67">
        <f t="shared" si="39"/>
        <v>31689.178244746599</v>
      </c>
      <c r="T38" s="67">
        <f t="shared" si="14"/>
        <v>23651.880562422743</v>
      </c>
      <c r="U38" s="62" t="s">
        <v>104</v>
      </c>
      <c r="V38" s="67">
        <f t="shared" si="40"/>
        <v>17855.907262101358</v>
      </c>
      <c r="W38" s="67">
        <f t="shared" si="41"/>
        <v>21733.946369517922</v>
      </c>
      <c r="X38" s="67">
        <f t="shared" si="42"/>
        <v>24635.798793819529</v>
      </c>
      <c r="Y38" s="67">
        <f t="shared" si="43"/>
        <v>30892.989920543881</v>
      </c>
      <c r="Z38" s="67">
        <f t="shared" si="44"/>
        <v>33007.448059728056</v>
      </c>
      <c r="AA38" s="67">
        <f t="shared" si="13"/>
        <v>24635.798793819529</v>
      </c>
      <c r="AB38" s="164"/>
    </row>
    <row r="39" spans="1:28" ht="14.4" x14ac:dyDescent="0.55000000000000004">
      <c r="A39" s="383"/>
      <c r="B39" s="383"/>
      <c r="C39" s="367"/>
      <c r="D39" s="383"/>
      <c r="E39" s="357" t="s">
        <v>143</v>
      </c>
      <c r="F39" s="357" t="s">
        <v>144</v>
      </c>
      <c r="G39" s="62" t="s">
        <v>101</v>
      </c>
      <c r="H39" s="67">
        <v>489209</v>
      </c>
      <c r="I39" s="67">
        <v>819342</v>
      </c>
      <c r="J39" s="67">
        <v>859600</v>
      </c>
      <c r="K39" s="67">
        <v>1267082</v>
      </c>
      <c r="L39" s="67">
        <v>1946078</v>
      </c>
      <c r="M39" s="67">
        <v>1029938</v>
      </c>
      <c r="N39" s="62" t="s">
        <v>101</v>
      </c>
      <c r="O39" s="67">
        <f t="shared" si="35"/>
        <v>19630.342598887513</v>
      </c>
      <c r="P39" s="67">
        <f t="shared" si="36"/>
        <v>32877.49032756489</v>
      </c>
      <c r="Q39" s="67">
        <f t="shared" si="37"/>
        <v>34492.911001236091</v>
      </c>
      <c r="R39" s="67">
        <f t="shared" si="38"/>
        <v>50843.818819530286</v>
      </c>
      <c r="S39" s="67">
        <f t="shared" si="39"/>
        <v>78089.687360939424</v>
      </c>
      <c r="T39" s="67">
        <f t="shared" si="14"/>
        <v>34492.911001236091</v>
      </c>
      <c r="U39" s="62" t="s">
        <v>101</v>
      </c>
      <c r="V39" s="67">
        <f t="shared" si="40"/>
        <v>20446.964851001234</v>
      </c>
      <c r="W39" s="67">
        <f t="shared" si="41"/>
        <v>34245.19392519159</v>
      </c>
      <c r="X39" s="67">
        <f t="shared" si="42"/>
        <v>35927.81609888751</v>
      </c>
      <c r="Y39" s="67">
        <f t="shared" si="43"/>
        <v>52958.921682422748</v>
      </c>
      <c r="Z39" s="67">
        <f t="shared" si="44"/>
        <v>81338.218355154502</v>
      </c>
      <c r="AA39" s="67">
        <f t="shared" si="13"/>
        <v>35927.81609888751</v>
      </c>
      <c r="AB39" s="164"/>
    </row>
    <row r="40" spans="1:28" ht="14.4" x14ac:dyDescent="0.55000000000000004">
      <c r="A40" s="383"/>
      <c r="B40" s="383"/>
      <c r="C40" s="367"/>
      <c r="D40" s="383"/>
      <c r="E40" s="357"/>
      <c r="F40" s="357"/>
      <c r="G40" s="62" t="s">
        <v>102</v>
      </c>
      <c r="H40" s="67">
        <v>489209</v>
      </c>
      <c r="I40" s="67">
        <v>690468</v>
      </c>
      <c r="J40" s="67">
        <v>780720</v>
      </c>
      <c r="K40" s="67">
        <v>1012737</v>
      </c>
      <c r="L40" s="67">
        <v>1622087</v>
      </c>
      <c r="M40" s="67">
        <v>852407</v>
      </c>
      <c r="N40" s="62" t="s">
        <v>102</v>
      </c>
      <c r="O40" s="67">
        <f t="shared" si="35"/>
        <v>19630.342598887513</v>
      </c>
      <c r="P40" s="67">
        <f t="shared" si="36"/>
        <v>27706.202039555003</v>
      </c>
      <c r="Q40" s="67">
        <f t="shared" si="37"/>
        <v>31327.71693448702</v>
      </c>
      <c r="R40" s="67">
        <f t="shared" si="38"/>
        <v>40637.793402348572</v>
      </c>
      <c r="S40" s="67">
        <f t="shared" si="39"/>
        <v>65088.997821384422</v>
      </c>
      <c r="T40" s="67">
        <f t="shared" si="14"/>
        <v>31327.71693448702</v>
      </c>
      <c r="U40" s="62" t="s">
        <v>102</v>
      </c>
      <c r="V40" s="67">
        <f t="shared" si="40"/>
        <v>20446.964851001234</v>
      </c>
      <c r="W40" s="67">
        <f t="shared" si="41"/>
        <v>28858.78004440049</v>
      </c>
      <c r="X40" s="67">
        <f t="shared" si="42"/>
        <v>32630.949958961679</v>
      </c>
      <c r="Y40" s="67">
        <f t="shared" si="43"/>
        <v>42328.325607886276</v>
      </c>
      <c r="Z40" s="67">
        <f t="shared" si="44"/>
        <v>67796.700130754019</v>
      </c>
      <c r="AA40" s="67">
        <f t="shared" si="13"/>
        <v>32630.949958961679</v>
      </c>
      <c r="AB40" s="164"/>
    </row>
    <row r="41" spans="1:28" ht="14.4" x14ac:dyDescent="0.55000000000000004">
      <c r="A41" s="383"/>
      <c r="B41" s="383"/>
      <c r="C41" s="367"/>
      <c r="D41" s="383"/>
      <c r="E41" s="357"/>
      <c r="F41" s="357"/>
      <c r="G41" s="62" t="s">
        <v>104</v>
      </c>
      <c r="H41" s="67">
        <v>426218</v>
      </c>
      <c r="I41" s="67">
        <v>543102</v>
      </c>
      <c r="J41" s="67">
        <v>605500</v>
      </c>
      <c r="K41" s="67">
        <v>807333</v>
      </c>
      <c r="L41" s="67">
        <v>1298097</v>
      </c>
      <c r="M41" s="67">
        <v>674876</v>
      </c>
      <c r="N41" s="62" t="s">
        <v>104</v>
      </c>
      <c r="O41" s="67">
        <f t="shared" si="35"/>
        <v>17102.721662546352</v>
      </c>
      <c r="P41" s="67">
        <f t="shared" si="36"/>
        <v>21792.890822002471</v>
      </c>
      <c r="Q41" s="67">
        <f t="shared" si="37"/>
        <v>24296.716625463534</v>
      </c>
      <c r="R41" s="67">
        <f t="shared" si="38"/>
        <v>32395.608791718169</v>
      </c>
      <c r="S41" s="67">
        <f t="shared" si="39"/>
        <v>52088.348408529047</v>
      </c>
      <c r="T41" s="67">
        <f t="shared" si="14"/>
        <v>24296.716625463534</v>
      </c>
      <c r="U41" s="62" t="s">
        <v>104</v>
      </c>
      <c r="V41" s="67">
        <f t="shared" si="40"/>
        <v>17814.194883708278</v>
      </c>
      <c r="W41" s="67">
        <f t="shared" si="41"/>
        <v>22699.475080197775</v>
      </c>
      <c r="X41" s="67">
        <f t="shared" si="42"/>
        <v>25307.460037082816</v>
      </c>
      <c r="Y41" s="67">
        <f t="shared" si="43"/>
        <v>33743.266117453648</v>
      </c>
      <c r="Z41" s="67">
        <f t="shared" si="44"/>
        <v>54255.223702323856</v>
      </c>
      <c r="AA41" s="67">
        <f t="shared" si="13"/>
        <v>25307.460037082816</v>
      </c>
      <c r="AB41" s="164"/>
    </row>
    <row r="42" spans="1:28" ht="14.4" x14ac:dyDescent="0.55000000000000004">
      <c r="A42" s="383"/>
      <c r="B42" s="383"/>
      <c r="C42" s="367"/>
      <c r="D42" s="383"/>
      <c r="E42" s="357" t="s">
        <v>145</v>
      </c>
      <c r="F42" s="357" t="s">
        <v>146</v>
      </c>
      <c r="G42" s="62" t="s">
        <v>101</v>
      </c>
      <c r="H42" s="67">
        <v>632580</v>
      </c>
      <c r="I42" s="67">
        <v>752539</v>
      </c>
      <c r="J42" s="67">
        <v>828726</v>
      </c>
      <c r="K42" s="67">
        <v>970470</v>
      </c>
      <c r="L42" s="67">
        <v>1519105</v>
      </c>
      <c r="M42" s="67">
        <v>897970</v>
      </c>
      <c r="N42" s="62" t="s">
        <v>101</v>
      </c>
      <c r="O42" s="67">
        <f t="shared" si="35"/>
        <v>25383.347651421507</v>
      </c>
      <c r="P42" s="67">
        <f t="shared" si="36"/>
        <v>30196.906412237331</v>
      </c>
      <c r="Q42" s="67">
        <f t="shared" si="37"/>
        <v>33254.039276885043</v>
      </c>
      <c r="R42" s="67">
        <f t="shared" si="38"/>
        <v>38941.758189122374</v>
      </c>
      <c r="S42" s="67">
        <f t="shared" si="39"/>
        <v>60956.670040173049</v>
      </c>
      <c r="T42" s="67">
        <f t="shared" si="14"/>
        <v>33254.039276885043</v>
      </c>
      <c r="U42" s="62" t="s">
        <v>101</v>
      </c>
      <c r="V42" s="67">
        <f t="shared" si="40"/>
        <v>26439.294913720641</v>
      </c>
      <c r="W42" s="67">
        <f t="shared" si="41"/>
        <v>31453.097718986402</v>
      </c>
      <c r="X42" s="67">
        <f t="shared" si="42"/>
        <v>34637.407310803464</v>
      </c>
      <c r="Y42" s="67">
        <f t="shared" si="43"/>
        <v>40561.735329789866</v>
      </c>
      <c r="Z42" s="67">
        <f t="shared" si="44"/>
        <v>63492.467513844247</v>
      </c>
      <c r="AA42" s="67">
        <f t="shared" si="13"/>
        <v>34637.407310803464</v>
      </c>
      <c r="AB42" s="164"/>
    </row>
    <row r="43" spans="1:28" ht="14.4" x14ac:dyDescent="0.55000000000000004">
      <c r="A43" s="383"/>
      <c r="B43" s="383"/>
      <c r="C43" s="367"/>
      <c r="D43" s="383"/>
      <c r="E43" s="357"/>
      <c r="F43" s="357"/>
      <c r="G43" s="62" t="s">
        <v>102</v>
      </c>
      <c r="H43" s="67">
        <v>504238</v>
      </c>
      <c r="I43" s="67">
        <v>630461</v>
      </c>
      <c r="J43" s="67">
        <v>716310</v>
      </c>
      <c r="K43" s="67">
        <v>830159</v>
      </c>
      <c r="L43" s="67">
        <v>1012737</v>
      </c>
      <c r="M43" s="67">
        <v>737852</v>
      </c>
      <c r="N43" s="62" t="s">
        <v>102</v>
      </c>
      <c r="O43" s="67">
        <f t="shared" si="35"/>
        <v>20233.406767614339</v>
      </c>
      <c r="P43" s="67">
        <f t="shared" si="36"/>
        <v>25298.31917490729</v>
      </c>
      <c r="Q43" s="67">
        <f t="shared" si="37"/>
        <v>28743.156211372061</v>
      </c>
      <c r="R43" s="67">
        <f t="shared" si="38"/>
        <v>33311.540837453642</v>
      </c>
      <c r="S43" s="67">
        <f t="shared" si="39"/>
        <v>40637.793402348572</v>
      </c>
      <c r="T43" s="67">
        <f t="shared" si="14"/>
        <v>28743.156211372061</v>
      </c>
      <c r="U43" s="62" t="s">
        <v>102</v>
      </c>
      <c r="V43" s="67">
        <f t="shared" si="40"/>
        <v>21075.116489147094</v>
      </c>
      <c r="W43" s="67">
        <f t="shared" si="41"/>
        <v>26350.729252583435</v>
      </c>
      <c r="X43" s="67">
        <f t="shared" si="42"/>
        <v>29938.87150976514</v>
      </c>
      <c r="Y43" s="67">
        <f t="shared" si="43"/>
        <v>34697.300936291715</v>
      </c>
      <c r="Z43" s="67">
        <f t="shared" si="44"/>
        <v>42328.325607886276</v>
      </c>
      <c r="AA43" s="67">
        <f t="shared" si="13"/>
        <v>29938.87150976514</v>
      </c>
      <c r="AB43" s="164"/>
    </row>
    <row r="44" spans="1:28" ht="14.4" x14ac:dyDescent="0.55000000000000004">
      <c r="A44" s="383"/>
      <c r="B44" s="383"/>
      <c r="C44" s="367"/>
      <c r="D44" s="383"/>
      <c r="E44" s="357"/>
      <c r="F44" s="357"/>
      <c r="G44" s="62" t="s">
        <v>104</v>
      </c>
      <c r="H44" s="67">
        <v>361300</v>
      </c>
      <c r="I44" s="67">
        <v>508382</v>
      </c>
      <c r="J44" s="67">
        <v>573020</v>
      </c>
      <c r="K44" s="67">
        <v>622328</v>
      </c>
      <c r="L44" s="67">
        <v>805439</v>
      </c>
      <c r="M44" s="67">
        <v>577734</v>
      </c>
      <c r="N44" s="62" t="s">
        <v>104</v>
      </c>
      <c r="O44" s="67">
        <f t="shared" si="35"/>
        <v>14497.776576019776</v>
      </c>
      <c r="P44" s="67">
        <f t="shared" si="36"/>
        <v>20399.691810877626</v>
      </c>
      <c r="Q44" s="67">
        <f t="shared" si="37"/>
        <v>22993.401421508031</v>
      </c>
      <c r="R44" s="67">
        <f t="shared" si="38"/>
        <v>24971.968726823237</v>
      </c>
      <c r="S44" s="67">
        <f t="shared" si="39"/>
        <v>32319.608822620514</v>
      </c>
      <c r="T44" s="67">
        <f t="shared" si="14"/>
        <v>22993.401421508031</v>
      </c>
      <c r="U44" s="62" t="s">
        <v>104</v>
      </c>
      <c r="V44" s="67">
        <f t="shared" si="40"/>
        <v>15100.884081582199</v>
      </c>
      <c r="W44" s="67">
        <f t="shared" si="41"/>
        <v>21248.318990210137</v>
      </c>
      <c r="X44" s="67">
        <f t="shared" si="42"/>
        <v>23949.926920642767</v>
      </c>
      <c r="Y44" s="67">
        <f t="shared" si="43"/>
        <v>26010.802625859083</v>
      </c>
      <c r="Z44" s="67">
        <f t="shared" si="44"/>
        <v>33664.104549641524</v>
      </c>
      <c r="AA44" s="67">
        <f t="shared" si="13"/>
        <v>23949.926920642767</v>
      </c>
      <c r="AB44" s="164"/>
    </row>
    <row r="45" spans="1:28" ht="14.4" x14ac:dyDescent="0.55000000000000004">
      <c r="A45" s="383"/>
      <c r="B45" s="383"/>
      <c r="C45" s="367"/>
      <c r="D45" s="383"/>
      <c r="E45" s="357" t="s">
        <v>147</v>
      </c>
      <c r="F45" s="357" t="s">
        <v>148</v>
      </c>
      <c r="G45" s="62" t="s">
        <v>101</v>
      </c>
      <c r="H45" s="67">
        <v>812794</v>
      </c>
      <c r="I45" s="67">
        <v>828726</v>
      </c>
      <c r="J45" s="67">
        <v>859600</v>
      </c>
      <c r="K45" s="67">
        <v>1002691</v>
      </c>
      <c r="L45" s="67">
        <v>1194791</v>
      </c>
      <c r="M45" s="67">
        <v>939720</v>
      </c>
      <c r="N45" s="62" t="s">
        <v>101</v>
      </c>
      <c r="O45" s="67">
        <f t="shared" si="35"/>
        <v>32614.740698393078</v>
      </c>
      <c r="P45" s="67">
        <f t="shared" si="36"/>
        <v>33254.039276885043</v>
      </c>
      <c r="Q45" s="67">
        <f t="shared" si="37"/>
        <v>34492.911001236091</v>
      </c>
      <c r="R45" s="67">
        <f t="shared" si="38"/>
        <v>40234.680577873914</v>
      </c>
      <c r="S45" s="67">
        <f t="shared" si="39"/>
        <v>47943.019576637816</v>
      </c>
      <c r="T45" s="67">
        <f t="shared" si="14"/>
        <v>34492.911001236091</v>
      </c>
      <c r="U45" s="62" t="s">
        <v>101</v>
      </c>
      <c r="V45" s="67">
        <f t="shared" si="40"/>
        <v>33971.513911446229</v>
      </c>
      <c r="W45" s="67">
        <f t="shared" si="41"/>
        <v>34637.407310803464</v>
      </c>
      <c r="X45" s="67">
        <f t="shared" si="42"/>
        <v>35927.81609888751</v>
      </c>
      <c r="Y45" s="67">
        <f t="shared" si="43"/>
        <v>41908.44328991347</v>
      </c>
      <c r="Z45" s="67">
        <f t="shared" si="44"/>
        <v>49937.449191025953</v>
      </c>
      <c r="AA45" s="67">
        <f t="shared" si="13"/>
        <v>35927.81609888751</v>
      </c>
      <c r="AB45" s="164"/>
    </row>
    <row r="46" spans="1:28" ht="14.4" x14ac:dyDescent="0.55000000000000004">
      <c r="A46" s="383"/>
      <c r="B46" s="383"/>
      <c r="C46" s="367"/>
      <c r="D46" s="383"/>
      <c r="E46" s="357"/>
      <c r="F46" s="357"/>
      <c r="G46" s="62" t="s">
        <v>102</v>
      </c>
      <c r="H46" s="67">
        <v>673834</v>
      </c>
      <c r="I46" s="67">
        <v>716310</v>
      </c>
      <c r="J46" s="67">
        <v>812794</v>
      </c>
      <c r="K46" s="67">
        <v>843735</v>
      </c>
      <c r="L46" s="67">
        <v>949301</v>
      </c>
      <c r="M46" s="67">
        <v>799195</v>
      </c>
      <c r="N46" s="62" t="s">
        <v>102</v>
      </c>
      <c r="O46" s="67">
        <f t="shared" si="35"/>
        <v>27038.73451792336</v>
      </c>
      <c r="P46" s="67">
        <f t="shared" si="36"/>
        <v>28743.156211372061</v>
      </c>
      <c r="Q46" s="67">
        <f t="shared" si="37"/>
        <v>32614.740698393078</v>
      </c>
      <c r="R46" s="67">
        <f t="shared" si="38"/>
        <v>33856.300911619277</v>
      </c>
      <c r="S46" s="67">
        <f t="shared" si="39"/>
        <v>38092.316084672428</v>
      </c>
      <c r="T46" s="67">
        <f t="shared" si="14"/>
        <v>32614.740698393078</v>
      </c>
      <c r="U46" s="62" t="s">
        <v>102</v>
      </c>
      <c r="V46" s="67">
        <f t="shared" si="40"/>
        <v>28163.54587386897</v>
      </c>
      <c r="W46" s="67">
        <f t="shared" si="41"/>
        <v>29938.87150976514</v>
      </c>
      <c r="X46" s="67">
        <f t="shared" si="42"/>
        <v>33971.513911446229</v>
      </c>
      <c r="Y46" s="67">
        <f t="shared" si="43"/>
        <v>35264.723029542642</v>
      </c>
      <c r="Z46" s="67">
        <f t="shared" si="44"/>
        <v>39676.956433794803</v>
      </c>
      <c r="AA46" s="67">
        <f t="shared" si="13"/>
        <v>33971.513911446229</v>
      </c>
      <c r="AB46" s="164"/>
    </row>
    <row r="47" spans="1:28" ht="14.4" x14ac:dyDescent="0.55000000000000004">
      <c r="A47" s="383"/>
      <c r="B47" s="383"/>
      <c r="C47" s="367"/>
      <c r="D47" s="383"/>
      <c r="E47" s="357"/>
      <c r="F47" s="357"/>
      <c r="G47" s="62" t="s">
        <v>104</v>
      </c>
      <c r="H47" s="67">
        <v>518942</v>
      </c>
      <c r="I47" s="67">
        <v>573020</v>
      </c>
      <c r="J47" s="67">
        <v>684779</v>
      </c>
      <c r="K47" s="67">
        <v>703811</v>
      </c>
      <c r="L47" s="67">
        <v>812794</v>
      </c>
      <c r="M47" s="67">
        <v>658669</v>
      </c>
      <c r="N47" s="62" t="s">
        <v>104</v>
      </c>
      <c r="O47" s="67">
        <f t="shared" si="35"/>
        <v>20823.42975896168</v>
      </c>
      <c r="P47" s="67">
        <f t="shared" si="36"/>
        <v>22993.401421508031</v>
      </c>
      <c r="Q47" s="67">
        <f t="shared" si="37"/>
        <v>27477.921245364647</v>
      </c>
      <c r="R47" s="67">
        <f t="shared" si="38"/>
        <v>28241.612592707042</v>
      </c>
      <c r="S47" s="67">
        <f t="shared" si="39"/>
        <v>32614.740698393078</v>
      </c>
      <c r="T47" s="67">
        <f t="shared" si="14"/>
        <v>27477.921245364647</v>
      </c>
      <c r="U47" s="62" t="s">
        <v>104</v>
      </c>
      <c r="V47" s="67">
        <f t="shared" si="40"/>
        <v>21689.684436934487</v>
      </c>
      <c r="W47" s="67">
        <f t="shared" si="41"/>
        <v>23949.926920642767</v>
      </c>
      <c r="X47" s="67">
        <f t="shared" si="42"/>
        <v>28621.002769171817</v>
      </c>
      <c r="Y47" s="67">
        <f t="shared" si="43"/>
        <v>29416.463676563657</v>
      </c>
      <c r="Z47" s="67">
        <f t="shared" si="44"/>
        <v>33971.513911446229</v>
      </c>
      <c r="AA47" s="67">
        <f t="shared" si="13"/>
        <v>28621.002769171817</v>
      </c>
      <c r="AB47" s="164"/>
    </row>
    <row r="48" spans="1:28" ht="14.4" x14ac:dyDescent="0.55000000000000004">
      <c r="A48" s="383"/>
      <c r="B48" s="383"/>
      <c r="C48" s="367"/>
      <c r="D48" s="383"/>
      <c r="E48" s="357" t="s">
        <v>149</v>
      </c>
      <c r="F48" s="357" t="s">
        <v>150</v>
      </c>
      <c r="G48" s="62" t="s">
        <v>101</v>
      </c>
      <c r="H48" s="67">
        <v>563226</v>
      </c>
      <c r="I48" s="67">
        <v>737951</v>
      </c>
      <c r="J48" s="67">
        <v>859600</v>
      </c>
      <c r="K48" s="67">
        <v>1020426</v>
      </c>
      <c r="L48" s="67">
        <v>1519105</v>
      </c>
      <c r="M48" s="67">
        <v>922669</v>
      </c>
      <c r="N48" s="62" t="s">
        <v>101</v>
      </c>
      <c r="O48" s="67">
        <f t="shared" si="35"/>
        <v>22600.400525339923</v>
      </c>
      <c r="P48" s="67">
        <f t="shared" si="36"/>
        <v>29611.538118046967</v>
      </c>
      <c r="Q48" s="67">
        <f t="shared" si="37"/>
        <v>34492.911001236091</v>
      </c>
      <c r="R48" s="67">
        <f t="shared" si="38"/>
        <v>40946.32759579728</v>
      </c>
      <c r="S48" s="67">
        <f t="shared" si="39"/>
        <v>60956.670040173049</v>
      </c>
      <c r="T48" s="67">
        <f t="shared" si="14"/>
        <v>34492.911001236091</v>
      </c>
      <c r="U48" s="62" t="s">
        <v>101</v>
      </c>
      <c r="V48" s="67">
        <f t="shared" si="40"/>
        <v>23540.577187194063</v>
      </c>
      <c r="W48" s="67">
        <f t="shared" si="41"/>
        <v>30843.378103757721</v>
      </c>
      <c r="X48" s="67">
        <f t="shared" si="42"/>
        <v>35927.81609888751</v>
      </c>
      <c r="Y48" s="67">
        <f t="shared" si="43"/>
        <v>42649.694823782447</v>
      </c>
      <c r="Z48" s="67">
        <f t="shared" si="44"/>
        <v>63492.467513844247</v>
      </c>
      <c r="AA48" s="67">
        <f t="shared" si="13"/>
        <v>35927.81609888751</v>
      </c>
      <c r="AB48" s="164"/>
    </row>
    <row r="49" spans="1:28" ht="14.4" x14ac:dyDescent="0.55000000000000004">
      <c r="A49" s="383"/>
      <c r="B49" s="383"/>
      <c r="C49" s="367"/>
      <c r="D49" s="383"/>
      <c r="E49" s="357"/>
      <c r="F49" s="357"/>
      <c r="G49" s="62" t="s">
        <v>102</v>
      </c>
      <c r="H49" s="67">
        <v>495221</v>
      </c>
      <c r="I49" s="67">
        <v>589036</v>
      </c>
      <c r="J49" s="67">
        <v>716310</v>
      </c>
      <c r="K49" s="67">
        <v>911641</v>
      </c>
      <c r="L49" s="67">
        <v>1012737</v>
      </c>
      <c r="M49" s="67">
        <v>746517</v>
      </c>
      <c r="N49" s="62" t="s">
        <v>102</v>
      </c>
      <c r="O49" s="67">
        <f t="shared" si="35"/>
        <v>19871.584317058096</v>
      </c>
      <c r="P49" s="67">
        <f t="shared" si="36"/>
        <v>23636.070642768846</v>
      </c>
      <c r="Q49" s="67">
        <f t="shared" si="37"/>
        <v>28743.156211372061</v>
      </c>
      <c r="R49" s="67">
        <f t="shared" si="38"/>
        <v>36581.144576637824</v>
      </c>
      <c r="S49" s="67">
        <f t="shared" si="39"/>
        <v>40637.793402348572</v>
      </c>
      <c r="T49" s="67">
        <f t="shared" si="14"/>
        <v>28743.156211372061</v>
      </c>
      <c r="U49" s="62" t="s">
        <v>102</v>
      </c>
      <c r="V49" s="67">
        <f t="shared" si="40"/>
        <v>20698.242224647711</v>
      </c>
      <c r="W49" s="67">
        <f t="shared" si="41"/>
        <v>24619.331181508031</v>
      </c>
      <c r="X49" s="67">
        <f t="shared" si="42"/>
        <v>29938.87150976514</v>
      </c>
      <c r="Y49" s="67">
        <f t="shared" si="43"/>
        <v>38102.920191025958</v>
      </c>
      <c r="Z49" s="67">
        <f t="shared" si="44"/>
        <v>42328.325607886276</v>
      </c>
      <c r="AA49" s="67">
        <f t="shared" si="13"/>
        <v>29938.87150976514</v>
      </c>
      <c r="AB49" s="164"/>
    </row>
    <row r="50" spans="1:28" ht="14.4" x14ac:dyDescent="0.55000000000000004">
      <c r="A50" s="383"/>
      <c r="B50" s="383"/>
      <c r="C50" s="367"/>
      <c r="D50" s="383"/>
      <c r="E50" s="357"/>
      <c r="F50" s="357"/>
      <c r="G50" s="62" t="s">
        <v>104</v>
      </c>
      <c r="H50" s="67">
        <v>361300</v>
      </c>
      <c r="I50" s="67">
        <v>466792</v>
      </c>
      <c r="J50" s="67">
        <v>518942</v>
      </c>
      <c r="K50" s="67">
        <v>597674</v>
      </c>
      <c r="L50" s="67">
        <v>983385</v>
      </c>
      <c r="M50" s="67">
        <v>570366</v>
      </c>
      <c r="N50" s="62" t="s">
        <v>104</v>
      </c>
      <c r="O50" s="67">
        <f t="shared" si="35"/>
        <v>14497.776576019776</v>
      </c>
      <c r="P50" s="67">
        <f t="shared" si="36"/>
        <v>18730.822373300369</v>
      </c>
      <c r="Q50" s="67">
        <f t="shared" si="37"/>
        <v>20823.42975896168</v>
      </c>
      <c r="R50" s="67">
        <f t="shared" si="38"/>
        <v>23982.685074165638</v>
      </c>
      <c r="S50" s="67">
        <f t="shared" si="39"/>
        <v>39459.994514833124</v>
      </c>
      <c r="T50" s="67">
        <f t="shared" si="14"/>
        <v>20823.42975896168</v>
      </c>
      <c r="U50" s="62" t="s">
        <v>104</v>
      </c>
      <c r="V50" s="67">
        <f t="shared" si="40"/>
        <v>15100.884081582199</v>
      </c>
      <c r="W50" s="67">
        <f t="shared" si="41"/>
        <v>19510.024584029663</v>
      </c>
      <c r="X50" s="67">
        <f t="shared" si="42"/>
        <v>21689.684436934487</v>
      </c>
      <c r="Y50" s="67">
        <f t="shared" si="43"/>
        <v>24980.364773250927</v>
      </c>
      <c r="Z50" s="67">
        <f t="shared" si="44"/>
        <v>41101.530286650181</v>
      </c>
      <c r="AA50" s="67">
        <f t="shared" si="13"/>
        <v>21689.684436934487</v>
      </c>
      <c r="AB50" s="164"/>
    </row>
    <row r="51" spans="1:28" ht="14.4" x14ac:dyDescent="0.55000000000000004">
      <c r="A51" s="383"/>
      <c r="B51" s="383"/>
      <c r="C51" s="367"/>
      <c r="D51" s="383"/>
      <c r="E51" s="357" t="s">
        <v>151</v>
      </c>
      <c r="F51" s="357" t="s">
        <v>152</v>
      </c>
      <c r="G51" s="62" t="s">
        <v>101</v>
      </c>
      <c r="H51" s="67">
        <v>563226</v>
      </c>
      <c r="I51" s="67">
        <v>682531</v>
      </c>
      <c r="J51" s="67">
        <v>801836</v>
      </c>
      <c r="K51" s="67">
        <v>1013418</v>
      </c>
      <c r="L51" s="67">
        <v>1225000</v>
      </c>
      <c r="M51" s="67">
        <v>863354</v>
      </c>
      <c r="N51" s="62" t="s">
        <v>101</v>
      </c>
      <c r="O51" s="67">
        <f t="shared" si="35"/>
        <v>22600.400525339923</v>
      </c>
      <c r="P51" s="67">
        <f t="shared" si="36"/>
        <v>27387.716424598268</v>
      </c>
      <c r="Q51" s="67">
        <f t="shared" si="37"/>
        <v>32175.032323856609</v>
      </c>
      <c r="R51" s="67">
        <f t="shared" si="38"/>
        <v>40665.119684796045</v>
      </c>
      <c r="S51" s="67">
        <f t="shared" si="39"/>
        <v>49155.207045735471</v>
      </c>
      <c r="T51" s="67">
        <f t="shared" si="14"/>
        <v>32175.032323856609</v>
      </c>
      <c r="U51" s="62" t="s">
        <v>101</v>
      </c>
      <c r="V51" s="67">
        <f t="shared" si="40"/>
        <v>23540.577187194063</v>
      </c>
      <c r="W51" s="67">
        <f t="shared" si="41"/>
        <v>28527.045427861554</v>
      </c>
      <c r="X51" s="67">
        <f t="shared" si="42"/>
        <v>33513.513668529042</v>
      </c>
      <c r="Y51" s="67">
        <f t="shared" si="43"/>
        <v>42356.788663683561</v>
      </c>
      <c r="Z51" s="67">
        <f t="shared" si="44"/>
        <v>51200.063658838066</v>
      </c>
      <c r="AA51" s="67">
        <f t="shared" si="13"/>
        <v>33513.513668529042</v>
      </c>
      <c r="AB51" s="164"/>
    </row>
    <row r="52" spans="1:28" ht="14.4" x14ac:dyDescent="0.55000000000000004">
      <c r="A52" s="383"/>
      <c r="B52" s="383"/>
      <c r="C52" s="367"/>
      <c r="D52" s="383"/>
      <c r="E52" s="357"/>
      <c r="F52" s="357"/>
      <c r="G52" s="62" t="s">
        <v>102</v>
      </c>
      <c r="H52" s="67">
        <v>495221</v>
      </c>
      <c r="I52" s="67">
        <v>559890</v>
      </c>
      <c r="J52" s="67">
        <v>624560</v>
      </c>
      <c r="K52" s="67">
        <v>822696</v>
      </c>
      <c r="L52" s="67">
        <v>1020833</v>
      </c>
      <c r="M52" s="67">
        <v>713538</v>
      </c>
      <c r="N52" s="62" t="s">
        <v>102</v>
      </c>
      <c r="O52" s="67">
        <f t="shared" si="35"/>
        <v>19871.584317058096</v>
      </c>
      <c r="P52" s="67">
        <f t="shared" si="36"/>
        <v>22466.537855377006</v>
      </c>
      <c r="Q52" s="67">
        <f t="shared" si="37"/>
        <v>25061.531520395547</v>
      </c>
      <c r="R52" s="67">
        <f t="shared" si="38"/>
        <v>33012.075278121134</v>
      </c>
      <c r="S52" s="67">
        <f t="shared" si="39"/>
        <v>40962.659162546355</v>
      </c>
      <c r="T52" s="67">
        <f t="shared" si="14"/>
        <v>25061.531520395547</v>
      </c>
      <c r="U52" s="62" t="s">
        <v>102</v>
      </c>
      <c r="V52" s="67">
        <f t="shared" si="40"/>
        <v>20698.242224647711</v>
      </c>
      <c r="W52" s="67">
        <f t="shared" si="41"/>
        <v>23401.145830160691</v>
      </c>
      <c r="X52" s="67">
        <f t="shared" si="42"/>
        <v>26104.091231644001</v>
      </c>
      <c r="Y52" s="67">
        <f t="shared" si="43"/>
        <v>34385.377609690971</v>
      </c>
      <c r="Z52" s="67">
        <f t="shared" si="44"/>
        <v>42666.705783708283</v>
      </c>
      <c r="AA52" s="67">
        <f t="shared" si="13"/>
        <v>26104.091231644001</v>
      </c>
      <c r="AB52" s="164"/>
    </row>
    <row r="53" spans="1:28" ht="14.4" x14ac:dyDescent="0.55000000000000004">
      <c r="A53" s="383"/>
      <c r="B53" s="383"/>
      <c r="C53" s="367"/>
      <c r="D53" s="383"/>
      <c r="E53" s="357"/>
      <c r="F53" s="357"/>
      <c r="G53" s="62" t="s">
        <v>104</v>
      </c>
      <c r="H53" s="67">
        <v>427216</v>
      </c>
      <c r="I53" s="67">
        <v>437250</v>
      </c>
      <c r="J53" s="67">
        <v>447283</v>
      </c>
      <c r="K53" s="67">
        <v>631975</v>
      </c>
      <c r="L53" s="67">
        <v>816667</v>
      </c>
      <c r="M53" s="67">
        <v>563722</v>
      </c>
      <c r="N53" s="62" t="s">
        <v>104</v>
      </c>
      <c r="O53" s="67">
        <f t="shared" si="35"/>
        <v>17142.768108776265</v>
      </c>
      <c r="P53" s="67">
        <f t="shared" si="36"/>
        <v>17545.399412855375</v>
      </c>
      <c r="Q53" s="67">
        <f t="shared" si="37"/>
        <v>17947.990590234855</v>
      </c>
      <c r="R53" s="67">
        <f t="shared" si="38"/>
        <v>25359.070998145857</v>
      </c>
      <c r="S53" s="67">
        <f t="shared" si="39"/>
        <v>32770.151406056859</v>
      </c>
      <c r="T53" s="67">
        <f t="shared" si="14"/>
        <v>17947.990590234855</v>
      </c>
      <c r="U53" s="62" t="s">
        <v>104</v>
      </c>
      <c r="V53" s="67">
        <f t="shared" si="40"/>
        <v>17855.907262101358</v>
      </c>
      <c r="W53" s="67">
        <f t="shared" si="41"/>
        <v>18275.288028430157</v>
      </c>
      <c r="X53" s="67">
        <f t="shared" si="42"/>
        <v>18694.626998788626</v>
      </c>
      <c r="Y53" s="67">
        <f t="shared" si="43"/>
        <v>26414.008351668723</v>
      </c>
      <c r="Z53" s="67">
        <f t="shared" si="44"/>
        <v>34133.389704548827</v>
      </c>
      <c r="AA53" s="67">
        <f t="shared" si="13"/>
        <v>18694.626998788626</v>
      </c>
      <c r="AB53" s="164"/>
    </row>
    <row r="54" spans="1:28" ht="14.4" hidden="1" x14ac:dyDescent="0.55000000000000004">
      <c r="A54" s="383"/>
      <c r="B54" s="383"/>
      <c r="C54" s="367"/>
      <c r="D54" s="383"/>
      <c r="E54" s="62"/>
      <c r="F54" s="62"/>
      <c r="G54" s="62" t="s">
        <v>101</v>
      </c>
      <c r="H54" s="67"/>
      <c r="I54" s="67"/>
      <c r="J54" s="67"/>
      <c r="K54" s="67"/>
      <c r="L54" s="67"/>
      <c r="M54" s="67"/>
      <c r="N54" s="62"/>
      <c r="O54" s="67"/>
      <c r="P54" s="67"/>
      <c r="Q54" s="67"/>
      <c r="R54" s="67"/>
      <c r="S54" s="67"/>
      <c r="T54" s="67"/>
      <c r="U54" s="62"/>
      <c r="V54" s="67"/>
      <c r="W54" s="67"/>
      <c r="X54" s="67"/>
      <c r="Y54" s="67"/>
      <c r="Z54" s="67"/>
      <c r="AA54" s="67"/>
      <c r="AB54" s="164"/>
    </row>
    <row r="55" spans="1:28" ht="14.4" hidden="1" x14ac:dyDescent="0.55000000000000004">
      <c r="A55" s="383"/>
      <c r="B55" s="383"/>
      <c r="C55" s="367"/>
      <c r="D55" s="383"/>
      <c r="E55" s="62"/>
      <c r="F55" s="62"/>
      <c r="G55" s="62" t="s">
        <v>102</v>
      </c>
      <c r="H55" s="67"/>
      <c r="I55" s="67"/>
      <c r="J55" s="67"/>
      <c r="K55" s="67"/>
      <c r="L55" s="67"/>
      <c r="M55" s="67"/>
      <c r="N55" s="62"/>
      <c r="O55" s="67"/>
      <c r="P55" s="67"/>
      <c r="Q55" s="67"/>
      <c r="R55" s="67"/>
      <c r="S55" s="67"/>
      <c r="T55" s="67"/>
      <c r="U55" s="62"/>
      <c r="V55" s="67"/>
      <c r="W55" s="67"/>
      <c r="X55" s="67"/>
      <c r="Y55" s="67"/>
      <c r="Z55" s="67"/>
      <c r="AA55" s="67"/>
      <c r="AB55" s="164"/>
    </row>
    <row r="56" spans="1:28" ht="14.4" hidden="1" x14ac:dyDescent="0.55000000000000004">
      <c r="A56" s="384"/>
      <c r="B56" s="384"/>
      <c r="C56" s="368"/>
      <c r="D56" s="384"/>
      <c r="E56" s="62"/>
      <c r="F56" s="62"/>
      <c r="G56" s="62" t="s">
        <v>104</v>
      </c>
      <c r="H56" s="67"/>
      <c r="I56" s="67"/>
      <c r="J56" s="67"/>
      <c r="K56" s="67"/>
      <c r="L56" s="67"/>
      <c r="M56" s="67"/>
      <c r="N56" s="62"/>
      <c r="O56" s="67"/>
      <c r="P56" s="67"/>
      <c r="Q56" s="67"/>
      <c r="R56" s="67"/>
      <c r="S56" s="67"/>
      <c r="T56" s="67"/>
      <c r="U56" s="62"/>
      <c r="V56" s="67"/>
      <c r="W56" s="67"/>
      <c r="X56" s="67"/>
      <c r="Y56" s="67"/>
      <c r="Z56" s="67"/>
      <c r="AA56" s="67"/>
      <c r="AB56" s="164"/>
    </row>
    <row r="57" spans="1:28" ht="15" customHeight="1" x14ac:dyDescent="0.55000000000000004">
      <c r="A57" s="364" t="s">
        <v>153</v>
      </c>
      <c r="B57" s="364" t="s">
        <v>154</v>
      </c>
      <c r="C57" s="365" t="s">
        <v>155</v>
      </c>
      <c r="D57" s="353"/>
      <c r="E57" s="364" t="s">
        <v>156</v>
      </c>
      <c r="F57" s="63"/>
      <c r="G57" s="63" t="s">
        <v>101</v>
      </c>
      <c r="H57" s="68">
        <v>627521</v>
      </c>
      <c r="I57" s="68">
        <v>842534</v>
      </c>
      <c r="J57" s="68">
        <v>846989</v>
      </c>
      <c r="K57" s="68">
        <v>898333</v>
      </c>
      <c r="L57" s="68">
        <v>1543883</v>
      </c>
      <c r="M57" s="68">
        <v>924420</v>
      </c>
      <c r="N57" s="63" t="s">
        <v>101</v>
      </c>
      <c r="O57" s="68">
        <f t="shared" ref="O57:P59" si="45">+(1281000*$AB$15)+H57</f>
        <v>677223.8</v>
      </c>
      <c r="P57" s="68">
        <f t="shared" si="45"/>
        <v>892236.80000000005</v>
      </c>
      <c r="Q57" s="68">
        <f t="shared" ref="Q57:S59" si="46">+(1281000*$AB$15)+J57</f>
        <v>896691.8</v>
      </c>
      <c r="R57" s="68">
        <f t="shared" si="46"/>
        <v>948035.8</v>
      </c>
      <c r="S57" s="68">
        <f t="shared" si="46"/>
        <v>1593585.8</v>
      </c>
      <c r="T57" s="68">
        <f t="shared" si="14"/>
        <v>896691.8</v>
      </c>
      <c r="U57" s="63" t="s">
        <v>101</v>
      </c>
      <c r="V57" s="68">
        <f>+(1281000*$AB$16)+O57</f>
        <v>730513.4</v>
      </c>
      <c r="W57" s="68">
        <f>+(1281000*$AB$16)+P57</f>
        <v>945526.4</v>
      </c>
      <c r="X57" s="68">
        <f>+(1281000*$AB$16)+Q57</f>
        <v>949981.4</v>
      </c>
      <c r="Y57" s="68">
        <f>+(1281000*$AB$16)+R57</f>
        <v>1001325.4</v>
      </c>
      <c r="Z57" s="68">
        <f>+(1281000*$AB$16)+S57</f>
        <v>1646875.4000000001</v>
      </c>
      <c r="AA57" s="68">
        <f t="shared" si="13"/>
        <v>949981.4</v>
      </c>
    </row>
    <row r="58" spans="1:28" ht="14.4" x14ac:dyDescent="0.55000000000000004">
      <c r="A58" s="364"/>
      <c r="B58" s="364"/>
      <c r="C58" s="365"/>
      <c r="D58" s="354"/>
      <c r="E58" s="364"/>
      <c r="F58" s="63"/>
      <c r="G58" s="63" t="s">
        <v>102</v>
      </c>
      <c r="H58" s="68">
        <v>509861</v>
      </c>
      <c r="I58" s="68">
        <v>668801</v>
      </c>
      <c r="J58" s="68">
        <v>692818</v>
      </c>
      <c r="K58" s="68">
        <v>770000</v>
      </c>
      <c r="L58" s="68">
        <v>1092775</v>
      </c>
      <c r="M58" s="68">
        <v>710943</v>
      </c>
      <c r="N58" s="63" t="s">
        <v>102</v>
      </c>
      <c r="O58" s="68">
        <f t="shared" si="45"/>
        <v>559563.80000000005</v>
      </c>
      <c r="P58" s="68">
        <f t="shared" si="45"/>
        <v>718503.8</v>
      </c>
      <c r="Q58" s="68">
        <f t="shared" si="46"/>
        <v>742520.8</v>
      </c>
      <c r="R58" s="68">
        <f t="shared" si="46"/>
        <v>819702.8</v>
      </c>
      <c r="S58" s="68">
        <f t="shared" si="46"/>
        <v>1142477.8</v>
      </c>
      <c r="T58" s="68">
        <f t="shared" si="14"/>
        <v>742520.8</v>
      </c>
      <c r="U58" s="63" t="s">
        <v>102</v>
      </c>
      <c r="V58" s="68">
        <f t="shared" ref="V58:V59" si="47">+(1281000*$AB$16)+O58</f>
        <v>612853.4</v>
      </c>
      <c r="W58" s="68">
        <f t="shared" ref="W58:Z59" si="48">+(1281000*$AB$16)+P58</f>
        <v>771793.4</v>
      </c>
      <c r="X58" s="68">
        <f t="shared" si="48"/>
        <v>795810.4</v>
      </c>
      <c r="Y58" s="68">
        <f t="shared" si="48"/>
        <v>872992.4</v>
      </c>
      <c r="Z58" s="68">
        <f t="shared" si="48"/>
        <v>1195767.4000000001</v>
      </c>
      <c r="AA58" s="68">
        <f t="shared" si="13"/>
        <v>795810.4</v>
      </c>
    </row>
    <row r="59" spans="1:28" ht="14.4" x14ac:dyDescent="0.55000000000000004">
      <c r="A59" s="364"/>
      <c r="B59" s="364"/>
      <c r="C59" s="365"/>
      <c r="D59" s="355"/>
      <c r="E59" s="364"/>
      <c r="F59" s="63"/>
      <c r="G59" s="63" t="s">
        <v>104</v>
      </c>
      <c r="H59" s="68">
        <v>392201</v>
      </c>
      <c r="I59" s="68">
        <v>423652</v>
      </c>
      <c r="J59" s="68">
        <v>495068</v>
      </c>
      <c r="K59" s="68">
        <v>543102</v>
      </c>
      <c r="L59" s="68">
        <v>641667</v>
      </c>
      <c r="M59" s="68">
        <v>497466</v>
      </c>
      <c r="N59" s="63" t="s">
        <v>104</v>
      </c>
      <c r="O59" s="68">
        <f t="shared" si="45"/>
        <v>441903.8</v>
      </c>
      <c r="P59" s="68">
        <f t="shared" si="45"/>
        <v>473354.8</v>
      </c>
      <c r="Q59" s="68">
        <f t="shared" si="46"/>
        <v>544770.80000000005</v>
      </c>
      <c r="R59" s="68">
        <f t="shared" si="46"/>
        <v>592804.80000000005</v>
      </c>
      <c r="S59" s="68">
        <f t="shared" si="46"/>
        <v>691369.8</v>
      </c>
      <c r="T59" s="68">
        <f t="shared" si="14"/>
        <v>544770.80000000005</v>
      </c>
      <c r="U59" s="63" t="s">
        <v>104</v>
      </c>
      <c r="V59" s="68">
        <f t="shared" si="47"/>
        <v>495193.39999999997</v>
      </c>
      <c r="W59" s="68">
        <f t="shared" si="48"/>
        <v>526644.4</v>
      </c>
      <c r="X59" s="68">
        <f t="shared" si="48"/>
        <v>598060.4</v>
      </c>
      <c r="Y59" s="68">
        <f t="shared" si="48"/>
        <v>646094.4</v>
      </c>
      <c r="Z59" s="68">
        <f t="shared" si="48"/>
        <v>744659.4</v>
      </c>
      <c r="AA59" s="68">
        <f t="shared" si="13"/>
        <v>598060.4</v>
      </c>
    </row>
    <row r="60" spans="1:28" ht="14.4" x14ac:dyDescent="0.55000000000000004">
      <c r="A60" s="346" t="s">
        <v>157</v>
      </c>
      <c r="B60" s="346" t="s">
        <v>158</v>
      </c>
      <c r="C60" s="366" t="s">
        <v>159</v>
      </c>
      <c r="D60" s="346" t="s">
        <v>160</v>
      </c>
      <c r="E60" s="346" t="s">
        <v>161</v>
      </c>
      <c r="F60" s="346" t="s">
        <v>162</v>
      </c>
      <c r="G60" s="69" t="s">
        <v>101</v>
      </c>
      <c r="H60" s="71">
        <v>379497</v>
      </c>
      <c r="I60" s="71">
        <v>558733</v>
      </c>
      <c r="J60" s="71">
        <v>648720</v>
      </c>
      <c r="K60" s="71">
        <v>866495</v>
      </c>
      <c r="L60" s="71">
        <v>1225700</v>
      </c>
      <c r="M60" s="71">
        <v>717960</v>
      </c>
      <c r="N60" s="69" t="s">
        <v>101</v>
      </c>
      <c r="O60" s="71">
        <f t="shared" ref="O60" si="49">((H60*$AB$15)+H60)/$AB$17</f>
        <v>15227.962129171816</v>
      </c>
      <c r="P60" s="71">
        <f t="shared" ref="P60" si="50">((I60*$AB$15)+I60)/$AB$17</f>
        <v>22420.111263906056</v>
      </c>
      <c r="Q60" s="71">
        <f t="shared" ref="Q60" si="51">((J60*$AB$15)+J60)/$AB$17</f>
        <v>26030.992583436338</v>
      </c>
      <c r="R60" s="71">
        <f t="shared" ref="R60" si="52">((K60*$AB$15)+K60)/$AB$17</f>
        <v>34769.584595179236</v>
      </c>
      <c r="S60" s="71">
        <f t="shared" ref="S60" si="53">((L60*$AB$15)+L60)/$AB$17</f>
        <v>49183.295735475891</v>
      </c>
      <c r="T60" s="71">
        <f t="shared" si="14"/>
        <v>26030.992583436338</v>
      </c>
      <c r="U60" s="69" t="s">
        <v>101</v>
      </c>
      <c r="V60" s="71">
        <f t="shared" ref="V60" si="54">((O60*$AB$16)+O60)</f>
        <v>15861.445353745363</v>
      </c>
      <c r="W60" s="71">
        <f t="shared" ref="W60" si="55">((P60*$AB$16)+P60)</f>
        <v>23352.787892484546</v>
      </c>
      <c r="X60" s="71">
        <f t="shared" ref="X60" si="56">((Q60*$AB$16)+Q60)</f>
        <v>27113.881874907289</v>
      </c>
      <c r="Y60" s="71">
        <f t="shared" ref="Y60" si="57">((R60*$AB$16)+R60)</f>
        <v>36215.999314338689</v>
      </c>
      <c r="Z60" s="71">
        <f t="shared" ref="Z60" si="58">((S60*$AB$16)+S60)</f>
        <v>51229.32083807169</v>
      </c>
      <c r="AA60" s="71">
        <f t="shared" si="13"/>
        <v>27113.881874907289</v>
      </c>
    </row>
    <row r="61" spans="1:28" ht="14.4" x14ac:dyDescent="0.55000000000000004">
      <c r="A61" s="347"/>
      <c r="B61" s="347"/>
      <c r="C61" s="367"/>
      <c r="D61" s="347"/>
      <c r="E61" s="347"/>
      <c r="F61" s="347"/>
      <c r="G61" s="69" t="s">
        <v>102</v>
      </c>
      <c r="H61" s="71">
        <v>366738</v>
      </c>
      <c r="I61" s="71">
        <v>445779</v>
      </c>
      <c r="J61" s="71">
        <v>579858</v>
      </c>
      <c r="K61" s="71">
        <v>693660</v>
      </c>
      <c r="L61" s="71">
        <v>1225700</v>
      </c>
      <c r="M61" s="71">
        <v>604288</v>
      </c>
      <c r="N61" s="69" t="s">
        <v>102</v>
      </c>
      <c r="O61" s="71">
        <f t="shared" ref="O61:O80" si="59">((H61*$AB$15)+H61)/$AB$17</f>
        <v>14715.985568603213</v>
      </c>
      <c r="P61" s="71">
        <f t="shared" ref="P61:P80" si="60">((I61*$AB$15)+I61)/$AB$17</f>
        <v>17887.640033992582</v>
      </c>
      <c r="Q61" s="71">
        <f t="shared" ref="Q61:Q80" si="61">((J61*$AB$15)+J61)/$AB$17</f>
        <v>23267.787793572312</v>
      </c>
      <c r="R61" s="71">
        <f t="shared" ref="R61:R80" si="62">((K61*$AB$15)+K61)/$AB$17</f>
        <v>27834.286464771321</v>
      </c>
      <c r="S61" s="71">
        <f t="shared" ref="S61:S80" si="63">((L61*$AB$15)+L61)/$AB$17</f>
        <v>49183.295735475891</v>
      </c>
      <c r="T61" s="71">
        <f t="shared" si="14"/>
        <v>23267.787793572312</v>
      </c>
      <c r="U61" s="69" t="s">
        <v>102</v>
      </c>
      <c r="V61" s="71">
        <f t="shared" ref="V61:V80" si="64">((O61*$AB$16)+O61)</f>
        <v>15328.170568257106</v>
      </c>
      <c r="W61" s="71">
        <f t="shared" ref="W61:W80" si="65">((P61*$AB$16)+P61)</f>
        <v>18631.765859406674</v>
      </c>
      <c r="X61" s="71">
        <f t="shared" ref="X61:X80" si="66">((Q61*$AB$16)+Q61)</f>
        <v>24235.727765784919</v>
      </c>
      <c r="Y61" s="71">
        <f t="shared" ref="Y61:Y80" si="67">((R61*$AB$16)+R61)</f>
        <v>28992.192781705809</v>
      </c>
      <c r="Z61" s="71">
        <f t="shared" ref="Z61:Z80" si="68">((S61*$AB$16)+S61)</f>
        <v>51229.32083807169</v>
      </c>
      <c r="AA61" s="71">
        <f t="shared" si="13"/>
        <v>24235.727765784919</v>
      </c>
    </row>
    <row r="62" spans="1:28" ht="14.4" x14ac:dyDescent="0.55000000000000004">
      <c r="A62" s="347"/>
      <c r="B62" s="347"/>
      <c r="C62" s="367"/>
      <c r="D62" s="347"/>
      <c r="E62" s="348"/>
      <c r="F62" s="348"/>
      <c r="G62" s="69" t="s">
        <v>104</v>
      </c>
      <c r="H62" s="71">
        <v>273242</v>
      </c>
      <c r="I62" s="71">
        <v>363805</v>
      </c>
      <c r="J62" s="71">
        <v>422541</v>
      </c>
      <c r="K62" s="71">
        <v>585038</v>
      </c>
      <c r="L62" s="71">
        <v>1225700</v>
      </c>
      <c r="M62" s="71">
        <v>490616</v>
      </c>
      <c r="N62" s="69" t="s">
        <v>104</v>
      </c>
      <c r="O62" s="71">
        <f t="shared" si="59"/>
        <v>10964.299660074166</v>
      </c>
      <c r="P62" s="71">
        <f t="shared" si="60"/>
        <v>14598.293958590853</v>
      </c>
      <c r="Q62" s="71">
        <f t="shared" si="61"/>
        <v>16955.175788009888</v>
      </c>
      <c r="R62" s="71">
        <f t="shared" si="62"/>
        <v>23475.644097651417</v>
      </c>
      <c r="S62" s="71">
        <f t="shared" si="63"/>
        <v>49183.295735475891</v>
      </c>
      <c r="T62" s="71">
        <f t="shared" si="14"/>
        <v>16955.175788009888</v>
      </c>
      <c r="U62" s="69" t="s">
        <v>104</v>
      </c>
      <c r="V62" s="71">
        <f t="shared" si="64"/>
        <v>11420.414525933251</v>
      </c>
      <c r="W62" s="71">
        <f t="shared" si="65"/>
        <v>15205.582987268233</v>
      </c>
      <c r="X62" s="71">
        <f t="shared" si="66"/>
        <v>17660.5111007911</v>
      </c>
      <c r="Y62" s="71">
        <f t="shared" si="67"/>
        <v>24452.230892113716</v>
      </c>
      <c r="Z62" s="71">
        <f t="shared" si="68"/>
        <v>51229.32083807169</v>
      </c>
      <c r="AA62" s="71">
        <f t="shared" si="13"/>
        <v>17660.5111007911</v>
      </c>
    </row>
    <row r="63" spans="1:28" ht="14.4" x14ac:dyDescent="0.55000000000000004">
      <c r="A63" s="347"/>
      <c r="B63" s="347"/>
      <c r="C63" s="367"/>
      <c r="D63" s="347"/>
      <c r="E63" s="346" t="s">
        <v>163</v>
      </c>
      <c r="F63" s="346" t="s">
        <v>164</v>
      </c>
      <c r="G63" s="69" t="s">
        <v>101</v>
      </c>
      <c r="H63" s="71">
        <v>489209</v>
      </c>
      <c r="I63" s="71">
        <v>571690</v>
      </c>
      <c r="J63" s="71">
        <v>624167</v>
      </c>
      <c r="K63" s="71">
        <v>814333</v>
      </c>
      <c r="L63" s="71">
        <v>1101228</v>
      </c>
      <c r="M63" s="71">
        <v>711782</v>
      </c>
      <c r="N63" s="69" t="s">
        <v>101</v>
      </c>
      <c r="O63" s="71">
        <f t="shared" si="59"/>
        <v>19630.342598887513</v>
      </c>
      <c r="P63" s="71">
        <f t="shared" si="60"/>
        <v>22940.032911001235</v>
      </c>
      <c r="Q63" s="71">
        <f t="shared" si="61"/>
        <v>25045.761727441284</v>
      </c>
      <c r="R63" s="71">
        <f t="shared" si="62"/>
        <v>32676.49568912237</v>
      </c>
      <c r="S63" s="71">
        <f t="shared" si="63"/>
        <v>44188.645179233616</v>
      </c>
      <c r="T63" s="71">
        <f t="shared" si="14"/>
        <v>25045.761727441284</v>
      </c>
      <c r="U63" s="69" t="s">
        <v>101</v>
      </c>
      <c r="V63" s="71">
        <f t="shared" si="64"/>
        <v>20446.964851001234</v>
      </c>
      <c r="W63" s="71">
        <f t="shared" si="65"/>
        <v>23894.338280098887</v>
      </c>
      <c r="X63" s="71">
        <f t="shared" si="66"/>
        <v>26087.665415302843</v>
      </c>
      <c r="Y63" s="71">
        <f t="shared" si="67"/>
        <v>34035.837909789858</v>
      </c>
      <c r="Z63" s="71">
        <f t="shared" si="68"/>
        <v>46026.892818689732</v>
      </c>
      <c r="AA63" s="71">
        <f t="shared" si="13"/>
        <v>26087.665415302843</v>
      </c>
    </row>
    <row r="64" spans="1:28" ht="14.4" x14ac:dyDescent="0.55000000000000004">
      <c r="A64" s="347"/>
      <c r="B64" s="347"/>
      <c r="C64" s="367"/>
      <c r="D64" s="347"/>
      <c r="E64" s="347"/>
      <c r="F64" s="347"/>
      <c r="G64" s="69" t="s">
        <v>102</v>
      </c>
      <c r="H64" s="71">
        <v>469910</v>
      </c>
      <c r="I64" s="71">
        <v>506907</v>
      </c>
      <c r="J64" s="71">
        <v>577500</v>
      </c>
      <c r="K64" s="71">
        <v>631750</v>
      </c>
      <c r="L64" s="71">
        <v>734154</v>
      </c>
      <c r="M64" s="71">
        <v>582046</v>
      </c>
      <c r="N64" s="69" t="s">
        <v>102</v>
      </c>
      <c r="O64" s="71">
        <f t="shared" si="59"/>
        <v>18855.937422744129</v>
      </c>
      <c r="P64" s="71">
        <f t="shared" si="60"/>
        <v>20340.504928924594</v>
      </c>
      <c r="Q64" s="71">
        <f t="shared" si="61"/>
        <v>23173.169035846724</v>
      </c>
      <c r="R64" s="71">
        <f t="shared" si="62"/>
        <v>25350.042490729295</v>
      </c>
      <c r="S64" s="71">
        <f t="shared" si="63"/>
        <v>29459.177039555005</v>
      </c>
      <c r="T64" s="71">
        <f t="shared" si="14"/>
        <v>23173.169035846724</v>
      </c>
      <c r="U64" s="69" t="s">
        <v>102</v>
      </c>
      <c r="V64" s="71">
        <f t="shared" si="64"/>
        <v>19640.344419530284</v>
      </c>
      <c r="W64" s="71">
        <f t="shared" si="65"/>
        <v>21186.669933967856</v>
      </c>
      <c r="X64" s="71">
        <f t="shared" si="66"/>
        <v>24137.172867737947</v>
      </c>
      <c r="Y64" s="71">
        <f t="shared" si="67"/>
        <v>26404.604258343632</v>
      </c>
      <c r="Z64" s="71">
        <f t="shared" si="68"/>
        <v>30684.678804400493</v>
      </c>
      <c r="AA64" s="71">
        <f t="shared" si="13"/>
        <v>24137.172867737947</v>
      </c>
    </row>
    <row r="65" spans="1:27" ht="14.4" x14ac:dyDescent="0.55000000000000004">
      <c r="A65" s="347"/>
      <c r="B65" s="347"/>
      <c r="C65" s="367"/>
      <c r="D65" s="347"/>
      <c r="E65" s="348"/>
      <c r="F65" s="348"/>
      <c r="G65" s="69" t="s">
        <v>104</v>
      </c>
      <c r="H65" s="71">
        <v>367080</v>
      </c>
      <c r="I65" s="71">
        <v>386925</v>
      </c>
      <c r="J65" s="71">
        <v>443333</v>
      </c>
      <c r="K65" s="71">
        <v>483574</v>
      </c>
      <c r="L65" s="71">
        <v>595000</v>
      </c>
      <c r="M65" s="71">
        <v>452309</v>
      </c>
      <c r="N65" s="69" t="s">
        <v>104</v>
      </c>
      <c r="O65" s="71">
        <f t="shared" si="59"/>
        <v>14729.70889987639</v>
      </c>
      <c r="P65" s="71">
        <f t="shared" si="60"/>
        <v>15526.023254017304</v>
      </c>
      <c r="Q65" s="71">
        <f t="shared" si="61"/>
        <v>17789.490126699628</v>
      </c>
      <c r="R65" s="71">
        <f t="shared" si="62"/>
        <v>19404.228646477131</v>
      </c>
      <c r="S65" s="71">
        <f t="shared" si="63"/>
        <v>23875.38627935723</v>
      </c>
      <c r="T65" s="71">
        <f t="shared" si="14"/>
        <v>17789.490126699628</v>
      </c>
      <c r="U65" s="69" t="s">
        <v>104</v>
      </c>
      <c r="V65" s="71">
        <f t="shared" si="64"/>
        <v>15342.464790111248</v>
      </c>
      <c r="W65" s="71">
        <f t="shared" si="65"/>
        <v>16171.905821384424</v>
      </c>
      <c r="X65" s="71">
        <f t="shared" si="66"/>
        <v>18529.532915970332</v>
      </c>
      <c r="Y65" s="71">
        <f t="shared" si="67"/>
        <v>20211.44455817058</v>
      </c>
      <c r="Z65" s="71">
        <f t="shared" si="68"/>
        <v>24868.60234857849</v>
      </c>
      <c r="AA65" s="71">
        <f t="shared" si="13"/>
        <v>18529.532915970332</v>
      </c>
    </row>
    <row r="66" spans="1:27" ht="14.4" x14ac:dyDescent="0.55000000000000004">
      <c r="A66" s="347"/>
      <c r="B66" s="347"/>
      <c r="C66" s="367"/>
      <c r="D66" s="347"/>
      <c r="E66" s="346" t="s">
        <v>165</v>
      </c>
      <c r="F66" s="346" t="s">
        <v>166</v>
      </c>
      <c r="G66" s="69" t="s">
        <v>101</v>
      </c>
      <c r="H66" s="71">
        <v>396528</v>
      </c>
      <c r="I66" s="71">
        <v>537883</v>
      </c>
      <c r="J66" s="71">
        <v>674522</v>
      </c>
      <c r="K66" s="71">
        <v>801749</v>
      </c>
      <c r="L66" s="71">
        <v>1101228</v>
      </c>
      <c r="M66" s="71">
        <v>694533</v>
      </c>
      <c r="N66" s="69" t="s">
        <v>101</v>
      </c>
      <c r="O66" s="71">
        <f t="shared" si="59"/>
        <v>15911.35995055624</v>
      </c>
      <c r="P66" s="71">
        <f t="shared" si="60"/>
        <v>21583.469576637825</v>
      </c>
      <c r="Q66" s="71">
        <f t="shared" si="61"/>
        <v>27066.341687268232</v>
      </c>
      <c r="R66" s="71">
        <f t="shared" si="62"/>
        <v>32171.541300988876</v>
      </c>
      <c r="S66" s="71">
        <f t="shared" si="63"/>
        <v>44188.645179233616</v>
      </c>
      <c r="T66" s="71">
        <f t="shared" si="14"/>
        <v>27066.341687268232</v>
      </c>
      <c r="U66" s="69" t="s">
        <v>101</v>
      </c>
      <c r="V66" s="71">
        <f t="shared" si="64"/>
        <v>16573.272524499378</v>
      </c>
      <c r="W66" s="71">
        <f t="shared" si="65"/>
        <v>22481.341911025957</v>
      </c>
      <c r="X66" s="71">
        <f t="shared" si="66"/>
        <v>28192.301501458591</v>
      </c>
      <c r="Y66" s="71">
        <f t="shared" si="67"/>
        <v>33509.877419110016</v>
      </c>
      <c r="Z66" s="71">
        <f t="shared" si="68"/>
        <v>46026.892818689732</v>
      </c>
      <c r="AA66" s="71">
        <f t="shared" si="13"/>
        <v>28192.301501458591</v>
      </c>
    </row>
    <row r="67" spans="1:27" ht="14.4" x14ac:dyDescent="0.55000000000000004">
      <c r="A67" s="347"/>
      <c r="B67" s="347"/>
      <c r="C67" s="367"/>
      <c r="D67" s="347"/>
      <c r="E67" s="347"/>
      <c r="F67" s="347"/>
      <c r="G67" s="69" t="s">
        <v>102</v>
      </c>
      <c r="H67" s="71">
        <v>371200</v>
      </c>
      <c r="I67" s="71">
        <v>458620</v>
      </c>
      <c r="J67" s="71">
        <v>551541</v>
      </c>
      <c r="K67" s="71">
        <v>641503</v>
      </c>
      <c r="L67" s="71">
        <v>877452</v>
      </c>
      <c r="M67" s="71">
        <v>569375</v>
      </c>
      <c r="N67" s="69" t="s">
        <v>102</v>
      </c>
      <c r="O67" s="71">
        <f t="shared" si="59"/>
        <v>14895.030902348577</v>
      </c>
      <c r="P67" s="71">
        <f t="shared" si="60"/>
        <v>18402.906983930778</v>
      </c>
      <c r="Q67" s="71">
        <f t="shared" si="61"/>
        <v>22131.520040173051</v>
      </c>
      <c r="R67" s="71">
        <f t="shared" si="62"/>
        <v>25741.398192212608</v>
      </c>
      <c r="S67" s="71">
        <f t="shared" si="63"/>
        <v>35209.252843016067</v>
      </c>
      <c r="T67" s="71">
        <f t="shared" si="14"/>
        <v>22131.520040173051</v>
      </c>
      <c r="U67" s="69" t="s">
        <v>102</v>
      </c>
      <c r="V67" s="71">
        <f t="shared" si="64"/>
        <v>15514.664187886277</v>
      </c>
      <c r="W67" s="71">
        <f t="shared" si="65"/>
        <v>19168.467914462297</v>
      </c>
      <c r="X67" s="71">
        <f t="shared" si="66"/>
        <v>23052.191273844248</v>
      </c>
      <c r="Y67" s="71">
        <f t="shared" si="67"/>
        <v>26812.240357008654</v>
      </c>
      <c r="Z67" s="71">
        <f t="shared" si="68"/>
        <v>36673.957761285536</v>
      </c>
      <c r="AA67" s="71">
        <f t="shared" si="13"/>
        <v>23052.191273844248</v>
      </c>
    </row>
    <row r="68" spans="1:27" ht="14.4" x14ac:dyDescent="0.55000000000000004">
      <c r="A68" s="347"/>
      <c r="B68" s="347"/>
      <c r="C68" s="367"/>
      <c r="D68" s="347"/>
      <c r="E68" s="348"/>
      <c r="F68" s="348"/>
      <c r="G68" s="69" t="s">
        <v>104</v>
      </c>
      <c r="H68" s="71">
        <v>283483</v>
      </c>
      <c r="I68" s="71">
        <v>355179</v>
      </c>
      <c r="J68" s="71">
        <v>407028</v>
      </c>
      <c r="K68" s="71">
        <v>472978</v>
      </c>
      <c r="L68" s="71">
        <v>733915</v>
      </c>
      <c r="M68" s="71">
        <v>444216</v>
      </c>
      <c r="N68" s="69" t="s">
        <v>104</v>
      </c>
      <c r="O68" s="71">
        <f t="shared" si="59"/>
        <v>11375.237190976513</v>
      </c>
      <c r="P68" s="71">
        <f t="shared" si="60"/>
        <v>14252.161047589616</v>
      </c>
      <c r="Q68" s="71">
        <f t="shared" si="61"/>
        <v>16332.690296662546</v>
      </c>
      <c r="R68" s="71">
        <f t="shared" si="62"/>
        <v>18979.046137206427</v>
      </c>
      <c r="S68" s="71">
        <f t="shared" si="63"/>
        <v>29449.586758343634</v>
      </c>
      <c r="T68" s="71">
        <f t="shared" si="14"/>
        <v>16332.690296662546</v>
      </c>
      <c r="U68" s="69" t="s">
        <v>104</v>
      </c>
      <c r="V68" s="71">
        <f t="shared" si="64"/>
        <v>11848.447058121137</v>
      </c>
      <c r="W68" s="71">
        <f t="shared" si="65"/>
        <v>14845.050947169344</v>
      </c>
      <c r="X68" s="71">
        <f t="shared" si="66"/>
        <v>17012.130213003707</v>
      </c>
      <c r="Y68" s="71">
        <f t="shared" si="67"/>
        <v>19768.574456514216</v>
      </c>
      <c r="Z68" s="71">
        <f t="shared" si="68"/>
        <v>30674.689567490728</v>
      </c>
      <c r="AA68" s="71">
        <f t="shared" si="13"/>
        <v>17012.130213003707</v>
      </c>
    </row>
    <row r="69" spans="1:27" ht="14.4" x14ac:dyDescent="0.55000000000000004">
      <c r="A69" s="347"/>
      <c r="B69" s="347"/>
      <c r="C69" s="367"/>
      <c r="D69" s="347"/>
      <c r="E69" s="346" t="s">
        <v>167</v>
      </c>
      <c r="F69" s="346" t="s">
        <v>168</v>
      </c>
      <c r="G69" s="69" t="s">
        <v>101</v>
      </c>
      <c r="H69" s="71">
        <v>388957</v>
      </c>
      <c r="I69" s="71">
        <v>552568</v>
      </c>
      <c r="J69" s="71">
        <v>563573</v>
      </c>
      <c r="K69" s="71">
        <v>808627</v>
      </c>
      <c r="L69" s="71">
        <v>1101228</v>
      </c>
      <c r="M69" s="71">
        <v>680377</v>
      </c>
      <c r="N69" s="69" t="s">
        <v>101</v>
      </c>
      <c r="O69" s="71">
        <f t="shared" si="59"/>
        <v>15607.560707663781</v>
      </c>
      <c r="P69" s="71">
        <f t="shared" si="60"/>
        <v>22172.730160692212</v>
      </c>
      <c r="Q69" s="71">
        <f t="shared" si="61"/>
        <v>22614.324490111248</v>
      </c>
      <c r="R69" s="71">
        <f t="shared" si="62"/>
        <v>32447.532741038318</v>
      </c>
      <c r="S69" s="71">
        <f t="shared" si="63"/>
        <v>44188.645179233616</v>
      </c>
      <c r="T69" s="71">
        <f t="shared" si="14"/>
        <v>22614.324490111248</v>
      </c>
      <c r="U69" s="69" t="s">
        <v>101</v>
      </c>
      <c r="V69" s="71">
        <f t="shared" si="64"/>
        <v>16256.835233102594</v>
      </c>
      <c r="W69" s="71">
        <f t="shared" si="65"/>
        <v>23095.115735377007</v>
      </c>
      <c r="X69" s="71">
        <f t="shared" si="66"/>
        <v>23555.080388899878</v>
      </c>
      <c r="Y69" s="71">
        <f t="shared" si="67"/>
        <v>33797.35010306551</v>
      </c>
      <c r="Z69" s="71">
        <f t="shared" si="68"/>
        <v>46026.892818689732</v>
      </c>
      <c r="AA69" s="71">
        <f t="shared" si="13"/>
        <v>23555.080388899878</v>
      </c>
    </row>
    <row r="70" spans="1:27" ht="14.4" x14ac:dyDescent="0.55000000000000004">
      <c r="A70" s="347"/>
      <c r="B70" s="347"/>
      <c r="C70" s="367"/>
      <c r="D70" s="347"/>
      <c r="E70" s="347"/>
      <c r="F70" s="347"/>
      <c r="G70" s="69" t="s">
        <v>102</v>
      </c>
      <c r="H70" s="71">
        <v>369886</v>
      </c>
      <c r="I70" s="71">
        <v>459036</v>
      </c>
      <c r="J70" s="71">
        <v>484218</v>
      </c>
      <c r="K70" s="71">
        <v>640732</v>
      </c>
      <c r="L70" s="71">
        <v>877452</v>
      </c>
      <c r="M70" s="71">
        <v>558542</v>
      </c>
      <c r="N70" s="69" t="s">
        <v>102</v>
      </c>
      <c r="O70" s="71">
        <f t="shared" si="59"/>
        <v>14842.304419035845</v>
      </c>
      <c r="P70" s="71">
        <f t="shared" si="60"/>
        <v>18419.599690976513</v>
      </c>
      <c r="Q70" s="71">
        <f t="shared" si="61"/>
        <v>19430.070241038316</v>
      </c>
      <c r="R70" s="71">
        <f t="shared" si="62"/>
        <v>25710.460506798514</v>
      </c>
      <c r="S70" s="71">
        <f t="shared" si="63"/>
        <v>35209.252843016067</v>
      </c>
      <c r="T70" s="71">
        <f t="shared" si="14"/>
        <v>19430.070241038316</v>
      </c>
      <c r="U70" s="69" t="s">
        <v>102</v>
      </c>
      <c r="V70" s="71">
        <f t="shared" si="64"/>
        <v>15459.744282867736</v>
      </c>
      <c r="W70" s="71">
        <f t="shared" si="65"/>
        <v>19185.855038121135</v>
      </c>
      <c r="X70" s="71">
        <f t="shared" si="66"/>
        <v>20238.36116306551</v>
      </c>
      <c r="Y70" s="71">
        <f t="shared" si="67"/>
        <v>26780.015663881331</v>
      </c>
      <c r="Z70" s="71">
        <f t="shared" si="68"/>
        <v>36673.957761285536</v>
      </c>
      <c r="AA70" s="71">
        <f t="shared" si="13"/>
        <v>20238.36116306551</v>
      </c>
    </row>
    <row r="71" spans="1:27" ht="14.4" x14ac:dyDescent="0.55000000000000004">
      <c r="A71" s="347"/>
      <c r="B71" s="347"/>
      <c r="C71" s="367"/>
      <c r="D71" s="347"/>
      <c r="E71" s="348"/>
      <c r="F71" s="348"/>
      <c r="G71" s="69" t="s">
        <v>104</v>
      </c>
      <c r="H71" s="71">
        <v>273242</v>
      </c>
      <c r="I71" s="71">
        <v>363014</v>
      </c>
      <c r="J71" s="71">
        <v>390113</v>
      </c>
      <c r="K71" s="71">
        <v>469022</v>
      </c>
      <c r="L71" s="71">
        <v>733915</v>
      </c>
      <c r="M71" s="71">
        <v>436707</v>
      </c>
      <c r="N71" s="69" t="s">
        <v>104</v>
      </c>
      <c r="O71" s="71">
        <f t="shared" si="59"/>
        <v>10964.299660074166</v>
      </c>
      <c r="P71" s="71">
        <f t="shared" si="60"/>
        <v>14566.553739184177</v>
      </c>
      <c r="Q71" s="71">
        <f t="shared" si="61"/>
        <v>15653.947172435104</v>
      </c>
      <c r="R71" s="71">
        <f t="shared" si="62"/>
        <v>18820.304913473421</v>
      </c>
      <c r="S71" s="71">
        <f t="shared" si="63"/>
        <v>29449.586758343634</v>
      </c>
      <c r="T71" s="71">
        <f t="shared" si="14"/>
        <v>15653.947172435104</v>
      </c>
      <c r="U71" s="69" t="s">
        <v>104</v>
      </c>
      <c r="V71" s="71">
        <f t="shared" si="64"/>
        <v>11420.414525933251</v>
      </c>
      <c r="W71" s="71">
        <f t="shared" si="65"/>
        <v>15172.522374734239</v>
      </c>
      <c r="X71" s="71">
        <f t="shared" si="66"/>
        <v>16305.151374808405</v>
      </c>
      <c r="Y71" s="71">
        <f t="shared" si="67"/>
        <v>19603.229597873917</v>
      </c>
      <c r="Z71" s="71">
        <f t="shared" si="68"/>
        <v>30674.689567490728</v>
      </c>
      <c r="AA71" s="71">
        <f t="shared" si="13"/>
        <v>16305.151374808405</v>
      </c>
    </row>
    <row r="72" spans="1:27" ht="14.4" x14ac:dyDescent="0.55000000000000004">
      <c r="A72" s="347"/>
      <c r="B72" s="347"/>
      <c r="C72" s="367"/>
      <c r="D72" s="347"/>
      <c r="E72" s="346" t="s">
        <v>169</v>
      </c>
      <c r="F72" s="346" t="s">
        <v>170</v>
      </c>
      <c r="G72" s="69" t="s">
        <v>101</v>
      </c>
      <c r="H72" s="71">
        <v>379561</v>
      </c>
      <c r="I72" s="71">
        <v>628766</v>
      </c>
      <c r="J72" s="71">
        <v>756889</v>
      </c>
      <c r="K72" s="71">
        <v>876373</v>
      </c>
      <c r="L72" s="71">
        <v>1101228</v>
      </c>
      <c r="M72" s="71">
        <v>749708</v>
      </c>
      <c r="N72" s="69" t="s">
        <v>101</v>
      </c>
      <c r="O72" s="71">
        <f t="shared" si="59"/>
        <v>15230.530237948084</v>
      </c>
      <c r="P72" s="71">
        <f t="shared" si="60"/>
        <v>25230.304419035845</v>
      </c>
      <c r="Q72" s="71">
        <f t="shared" si="61"/>
        <v>30371.457555624223</v>
      </c>
      <c r="R72" s="71">
        <f t="shared" si="62"/>
        <v>35165.95613411619</v>
      </c>
      <c r="S72" s="71">
        <f t="shared" si="63"/>
        <v>44188.645179233616</v>
      </c>
      <c r="T72" s="71">
        <f t="shared" si="14"/>
        <v>30371.457555624223</v>
      </c>
      <c r="U72" s="69" t="s">
        <v>101</v>
      </c>
      <c r="V72" s="71">
        <f t="shared" si="64"/>
        <v>15864.120295846724</v>
      </c>
      <c r="W72" s="71">
        <f t="shared" si="65"/>
        <v>26279.885082867735</v>
      </c>
      <c r="X72" s="71">
        <f t="shared" si="66"/>
        <v>31634.910189938189</v>
      </c>
      <c r="Y72" s="71">
        <f t="shared" si="67"/>
        <v>36628.859909295425</v>
      </c>
      <c r="Z72" s="71">
        <f t="shared" si="68"/>
        <v>46026.892818689732</v>
      </c>
      <c r="AA72" s="71">
        <f t="shared" si="13"/>
        <v>31634.910189938189</v>
      </c>
    </row>
    <row r="73" spans="1:27" ht="14.4" x14ac:dyDescent="0.55000000000000004">
      <c r="A73" s="347"/>
      <c r="B73" s="347"/>
      <c r="C73" s="367"/>
      <c r="D73" s="347"/>
      <c r="E73" s="347"/>
      <c r="F73" s="347"/>
      <c r="G73" s="69" t="s">
        <v>102</v>
      </c>
      <c r="H73" s="71">
        <v>361273</v>
      </c>
      <c r="I73" s="71">
        <v>518781</v>
      </c>
      <c r="J73" s="71">
        <v>609591</v>
      </c>
      <c r="K73" s="71">
        <v>689077</v>
      </c>
      <c r="L73" s="71">
        <v>737643</v>
      </c>
      <c r="M73" s="71">
        <v>589175</v>
      </c>
      <c r="N73" s="69" t="s">
        <v>102</v>
      </c>
      <c r="O73" s="71">
        <f t="shared" si="59"/>
        <v>14496.693155129789</v>
      </c>
      <c r="P73" s="71">
        <f t="shared" si="60"/>
        <v>20816.969360321382</v>
      </c>
      <c r="Q73" s="71">
        <f t="shared" si="61"/>
        <v>24460.874953646478</v>
      </c>
      <c r="R73" s="71">
        <f t="shared" si="62"/>
        <v>27650.385800370823</v>
      </c>
      <c r="S73" s="71">
        <f t="shared" si="63"/>
        <v>29599.179094561183</v>
      </c>
      <c r="T73" s="71">
        <f t="shared" si="14"/>
        <v>24460.874953646478</v>
      </c>
      <c r="U73" s="69" t="s">
        <v>102</v>
      </c>
      <c r="V73" s="71">
        <f t="shared" si="64"/>
        <v>15099.755590383189</v>
      </c>
      <c r="W73" s="71">
        <f t="shared" si="65"/>
        <v>21682.955285710752</v>
      </c>
      <c r="X73" s="71">
        <f t="shared" si="66"/>
        <v>25478.447351718172</v>
      </c>
      <c r="Y73" s="71">
        <f t="shared" si="67"/>
        <v>28800.641849666248</v>
      </c>
      <c r="Z73" s="71">
        <f t="shared" si="68"/>
        <v>30830.504944894928</v>
      </c>
      <c r="AA73" s="71">
        <f t="shared" si="13"/>
        <v>25478.447351718172</v>
      </c>
    </row>
    <row r="74" spans="1:27" ht="14.4" x14ac:dyDescent="0.55000000000000004">
      <c r="A74" s="347"/>
      <c r="B74" s="347"/>
      <c r="C74" s="367"/>
      <c r="D74" s="347"/>
      <c r="E74" s="348"/>
      <c r="F74" s="348"/>
      <c r="G74" s="69" t="s">
        <v>104</v>
      </c>
      <c r="H74" s="71">
        <v>342984</v>
      </c>
      <c r="I74" s="71">
        <v>385214</v>
      </c>
      <c r="J74" s="71">
        <v>414246</v>
      </c>
      <c r="K74" s="71">
        <v>441146</v>
      </c>
      <c r="L74" s="71">
        <v>590541</v>
      </c>
      <c r="M74" s="71">
        <v>428642</v>
      </c>
      <c r="N74" s="69" t="s">
        <v>104</v>
      </c>
      <c r="O74" s="71">
        <f t="shared" si="59"/>
        <v>13762.815945611865</v>
      </c>
      <c r="P74" s="71">
        <f t="shared" si="60"/>
        <v>15457.366470951793</v>
      </c>
      <c r="Q74" s="71">
        <f t="shared" si="61"/>
        <v>16622.324814585907</v>
      </c>
      <c r="R74" s="71">
        <f t="shared" si="62"/>
        <v>17701.733034610628</v>
      </c>
      <c r="S74" s="71">
        <f t="shared" si="63"/>
        <v>23696.461325710752</v>
      </c>
      <c r="T74" s="71">
        <f t="shared" si="14"/>
        <v>16622.324814585907</v>
      </c>
      <c r="U74" s="69" t="s">
        <v>104</v>
      </c>
      <c r="V74" s="71">
        <f t="shared" si="64"/>
        <v>14335.349088949319</v>
      </c>
      <c r="W74" s="71">
        <f t="shared" si="65"/>
        <v>16100.392916143388</v>
      </c>
      <c r="X74" s="71">
        <f t="shared" si="66"/>
        <v>17313.81352687268</v>
      </c>
      <c r="Y74" s="71">
        <f t="shared" si="67"/>
        <v>18438.125128850432</v>
      </c>
      <c r="Z74" s="71">
        <f t="shared" si="68"/>
        <v>24682.23411686032</v>
      </c>
      <c r="AA74" s="71">
        <f t="shared" si="13"/>
        <v>17313.81352687268</v>
      </c>
    </row>
    <row r="75" spans="1:27" ht="14.4" x14ac:dyDescent="0.55000000000000004">
      <c r="A75" s="347"/>
      <c r="B75" s="347"/>
      <c r="C75" s="367"/>
      <c r="D75" s="347"/>
      <c r="E75" s="346" t="s">
        <v>171</v>
      </c>
      <c r="F75" s="346" t="s">
        <v>172</v>
      </c>
      <c r="G75" s="69" t="s">
        <v>101</v>
      </c>
      <c r="H75" s="71">
        <v>563920</v>
      </c>
      <c r="I75" s="71">
        <v>633543</v>
      </c>
      <c r="J75" s="71">
        <v>703166</v>
      </c>
      <c r="K75" s="71">
        <v>730027</v>
      </c>
      <c r="L75" s="71">
        <v>756889</v>
      </c>
      <c r="M75" s="71">
        <v>674658</v>
      </c>
      <c r="N75" s="69" t="s">
        <v>101</v>
      </c>
      <c r="O75" s="71">
        <f t="shared" si="59"/>
        <v>22628.248454882571</v>
      </c>
      <c r="P75" s="71">
        <f t="shared" si="60"/>
        <v>25421.989663164401</v>
      </c>
      <c r="Q75" s="71">
        <f t="shared" si="61"/>
        <v>28215.730871446227</v>
      </c>
      <c r="R75" s="71">
        <f t="shared" si="62"/>
        <v>29293.574150185414</v>
      </c>
      <c r="S75" s="71">
        <f t="shared" si="63"/>
        <v>30371.457555624223</v>
      </c>
      <c r="T75" s="71">
        <f t="shared" si="14"/>
        <v>28215.730871446227</v>
      </c>
      <c r="U75" s="69" t="s">
        <v>101</v>
      </c>
      <c r="V75" s="71">
        <f t="shared" si="64"/>
        <v>23569.583590605685</v>
      </c>
      <c r="W75" s="71">
        <f t="shared" si="65"/>
        <v>26479.544433152041</v>
      </c>
      <c r="X75" s="71">
        <f t="shared" si="66"/>
        <v>29389.50527569839</v>
      </c>
      <c r="Y75" s="71">
        <f t="shared" si="67"/>
        <v>30512.186834833126</v>
      </c>
      <c r="Z75" s="71">
        <f t="shared" si="68"/>
        <v>31634.910189938189</v>
      </c>
      <c r="AA75" s="71">
        <f t="shared" si="13"/>
        <v>29389.50527569839</v>
      </c>
    </row>
    <row r="76" spans="1:27" ht="14.4" x14ac:dyDescent="0.55000000000000004">
      <c r="A76" s="347"/>
      <c r="B76" s="347"/>
      <c r="C76" s="367"/>
      <c r="D76" s="347"/>
      <c r="E76" s="347"/>
      <c r="F76" s="347"/>
      <c r="G76" s="69" t="s">
        <v>102</v>
      </c>
      <c r="H76" s="71">
        <v>469910</v>
      </c>
      <c r="I76" s="71">
        <v>514308</v>
      </c>
      <c r="J76" s="71">
        <v>558706</v>
      </c>
      <c r="K76" s="71">
        <v>584148</v>
      </c>
      <c r="L76" s="71">
        <v>609591</v>
      </c>
      <c r="M76" s="71">
        <v>546069</v>
      </c>
      <c r="N76" s="69" t="s">
        <v>102</v>
      </c>
      <c r="O76" s="71">
        <f t="shared" si="59"/>
        <v>18855.937422744129</v>
      </c>
      <c r="P76" s="71">
        <f t="shared" si="60"/>
        <v>20637.482632880099</v>
      </c>
      <c r="Q76" s="71">
        <f t="shared" si="61"/>
        <v>22419.027843016069</v>
      </c>
      <c r="R76" s="71">
        <f t="shared" si="62"/>
        <v>23439.931334981458</v>
      </c>
      <c r="S76" s="71">
        <f t="shared" si="63"/>
        <v>24460.874953646478</v>
      </c>
      <c r="T76" s="71">
        <f t="shared" si="14"/>
        <v>22419.027843016069</v>
      </c>
      <c r="U76" s="69" t="s">
        <v>102</v>
      </c>
      <c r="V76" s="71">
        <f t="shared" si="64"/>
        <v>19640.344419530284</v>
      </c>
      <c r="W76" s="71">
        <f t="shared" si="65"/>
        <v>21496.001910407911</v>
      </c>
      <c r="X76" s="71">
        <f t="shared" si="66"/>
        <v>23351.659401285538</v>
      </c>
      <c r="Y76" s="71">
        <f t="shared" si="67"/>
        <v>24415.032478516689</v>
      </c>
      <c r="Z76" s="71">
        <f t="shared" si="68"/>
        <v>25478.447351718172</v>
      </c>
      <c r="AA76" s="71">
        <f t="shared" si="13"/>
        <v>23351.659401285538</v>
      </c>
    </row>
    <row r="77" spans="1:27" ht="14.4" x14ac:dyDescent="0.55000000000000004">
      <c r="A77" s="347"/>
      <c r="B77" s="347"/>
      <c r="C77" s="367"/>
      <c r="D77" s="347"/>
      <c r="E77" s="348"/>
      <c r="F77" s="348"/>
      <c r="G77" s="69" t="s">
        <v>104</v>
      </c>
      <c r="H77" s="71">
        <v>375900</v>
      </c>
      <c r="I77" s="71">
        <v>395073</v>
      </c>
      <c r="J77" s="71">
        <v>414246</v>
      </c>
      <c r="K77" s="71">
        <v>438269</v>
      </c>
      <c r="L77" s="71">
        <v>462293</v>
      </c>
      <c r="M77" s="71">
        <v>417479</v>
      </c>
      <c r="N77" s="69" t="s">
        <v>104</v>
      </c>
      <c r="O77" s="71">
        <f t="shared" si="59"/>
        <v>15083.626390605685</v>
      </c>
      <c r="P77" s="71">
        <f t="shared" si="60"/>
        <v>15852.975602595798</v>
      </c>
      <c r="Q77" s="71">
        <f t="shared" si="61"/>
        <v>16622.324814585907</v>
      </c>
      <c r="R77" s="71">
        <f t="shared" si="62"/>
        <v>17586.288519777503</v>
      </c>
      <c r="S77" s="71">
        <f t="shared" si="63"/>
        <v>18550.292351668726</v>
      </c>
      <c r="T77" s="71">
        <f t="shared" si="14"/>
        <v>16622.324814585907</v>
      </c>
      <c r="U77" s="69" t="s">
        <v>104</v>
      </c>
      <c r="V77" s="71">
        <f t="shared" si="64"/>
        <v>15711.105248454882</v>
      </c>
      <c r="W77" s="71">
        <f t="shared" si="65"/>
        <v>16512.459387663785</v>
      </c>
      <c r="X77" s="71">
        <f t="shared" si="66"/>
        <v>17313.81352687268</v>
      </c>
      <c r="Y77" s="71">
        <f t="shared" si="67"/>
        <v>18317.878122200247</v>
      </c>
      <c r="Z77" s="71">
        <f t="shared" si="68"/>
        <v>19321.984513498144</v>
      </c>
      <c r="AA77" s="71">
        <f t="shared" si="13"/>
        <v>17313.81352687268</v>
      </c>
    </row>
    <row r="78" spans="1:27" ht="14.4" x14ac:dyDescent="0.55000000000000004">
      <c r="A78" s="347"/>
      <c r="B78" s="347"/>
      <c r="C78" s="367"/>
      <c r="D78" s="347"/>
      <c r="E78" s="346" t="s">
        <v>173</v>
      </c>
      <c r="F78" s="346" t="s">
        <v>174</v>
      </c>
      <c r="G78" s="69" t="s">
        <v>101</v>
      </c>
      <c r="H78" s="71">
        <v>495998</v>
      </c>
      <c r="I78" s="71">
        <v>703166</v>
      </c>
      <c r="J78" s="71">
        <v>805170</v>
      </c>
      <c r="K78" s="71">
        <v>868000</v>
      </c>
      <c r="L78" s="71">
        <v>1101228</v>
      </c>
      <c r="M78" s="71">
        <v>794712</v>
      </c>
      <c r="N78" s="69" t="s">
        <v>101</v>
      </c>
      <c r="O78" s="71">
        <f t="shared" si="59"/>
        <v>19902.762762669961</v>
      </c>
      <c r="P78" s="71">
        <f t="shared" si="60"/>
        <v>28215.730871446227</v>
      </c>
      <c r="Q78" s="71">
        <f t="shared" si="61"/>
        <v>32308.814740420272</v>
      </c>
      <c r="R78" s="71">
        <f t="shared" si="62"/>
        <v>34829.975278121135</v>
      </c>
      <c r="S78" s="71">
        <f t="shared" si="63"/>
        <v>44188.645179233616</v>
      </c>
      <c r="T78" s="71">
        <f t="shared" si="14"/>
        <v>32308.814740420272</v>
      </c>
      <c r="U78" s="69" t="s">
        <v>101</v>
      </c>
      <c r="V78" s="71">
        <f t="shared" si="64"/>
        <v>20730.717693597031</v>
      </c>
      <c r="W78" s="71">
        <f t="shared" si="65"/>
        <v>29389.50527569839</v>
      </c>
      <c r="X78" s="71">
        <f t="shared" si="66"/>
        <v>33652.861433621758</v>
      </c>
      <c r="Y78" s="71">
        <f t="shared" si="67"/>
        <v>36278.902249690975</v>
      </c>
      <c r="Z78" s="71">
        <f t="shared" si="68"/>
        <v>46026.892818689732</v>
      </c>
      <c r="AA78" s="71">
        <f t="shared" si="13"/>
        <v>33652.861433621758</v>
      </c>
    </row>
    <row r="79" spans="1:27" ht="14.4" x14ac:dyDescent="0.55000000000000004">
      <c r="A79" s="347"/>
      <c r="B79" s="347"/>
      <c r="C79" s="367"/>
      <c r="D79" s="347"/>
      <c r="E79" s="347"/>
      <c r="F79" s="347"/>
      <c r="G79" s="69" t="s">
        <v>102</v>
      </c>
      <c r="H79" s="71">
        <v>445612</v>
      </c>
      <c r="I79" s="71">
        <v>558706</v>
      </c>
      <c r="J79" s="71">
        <v>644000</v>
      </c>
      <c r="K79" s="71">
        <v>734154</v>
      </c>
      <c r="L79" s="71">
        <v>754189</v>
      </c>
      <c r="M79" s="71">
        <v>627332</v>
      </c>
      <c r="N79" s="69" t="s">
        <v>102</v>
      </c>
      <c r="O79" s="71">
        <f t="shared" si="59"/>
        <v>17880.938875154512</v>
      </c>
      <c r="P79" s="71">
        <f t="shared" si="60"/>
        <v>22419.027843016069</v>
      </c>
      <c r="Q79" s="71">
        <f t="shared" si="61"/>
        <v>25841.594561186648</v>
      </c>
      <c r="R79" s="71">
        <f t="shared" si="62"/>
        <v>29459.177039555005</v>
      </c>
      <c r="S79" s="71">
        <f t="shared" si="63"/>
        <v>30263.115466625459</v>
      </c>
      <c r="T79" s="71">
        <f t="shared" si="14"/>
        <v>25841.594561186648</v>
      </c>
      <c r="U79" s="69" t="s">
        <v>102</v>
      </c>
      <c r="V79" s="71">
        <f t="shared" si="64"/>
        <v>18624.785932360941</v>
      </c>
      <c r="W79" s="71">
        <f t="shared" si="65"/>
        <v>23351.659401285538</v>
      </c>
      <c r="X79" s="71">
        <f t="shared" si="66"/>
        <v>26916.604894932014</v>
      </c>
      <c r="Y79" s="71">
        <f t="shared" si="67"/>
        <v>30684.678804400493</v>
      </c>
      <c r="Z79" s="71">
        <f t="shared" si="68"/>
        <v>31522.061070037078</v>
      </c>
      <c r="AA79" s="71">
        <f t="shared" si="13"/>
        <v>26916.604894932014</v>
      </c>
    </row>
    <row r="80" spans="1:27" ht="14.4" x14ac:dyDescent="0.55000000000000004">
      <c r="A80" s="347"/>
      <c r="B80" s="347"/>
      <c r="C80" s="367"/>
      <c r="D80" s="347"/>
      <c r="E80" s="348"/>
      <c r="F80" s="348"/>
      <c r="G80" s="69" t="s">
        <v>104</v>
      </c>
      <c r="H80" s="71">
        <v>367080</v>
      </c>
      <c r="I80" s="71">
        <v>395226</v>
      </c>
      <c r="J80" s="71">
        <v>414246</v>
      </c>
      <c r="K80" s="71">
        <v>420000</v>
      </c>
      <c r="L80" s="71">
        <v>703208</v>
      </c>
      <c r="M80" s="71">
        <v>459952</v>
      </c>
      <c r="N80" s="69" t="s">
        <v>104</v>
      </c>
      <c r="O80" s="71">
        <f t="shared" si="59"/>
        <v>14729.70889987639</v>
      </c>
      <c r="P80" s="71">
        <f t="shared" si="60"/>
        <v>15859.114987639061</v>
      </c>
      <c r="Q80" s="71">
        <f t="shared" si="61"/>
        <v>16622.324814585907</v>
      </c>
      <c r="R80" s="71">
        <f t="shared" si="62"/>
        <v>16853.213844252161</v>
      </c>
      <c r="S80" s="71">
        <f t="shared" si="63"/>
        <v>28217.416192830653</v>
      </c>
      <c r="T80" s="71">
        <f t="shared" si="14"/>
        <v>16622.324814585907</v>
      </c>
      <c r="U80" s="69" t="s">
        <v>104</v>
      </c>
      <c r="V80" s="71">
        <f t="shared" si="64"/>
        <v>15342.464790111248</v>
      </c>
      <c r="W80" s="71">
        <f t="shared" si="65"/>
        <v>16518.854171124847</v>
      </c>
      <c r="X80" s="71">
        <f t="shared" si="66"/>
        <v>17313.81352687268</v>
      </c>
      <c r="Y80" s="71">
        <f t="shared" si="67"/>
        <v>17554.307540173049</v>
      </c>
      <c r="Z80" s="71">
        <f t="shared" si="68"/>
        <v>29391.260706452409</v>
      </c>
      <c r="AA80" s="71">
        <f t="shared" si="13"/>
        <v>17313.81352687268</v>
      </c>
    </row>
    <row r="81" spans="1:27" ht="15" customHeight="1" x14ac:dyDescent="0.55000000000000004">
      <c r="A81" s="369" t="s">
        <v>175</v>
      </c>
      <c r="B81" s="369" t="s">
        <v>176</v>
      </c>
      <c r="C81" s="367"/>
      <c r="D81" s="369" t="s">
        <v>177</v>
      </c>
      <c r="E81" s="369" t="s">
        <v>177</v>
      </c>
      <c r="F81" s="70"/>
      <c r="G81" s="70" t="s">
        <v>101</v>
      </c>
      <c r="H81" s="72">
        <v>356742</v>
      </c>
      <c r="I81" s="72">
        <v>455830</v>
      </c>
      <c r="J81" s="72">
        <v>530833</v>
      </c>
      <c r="K81" s="72">
        <v>634244</v>
      </c>
      <c r="L81" s="72">
        <v>974813</v>
      </c>
      <c r="M81" s="72">
        <v>566658</v>
      </c>
      <c r="N81" s="70" t="s">
        <v>101</v>
      </c>
      <c r="O81" s="72">
        <f t="shared" ref="O81:S98" si="69">+(1281000*$AB$15)+H81</f>
        <v>406444.79999999999</v>
      </c>
      <c r="P81" s="72">
        <f t="shared" si="69"/>
        <v>505532.8</v>
      </c>
      <c r="Q81" s="72">
        <f t="shared" si="69"/>
        <v>580535.80000000005</v>
      </c>
      <c r="R81" s="72">
        <f t="shared" si="69"/>
        <v>683946.8</v>
      </c>
      <c r="S81" s="72">
        <f t="shared" si="69"/>
        <v>1024515.8</v>
      </c>
      <c r="T81" s="72">
        <f t="shared" si="14"/>
        <v>580535.80000000005</v>
      </c>
      <c r="U81" s="70" t="s">
        <v>101</v>
      </c>
      <c r="V81" s="72">
        <f>+(1281000*$AB$16)+O81</f>
        <v>459734.39999999997</v>
      </c>
      <c r="W81" s="72">
        <f t="shared" ref="W81:Z94" si="70">+(1281000*$AB$16)+P81</f>
        <v>558822.40000000002</v>
      </c>
      <c r="X81" s="72">
        <f t="shared" si="70"/>
        <v>633825.4</v>
      </c>
      <c r="Y81" s="72">
        <f t="shared" si="70"/>
        <v>737236.4</v>
      </c>
      <c r="Z81" s="72">
        <f t="shared" si="70"/>
        <v>1077805.4000000001</v>
      </c>
      <c r="AA81" s="72">
        <f t="shared" si="13"/>
        <v>633825.4</v>
      </c>
    </row>
    <row r="82" spans="1:27" ht="14.4" x14ac:dyDescent="0.55000000000000004">
      <c r="A82" s="370"/>
      <c r="B82" s="370"/>
      <c r="C82" s="367"/>
      <c r="D82" s="370"/>
      <c r="E82" s="370"/>
      <c r="F82" s="171"/>
      <c r="G82" s="70" t="s">
        <v>102</v>
      </c>
      <c r="H82" s="72">
        <v>310927</v>
      </c>
      <c r="I82" s="72">
        <v>391510</v>
      </c>
      <c r="J82" s="72">
        <v>431479</v>
      </c>
      <c r="K82" s="72">
        <v>529777</v>
      </c>
      <c r="L82" s="72">
        <v>771883</v>
      </c>
      <c r="M82" s="72">
        <v>458949</v>
      </c>
      <c r="N82" s="70" t="s">
        <v>102</v>
      </c>
      <c r="O82" s="72">
        <f t="shared" si="69"/>
        <v>360629.8</v>
      </c>
      <c r="P82" s="72">
        <f t="shared" si="69"/>
        <v>441212.8</v>
      </c>
      <c r="Q82" s="72">
        <f t="shared" si="69"/>
        <v>481181.8</v>
      </c>
      <c r="R82" s="72">
        <f t="shared" si="69"/>
        <v>579479.80000000005</v>
      </c>
      <c r="S82" s="72">
        <f t="shared" si="69"/>
        <v>821585.8</v>
      </c>
      <c r="T82" s="72">
        <f t="shared" si="14"/>
        <v>481181.8</v>
      </c>
      <c r="U82" s="70" t="s">
        <v>102</v>
      </c>
      <c r="V82" s="72">
        <f t="shared" ref="V82:V83" si="71">+(1281000*$AB$16)+O82</f>
        <v>413919.39999999997</v>
      </c>
      <c r="W82" s="72">
        <f t="shared" si="70"/>
        <v>494502.39999999997</v>
      </c>
      <c r="X82" s="72">
        <f t="shared" si="70"/>
        <v>534471.4</v>
      </c>
      <c r="Y82" s="72">
        <f t="shared" si="70"/>
        <v>632769.4</v>
      </c>
      <c r="Z82" s="72">
        <f t="shared" si="70"/>
        <v>874875.4</v>
      </c>
      <c r="AA82" s="72">
        <f t="shared" si="13"/>
        <v>534471.4</v>
      </c>
    </row>
    <row r="83" spans="1:27" ht="14.4" x14ac:dyDescent="0.55000000000000004">
      <c r="A83" s="371"/>
      <c r="B83" s="371"/>
      <c r="C83" s="368"/>
      <c r="D83" s="371"/>
      <c r="E83" s="371"/>
      <c r="F83" s="171"/>
      <c r="G83" s="70" t="s">
        <v>104</v>
      </c>
      <c r="H83" s="72">
        <v>223167</v>
      </c>
      <c r="I83" s="72">
        <v>289003</v>
      </c>
      <c r="J83" s="72">
        <v>326650</v>
      </c>
      <c r="K83" s="72">
        <v>363620</v>
      </c>
      <c r="L83" s="72">
        <v>603766</v>
      </c>
      <c r="M83" s="72">
        <v>351239</v>
      </c>
      <c r="N83" s="70" t="s">
        <v>104</v>
      </c>
      <c r="O83" s="72">
        <f t="shared" si="69"/>
        <v>272869.8</v>
      </c>
      <c r="P83" s="72">
        <f t="shared" si="69"/>
        <v>338705.8</v>
      </c>
      <c r="Q83" s="72">
        <f t="shared" si="69"/>
        <v>376352.8</v>
      </c>
      <c r="R83" s="72">
        <f t="shared" si="69"/>
        <v>413322.8</v>
      </c>
      <c r="S83" s="72">
        <f t="shared" si="69"/>
        <v>653468.80000000005</v>
      </c>
      <c r="T83" s="72">
        <f t="shared" si="14"/>
        <v>376352.8</v>
      </c>
      <c r="U83" s="70" t="s">
        <v>104</v>
      </c>
      <c r="V83" s="72">
        <f t="shared" si="71"/>
        <v>326159.39999999997</v>
      </c>
      <c r="W83" s="72">
        <f t="shared" si="70"/>
        <v>391995.39999999997</v>
      </c>
      <c r="X83" s="72">
        <f t="shared" si="70"/>
        <v>429642.39999999997</v>
      </c>
      <c r="Y83" s="72">
        <f t="shared" si="70"/>
        <v>466612.39999999997</v>
      </c>
      <c r="Z83" s="72">
        <f t="shared" si="70"/>
        <v>706758.4</v>
      </c>
      <c r="AA83" s="72">
        <f t="shared" si="13"/>
        <v>429642.39999999997</v>
      </c>
    </row>
    <row r="84" spans="1:27" ht="15" customHeight="1" x14ac:dyDescent="0.55000000000000004">
      <c r="A84" s="374" t="s">
        <v>178</v>
      </c>
      <c r="B84" s="374" t="s">
        <v>179</v>
      </c>
      <c r="C84" s="366" t="s">
        <v>180</v>
      </c>
      <c r="D84" s="172"/>
      <c r="E84" s="374" t="s">
        <v>181</v>
      </c>
      <c r="F84" s="73"/>
      <c r="G84" s="73" t="s">
        <v>101</v>
      </c>
      <c r="H84" s="74">
        <v>198638</v>
      </c>
      <c r="I84" s="74">
        <v>372268</v>
      </c>
      <c r="J84" s="74">
        <v>424667</v>
      </c>
      <c r="K84" s="74">
        <v>560000</v>
      </c>
      <c r="L84" s="74">
        <v>863081</v>
      </c>
      <c r="M84" s="74">
        <v>474314</v>
      </c>
      <c r="N84" s="73" t="s">
        <v>101</v>
      </c>
      <c r="O84" s="74">
        <f t="shared" si="69"/>
        <v>248340.8</v>
      </c>
      <c r="P84" s="74">
        <f t="shared" si="69"/>
        <v>421970.8</v>
      </c>
      <c r="Q84" s="74">
        <f t="shared" si="69"/>
        <v>474369.8</v>
      </c>
      <c r="R84" s="74">
        <f t="shared" si="69"/>
        <v>609702.80000000005</v>
      </c>
      <c r="S84" s="74">
        <f t="shared" si="69"/>
        <v>912783.8</v>
      </c>
      <c r="T84" s="74">
        <f t="shared" si="14"/>
        <v>474369.8</v>
      </c>
      <c r="U84" s="73" t="s">
        <v>101</v>
      </c>
      <c r="V84" s="74">
        <f>+(1281000*$AB$16)+O84</f>
        <v>301630.39999999997</v>
      </c>
      <c r="W84" s="74">
        <f t="shared" si="70"/>
        <v>475260.39999999997</v>
      </c>
      <c r="X84" s="74">
        <f t="shared" si="70"/>
        <v>527659.4</v>
      </c>
      <c r="Y84" s="74">
        <f t="shared" si="70"/>
        <v>662992.4</v>
      </c>
      <c r="Z84" s="74">
        <f t="shared" si="70"/>
        <v>966073.4</v>
      </c>
      <c r="AA84" s="74">
        <f t="shared" si="13"/>
        <v>527659.4</v>
      </c>
    </row>
    <row r="85" spans="1:27" ht="14.4" x14ac:dyDescent="0.55000000000000004">
      <c r="A85" s="375"/>
      <c r="B85" s="375"/>
      <c r="C85" s="367"/>
      <c r="D85" s="173"/>
      <c r="E85" s="375"/>
      <c r="F85" s="174"/>
      <c r="G85" s="73" t="s">
        <v>102</v>
      </c>
      <c r="H85" s="74">
        <v>194037</v>
      </c>
      <c r="I85" s="74">
        <v>307348</v>
      </c>
      <c r="J85" s="74">
        <v>347067</v>
      </c>
      <c r="K85" s="74">
        <v>441000</v>
      </c>
      <c r="L85" s="74">
        <v>719590</v>
      </c>
      <c r="M85" s="74">
        <v>393121</v>
      </c>
      <c r="N85" s="73" t="s">
        <v>102</v>
      </c>
      <c r="O85" s="74">
        <f t="shared" si="69"/>
        <v>243739.8</v>
      </c>
      <c r="P85" s="74">
        <f t="shared" si="69"/>
        <v>357050.8</v>
      </c>
      <c r="Q85" s="74">
        <f t="shared" si="69"/>
        <v>396769.8</v>
      </c>
      <c r="R85" s="74">
        <f t="shared" si="69"/>
        <v>490702.8</v>
      </c>
      <c r="S85" s="74">
        <f t="shared" si="69"/>
        <v>769292.80000000005</v>
      </c>
      <c r="T85" s="74">
        <f t="shared" si="14"/>
        <v>396769.8</v>
      </c>
      <c r="U85" s="73" t="s">
        <v>102</v>
      </c>
      <c r="V85" s="74">
        <f t="shared" ref="V85:V86" si="72">+(1281000*$AB$16)+O85</f>
        <v>297029.39999999997</v>
      </c>
      <c r="W85" s="74">
        <f t="shared" si="70"/>
        <v>410340.39999999997</v>
      </c>
      <c r="X85" s="74">
        <f t="shared" si="70"/>
        <v>450059.39999999997</v>
      </c>
      <c r="Y85" s="74">
        <f t="shared" si="70"/>
        <v>543992.4</v>
      </c>
      <c r="Z85" s="74">
        <f t="shared" si="70"/>
        <v>822582.4</v>
      </c>
      <c r="AA85" s="74">
        <f t="shared" si="13"/>
        <v>450059.39999999997</v>
      </c>
    </row>
    <row r="86" spans="1:27" ht="14.4" x14ac:dyDescent="0.55000000000000004">
      <c r="A86" s="376"/>
      <c r="B86" s="376"/>
      <c r="C86" s="367"/>
      <c r="D86" s="173"/>
      <c r="E86" s="376"/>
      <c r="F86" s="174"/>
      <c r="G86" s="73" t="s">
        <v>104</v>
      </c>
      <c r="H86" s="74">
        <v>189437</v>
      </c>
      <c r="I86" s="74">
        <v>237102</v>
      </c>
      <c r="J86" s="74">
        <v>265216</v>
      </c>
      <c r="K86" s="74">
        <v>383313</v>
      </c>
      <c r="L86" s="74">
        <v>634480</v>
      </c>
      <c r="M86" s="74">
        <v>311927</v>
      </c>
      <c r="N86" s="73" t="s">
        <v>104</v>
      </c>
      <c r="O86" s="74">
        <f t="shared" si="69"/>
        <v>239139.8</v>
      </c>
      <c r="P86" s="74">
        <f t="shared" si="69"/>
        <v>286804.8</v>
      </c>
      <c r="Q86" s="74">
        <f t="shared" si="69"/>
        <v>314918.8</v>
      </c>
      <c r="R86" s="74">
        <f t="shared" si="69"/>
        <v>433015.8</v>
      </c>
      <c r="S86" s="74">
        <f t="shared" si="69"/>
        <v>684182.8</v>
      </c>
      <c r="T86" s="74">
        <f t="shared" si="14"/>
        <v>314918.8</v>
      </c>
      <c r="U86" s="73" t="s">
        <v>104</v>
      </c>
      <c r="V86" s="74">
        <f t="shared" si="72"/>
        <v>292429.39999999997</v>
      </c>
      <c r="W86" s="74">
        <f t="shared" si="70"/>
        <v>340094.39999999997</v>
      </c>
      <c r="X86" s="74">
        <f t="shared" si="70"/>
        <v>368208.39999999997</v>
      </c>
      <c r="Y86" s="74">
        <f t="shared" si="70"/>
        <v>486305.39999999997</v>
      </c>
      <c r="Z86" s="74">
        <f t="shared" si="70"/>
        <v>737472.4</v>
      </c>
      <c r="AA86" s="74">
        <f t="shared" si="13"/>
        <v>368208.39999999997</v>
      </c>
    </row>
    <row r="87" spans="1:27" ht="14.4" x14ac:dyDescent="0.55000000000000004">
      <c r="A87" s="377" t="s">
        <v>182</v>
      </c>
      <c r="B87" s="377" t="s">
        <v>183</v>
      </c>
      <c r="C87" s="367"/>
      <c r="D87" s="173"/>
      <c r="E87" s="377" t="s">
        <v>184</v>
      </c>
      <c r="F87" s="175"/>
      <c r="G87" s="93" t="s">
        <v>101</v>
      </c>
      <c r="H87" s="75">
        <v>240912</v>
      </c>
      <c r="I87" s="75">
        <v>308723</v>
      </c>
      <c r="J87" s="75">
        <v>347251</v>
      </c>
      <c r="K87" s="75">
        <v>421939</v>
      </c>
      <c r="L87" s="75">
        <v>1464372</v>
      </c>
      <c r="M87" s="75">
        <v>387778</v>
      </c>
      <c r="N87" s="93" t="s">
        <v>101</v>
      </c>
      <c r="O87" s="75">
        <f t="shared" si="69"/>
        <v>290614.8</v>
      </c>
      <c r="P87" s="75">
        <f t="shared" si="69"/>
        <v>358425.8</v>
      </c>
      <c r="Q87" s="75">
        <f t="shared" si="69"/>
        <v>396953.8</v>
      </c>
      <c r="R87" s="75">
        <f t="shared" si="69"/>
        <v>471641.8</v>
      </c>
      <c r="S87" s="75">
        <f t="shared" si="69"/>
        <v>1514074.8</v>
      </c>
      <c r="T87" s="75">
        <f t="shared" si="14"/>
        <v>396953.8</v>
      </c>
      <c r="U87" s="93" t="s">
        <v>101</v>
      </c>
      <c r="V87" s="75">
        <f>+(1281000*$AB$16)+O87</f>
        <v>343904.39999999997</v>
      </c>
      <c r="W87" s="75">
        <f t="shared" si="70"/>
        <v>411715.39999999997</v>
      </c>
      <c r="X87" s="75">
        <f t="shared" si="70"/>
        <v>450243.39999999997</v>
      </c>
      <c r="Y87" s="75">
        <f t="shared" si="70"/>
        <v>524931.4</v>
      </c>
      <c r="Z87" s="75">
        <f t="shared" si="70"/>
        <v>1567364.4000000001</v>
      </c>
      <c r="AA87" s="75">
        <f t="shared" si="13"/>
        <v>450243.39999999997</v>
      </c>
    </row>
    <row r="88" spans="1:27" ht="14.4" x14ac:dyDescent="0.55000000000000004">
      <c r="A88" s="378"/>
      <c r="B88" s="378"/>
      <c r="C88" s="367"/>
      <c r="D88" s="173"/>
      <c r="E88" s="378"/>
      <c r="F88" s="176"/>
      <c r="G88" s="93" t="s">
        <v>102</v>
      </c>
      <c r="H88" s="75">
        <v>225049</v>
      </c>
      <c r="I88" s="75">
        <v>255799</v>
      </c>
      <c r="J88" s="75">
        <v>292276</v>
      </c>
      <c r="K88" s="75">
        <v>374500</v>
      </c>
      <c r="L88" s="75">
        <v>872186</v>
      </c>
      <c r="M88" s="75">
        <v>317190</v>
      </c>
      <c r="N88" s="93" t="s">
        <v>102</v>
      </c>
      <c r="O88" s="75">
        <f t="shared" si="69"/>
        <v>274751.8</v>
      </c>
      <c r="P88" s="75">
        <f t="shared" si="69"/>
        <v>305501.8</v>
      </c>
      <c r="Q88" s="75">
        <f t="shared" si="69"/>
        <v>341978.8</v>
      </c>
      <c r="R88" s="75">
        <f t="shared" si="69"/>
        <v>424202.8</v>
      </c>
      <c r="S88" s="75">
        <f t="shared" si="69"/>
        <v>921888.8</v>
      </c>
      <c r="T88" s="75">
        <f t="shared" si="14"/>
        <v>341978.8</v>
      </c>
      <c r="U88" s="93" t="s">
        <v>102</v>
      </c>
      <c r="V88" s="75">
        <f t="shared" ref="V88:V89" si="73">+(1281000*$AB$16)+O88</f>
        <v>328041.39999999997</v>
      </c>
      <c r="W88" s="75">
        <f t="shared" si="70"/>
        <v>358791.39999999997</v>
      </c>
      <c r="X88" s="75">
        <f t="shared" si="70"/>
        <v>395268.39999999997</v>
      </c>
      <c r="Y88" s="75">
        <f t="shared" si="70"/>
        <v>477492.39999999997</v>
      </c>
      <c r="Z88" s="75">
        <f t="shared" si="70"/>
        <v>975178.4</v>
      </c>
      <c r="AA88" s="75">
        <f t="shared" si="13"/>
        <v>395268.39999999997</v>
      </c>
    </row>
    <row r="89" spans="1:27" ht="14.4" x14ac:dyDescent="0.55000000000000004">
      <c r="A89" s="378"/>
      <c r="B89" s="378"/>
      <c r="C89" s="367"/>
      <c r="D89" s="173"/>
      <c r="E89" s="378"/>
      <c r="F89" s="176"/>
      <c r="G89" s="93" t="s">
        <v>104</v>
      </c>
      <c r="H89" s="75">
        <v>171226</v>
      </c>
      <c r="I89" s="75">
        <v>199970</v>
      </c>
      <c r="J89" s="75">
        <v>239817</v>
      </c>
      <c r="K89" s="75">
        <v>278313</v>
      </c>
      <c r="L89" s="75">
        <v>422561</v>
      </c>
      <c r="M89" s="75">
        <v>246601</v>
      </c>
      <c r="N89" s="93" t="s">
        <v>104</v>
      </c>
      <c r="O89" s="75">
        <f t="shared" si="69"/>
        <v>220928.8</v>
      </c>
      <c r="P89" s="75">
        <f t="shared" si="69"/>
        <v>249672.8</v>
      </c>
      <c r="Q89" s="75">
        <f t="shared" si="69"/>
        <v>289519.8</v>
      </c>
      <c r="R89" s="75">
        <f t="shared" si="69"/>
        <v>328015.8</v>
      </c>
      <c r="S89" s="75">
        <f t="shared" si="69"/>
        <v>472263.8</v>
      </c>
      <c r="T89" s="75">
        <f t="shared" si="14"/>
        <v>289519.8</v>
      </c>
      <c r="U89" s="93" t="s">
        <v>104</v>
      </c>
      <c r="V89" s="75">
        <f t="shared" si="73"/>
        <v>274218.39999999997</v>
      </c>
      <c r="W89" s="75">
        <f t="shared" si="70"/>
        <v>302962.39999999997</v>
      </c>
      <c r="X89" s="75">
        <f t="shared" si="70"/>
        <v>342809.39999999997</v>
      </c>
      <c r="Y89" s="75">
        <f t="shared" si="70"/>
        <v>381305.39999999997</v>
      </c>
      <c r="Z89" s="75">
        <f t="shared" si="70"/>
        <v>525553.4</v>
      </c>
      <c r="AA89" s="75">
        <f t="shared" si="13"/>
        <v>342809.39999999997</v>
      </c>
    </row>
    <row r="90" spans="1:27" ht="14.4" x14ac:dyDescent="0.55000000000000004">
      <c r="A90" s="380" t="s">
        <v>185</v>
      </c>
      <c r="B90" s="380" t="s">
        <v>186</v>
      </c>
      <c r="C90" s="381" t="s">
        <v>187</v>
      </c>
      <c r="D90" s="170"/>
      <c r="E90" s="380" t="s">
        <v>188</v>
      </c>
      <c r="F90" s="78"/>
      <c r="G90" s="78" t="s">
        <v>101</v>
      </c>
      <c r="H90" s="89">
        <v>226380</v>
      </c>
      <c r="I90" s="89">
        <v>277573</v>
      </c>
      <c r="J90" s="89">
        <v>315816</v>
      </c>
      <c r="K90" s="89">
        <v>336152</v>
      </c>
      <c r="L90" s="89">
        <v>434735</v>
      </c>
      <c r="M90" s="89">
        <v>311689</v>
      </c>
      <c r="N90" s="78" t="s">
        <v>101</v>
      </c>
      <c r="O90" s="89">
        <f t="shared" si="69"/>
        <v>276082.8</v>
      </c>
      <c r="P90" s="89">
        <f t="shared" si="69"/>
        <v>327275.8</v>
      </c>
      <c r="Q90" s="89">
        <f t="shared" si="69"/>
        <v>365518.8</v>
      </c>
      <c r="R90" s="89">
        <f t="shared" si="69"/>
        <v>385854.8</v>
      </c>
      <c r="S90" s="89">
        <f t="shared" si="69"/>
        <v>484437.8</v>
      </c>
      <c r="T90" s="89">
        <f t="shared" si="14"/>
        <v>365518.8</v>
      </c>
      <c r="U90" s="78" t="s">
        <v>101</v>
      </c>
      <c r="V90" s="89">
        <f>+(1281000*$AB$16)+O90</f>
        <v>329372.39999999997</v>
      </c>
      <c r="W90" s="89">
        <f t="shared" si="70"/>
        <v>380565.39999999997</v>
      </c>
      <c r="X90" s="89">
        <f t="shared" si="70"/>
        <v>418808.39999999997</v>
      </c>
      <c r="Y90" s="89">
        <f t="shared" si="70"/>
        <v>439144.39999999997</v>
      </c>
      <c r="Z90" s="89">
        <f t="shared" si="70"/>
        <v>537727.4</v>
      </c>
      <c r="AA90" s="89">
        <f t="shared" si="13"/>
        <v>418808.39999999997</v>
      </c>
    </row>
    <row r="91" spans="1:27" ht="14.4" x14ac:dyDescent="0.55000000000000004">
      <c r="A91" s="380"/>
      <c r="B91" s="380"/>
      <c r="C91" s="381"/>
      <c r="D91" s="170"/>
      <c r="E91" s="380"/>
      <c r="F91" s="78"/>
      <c r="G91" s="78" t="s">
        <v>102</v>
      </c>
      <c r="H91" s="89">
        <v>188650</v>
      </c>
      <c r="I91" s="89">
        <v>233163</v>
      </c>
      <c r="J91" s="89">
        <v>252000</v>
      </c>
      <c r="K91" s="89">
        <v>269046</v>
      </c>
      <c r="L91" s="89">
        <v>292276</v>
      </c>
      <c r="M91" s="89">
        <v>249516</v>
      </c>
      <c r="N91" s="78" t="s">
        <v>102</v>
      </c>
      <c r="O91" s="89">
        <f t="shared" si="69"/>
        <v>238352.8</v>
      </c>
      <c r="P91" s="89">
        <f t="shared" si="69"/>
        <v>282865.8</v>
      </c>
      <c r="Q91" s="89">
        <f t="shared" si="69"/>
        <v>301702.8</v>
      </c>
      <c r="R91" s="89">
        <f t="shared" si="69"/>
        <v>318748.79999999999</v>
      </c>
      <c r="S91" s="89">
        <f t="shared" si="69"/>
        <v>341978.8</v>
      </c>
      <c r="T91" s="89">
        <f t="shared" si="14"/>
        <v>301702.8</v>
      </c>
      <c r="U91" s="78" t="s">
        <v>102</v>
      </c>
      <c r="V91" s="89">
        <f t="shared" ref="V91:V92" si="74">+(1281000*$AB$16)+O91</f>
        <v>291642.39999999997</v>
      </c>
      <c r="W91" s="89">
        <f t="shared" si="70"/>
        <v>336155.39999999997</v>
      </c>
      <c r="X91" s="89">
        <f t="shared" si="70"/>
        <v>354992.39999999997</v>
      </c>
      <c r="Y91" s="89">
        <f t="shared" si="70"/>
        <v>372038.39999999997</v>
      </c>
      <c r="Z91" s="89">
        <f t="shared" si="70"/>
        <v>395268.39999999997</v>
      </c>
      <c r="AA91" s="89">
        <f t="shared" si="13"/>
        <v>354992.39999999997</v>
      </c>
    </row>
    <row r="92" spans="1:27" ht="14.4" x14ac:dyDescent="0.55000000000000004">
      <c r="A92" s="380"/>
      <c r="B92" s="380"/>
      <c r="C92" s="381"/>
      <c r="D92" s="170"/>
      <c r="E92" s="380"/>
      <c r="F92" s="78"/>
      <c r="G92" s="78" t="s">
        <v>104</v>
      </c>
      <c r="H92" s="89">
        <v>144912</v>
      </c>
      <c r="I92" s="89">
        <v>164853</v>
      </c>
      <c r="J92" s="89">
        <v>179972</v>
      </c>
      <c r="K92" s="89">
        <v>196287</v>
      </c>
      <c r="L92" s="89">
        <v>252000</v>
      </c>
      <c r="M92" s="89">
        <v>187343</v>
      </c>
      <c r="N92" s="78" t="s">
        <v>104</v>
      </c>
      <c r="O92" s="89">
        <f t="shared" si="69"/>
        <v>194614.8</v>
      </c>
      <c r="P92" s="89">
        <f t="shared" si="69"/>
        <v>214555.8</v>
      </c>
      <c r="Q92" s="89">
        <f t="shared" si="69"/>
        <v>229674.8</v>
      </c>
      <c r="R92" s="89">
        <f t="shared" si="69"/>
        <v>245989.8</v>
      </c>
      <c r="S92" s="89">
        <f t="shared" si="69"/>
        <v>301702.8</v>
      </c>
      <c r="T92" s="89">
        <f t="shared" si="14"/>
        <v>229674.8</v>
      </c>
      <c r="U92" s="78" t="s">
        <v>104</v>
      </c>
      <c r="V92" s="89">
        <f t="shared" si="74"/>
        <v>247904.4</v>
      </c>
      <c r="W92" s="89">
        <f t="shared" si="70"/>
        <v>267845.39999999997</v>
      </c>
      <c r="X92" s="89">
        <f t="shared" si="70"/>
        <v>282964.39999999997</v>
      </c>
      <c r="Y92" s="89">
        <f t="shared" si="70"/>
        <v>299279.39999999997</v>
      </c>
      <c r="Z92" s="89">
        <f t="shared" si="70"/>
        <v>354992.39999999997</v>
      </c>
      <c r="AA92" s="89">
        <f t="shared" si="13"/>
        <v>282964.39999999997</v>
      </c>
    </row>
    <row r="93" spans="1:27" ht="14.4" x14ac:dyDescent="0.55000000000000004">
      <c r="A93" s="372" t="s">
        <v>189</v>
      </c>
      <c r="B93" s="372" t="s">
        <v>190</v>
      </c>
      <c r="C93" s="381"/>
      <c r="D93" s="170"/>
      <c r="E93" s="372" t="s">
        <v>191</v>
      </c>
      <c r="F93" s="76"/>
      <c r="G93" s="76" t="s">
        <v>101</v>
      </c>
      <c r="H93" s="90">
        <v>175545</v>
      </c>
      <c r="I93" s="90">
        <v>221689</v>
      </c>
      <c r="J93" s="90">
        <v>261611</v>
      </c>
      <c r="K93" s="90">
        <v>297573</v>
      </c>
      <c r="L93" s="90">
        <v>395220</v>
      </c>
      <c r="M93" s="90">
        <v>270752</v>
      </c>
      <c r="N93" s="76" t="s">
        <v>101</v>
      </c>
      <c r="O93" s="90">
        <f t="shared" si="69"/>
        <v>225247.8</v>
      </c>
      <c r="P93" s="90">
        <f t="shared" si="69"/>
        <v>271391.8</v>
      </c>
      <c r="Q93" s="90">
        <f t="shared" si="69"/>
        <v>311313.8</v>
      </c>
      <c r="R93" s="90">
        <f t="shared" si="69"/>
        <v>347275.8</v>
      </c>
      <c r="S93" s="90">
        <f t="shared" si="69"/>
        <v>444922.8</v>
      </c>
      <c r="T93" s="90">
        <f t="shared" si="14"/>
        <v>311313.8</v>
      </c>
      <c r="U93" s="76" t="s">
        <v>101</v>
      </c>
      <c r="V93" s="90">
        <f>+(1281000*$AB$16)+O93</f>
        <v>278537.39999999997</v>
      </c>
      <c r="W93" s="90">
        <f t="shared" si="70"/>
        <v>324681.39999999997</v>
      </c>
      <c r="X93" s="90">
        <f t="shared" si="70"/>
        <v>364603.39999999997</v>
      </c>
      <c r="Y93" s="90">
        <f t="shared" si="70"/>
        <v>400565.39999999997</v>
      </c>
      <c r="Z93" s="90">
        <f t="shared" si="70"/>
        <v>498212.39999999997</v>
      </c>
      <c r="AA93" s="90">
        <f t="shared" si="13"/>
        <v>364603.39999999997</v>
      </c>
    </row>
    <row r="94" spans="1:27" ht="14.4" x14ac:dyDescent="0.55000000000000004">
      <c r="A94" s="372"/>
      <c r="B94" s="372"/>
      <c r="C94" s="381"/>
      <c r="D94" s="170"/>
      <c r="E94" s="372"/>
      <c r="F94" s="76"/>
      <c r="G94" s="76" t="s">
        <v>102</v>
      </c>
      <c r="H94" s="90">
        <v>173475</v>
      </c>
      <c r="I94" s="90">
        <v>189000</v>
      </c>
      <c r="J94" s="90">
        <v>220575</v>
      </c>
      <c r="K94" s="90">
        <v>263480</v>
      </c>
      <c r="L94" s="90">
        <v>317039</v>
      </c>
      <c r="M94" s="90">
        <v>229338</v>
      </c>
      <c r="N94" s="76" t="s">
        <v>102</v>
      </c>
      <c r="O94" s="90">
        <f t="shared" si="69"/>
        <v>223177.8</v>
      </c>
      <c r="P94" s="90">
        <f t="shared" si="69"/>
        <v>238702.8</v>
      </c>
      <c r="Q94" s="90">
        <f t="shared" si="69"/>
        <v>270277.8</v>
      </c>
      <c r="R94" s="90">
        <f t="shared" si="69"/>
        <v>313182.8</v>
      </c>
      <c r="S94" s="90">
        <f t="shared" si="69"/>
        <v>366741.8</v>
      </c>
      <c r="T94" s="90">
        <f t="shared" si="14"/>
        <v>270277.8</v>
      </c>
      <c r="U94" s="76" t="s">
        <v>102</v>
      </c>
      <c r="V94" s="90">
        <f t="shared" ref="V94:Z98" si="75">+(1281000*$AB$16)+O94</f>
        <v>276467.39999999997</v>
      </c>
      <c r="W94" s="90">
        <f t="shared" si="70"/>
        <v>291992.39999999997</v>
      </c>
      <c r="X94" s="90">
        <f t="shared" si="70"/>
        <v>323567.39999999997</v>
      </c>
      <c r="Y94" s="90">
        <f t="shared" si="70"/>
        <v>366472.39999999997</v>
      </c>
      <c r="Z94" s="90">
        <f t="shared" si="70"/>
        <v>420031.39999999997</v>
      </c>
      <c r="AA94" s="90">
        <f t="shared" si="13"/>
        <v>323567.39999999997</v>
      </c>
    </row>
    <row r="95" spans="1:27" ht="14.4" x14ac:dyDescent="0.55000000000000004">
      <c r="A95" s="372"/>
      <c r="B95" s="372"/>
      <c r="C95" s="381"/>
      <c r="D95" s="170"/>
      <c r="E95" s="372"/>
      <c r="F95" s="76"/>
      <c r="G95" s="76" t="s">
        <v>104</v>
      </c>
      <c r="H95" s="90">
        <v>131740</v>
      </c>
      <c r="I95" s="90">
        <v>168473</v>
      </c>
      <c r="J95" s="90">
        <v>171405</v>
      </c>
      <c r="K95" s="90">
        <v>189000</v>
      </c>
      <c r="L95" s="90">
        <v>276180</v>
      </c>
      <c r="M95" s="90">
        <v>187923</v>
      </c>
      <c r="N95" s="76" t="s">
        <v>104</v>
      </c>
      <c r="O95" s="90">
        <f t="shared" si="69"/>
        <v>181442.8</v>
      </c>
      <c r="P95" s="90">
        <f t="shared" si="69"/>
        <v>218175.8</v>
      </c>
      <c r="Q95" s="90">
        <f t="shared" si="69"/>
        <v>221107.8</v>
      </c>
      <c r="R95" s="90">
        <f t="shared" si="69"/>
        <v>238702.8</v>
      </c>
      <c r="S95" s="90">
        <f t="shared" si="69"/>
        <v>325882.8</v>
      </c>
      <c r="T95" s="90">
        <f t="shared" si="14"/>
        <v>221107.8</v>
      </c>
      <c r="U95" s="76" t="s">
        <v>104</v>
      </c>
      <c r="V95" s="90">
        <f t="shared" si="75"/>
        <v>234732.4</v>
      </c>
      <c r="W95" s="90">
        <f t="shared" si="75"/>
        <v>271465.39999999997</v>
      </c>
      <c r="X95" s="90">
        <f t="shared" si="75"/>
        <v>274397.39999999997</v>
      </c>
      <c r="Y95" s="90">
        <f t="shared" si="75"/>
        <v>291992.39999999997</v>
      </c>
      <c r="Z95" s="90">
        <f t="shared" si="75"/>
        <v>379172.39999999997</v>
      </c>
      <c r="AA95" s="90">
        <f t="shared" si="13"/>
        <v>274397.39999999997</v>
      </c>
    </row>
    <row r="96" spans="1:27" ht="14.4" x14ac:dyDescent="0.55000000000000004">
      <c r="A96" s="373" t="s">
        <v>192</v>
      </c>
      <c r="B96" s="373" t="s">
        <v>193</v>
      </c>
      <c r="C96" s="381"/>
      <c r="D96" s="170"/>
      <c r="E96" s="373" t="s">
        <v>194</v>
      </c>
      <c r="F96" s="77"/>
      <c r="G96" s="77" t="s">
        <v>101</v>
      </c>
      <c r="H96" s="91">
        <v>173575</v>
      </c>
      <c r="I96" s="91">
        <v>206825</v>
      </c>
      <c r="J96" s="91">
        <v>217605</v>
      </c>
      <c r="K96" s="91">
        <v>254296</v>
      </c>
      <c r="L96" s="91">
        <v>315816</v>
      </c>
      <c r="M96" s="91">
        <v>225493</v>
      </c>
      <c r="N96" s="77" t="s">
        <v>101</v>
      </c>
      <c r="O96" s="91">
        <f t="shared" si="69"/>
        <v>223277.8</v>
      </c>
      <c r="P96" s="91">
        <f t="shared" si="69"/>
        <v>256527.8</v>
      </c>
      <c r="Q96" s="91">
        <f t="shared" si="69"/>
        <v>267307.8</v>
      </c>
      <c r="R96" s="91">
        <f t="shared" si="69"/>
        <v>303998.8</v>
      </c>
      <c r="S96" s="91">
        <f t="shared" si="69"/>
        <v>365518.8</v>
      </c>
      <c r="T96" s="91">
        <f t="shared" si="14"/>
        <v>267307.8</v>
      </c>
      <c r="U96" s="77" t="s">
        <v>101</v>
      </c>
      <c r="V96" s="91">
        <f>+(1281000*$AB$16)+O96</f>
        <v>276567.39999999997</v>
      </c>
      <c r="W96" s="91">
        <f t="shared" si="75"/>
        <v>309817.39999999997</v>
      </c>
      <c r="X96" s="91">
        <f t="shared" si="75"/>
        <v>320597.39999999997</v>
      </c>
      <c r="Y96" s="91">
        <f t="shared" si="75"/>
        <v>357288.39999999997</v>
      </c>
      <c r="Z96" s="91">
        <f t="shared" si="75"/>
        <v>418808.39999999997</v>
      </c>
      <c r="AA96" s="91">
        <f t="shared" si="13"/>
        <v>320597.39999999997</v>
      </c>
    </row>
    <row r="97" spans="1:27" ht="14.4" x14ac:dyDescent="0.55000000000000004">
      <c r="A97" s="373"/>
      <c r="B97" s="373"/>
      <c r="C97" s="381"/>
      <c r="D97" s="170"/>
      <c r="E97" s="373"/>
      <c r="F97" s="77"/>
      <c r="G97" s="77" t="s">
        <v>102</v>
      </c>
      <c r="H97" s="91">
        <v>161627</v>
      </c>
      <c r="I97" s="91">
        <v>179964</v>
      </c>
      <c r="J97" s="91">
        <v>188417</v>
      </c>
      <c r="K97" s="91">
        <v>213568</v>
      </c>
      <c r="L97" s="91">
        <v>255421</v>
      </c>
      <c r="M97" s="91">
        <v>198189</v>
      </c>
      <c r="N97" s="77" t="s">
        <v>102</v>
      </c>
      <c r="O97" s="91">
        <f t="shared" si="69"/>
        <v>211329.8</v>
      </c>
      <c r="P97" s="91">
        <f t="shared" si="69"/>
        <v>229666.8</v>
      </c>
      <c r="Q97" s="91">
        <f t="shared" si="69"/>
        <v>238119.8</v>
      </c>
      <c r="R97" s="91">
        <f t="shared" si="69"/>
        <v>263270.8</v>
      </c>
      <c r="S97" s="91">
        <f t="shared" si="69"/>
        <v>305123.8</v>
      </c>
      <c r="T97" s="91">
        <f t="shared" si="14"/>
        <v>238119.8</v>
      </c>
      <c r="U97" s="77" t="s">
        <v>102</v>
      </c>
      <c r="V97" s="91">
        <f t="shared" ref="V97:V98" si="76">+(1281000*$AB$16)+O97</f>
        <v>264619.39999999997</v>
      </c>
      <c r="W97" s="91">
        <f t="shared" si="75"/>
        <v>282956.39999999997</v>
      </c>
      <c r="X97" s="91">
        <f t="shared" si="75"/>
        <v>291409.39999999997</v>
      </c>
      <c r="Y97" s="91">
        <f t="shared" si="75"/>
        <v>316560.39999999997</v>
      </c>
      <c r="Z97" s="91">
        <f t="shared" si="75"/>
        <v>358413.39999999997</v>
      </c>
      <c r="AA97" s="91">
        <f t="shared" si="13"/>
        <v>291409.39999999997</v>
      </c>
    </row>
    <row r="98" spans="1:27" ht="14.4" x14ac:dyDescent="0.55000000000000004">
      <c r="A98" s="373"/>
      <c r="B98" s="373"/>
      <c r="C98" s="381"/>
      <c r="D98" s="170"/>
      <c r="E98" s="373"/>
      <c r="F98" s="77"/>
      <c r="G98" s="77" t="s">
        <v>104</v>
      </c>
      <c r="H98" s="91">
        <v>129756</v>
      </c>
      <c r="I98" s="91">
        <v>146194</v>
      </c>
      <c r="J98" s="91">
        <v>163714</v>
      </c>
      <c r="K98" s="91">
        <v>186021</v>
      </c>
      <c r="L98" s="91">
        <v>249240</v>
      </c>
      <c r="M98" s="91">
        <v>170886</v>
      </c>
      <c r="N98" s="77" t="s">
        <v>104</v>
      </c>
      <c r="O98" s="91">
        <f t="shared" si="69"/>
        <v>179458.8</v>
      </c>
      <c r="P98" s="91">
        <f t="shared" si="69"/>
        <v>195896.8</v>
      </c>
      <c r="Q98" s="91">
        <f t="shared" si="69"/>
        <v>213416.8</v>
      </c>
      <c r="R98" s="91">
        <f t="shared" si="69"/>
        <v>235723.8</v>
      </c>
      <c r="S98" s="91">
        <f t="shared" si="69"/>
        <v>298942.8</v>
      </c>
      <c r="T98" s="91">
        <f t="shared" si="14"/>
        <v>213416.8</v>
      </c>
      <c r="U98" s="77" t="s">
        <v>104</v>
      </c>
      <c r="V98" s="91">
        <f t="shared" si="76"/>
        <v>232748.4</v>
      </c>
      <c r="W98" s="91">
        <f t="shared" si="75"/>
        <v>249186.4</v>
      </c>
      <c r="X98" s="91">
        <f t="shared" si="75"/>
        <v>266706.39999999997</v>
      </c>
      <c r="Y98" s="91">
        <f t="shared" si="75"/>
        <v>289013.39999999997</v>
      </c>
      <c r="Z98" s="91">
        <f t="shared" si="75"/>
        <v>352232.39999999997</v>
      </c>
      <c r="AA98" s="91">
        <f t="shared" si="13"/>
        <v>266706.39999999997</v>
      </c>
    </row>
    <row r="99" spans="1:27" ht="14.4" x14ac:dyDescent="0.55000000000000004">
      <c r="H99" s="85"/>
      <c r="V99" s="164">
        <f>+V98/25.888</f>
        <v>8990.5902348578493</v>
      </c>
      <c r="W99" s="164"/>
    </row>
    <row r="100" spans="1:27" ht="14.4" x14ac:dyDescent="0.55000000000000004">
      <c r="A100" s="379" t="s">
        <v>195</v>
      </c>
      <c r="B100" s="379"/>
      <c r="C100" s="379"/>
      <c r="D100" s="379"/>
      <c r="E100" s="379"/>
      <c r="F100" s="379"/>
      <c r="G100" s="379"/>
      <c r="H100" s="379"/>
      <c r="I100" s="379"/>
      <c r="J100" s="379"/>
      <c r="K100" s="379"/>
      <c r="L100" s="379"/>
      <c r="M100" s="379"/>
    </row>
    <row r="101" spans="1:27" ht="14.4" x14ac:dyDescent="0.55000000000000004">
      <c r="A101" s="58"/>
    </row>
  </sheetData>
  <mergeCells count="96">
    <mergeCell ref="F51:F53"/>
    <mergeCell ref="F33:F35"/>
    <mergeCell ref="F36:F38"/>
    <mergeCell ref="F39:F41"/>
    <mergeCell ref="F42:F44"/>
    <mergeCell ref="F45:F47"/>
    <mergeCell ref="F48:F50"/>
    <mergeCell ref="D33:D56"/>
    <mergeCell ref="E36:E38"/>
    <mergeCell ref="E39:E41"/>
    <mergeCell ref="E42:E44"/>
    <mergeCell ref="E45:E47"/>
    <mergeCell ref="E48:E50"/>
    <mergeCell ref="E51:E53"/>
    <mergeCell ref="F9:F11"/>
    <mergeCell ref="F12:F14"/>
    <mergeCell ref="E12:E14"/>
    <mergeCell ref="F15:F17"/>
    <mergeCell ref="E18:E20"/>
    <mergeCell ref="E9:E11"/>
    <mergeCell ref="F21:F23"/>
    <mergeCell ref="E24:E26"/>
    <mergeCell ref="F24:F26"/>
    <mergeCell ref="E27:E29"/>
    <mergeCell ref="F27:F29"/>
    <mergeCell ref="A15:A32"/>
    <mergeCell ref="B15:B32"/>
    <mergeCell ref="C15:C56"/>
    <mergeCell ref="A33:A56"/>
    <mergeCell ref="B33:B56"/>
    <mergeCell ref="A100:M100"/>
    <mergeCell ref="F3:F5"/>
    <mergeCell ref="A3:A8"/>
    <mergeCell ref="B3:B8"/>
    <mergeCell ref="D3:D8"/>
    <mergeCell ref="F6:F8"/>
    <mergeCell ref="A9:A14"/>
    <mergeCell ref="B9:B14"/>
    <mergeCell ref="C3:C14"/>
    <mergeCell ref="E6:E8"/>
    <mergeCell ref="A90:A92"/>
    <mergeCell ref="B90:B92"/>
    <mergeCell ref="C90:C98"/>
    <mergeCell ref="E90:E92"/>
    <mergeCell ref="A93:A95"/>
    <mergeCell ref="B93:B95"/>
    <mergeCell ref="E93:E95"/>
    <mergeCell ref="A96:A98"/>
    <mergeCell ref="B96:B98"/>
    <mergeCell ref="E96:E98"/>
    <mergeCell ref="E81:E83"/>
    <mergeCell ref="A84:A86"/>
    <mergeCell ref="B84:B86"/>
    <mergeCell ref="C84:C89"/>
    <mergeCell ref="E84:E86"/>
    <mergeCell ref="A87:A89"/>
    <mergeCell ref="B87:B89"/>
    <mergeCell ref="E87:E89"/>
    <mergeCell ref="D81:D83"/>
    <mergeCell ref="A57:A59"/>
    <mergeCell ref="B57:B59"/>
    <mergeCell ref="C57:C59"/>
    <mergeCell ref="E57:E59"/>
    <mergeCell ref="C60:C83"/>
    <mergeCell ref="E60:E62"/>
    <mergeCell ref="A81:A83"/>
    <mergeCell ref="B81:B83"/>
    <mergeCell ref="E78:E80"/>
    <mergeCell ref="U1:AA1"/>
    <mergeCell ref="E3:E5"/>
    <mergeCell ref="D57:D59"/>
    <mergeCell ref="F60:F62"/>
    <mergeCell ref="E63:E65"/>
    <mergeCell ref="F63:F65"/>
    <mergeCell ref="E15:E17"/>
    <mergeCell ref="E33:E35"/>
    <mergeCell ref="E30:E32"/>
    <mergeCell ref="G1:M1"/>
    <mergeCell ref="N1:T1"/>
    <mergeCell ref="F30:F32"/>
    <mergeCell ref="D9:D14"/>
    <mergeCell ref="D15:D32"/>
    <mergeCell ref="F18:F20"/>
    <mergeCell ref="E21:E23"/>
    <mergeCell ref="F78:F80"/>
    <mergeCell ref="A60:A80"/>
    <mergeCell ref="B60:B80"/>
    <mergeCell ref="D60:D80"/>
    <mergeCell ref="E69:E71"/>
    <mergeCell ref="F69:F71"/>
    <mergeCell ref="E72:E74"/>
    <mergeCell ref="F72:F74"/>
    <mergeCell ref="E75:E77"/>
    <mergeCell ref="F75:F77"/>
    <mergeCell ref="E66:E68"/>
    <mergeCell ref="F66:F68"/>
  </mergeCells>
  <hyperlinks>
    <hyperlink ref="AB2" r:id="rId1" xr:uid="{D30F35D2-98E5-4517-98B9-586149627C10}"/>
    <hyperlink ref="AB4" r:id="rId2" xr:uid="{26A48859-D868-41AD-9B99-5E6CB1C1C3D5}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4E16-75BB-49E8-873E-084F7C1CD0DA}">
  <dimension ref="A1:N17"/>
  <sheetViews>
    <sheetView workbookViewId="0">
      <selection activeCell="G12" sqref="G12"/>
    </sheetView>
  </sheetViews>
  <sheetFormatPr defaultRowHeight="14.4" x14ac:dyDescent="0.55000000000000004"/>
  <cols>
    <col min="1" max="1" width="13.41796875" bestFit="1" customWidth="1"/>
    <col min="2" max="2" width="12.578125" style="165" bestFit="1" customWidth="1"/>
    <col min="3" max="4" width="11.578125" bestFit="1" customWidth="1"/>
    <col min="5" max="5" width="9.83984375" bestFit="1" customWidth="1"/>
    <col min="6" max="6" width="13" customWidth="1"/>
    <col min="7" max="7" width="10.578125" bestFit="1" customWidth="1"/>
    <col min="8" max="9" width="11.578125" bestFit="1" customWidth="1"/>
    <col min="11" max="11" width="16.41796875" customWidth="1"/>
    <col min="12" max="12" width="10.578125" bestFit="1" customWidth="1"/>
    <col min="13" max="14" width="11.578125" bestFit="1" customWidth="1"/>
  </cols>
  <sheetData>
    <row r="1" spans="1:14" x14ac:dyDescent="0.55000000000000004">
      <c r="A1" s="385" t="s">
        <v>196</v>
      </c>
      <c r="B1" s="385"/>
      <c r="C1" s="385"/>
      <c r="D1" s="385"/>
      <c r="E1" s="166"/>
      <c r="F1" s="385" t="s">
        <v>197</v>
      </c>
      <c r="G1" s="385"/>
      <c r="H1" s="385"/>
      <c r="I1" s="385"/>
      <c r="K1" s="385" t="s">
        <v>198</v>
      </c>
      <c r="L1" s="385"/>
      <c r="M1" s="385"/>
      <c r="N1" s="385"/>
    </row>
    <row r="2" spans="1:14" x14ac:dyDescent="0.55000000000000004">
      <c r="B2" s="167" t="s">
        <v>199</v>
      </c>
      <c r="C2" s="166" t="s">
        <v>200</v>
      </c>
      <c r="D2" s="167" t="s">
        <v>201</v>
      </c>
      <c r="E2" s="166"/>
      <c r="G2" s="167" t="s">
        <v>199</v>
      </c>
      <c r="H2" s="166" t="s">
        <v>200</v>
      </c>
      <c r="I2" s="167" t="s">
        <v>201</v>
      </c>
      <c r="J2" s="167"/>
      <c r="K2" s="167"/>
      <c r="L2" s="167" t="s">
        <v>199</v>
      </c>
      <c r="M2" s="166" t="s">
        <v>200</v>
      </c>
      <c r="N2" s="167" t="s">
        <v>201</v>
      </c>
    </row>
    <row r="3" spans="1:14" x14ac:dyDescent="0.55000000000000004">
      <c r="A3" s="167" t="s">
        <v>202</v>
      </c>
      <c r="B3" s="177">
        <v>6755.3572971322619</v>
      </c>
      <c r="C3" s="177">
        <v>7875.0713423733005</v>
      </c>
      <c r="D3" s="177">
        <v>10675.568538615575</v>
      </c>
      <c r="E3" s="165"/>
      <c r="F3" s="167" t="s">
        <v>202</v>
      </c>
      <c r="G3" s="177">
        <v>7250.5559536464762</v>
      </c>
      <c r="H3" s="177">
        <v>9219.1461563658831</v>
      </c>
      <c r="I3" s="177">
        <v>13250.952638640298</v>
      </c>
      <c r="J3" s="168"/>
      <c r="K3" s="167" t="s">
        <v>202</v>
      </c>
      <c r="L3" s="177">
        <v>7884.809803461063</v>
      </c>
      <c r="M3" s="177">
        <v>10532.584524103831</v>
      </c>
      <c r="N3" s="177">
        <v>12215.95902526576</v>
      </c>
    </row>
    <row r="4" spans="1:14" x14ac:dyDescent="0.55000000000000004">
      <c r="A4" s="167" t="s">
        <v>203</v>
      </c>
      <c r="B4" s="178">
        <v>6060</v>
      </c>
      <c r="C4" s="178">
        <v>10542</v>
      </c>
      <c r="D4" s="178">
        <v>15024</v>
      </c>
      <c r="E4" s="165"/>
      <c r="F4" s="167" t="s">
        <v>203</v>
      </c>
      <c r="G4" s="178">
        <v>6825</v>
      </c>
      <c r="H4" s="178">
        <v>11161</v>
      </c>
      <c r="I4" s="178">
        <v>15498</v>
      </c>
      <c r="J4" s="168"/>
      <c r="K4" s="167" t="s">
        <v>203</v>
      </c>
      <c r="L4" s="178">
        <v>7604</v>
      </c>
      <c r="M4" s="178">
        <v>11348</v>
      </c>
      <c r="N4" s="178">
        <v>15092</v>
      </c>
    </row>
    <row r="5" spans="1:14" x14ac:dyDescent="0.55000000000000004">
      <c r="A5" s="167" t="s">
        <v>204</v>
      </c>
      <c r="B5" s="178">
        <v>5048</v>
      </c>
      <c r="C5" s="178">
        <v>6821</v>
      </c>
      <c r="D5" s="178">
        <v>8593</v>
      </c>
      <c r="E5" s="165"/>
      <c r="F5" s="167" t="s">
        <v>204</v>
      </c>
      <c r="G5" s="178">
        <v>6060</v>
      </c>
      <c r="H5" s="178">
        <v>8183</v>
      </c>
      <c r="I5" s="178">
        <v>10308</v>
      </c>
      <c r="J5" s="168"/>
      <c r="K5" s="167" t="s">
        <v>204</v>
      </c>
      <c r="L5" s="178">
        <v>7268</v>
      </c>
      <c r="M5" s="178">
        <v>9821</v>
      </c>
      <c r="N5" s="178">
        <v>12374</v>
      </c>
    </row>
    <row r="6" spans="1:14" x14ac:dyDescent="0.55000000000000004">
      <c r="A6" s="167" t="s">
        <v>205</v>
      </c>
      <c r="B6" s="178">
        <v>1778.0438813349813</v>
      </c>
      <c r="C6" s="178">
        <v>3893.3096415327564</v>
      </c>
      <c r="D6" s="178">
        <v>6161.155747836835</v>
      </c>
      <c r="E6" s="165"/>
      <c r="F6" s="167" t="str">
        <f>+A6</f>
        <v>World Salaries</v>
      </c>
      <c r="G6" s="178">
        <v>2051.9159456118664</v>
      </c>
      <c r="H6" s="178">
        <v>4001.0815822002469</v>
      </c>
      <c r="I6" s="178">
        <v>6327.2558714462293</v>
      </c>
      <c r="J6" s="168"/>
      <c r="K6" s="167" t="str">
        <f>+A6</f>
        <v>World Salaries</v>
      </c>
      <c r="L6" s="178">
        <v>3247.2574165636588</v>
      </c>
      <c r="M6" s="178">
        <v>6964.6168108776264</v>
      </c>
      <c r="N6" s="178">
        <v>11037.932632880098</v>
      </c>
    </row>
    <row r="7" spans="1:14" x14ac:dyDescent="0.55000000000000004">
      <c r="A7" s="167" t="s">
        <v>206</v>
      </c>
      <c r="B7" s="220">
        <f>MEDIAN(B3:B6)</f>
        <v>5554</v>
      </c>
      <c r="C7" s="210">
        <f t="shared" ref="C7:D7" si="0">MEDIAN(C3:C6)</f>
        <v>7348.0356711866498</v>
      </c>
      <c r="D7" s="210">
        <f t="shared" si="0"/>
        <v>9634.2842693077873</v>
      </c>
      <c r="E7" s="166"/>
      <c r="F7" s="167" t="s">
        <v>206</v>
      </c>
      <c r="G7" s="220">
        <f>MEDIAN(G3:G6)</f>
        <v>6442.5</v>
      </c>
      <c r="H7" s="210">
        <f t="shared" ref="H7:I7" si="1">MEDIAN(H3:H6)</f>
        <v>8701.0730781829407</v>
      </c>
      <c r="I7" s="210">
        <f t="shared" si="1"/>
        <v>11779.476319320149</v>
      </c>
      <c r="J7" s="210"/>
      <c r="K7" s="167" t="s">
        <v>206</v>
      </c>
      <c r="L7" s="210">
        <f>MEDIAN(L3:L6)</f>
        <v>7436</v>
      </c>
      <c r="M7" s="210">
        <f t="shared" ref="M7:N7" si="2">MEDIAN(M3:M6)</f>
        <v>10176.792262051917</v>
      </c>
      <c r="N7" s="210">
        <f t="shared" si="2"/>
        <v>12294.979512632879</v>
      </c>
    </row>
    <row r="8" spans="1:14" x14ac:dyDescent="0.55000000000000004">
      <c r="A8" s="167" t="s">
        <v>207</v>
      </c>
      <c r="B8" s="205">
        <f>AVERAGE(B3:B5)</f>
        <v>5954.4524323774203</v>
      </c>
      <c r="C8" s="205">
        <f t="shared" ref="C8:D8" si="3">AVERAGE(C3:C6)</f>
        <v>7282.845245976514</v>
      </c>
      <c r="D8" s="205">
        <f t="shared" si="3"/>
        <v>10113.431071613102</v>
      </c>
      <c r="F8" s="167" t="s">
        <v>207</v>
      </c>
      <c r="G8" s="205">
        <f>AVERAGE(G3:G5)</f>
        <v>6711.8519845488254</v>
      </c>
      <c r="H8" s="205">
        <f t="shared" ref="H8:I8" si="4">AVERAGE(H3:H6)</f>
        <v>8141.0569346415323</v>
      </c>
      <c r="I8" s="205">
        <f t="shared" si="4"/>
        <v>11346.052127521632</v>
      </c>
      <c r="K8" s="167" t="s">
        <v>207</v>
      </c>
      <c r="L8" s="205">
        <f>AVERAGE(L3:L5)</f>
        <v>7585.6032678203546</v>
      </c>
      <c r="M8" s="205">
        <f t="shared" ref="M8:N8" si="5">AVERAGE(M3:M6)</f>
        <v>9666.5503337453647</v>
      </c>
      <c r="N8" s="205">
        <f t="shared" si="5"/>
        <v>12679.972914536464</v>
      </c>
    </row>
    <row r="9" spans="1:14" x14ac:dyDescent="0.55000000000000004">
      <c r="C9" s="165"/>
      <c r="D9" s="165"/>
      <c r="G9" s="165"/>
      <c r="H9" s="165"/>
      <c r="I9" s="165"/>
      <c r="K9" s="167"/>
      <c r="L9" s="165"/>
      <c r="M9" s="165"/>
      <c r="N9" s="165"/>
    </row>
    <row r="10" spans="1:14" x14ac:dyDescent="0.55000000000000004">
      <c r="A10" s="167" t="s">
        <v>208</v>
      </c>
      <c r="B10" s="218">
        <f>+B7*TRM!$I$9</f>
        <v>143781.95200000002</v>
      </c>
      <c r="C10" s="218">
        <f>+C7*TRM!$I$9</f>
        <v>190225.94745568</v>
      </c>
      <c r="D10" s="218">
        <f>+D7*TRM!$I$9</f>
        <v>249412.35116384001</v>
      </c>
      <c r="F10" s="167" t="s">
        <v>208</v>
      </c>
      <c r="G10" s="218">
        <f>+G7*TRM!$I$9</f>
        <v>166783.44</v>
      </c>
      <c r="H10" s="218">
        <f>+H7*TRM!$I$9</f>
        <v>225253.37984799998</v>
      </c>
      <c r="I10" s="218">
        <f>+I7*TRM!$I$9</f>
        <v>304947.08295456006</v>
      </c>
      <c r="K10" s="167" t="s">
        <v>208</v>
      </c>
      <c r="L10" s="218">
        <f>+L7*TRM!$I$9</f>
        <v>192503.16800000001</v>
      </c>
      <c r="M10" s="218">
        <f>+M7*TRM!$I$9</f>
        <v>263456.79808000004</v>
      </c>
      <c r="N10" s="218">
        <f>+N7*TRM!$I$9</f>
        <v>318292.42962304002</v>
      </c>
    </row>
    <row r="11" spans="1:14" x14ac:dyDescent="0.55000000000000004">
      <c r="A11" s="167" t="s">
        <v>209</v>
      </c>
      <c r="B11" s="218">
        <f>+B10/12</f>
        <v>11981.829333333335</v>
      </c>
      <c r="C11" s="218">
        <f t="shared" ref="C11:D11" si="6">+C10/12</f>
        <v>15852.162287973333</v>
      </c>
      <c r="D11" s="218">
        <f t="shared" si="6"/>
        <v>20784.362596986666</v>
      </c>
      <c r="F11" s="167" t="s">
        <v>209</v>
      </c>
      <c r="G11" s="218">
        <f t="shared" ref="G11" si="7">+G10/12</f>
        <v>13898.62</v>
      </c>
      <c r="H11" s="218">
        <f t="shared" ref="H11" si="8">+H10/12</f>
        <v>18771.114987333331</v>
      </c>
      <c r="I11" s="218">
        <f t="shared" ref="I11" si="9">+I10/12</f>
        <v>25412.256912880006</v>
      </c>
      <c r="K11" s="167" t="s">
        <v>209</v>
      </c>
      <c r="L11" s="218">
        <f t="shared" ref="L11" si="10">+L10/12</f>
        <v>16041.930666666667</v>
      </c>
      <c r="M11" s="218">
        <f t="shared" ref="M11" si="11">+M10/12</f>
        <v>21954.733173333338</v>
      </c>
      <c r="N11" s="218">
        <f t="shared" ref="N11" si="12">+N10/12</f>
        <v>26524.369135253335</v>
      </c>
    </row>
    <row r="12" spans="1:14" x14ac:dyDescent="0.55000000000000004">
      <c r="A12" s="167" t="s">
        <v>210</v>
      </c>
      <c r="B12" s="85">
        <f>+B11/'Birches Report Level'!$AG$13</f>
        <v>0.85625044812888773</v>
      </c>
      <c r="C12" s="85">
        <f>+C11/'Birches Report Level'!$AG$13</f>
        <v>1.1328337839972309</v>
      </c>
      <c r="D12" s="85">
        <f>+D11/'Birches Report Level'!$AG$13</f>
        <v>1.4853007243420753</v>
      </c>
      <c r="F12" s="167" t="s">
        <v>210</v>
      </c>
      <c r="G12" s="85">
        <f>+G11/'Birches Report Level'!$AG$13</f>
        <v>0.99322893627482156</v>
      </c>
      <c r="H12" s="85">
        <f>+H11/'Birches Report Level'!$AG$13</f>
        <v>1.3414291902045989</v>
      </c>
      <c r="I12" s="85">
        <f>+I11/'Birches Report Level'!$AG$13</f>
        <v>1.8160212238281417</v>
      </c>
      <c r="K12" s="167" t="s">
        <v>210</v>
      </c>
      <c r="L12" s="85">
        <f>+L11/'Birches Report Level'!$AG$13</f>
        <v>1.1463950904368758</v>
      </c>
      <c r="M12" s="85">
        <f>+M11/'Birches Report Level'!$AG$13</f>
        <v>1.5689382309860553</v>
      </c>
      <c r="N12" s="85">
        <f>+N11/'Birches Report Level'!$AG$13</f>
        <v>1.8954954478623329</v>
      </c>
    </row>
    <row r="17" spans="1:1" x14ac:dyDescent="0.55000000000000004">
      <c r="A17" s="219"/>
    </row>
  </sheetData>
  <mergeCells count="3">
    <mergeCell ref="K1:N1"/>
    <mergeCell ref="A1:D1"/>
    <mergeCell ref="F1:I1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DBE9-5458-4EF4-893F-7EF1DDD0B072}">
  <dimension ref="A1:J12"/>
  <sheetViews>
    <sheetView workbookViewId="0">
      <selection activeCell="E11" sqref="E11"/>
    </sheetView>
  </sheetViews>
  <sheetFormatPr defaultRowHeight="14.4" x14ac:dyDescent="0.55000000000000004"/>
  <cols>
    <col min="1" max="1" width="13.578125" customWidth="1"/>
    <col min="2" max="4" width="11.578125" bestFit="1" customWidth="1"/>
    <col min="5" max="6" width="13.68359375" bestFit="1" customWidth="1"/>
    <col min="7" max="9" width="11.578125" bestFit="1" customWidth="1"/>
    <col min="10" max="10" width="12.578125" bestFit="1" customWidth="1"/>
  </cols>
  <sheetData>
    <row r="1" spans="1:10" x14ac:dyDescent="0.55000000000000004">
      <c r="A1" s="385" t="s">
        <v>211</v>
      </c>
      <c r="B1" s="385"/>
      <c r="C1" s="385"/>
      <c r="D1" s="385"/>
      <c r="E1" s="166"/>
      <c r="F1" s="385" t="s">
        <v>212</v>
      </c>
      <c r="G1" s="385"/>
      <c r="H1" s="385"/>
      <c r="I1" s="385"/>
    </row>
    <row r="2" spans="1:10" x14ac:dyDescent="0.55000000000000004">
      <c r="B2" s="167" t="s">
        <v>199</v>
      </c>
      <c r="C2" s="166" t="s">
        <v>200</v>
      </c>
      <c r="D2" s="167" t="s">
        <v>201</v>
      </c>
      <c r="E2" s="166"/>
      <c r="G2" s="167" t="s">
        <v>199</v>
      </c>
      <c r="H2" s="166" t="s">
        <v>200</v>
      </c>
      <c r="I2" s="167" t="s">
        <v>201</v>
      </c>
    </row>
    <row r="3" spans="1:10" x14ac:dyDescent="0.55000000000000004">
      <c r="A3" s="167" t="s">
        <v>202</v>
      </c>
      <c r="B3" s="177">
        <v>9406.1413276390613</v>
      </c>
      <c r="C3" s="177">
        <v>12215.95902526576</v>
      </c>
      <c r="D3" s="177">
        <v>36453.860181508033</v>
      </c>
      <c r="E3" s="165"/>
      <c r="F3" s="167" t="s">
        <v>202</v>
      </c>
      <c r="G3" s="177">
        <v>8109.9646956489487</v>
      </c>
      <c r="H3" s="177">
        <v>14506.002035822001</v>
      </c>
      <c r="I3" s="177">
        <v>30075.962292459822</v>
      </c>
    </row>
    <row r="4" spans="1:10" x14ac:dyDescent="0.55000000000000004">
      <c r="A4" s="167" t="s">
        <v>203</v>
      </c>
      <c r="B4" s="178">
        <v>6385</v>
      </c>
      <c r="C4" s="178">
        <v>12187</v>
      </c>
      <c r="D4" s="178">
        <v>17989</v>
      </c>
      <c r="E4" s="165" t="s">
        <v>213</v>
      </c>
      <c r="F4" s="167" t="s">
        <v>203</v>
      </c>
      <c r="G4" s="178">
        <v>9216</v>
      </c>
      <c r="H4" s="178">
        <v>16974</v>
      </c>
      <c r="I4" s="178">
        <v>24732</v>
      </c>
      <c r="J4" t="s">
        <v>214</v>
      </c>
    </row>
    <row r="5" spans="1:10" x14ac:dyDescent="0.55000000000000004">
      <c r="A5" s="167" t="s">
        <v>215</v>
      </c>
      <c r="B5" s="165">
        <v>8721</v>
      </c>
      <c r="C5" s="165">
        <v>11790</v>
      </c>
      <c r="D5" s="165">
        <v>14858</v>
      </c>
      <c r="E5" s="165"/>
      <c r="F5" s="167" t="s">
        <v>215</v>
      </c>
      <c r="G5" s="165">
        <v>10468</v>
      </c>
      <c r="H5" s="165">
        <v>14145</v>
      </c>
      <c r="I5" s="178">
        <v>17822</v>
      </c>
    </row>
    <row r="6" spans="1:10" x14ac:dyDescent="0.55000000000000004">
      <c r="A6" s="167" t="str">
        <f>+'Grade A'!A6</f>
        <v>World Salaries</v>
      </c>
      <c r="B6" s="165">
        <v>3530.9796044499381</v>
      </c>
      <c r="C6" s="165">
        <v>7455.1915945611863</v>
      </c>
      <c r="D6" s="165">
        <v>11684.950556242273</v>
      </c>
      <c r="E6" s="165"/>
      <c r="F6" s="167" t="str">
        <f>+A6</f>
        <v>World Salaries</v>
      </c>
      <c r="G6" s="165">
        <v>4113.1025957972806</v>
      </c>
      <c r="H6" s="165">
        <v>8141.481252575195</v>
      </c>
      <c r="I6" s="178">
        <v>12533.477544293366</v>
      </c>
    </row>
    <row r="7" spans="1:10" x14ac:dyDescent="0.55000000000000004">
      <c r="A7" s="167" t="s">
        <v>206</v>
      </c>
      <c r="B7" s="210">
        <f>MEDIAN(B3:B6)</f>
        <v>7553</v>
      </c>
      <c r="C7" s="210">
        <f t="shared" ref="C7:D7" si="0">MEDIAN(C3:C6)</f>
        <v>11988.5</v>
      </c>
      <c r="D7" s="210">
        <f t="shared" si="0"/>
        <v>16423.5</v>
      </c>
      <c r="E7" s="166"/>
      <c r="F7" s="167" t="s">
        <v>206</v>
      </c>
      <c r="G7" s="210">
        <f>MEDIAN(G3:G6)</f>
        <v>8662.9823478244743</v>
      </c>
      <c r="H7" s="210">
        <f t="shared" ref="H7:I7" si="1">MEDIAN(H3:H6)</f>
        <v>14325.501017911</v>
      </c>
      <c r="I7" s="210">
        <f t="shared" si="1"/>
        <v>21277</v>
      </c>
    </row>
    <row r="8" spans="1:10" x14ac:dyDescent="0.55000000000000004">
      <c r="A8" s="167" t="s">
        <v>207</v>
      </c>
      <c r="B8" s="205">
        <f>AVERAGE(B3:B6)</f>
        <v>7010.7802330222494</v>
      </c>
      <c r="C8" s="205">
        <f t="shared" ref="C8:D8" si="2">AVERAGE(C3:C6)</f>
        <v>10912.037654956735</v>
      </c>
      <c r="D8" s="205">
        <f t="shared" si="2"/>
        <v>20246.452684437576</v>
      </c>
      <c r="F8" s="167" t="s">
        <v>207</v>
      </c>
      <c r="G8" s="205">
        <f t="shared" ref="G8:I8" si="3">AVERAGE(G3:G6)</f>
        <v>7976.7668228615576</v>
      </c>
      <c r="H8" s="205">
        <f t="shared" si="3"/>
        <v>13441.620822099299</v>
      </c>
      <c r="I8" s="205">
        <f t="shared" si="3"/>
        <v>21290.859959188296</v>
      </c>
    </row>
    <row r="9" spans="1:10" x14ac:dyDescent="0.55000000000000004">
      <c r="B9" s="205"/>
      <c r="C9" s="205"/>
      <c r="D9" s="205"/>
      <c r="G9" s="205"/>
      <c r="H9" s="205"/>
      <c r="I9" s="205"/>
    </row>
    <row r="10" spans="1:10" x14ac:dyDescent="0.55000000000000004">
      <c r="A10" s="167" t="s">
        <v>208</v>
      </c>
      <c r="B10" s="218">
        <f>+B7*TRM!$I$9</f>
        <v>195532.06400000001</v>
      </c>
      <c r="C10" s="218">
        <f>+C7*TRM!$I$9</f>
        <v>310358.288</v>
      </c>
      <c r="D10" s="218">
        <f>+D7*TRM!$I$9</f>
        <v>425171.56800000003</v>
      </c>
      <c r="F10" s="167" t="s">
        <v>208</v>
      </c>
      <c r="G10" s="218">
        <f>+G7*TRM!$I$9</f>
        <v>224267.28702048</v>
      </c>
      <c r="H10" s="218">
        <f>+H7*TRM!$I$9</f>
        <v>370858.57035167998</v>
      </c>
      <c r="I10" s="218">
        <f>+I7*TRM!$I$9</f>
        <v>550818.97600000002</v>
      </c>
    </row>
    <row r="11" spans="1:10" x14ac:dyDescent="0.55000000000000004">
      <c r="A11" s="167" t="s">
        <v>209</v>
      </c>
      <c r="B11" s="165">
        <f>+B10/12</f>
        <v>16294.338666666668</v>
      </c>
      <c r="C11" s="165">
        <f t="shared" ref="C11:D11" si="4">+C10/12</f>
        <v>25863.190666666665</v>
      </c>
      <c r="D11" s="165">
        <f t="shared" si="4"/>
        <v>35430.964</v>
      </c>
      <c r="F11" s="167" t="s">
        <v>209</v>
      </c>
      <c r="G11" s="165">
        <f>+G10/12</f>
        <v>18688.94058504</v>
      </c>
      <c r="H11" s="165">
        <f t="shared" ref="H11:I11" si="5">+H10/12</f>
        <v>30904.880862639999</v>
      </c>
      <c r="I11" s="165">
        <f t="shared" si="5"/>
        <v>45901.581333333335</v>
      </c>
    </row>
    <row r="12" spans="1:10" x14ac:dyDescent="0.55000000000000004">
      <c r="A12" s="167" t="s">
        <v>210</v>
      </c>
      <c r="B12" s="85">
        <f>+B11/'Birches Report Level'!$AG$13</f>
        <v>1.1644327754262673</v>
      </c>
      <c r="C12" s="85">
        <f>+C11/'Birches Report Level'!$AG$13</f>
        <v>1.8482460384215285</v>
      </c>
      <c r="D12" s="85">
        <f>+D11/'Birches Report Level'!$AG$13</f>
        <v>2.5319822172929034</v>
      </c>
      <c r="F12" s="167" t="s">
        <v>210</v>
      </c>
      <c r="G12" s="85">
        <f>+G11/'Birches Report Level'!$AG$13</f>
        <v>1.3355568090488565</v>
      </c>
      <c r="H12" s="85">
        <f>+H11/'Birches Report Level'!$AG$13</f>
        <v>2.2085373903955943</v>
      </c>
      <c r="I12" s="85">
        <f>+I11/'Birches Report Level'!$AG$13</f>
        <v>3.2802378078571017</v>
      </c>
    </row>
  </sheetData>
  <mergeCells count="2">
    <mergeCell ref="A1:D1"/>
    <mergeCell ref="F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FB194-F426-4EE2-8479-378F178C0473}">
  <dimension ref="A1:O12"/>
  <sheetViews>
    <sheetView workbookViewId="0">
      <selection activeCell="M30" sqref="M30"/>
    </sheetView>
  </sheetViews>
  <sheetFormatPr defaultRowHeight="14.4" x14ac:dyDescent="0.55000000000000004"/>
  <cols>
    <col min="1" max="1" width="13.41796875" bestFit="1" customWidth="1"/>
    <col min="2" max="4" width="11.578125" bestFit="1" customWidth="1"/>
    <col min="6" max="6" width="13.41796875" bestFit="1" customWidth="1"/>
    <col min="7" max="9" width="11.578125" bestFit="1" customWidth="1"/>
    <col min="11" max="11" width="13.41796875" bestFit="1" customWidth="1"/>
    <col min="12" max="14" width="11.578125" bestFit="1" customWidth="1"/>
    <col min="15" max="15" width="15.41796875" bestFit="1" customWidth="1"/>
  </cols>
  <sheetData>
    <row r="1" spans="1:15" x14ac:dyDescent="0.55000000000000004">
      <c r="A1" s="385" t="s">
        <v>216</v>
      </c>
      <c r="B1" s="385"/>
      <c r="C1" s="385"/>
      <c r="D1" s="385"/>
      <c r="E1" s="166"/>
      <c r="F1" s="385" t="s">
        <v>217</v>
      </c>
      <c r="G1" s="385"/>
      <c r="H1" s="385"/>
      <c r="I1" s="385"/>
      <c r="K1" s="385" t="s">
        <v>218</v>
      </c>
      <c r="L1" s="385"/>
      <c r="M1" s="385"/>
      <c r="N1" s="385"/>
    </row>
    <row r="2" spans="1:15" x14ac:dyDescent="0.55000000000000004">
      <c r="B2" s="167" t="s">
        <v>199</v>
      </c>
      <c r="C2" s="166" t="s">
        <v>200</v>
      </c>
      <c r="D2" s="167" t="s">
        <v>201</v>
      </c>
      <c r="E2" s="166"/>
      <c r="G2" s="167" t="s">
        <v>199</v>
      </c>
      <c r="H2" s="166" t="s">
        <v>200</v>
      </c>
      <c r="I2" s="167" t="s">
        <v>201</v>
      </c>
      <c r="J2" s="167"/>
      <c r="L2" s="167" t="s">
        <v>199</v>
      </c>
      <c r="M2" s="166" t="s">
        <v>200</v>
      </c>
      <c r="N2" s="167" t="s">
        <v>201</v>
      </c>
    </row>
    <row r="3" spans="1:15" x14ac:dyDescent="0.55000000000000004">
      <c r="A3" s="167" t="s">
        <v>202</v>
      </c>
      <c r="B3" s="177">
        <v>12995.495667960442</v>
      </c>
      <c r="C3" s="177">
        <v>18034.083483634113</v>
      </c>
      <c r="D3" s="177">
        <v>32261.598969122369</v>
      </c>
      <c r="E3" s="165"/>
      <c r="F3" s="167" t="s">
        <v>202</v>
      </c>
      <c r="G3" s="177">
        <v>14910.378048800987</v>
      </c>
      <c r="H3" s="177">
        <v>22186.680320173051</v>
      </c>
      <c r="I3" s="177">
        <v>40743.255228949311</v>
      </c>
      <c r="J3" s="168"/>
      <c r="K3" s="216" t="s">
        <v>202</v>
      </c>
      <c r="L3" s="177">
        <v>15099.755590383189</v>
      </c>
      <c r="M3" s="177">
        <v>23698.315179233618</v>
      </c>
      <c r="N3" s="177">
        <v>51229.32083807169</v>
      </c>
    </row>
    <row r="4" spans="1:15" x14ac:dyDescent="0.55000000000000004">
      <c r="A4" s="167" t="s">
        <v>203</v>
      </c>
      <c r="B4" s="178">
        <v>8880</v>
      </c>
      <c r="C4" s="178">
        <v>17400</v>
      </c>
      <c r="D4" s="178">
        <v>25920</v>
      </c>
      <c r="E4" s="165"/>
      <c r="F4" s="167" t="s">
        <v>203</v>
      </c>
      <c r="G4" s="178">
        <v>9158</v>
      </c>
      <c r="H4" s="178">
        <v>18382</v>
      </c>
      <c r="I4" s="178">
        <v>27606</v>
      </c>
      <c r="J4" s="168"/>
      <c r="K4" s="217" t="s">
        <v>203</v>
      </c>
      <c r="L4" s="178">
        <v>11000</v>
      </c>
      <c r="M4" s="178">
        <v>23000</v>
      </c>
      <c r="N4" s="178">
        <v>35000</v>
      </c>
      <c r="O4" t="s">
        <v>219</v>
      </c>
    </row>
    <row r="5" spans="1:15" x14ac:dyDescent="0.55000000000000004">
      <c r="A5" s="167" t="s">
        <v>215</v>
      </c>
      <c r="B5" s="178">
        <v>12560</v>
      </c>
      <c r="C5" s="178">
        <v>16973</v>
      </c>
      <c r="D5" s="178">
        <v>21385</v>
      </c>
      <c r="E5" s="165"/>
      <c r="F5" s="167" t="s">
        <v>204</v>
      </c>
      <c r="G5" s="178">
        <v>15697</v>
      </c>
      <c r="H5" s="178">
        <v>21231</v>
      </c>
      <c r="I5" s="178">
        <v>26765</v>
      </c>
      <c r="J5" s="168"/>
      <c r="K5" s="217"/>
      <c r="L5" s="178">
        <v>19627</v>
      </c>
      <c r="M5" s="178">
        <v>26518</v>
      </c>
      <c r="N5" s="178">
        <v>33409</v>
      </c>
    </row>
    <row r="6" spans="1:15" x14ac:dyDescent="0.55000000000000004">
      <c r="A6" s="167" t="str">
        <f>+'Grade B'!A6</f>
        <v>World Salaries</v>
      </c>
      <c r="B6" s="178">
        <v>4113.1025957972806</v>
      </c>
      <c r="C6" s="178">
        <v>8141.481252575195</v>
      </c>
      <c r="D6" s="178">
        <v>16897.790482076638</v>
      </c>
      <c r="E6" s="165"/>
      <c r="F6" s="167" t="str">
        <f>+A6</f>
        <v>World Salaries</v>
      </c>
      <c r="G6" s="178">
        <v>5836.6810877626694</v>
      </c>
      <c r="H6" s="178">
        <v>11399.103831891223</v>
      </c>
      <c r="I6" s="178">
        <v>17510.043263288007</v>
      </c>
      <c r="J6" s="168"/>
      <c r="K6" s="217" t="str">
        <f>+F6</f>
        <v>World Salaries</v>
      </c>
      <c r="L6" s="178">
        <v>8208.436341161927</v>
      </c>
      <c r="M6" s="178">
        <v>17938.813349814583</v>
      </c>
      <c r="N6" s="178">
        <v>28399.258343634116</v>
      </c>
    </row>
    <row r="7" spans="1:15" x14ac:dyDescent="0.55000000000000004">
      <c r="A7" s="167" t="s">
        <v>206</v>
      </c>
      <c r="B7" s="210">
        <f>MEDIAN(B3:B6)</f>
        <v>10720</v>
      </c>
      <c r="C7" s="210">
        <f t="shared" ref="C7:D7" si="0">MEDIAN(C3:C6)</f>
        <v>17186.5</v>
      </c>
      <c r="D7" s="210">
        <f t="shared" si="0"/>
        <v>23652.5</v>
      </c>
      <c r="E7" s="203"/>
      <c r="F7" s="167" t="s">
        <v>206</v>
      </c>
      <c r="G7" s="210">
        <f>MEDIAN(G3:G6)</f>
        <v>12034.189024400494</v>
      </c>
      <c r="H7" s="210">
        <f t="shared" ref="H7:I7" si="1">MEDIAN(H3:H6)</f>
        <v>19806.5</v>
      </c>
      <c r="I7" s="210">
        <f t="shared" si="1"/>
        <v>27185.5</v>
      </c>
      <c r="J7" s="202"/>
      <c r="K7" s="167" t="s">
        <v>206</v>
      </c>
      <c r="L7" s="210">
        <f>MEDIAN(L3:L6)</f>
        <v>13049.877795191594</v>
      </c>
      <c r="M7" s="210">
        <f t="shared" ref="M7:N7" si="2">MEDIAN(M3:M6)</f>
        <v>23349.157589616807</v>
      </c>
      <c r="N7" s="210">
        <f t="shared" si="2"/>
        <v>34204.5</v>
      </c>
      <c r="O7" s="179"/>
    </row>
    <row r="8" spans="1:15" x14ac:dyDescent="0.55000000000000004">
      <c r="A8" s="167" t="s">
        <v>207</v>
      </c>
      <c r="B8" s="205">
        <f>AVERAGE(B3:B6)</f>
        <v>9637.1495659394313</v>
      </c>
      <c r="C8" s="205">
        <f t="shared" ref="C8:D8" si="3">AVERAGE(C3:C6)</f>
        <v>15137.141184052325</v>
      </c>
      <c r="D8" s="205">
        <f t="shared" si="3"/>
        <v>24116.097362799752</v>
      </c>
      <c r="F8" s="167" t="s">
        <v>207</v>
      </c>
      <c r="G8" s="205">
        <f>AVERAGE(G3:G6)</f>
        <v>11400.514784140914</v>
      </c>
      <c r="H8" s="205">
        <f t="shared" ref="H8:I8" si="4">AVERAGE(H3:H6)</f>
        <v>18299.696038016067</v>
      </c>
      <c r="I8" s="205">
        <f t="shared" si="4"/>
        <v>28156.074623059329</v>
      </c>
      <c r="K8" s="167" t="s">
        <v>207</v>
      </c>
      <c r="L8" s="205">
        <f>AVERAGE(L3:L6)</f>
        <v>13483.797982886279</v>
      </c>
      <c r="M8" s="205">
        <f t="shared" ref="M8:N8" si="5">AVERAGE(M3:M6)</f>
        <v>22788.782132262051</v>
      </c>
      <c r="N8" s="205">
        <f t="shared" si="5"/>
        <v>37009.394795426451</v>
      </c>
    </row>
    <row r="9" spans="1:15" x14ac:dyDescent="0.55000000000000004">
      <c r="B9" s="205"/>
      <c r="C9" s="205"/>
      <c r="D9" s="205"/>
      <c r="G9" s="205"/>
      <c r="H9" s="205"/>
      <c r="I9" s="205"/>
      <c r="L9" s="205"/>
      <c r="M9" s="205"/>
      <c r="N9" s="205"/>
    </row>
    <row r="10" spans="1:15" x14ac:dyDescent="0.55000000000000004">
      <c r="A10" s="167" t="s">
        <v>208</v>
      </c>
      <c r="B10" s="218">
        <f>+B7*TRM!$I$9</f>
        <v>277519.36000000004</v>
      </c>
      <c r="C10" s="218">
        <f>+C7*TRM!$I$9</f>
        <v>444924.11200000002</v>
      </c>
      <c r="D10" s="218">
        <f>+D7*TRM!$I$9</f>
        <v>612315.92000000004</v>
      </c>
      <c r="F10" s="167" t="s">
        <v>208</v>
      </c>
      <c r="G10" s="218">
        <f>+G7*TRM!$I$9</f>
        <v>311541.08546367998</v>
      </c>
      <c r="H10" s="218">
        <f>+H7*TRM!$I$9</f>
        <v>512750.67200000002</v>
      </c>
      <c r="I10" s="218">
        <f>+I7*TRM!$I$9</f>
        <v>703778.22400000005</v>
      </c>
      <c r="K10" s="167" t="s">
        <v>208</v>
      </c>
      <c r="L10" s="218">
        <f>+L7*TRM!$I$9</f>
        <v>337835.23636192002</v>
      </c>
      <c r="M10" s="218">
        <f>+M7*TRM!$I$9</f>
        <v>604462.99167999998</v>
      </c>
      <c r="N10" s="218">
        <f>+N7*TRM!$I$9</f>
        <v>885486.09600000002</v>
      </c>
    </row>
    <row r="11" spans="1:15" x14ac:dyDescent="0.55000000000000004">
      <c r="A11" s="167" t="s">
        <v>209</v>
      </c>
      <c r="B11" s="165">
        <f>+B10/12</f>
        <v>23126.613333333338</v>
      </c>
      <c r="C11" s="165">
        <f t="shared" ref="C11:D11" si="6">+C10/12</f>
        <v>37077.009333333335</v>
      </c>
      <c r="D11" s="165">
        <f t="shared" si="6"/>
        <v>51026.326666666668</v>
      </c>
      <c r="F11" s="167" t="s">
        <v>209</v>
      </c>
      <c r="G11" s="165">
        <f>+G10/12</f>
        <v>25961.757121973333</v>
      </c>
      <c r="H11" s="165">
        <f t="shared" ref="H11:I11" si="7">+H10/12</f>
        <v>42729.222666666668</v>
      </c>
      <c r="I11" s="165">
        <f t="shared" si="7"/>
        <v>58648.185333333335</v>
      </c>
      <c r="K11" s="167" t="s">
        <v>209</v>
      </c>
      <c r="L11" s="165">
        <f>+L10/12</f>
        <v>28152.936363493336</v>
      </c>
      <c r="M11" s="165">
        <f t="shared" ref="M11:N11" si="8">+M10/12</f>
        <v>50371.915973333329</v>
      </c>
      <c r="N11" s="165">
        <f t="shared" si="8"/>
        <v>73790.508000000002</v>
      </c>
    </row>
    <row r="12" spans="1:15" x14ac:dyDescent="0.55000000000000004">
      <c r="A12" s="167" t="s">
        <v>210</v>
      </c>
      <c r="B12" s="85">
        <f>+B11/'Birches Report Level'!$AG$13</f>
        <v>1.6526836161220162</v>
      </c>
      <c r="C12" s="85">
        <f>+C11/'Birches Report Level'!$AG$13</f>
        <v>2.6496125903433794</v>
      </c>
      <c r="D12" s="85">
        <f>+D11/'Birches Report Level'!$AG$13</f>
        <v>3.6464644804408564</v>
      </c>
      <c r="F12" s="167" t="s">
        <v>210</v>
      </c>
      <c r="G12" s="85">
        <f>+G11/'Birches Report Level'!$AG$13</f>
        <v>1.8552898352557912</v>
      </c>
      <c r="H12" s="85">
        <f>+H11/'Birches Report Level'!$AG$13</f>
        <v>3.0535333995075287</v>
      </c>
      <c r="I12" s="85">
        <f>+I11/'Birches Report Level'!$AG$13</f>
        <v>4.1911408998213675</v>
      </c>
      <c r="K12" s="167" t="s">
        <v>210</v>
      </c>
      <c r="L12" s="85">
        <f>+L11/'Birches Report Level'!$AG$13</f>
        <v>2.0118767933309369</v>
      </c>
      <c r="M12" s="85">
        <f>+M11/'Birches Report Level'!$AG$13</f>
        <v>3.5996987125569699</v>
      </c>
      <c r="N12" s="85">
        <f>+N11/'Birches Report Level'!$AG$13</f>
        <v>5.2732478309370796</v>
      </c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89E6F-5FBC-465A-9AD3-9A60AEAC05B2}">
  <dimension ref="A1:O12"/>
  <sheetViews>
    <sheetView topLeftCell="C1" workbookViewId="0">
      <selection activeCell="E2" sqref="E2"/>
    </sheetView>
  </sheetViews>
  <sheetFormatPr defaultRowHeight="14.4" x14ac:dyDescent="0.55000000000000004"/>
  <cols>
    <col min="1" max="1" width="13.41796875" bestFit="1" customWidth="1"/>
    <col min="2" max="2" width="11.578125" bestFit="1" customWidth="1"/>
    <col min="3" max="3" width="12.68359375" bestFit="1" customWidth="1"/>
    <col min="4" max="4" width="11.578125" bestFit="1" customWidth="1"/>
    <col min="5" max="5" width="22.83984375" bestFit="1" customWidth="1"/>
    <col min="6" max="6" width="13.41796875" bestFit="1" customWidth="1"/>
    <col min="7" max="9" width="11.578125" bestFit="1" customWidth="1"/>
    <col min="10" max="10" width="18.15625" bestFit="1" customWidth="1"/>
    <col min="11" max="11" width="14.83984375" customWidth="1"/>
    <col min="12" max="14" width="11.578125" bestFit="1" customWidth="1"/>
    <col min="15" max="15" width="17.578125" bestFit="1" customWidth="1"/>
  </cols>
  <sheetData>
    <row r="1" spans="1:15" x14ac:dyDescent="0.55000000000000004">
      <c r="A1" s="385" t="s">
        <v>220</v>
      </c>
      <c r="B1" s="385"/>
      <c r="C1" s="385"/>
      <c r="D1" s="385"/>
      <c r="E1" s="166"/>
      <c r="F1" s="385" t="s">
        <v>221</v>
      </c>
      <c r="G1" s="385"/>
      <c r="H1" s="385"/>
      <c r="I1" s="385"/>
      <c r="K1" s="385" t="s">
        <v>222</v>
      </c>
      <c r="L1" s="385"/>
      <c r="M1" s="385"/>
      <c r="N1" s="385"/>
    </row>
    <row r="2" spans="1:15" x14ac:dyDescent="0.55000000000000004">
      <c r="B2" s="167" t="s">
        <v>199</v>
      </c>
      <c r="C2" s="166" t="s">
        <v>200</v>
      </c>
      <c r="D2" s="167" t="s">
        <v>201</v>
      </c>
      <c r="E2" s="166"/>
      <c r="G2" s="167" t="s">
        <v>199</v>
      </c>
      <c r="H2" s="166" t="s">
        <v>200</v>
      </c>
      <c r="I2" s="167" t="s">
        <v>201</v>
      </c>
      <c r="J2" s="167"/>
      <c r="L2" s="167" t="s">
        <v>199</v>
      </c>
      <c r="M2" s="166" t="s">
        <v>200</v>
      </c>
      <c r="N2" s="167" t="s">
        <v>201</v>
      </c>
    </row>
    <row r="3" spans="1:15" x14ac:dyDescent="0.55000000000000004">
      <c r="A3" s="167" t="s">
        <v>202</v>
      </c>
      <c r="B3" s="178">
        <v>17335.589227416564</v>
      </c>
      <c r="C3" s="177">
        <v>31273.834802224963</v>
      </c>
      <c r="D3" s="177">
        <v>67796.700130754019</v>
      </c>
      <c r="E3" s="165"/>
      <c r="F3" s="167" t="s">
        <v>202</v>
      </c>
      <c r="G3" s="177">
        <v>19121.572835747837</v>
      </c>
      <c r="H3" s="177">
        <v>35108.615080346099</v>
      </c>
      <c r="I3" s="177">
        <v>51983.320142892459</v>
      </c>
      <c r="J3" s="168"/>
      <c r="K3" s="216" t="s">
        <v>202</v>
      </c>
      <c r="L3" s="177">
        <v>27533.59700899876</v>
      </c>
      <c r="M3" s="177">
        <v>44546.646733349815</v>
      </c>
      <c r="N3" s="177">
        <v>61822.593111100119</v>
      </c>
    </row>
    <row r="4" spans="1:15" x14ac:dyDescent="0.55000000000000004">
      <c r="A4" s="167" t="s">
        <v>203</v>
      </c>
      <c r="B4" s="178">
        <v>11000</v>
      </c>
      <c r="C4" s="178">
        <f>(B4+D4)/2</f>
        <v>28000</v>
      </c>
      <c r="D4" s="178">
        <v>45000</v>
      </c>
      <c r="E4" s="165" t="s">
        <v>223</v>
      </c>
      <c r="F4" s="167" t="s">
        <v>203</v>
      </c>
      <c r="G4" s="178">
        <v>13000</v>
      </c>
      <c r="H4" s="178">
        <v>34000</v>
      </c>
      <c r="I4" s="178">
        <v>55000</v>
      </c>
      <c r="J4" s="168" t="s">
        <v>224</v>
      </c>
      <c r="K4" s="217" t="s">
        <v>203</v>
      </c>
      <c r="L4" s="178">
        <v>14000</v>
      </c>
      <c r="M4" s="178">
        <v>39500</v>
      </c>
      <c r="N4" s="178">
        <v>65000</v>
      </c>
      <c r="O4" t="s">
        <v>225</v>
      </c>
    </row>
    <row r="5" spans="1:15" x14ac:dyDescent="0.55000000000000004">
      <c r="A5" s="167" t="s">
        <v>204</v>
      </c>
      <c r="B5" s="178"/>
      <c r="C5" s="178"/>
      <c r="D5" s="178"/>
      <c r="E5" s="165"/>
      <c r="F5" s="167" t="s">
        <v>204</v>
      </c>
      <c r="G5" s="178">
        <v>24541</v>
      </c>
      <c r="H5" s="178">
        <v>33159</v>
      </c>
      <c r="I5" s="178">
        <v>41778</v>
      </c>
      <c r="J5" s="168"/>
      <c r="K5" s="167" t="s">
        <v>204</v>
      </c>
      <c r="L5" s="178">
        <v>30671.199011124845</v>
      </c>
      <c r="M5" s="165">
        <v>41447.929542645237</v>
      </c>
      <c r="N5" s="178">
        <v>52224.196538936958</v>
      </c>
    </row>
    <row r="6" spans="1:15" x14ac:dyDescent="0.55000000000000004">
      <c r="A6" s="167" t="str">
        <f>+'Gade C'!A6</f>
        <v>World Salaries</v>
      </c>
      <c r="B6" s="178">
        <v>10960.676761433868</v>
      </c>
      <c r="C6" s="178">
        <v>23825.710754017306</v>
      </c>
      <c r="D6" s="178">
        <v>37870.828182941899</v>
      </c>
      <c r="E6" s="165"/>
      <c r="F6" s="167" t="str">
        <f>+A6</f>
        <v>World Salaries</v>
      </c>
      <c r="G6" s="178">
        <v>13967.861557478367</v>
      </c>
      <c r="H6" s="178">
        <v>26773.022249690974</v>
      </c>
      <c r="I6" s="178">
        <v>40856.767614338685</v>
      </c>
      <c r="J6" s="168"/>
      <c r="K6" s="167" t="str">
        <f>+F6</f>
        <v>World Salaries</v>
      </c>
      <c r="L6" s="178"/>
      <c r="M6" s="165"/>
      <c r="N6" s="178"/>
    </row>
    <row r="7" spans="1:15" x14ac:dyDescent="0.55000000000000004">
      <c r="A7" s="167" t="s">
        <v>206</v>
      </c>
      <c r="B7" s="210">
        <f>MEDIAN(+B3,B4,B6)</f>
        <v>11000</v>
      </c>
      <c r="C7" s="210">
        <f t="shared" ref="C7:D7" si="0">MEDIAN(+C3,C4,C6)</f>
        <v>28000</v>
      </c>
      <c r="D7" s="210">
        <f t="shared" si="0"/>
        <v>45000</v>
      </c>
      <c r="E7" s="166"/>
      <c r="F7" s="167" t="s">
        <v>206</v>
      </c>
      <c r="G7" s="210">
        <f t="shared" ref="G7" si="1">MEDIAN(G2:G6)</f>
        <v>16544.717196613103</v>
      </c>
      <c r="H7" s="210">
        <f t="shared" ref="H7" si="2">MEDIAN(H2:H6)</f>
        <v>33579.5</v>
      </c>
      <c r="I7" s="210">
        <f t="shared" ref="I7" si="3">MEDIAN(I2:I6)</f>
        <v>46880.660071446226</v>
      </c>
      <c r="J7" s="169"/>
      <c r="K7" s="167" t="s">
        <v>206</v>
      </c>
      <c r="L7" s="169">
        <f>MEDIAN(L3:L5)</f>
        <v>27533.59700899876</v>
      </c>
      <c r="M7" s="169">
        <f t="shared" ref="M7:N7" si="4">MEDIAN(M3:M5)</f>
        <v>41447.929542645237</v>
      </c>
      <c r="N7" s="169">
        <f t="shared" si="4"/>
        <v>61822.593111100119</v>
      </c>
    </row>
    <row r="8" spans="1:15" x14ac:dyDescent="0.55000000000000004">
      <c r="A8" s="167" t="s">
        <v>207</v>
      </c>
      <c r="B8" s="215">
        <f>AVERAGE(B3,B4,B6)</f>
        <v>13098.75532961681</v>
      </c>
      <c r="C8" s="215">
        <f t="shared" ref="C8:D8" si="5">AVERAGE(C3,C4,C6)</f>
        <v>27699.848518747425</v>
      </c>
      <c r="D8" s="215">
        <f t="shared" si="5"/>
        <v>50222.50943789864</v>
      </c>
      <c r="F8" s="167" t="s">
        <v>207</v>
      </c>
      <c r="G8" s="215">
        <f>AVERAGE(G3:G6)</f>
        <v>17657.60859830655</v>
      </c>
      <c r="H8" s="215">
        <f t="shared" ref="H8:I8" si="6">AVERAGE(H3:H6)</f>
        <v>32260.159332509265</v>
      </c>
      <c r="I8" s="215">
        <f t="shared" si="6"/>
        <v>47404.521939307786</v>
      </c>
      <c r="K8" s="167" t="s">
        <v>207</v>
      </c>
      <c r="L8" s="215">
        <f>AVERAGE(L3:L5)</f>
        <v>24068.265340041205</v>
      </c>
      <c r="M8" s="215">
        <f t="shared" ref="M8:N8" si="7">AVERAGE(M3:M5)</f>
        <v>41831.525425331689</v>
      </c>
      <c r="N8" s="215">
        <f t="shared" si="7"/>
        <v>59682.263216679021</v>
      </c>
    </row>
    <row r="9" spans="1:15" x14ac:dyDescent="0.55000000000000004">
      <c r="B9" s="165"/>
      <c r="C9" s="165"/>
      <c r="D9" s="165"/>
      <c r="G9" s="165"/>
      <c r="H9" s="165"/>
      <c r="I9" s="165"/>
      <c r="L9" s="165"/>
      <c r="M9" s="165"/>
      <c r="N9" s="165"/>
    </row>
    <row r="10" spans="1:15" x14ac:dyDescent="0.55000000000000004">
      <c r="A10" s="167" t="s">
        <v>208</v>
      </c>
      <c r="B10" s="218">
        <f>+B7*TRM!$I$9</f>
        <v>284768</v>
      </c>
      <c r="C10" s="218">
        <f>+C7*TRM!$I$9</f>
        <v>724864</v>
      </c>
      <c r="D10" s="218">
        <f>+D7*TRM!$I$9</f>
        <v>1164960</v>
      </c>
      <c r="F10" s="167" t="s">
        <v>208</v>
      </c>
      <c r="G10" s="218">
        <f>+G7*TRM!$I$9</f>
        <v>428309.63878592005</v>
      </c>
      <c r="H10" s="218">
        <f>+H7*TRM!$I$9</f>
        <v>869306.09600000002</v>
      </c>
      <c r="I10" s="218">
        <f>+I7*TRM!$I$9</f>
        <v>1213646.5279295999</v>
      </c>
      <c r="K10" s="167" t="s">
        <v>208</v>
      </c>
      <c r="L10" s="218">
        <f>+L7*TRM!$I$9</f>
        <v>712789.75936895993</v>
      </c>
      <c r="M10" s="218">
        <f>+M7*TRM!$I$9</f>
        <v>1073004</v>
      </c>
      <c r="N10" s="218">
        <f>+N7*TRM!$I$9</f>
        <v>1600463.29046016</v>
      </c>
    </row>
    <row r="11" spans="1:15" x14ac:dyDescent="0.55000000000000004">
      <c r="A11" s="167" t="s">
        <v>209</v>
      </c>
      <c r="B11" s="165">
        <f>+B10/12</f>
        <v>23730.666666666668</v>
      </c>
      <c r="C11" s="165">
        <f t="shared" ref="C11:D11" si="8">+C10/12</f>
        <v>60405.333333333336</v>
      </c>
      <c r="D11" s="165">
        <f t="shared" si="8"/>
        <v>97080</v>
      </c>
      <c r="F11" s="167" t="s">
        <v>209</v>
      </c>
      <c r="G11" s="218">
        <f>+G10/12</f>
        <v>35692.469898826668</v>
      </c>
      <c r="H11" s="218">
        <f t="shared" ref="H11:I11" si="9">+H10/12</f>
        <v>72442.174666666673</v>
      </c>
      <c r="I11" s="218">
        <f t="shared" si="9"/>
        <v>101137.21066079999</v>
      </c>
      <c r="K11" s="167" t="s">
        <v>209</v>
      </c>
      <c r="L11" s="218">
        <f>+L10/12</f>
        <v>59399.146614079997</v>
      </c>
      <c r="M11" s="218">
        <f t="shared" ref="M11:N11" si="10">+M10/12</f>
        <v>89417</v>
      </c>
      <c r="N11" s="218">
        <f t="shared" si="10"/>
        <v>133371.94087168001</v>
      </c>
    </row>
    <row r="12" spans="1:15" x14ac:dyDescent="0.55000000000000004">
      <c r="A12" s="167" t="s">
        <v>210</v>
      </c>
      <c r="B12" s="85">
        <f>+B11/'Birches Report Level'!$AG$13</f>
        <v>1.6958507254983373</v>
      </c>
      <c r="C12" s="85">
        <f>+C11/'Birches Report Level'!$AG$13</f>
        <v>4.3167109376321307</v>
      </c>
      <c r="D12" s="85">
        <f>+D11/'Birches Report Level'!$AG$13</f>
        <v>6.9375711497659243</v>
      </c>
      <c r="F12" s="167" t="s">
        <v>210</v>
      </c>
      <c r="G12" s="85">
        <f>+G11/'Birches Report Level'!$AG$13</f>
        <v>2.5506700600946495</v>
      </c>
      <c r="H12" s="85">
        <f>+H11/'Birches Report Level'!$AG$13</f>
        <v>5.1768926760792198</v>
      </c>
      <c r="I12" s="85">
        <f>+I11/'Birches Report Level'!$AG$13</f>
        <v>7.2275092176366371</v>
      </c>
      <c r="K12" s="167" t="s">
        <v>210</v>
      </c>
      <c r="L12" s="85">
        <f>+L11/'Birches Report Level'!$AG$13</f>
        <v>4.2448064057535815</v>
      </c>
      <c r="M12" s="85">
        <f>+M11/'Birches Report Level'!$AG$13</f>
        <v>6.3899546713908082</v>
      </c>
      <c r="N12" s="85">
        <f>+N11/'Birches Report Level'!$AG$13</f>
        <v>9.53108085269524</v>
      </c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90F3C-1438-4062-81BC-BA4E84BED61B}">
  <dimension ref="A1:O12"/>
  <sheetViews>
    <sheetView workbookViewId="0">
      <selection activeCell="D18" sqref="D18"/>
    </sheetView>
  </sheetViews>
  <sheetFormatPr defaultRowHeight="14.4" x14ac:dyDescent="0.55000000000000004"/>
  <cols>
    <col min="1" max="1" width="10.26171875" bestFit="1" customWidth="1"/>
    <col min="2" max="4" width="11.578125" bestFit="1" customWidth="1"/>
    <col min="7" max="9" width="11.578125" bestFit="1" customWidth="1"/>
    <col min="10" max="10" width="21.578125" bestFit="1" customWidth="1"/>
    <col min="11" max="11" width="11.68359375" bestFit="1" customWidth="1"/>
    <col min="12" max="13" width="11.578125" bestFit="1" customWidth="1"/>
    <col min="14" max="14" width="17.15625" bestFit="1" customWidth="1"/>
    <col min="15" max="15" width="24.578125" customWidth="1"/>
  </cols>
  <sheetData>
    <row r="1" spans="1:15" x14ac:dyDescent="0.55000000000000004">
      <c r="A1" s="385" t="s">
        <v>226</v>
      </c>
      <c r="B1" s="385"/>
      <c r="C1" s="385"/>
      <c r="D1" s="385"/>
      <c r="E1" s="166"/>
      <c r="F1" s="385" t="s">
        <v>227</v>
      </c>
      <c r="G1" s="385"/>
      <c r="H1" s="385"/>
      <c r="I1" s="385"/>
      <c r="K1" s="385" t="s">
        <v>228</v>
      </c>
      <c r="L1" s="385"/>
      <c r="M1" s="385"/>
      <c r="N1" s="385"/>
    </row>
    <row r="2" spans="1:15" x14ac:dyDescent="0.55000000000000004">
      <c r="B2" s="167" t="s">
        <v>199</v>
      </c>
      <c r="C2" s="166" t="s">
        <v>200</v>
      </c>
      <c r="D2" s="167" t="s">
        <v>201</v>
      </c>
      <c r="E2" s="166"/>
      <c r="G2" s="167" t="s">
        <v>199</v>
      </c>
      <c r="H2" s="166" t="s">
        <v>200</v>
      </c>
      <c r="I2" s="167" t="s">
        <v>201</v>
      </c>
      <c r="J2" s="167"/>
      <c r="L2" s="167" t="s">
        <v>199</v>
      </c>
      <c r="M2" s="166" t="s">
        <v>200</v>
      </c>
      <c r="N2" s="167" t="s">
        <v>201</v>
      </c>
    </row>
    <row r="3" spans="1:15" x14ac:dyDescent="0.55000000000000004">
      <c r="A3" s="167" t="s">
        <v>202</v>
      </c>
      <c r="B3" s="177">
        <v>65512.257780222491</v>
      </c>
      <c r="C3" s="177">
        <v>73996.67257409147</v>
      </c>
      <c r="D3" s="177">
        <v>90404.68383189122</v>
      </c>
      <c r="E3" s="165"/>
      <c r="F3" s="167" t="s">
        <v>202</v>
      </c>
      <c r="G3" s="177">
        <v>72227.198374042026</v>
      </c>
      <c r="H3" s="177">
        <v>80975.220352805933</v>
      </c>
      <c r="I3" s="177">
        <v>97523.916846749067</v>
      </c>
      <c r="J3" s="168"/>
      <c r="K3" s="167" t="s">
        <v>202</v>
      </c>
      <c r="L3" s="177">
        <v>73441.496700148331</v>
      </c>
      <c r="M3" s="177">
        <v>90404.68383189122</v>
      </c>
      <c r="N3" s="177">
        <v>117028.71693448702</v>
      </c>
    </row>
    <row r="4" spans="1:15" x14ac:dyDescent="0.55000000000000004">
      <c r="A4" s="167" t="s">
        <v>203</v>
      </c>
      <c r="B4" s="178"/>
      <c r="C4" s="178"/>
      <c r="D4" s="178"/>
      <c r="E4" s="165"/>
      <c r="F4" s="167" t="s">
        <v>203</v>
      </c>
      <c r="G4" s="178">
        <v>22000</v>
      </c>
      <c r="H4" s="178">
        <v>58000</v>
      </c>
      <c r="I4" s="178">
        <v>94000</v>
      </c>
      <c r="J4" s="168" t="s">
        <v>229</v>
      </c>
      <c r="K4" s="167" t="s">
        <v>203</v>
      </c>
      <c r="L4" s="178"/>
      <c r="M4" s="178"/>
      <c r="N4" s="178"/>
    </row>
    <row r="5" spans="1:15" x14ac:dyDescent="0.55000000000000004">
      <c r="A5" s="167" t="s">
        <v>204</v>
      </c>
      <c r="B5" s="178">
        <v>39872.839999999997</v>
      </c>
      <c r="C5" s="165">
        <v>53882.262051915939</v>
      </c>
      <c r="D5" s="178">
        <v>67891.687268232374</v>
      </c>
      <c r="E5" s="165"/>
      <c r="F5" s="167" t="s">
        <v>204</v>
      </c>
      <c r="G5" s="178">
        <v>0</v>
      </c>
      <c r="H5" s="165">
        <v>0</v>
      </c>
      <c r="I5" s="178">
        <v>0</v>
      </c>
      <c r="J5" s="168"/>
      <c r="K5" s="167"/>
      <c r="L5" s="209">
        <v>51825</v>
      </c>
      <c r="M5" s="209">
        <v>70072</v>
      </c>
      <c r="N5" s="209">
        <v>88319</v>
      </c>
    </row>
    <row r="6" spans="1:15" x14ac:dyDescent="0.55000000000000004">
      <c r="A6" s="167" t="s">
        <v>230</v>
      </c>
      <c r="B6" s="178"/>
      <c r="C6" s="165"/>
      <c r="D6" s="178">
        <v>78000</v>
      </c>
      <c r="E6" s="165"/>
      <c r="F6" s="167"/>
      <c r="G6" s="178"/>
      <c r="H6" s="165"/>
      <c r="I6" s="178"/>
      <c r="J6" s="168"/>
      <c r="K6" s="167" t="s">
        <v>231</v>
      </c>
      <c r="L6" s="207"/>
      <c r="M6" s="208"/>
      <c r="N6" s="209">
        <f>+'Budget USDA Salary Categories'!D6</f>
        <v>114996</v>
      </c>
    </row>
    <row r="7" spans="1:15" x14ac:dyDescent="0.55000000000000004">
      <c r="A7" s="167" t="s">
        <v>206</v>
      </c>
      <c r="B7" s="169">
        <f t="shared" ref="B7:C7" si="0">MEDIAN(B3:B6)</f>
        <v>52692.54889011124</v>
      </c>
      <c r="C7" s="169">
        <f t="shared" si="0"/>
        <v>63939.467313003704</v>
      </c>
      <c r="D7" s="169">
        <f>MEDIAN(D3:D6)</f>
        <v>78000</v>
      </c>
      <c r="E7" s="166"/>
      <c r="F7" s="167" t="s">
        <v>206</v>
      </c>
      <c r="G7" s="169">
        <f t="shared" ref="G7" si="1">MEDIAN(G3:G5)</f>
        <v>22000</v>
      </c>
      <c r="H7" s="169">
        <f t="shared" ref="H7" si="2">MEDIAN(H3:H5)</f>
        <v>58000</v>
      </c>
      <c r="I7" s="169">
        <f t="shared" ref="I7" si="3">MEDIAN(I3:I5)</f>
        <v>94000</v>
      </c>
      <c r="J7" s="169"/>
      <c r="K7" s="167" t="s">
        <v>206</v>
      </c>
      <c r="L7" s="169">
        <f t="shared" ref="L7" si="4">MEDIAN(L3:L5)</f>
        <v>62633.248350074166</v>
      </c>
      <c r="M7" s="169">
        <f t="shared" ref="M7" si="5">MEDIAN(M3:M5)</f>
        <v>80238.34191594561</v>
      </c>
      <c r="N7" s="169">
        <f>MEDIAN(N3:N6)</f>
        <v>114996</v>
      </c>
    </row>
    <row r="8" spans="1:15" x14ac:dyDescent="0.55000000000000004">
      <c r="A8" s="167" t="s">
        <v>207</v>
      </c>
      <c r="B8" s="205">
        <f>AVERAGE(B3,B5)</f>
        <v>52692.54889011124</v>
      </c>
      <c r="C8" s="205">
        <f>AVERAGE(C3,C5)</f>
        <v>63939.467313003704</v>
      </c>
      <c r="D8" s="205">
        <f>AVERAGE(D3,D5,D6)</f>
        <v>78765.457033374536</v>
      </c>
      <c r="F8" s="167" t="s">
        <v>207</v>
      </c>
      <c r="G8" s="205">
        <f>AVERAGE(G3,G4)</f>
        <v>47113.599187021013</v>
      </c>
      <c r="H8" s="205">
        <f t="shared" ref="H8:I8" si="6">AVERAGE(H3,H4)</f>
        <v>69487.610176402959</v>
      </c>
      <c r="I8" s="205">
        <f t="shared" si="6"/>
        <v>95761.958423374541</v>
      </c>
      <c r="K8" s="167" t="s">
        <v>207</v>
      </c>
      <c r="L8" s="205">
        <f>AVERAGE(L3)</f>
        <v>73441.496700148331</v>
      </c>
      <c r="M8" s="205">
        <f>AVERAGE(M3)</f>
        <v>90404.68383189122</v>
      </c>
      <c r="N8" s="205">
        <f>AVERAGE(N3,N5,N6)</f>
        <v>106781.23897816234</v>
      </c>
      <c r="O8" s="85"/>
    </row>
    <row r="9" spans="1:15" x14ac:dyDescent="0.55000000000000004">
      <c r="O9" s="85"/>
    </row>
    <row r="10" spans="1:15" x14ac:dyDescent="0.55000000000000004">
      <c r="A10" s="167" t="s">
        <v>208</v>
      </c>
      <c r="B10" s="218">
        <f>+B7*TRM!$I$9</f>
        <v>1364104.7056671998</v>
      </c>
      <c r="C10" s="218">
        <f>+C7*TRM!$I$9</f>
        <v>1655264.9297990401</v>
      </c>
      <c r="D10" s="218">
        <f>+D7*TRM!$I$9</f>
        <v>2019264.0000000002</v>
      </c>
      <c r="F10" s="167" t="s">
        <v>208</v>
      </c>
      <c r="G10" s="218">
        <f>+G7*TRM!$I$9</f>
        <v>569536</v>
      </c>
      <c r="H10" s="218">
        <f>+H7*TRM!$I$9</f>
        <v>1501504</v>
      </c>
      <c r="I10" s="218">
        <f>+I7*TRM!$I$9</f>
        <v>2433472</v>
      </c>
      <c r="K10" s="167" t="s">
        <v>208</v>
      </c>
      <c r="L10" s="218">
        <f>+L7*TRM!$I$9</f>
        <v>1621449.53328672</v>
      </c>
      <c r="M10" s="218">
        <f>+M7*TRM!$I$9</f>
        <v>2077210.1955200001</v>
      </c>
      <c r="N10" s="218">
        <f>+N7*TRM!$I$9</f>
        <v>2977016.4480000003</v>
      </c>
    </row>
    <row r="11" spans="1:15" x14ac:dyDescent="0.55000000000000004">
      <c r="A11" s="167" t="s">
        <v>209</v>
      </c>
      <c r="B11" s="218">
        <f>+B10/12</f>
        <v>113675.39213893331</v>
      </c>
      <c r="C11" s="218">
        <f t="shared" ref="C11:D11" si="7">+C10/12</f>
        <v>137938.74414992001</v>
      </c>
      <c r="D11" s="218">
        <f t="shared" si="7"/>
        <v>168272.00000000003</v>
      </c>
      <c r="F11" s="167" t="s">
        <v>209</v>
      </c>
      <c r="G11" s="218">
        <f>+G10/12</f>
        <v>47461.333333333336</v>
      </c>
      <c r="H11" s="218">
        <f t="shared" ref="H11:I11" si="8">+H10/12</f>
        <v>125125.33333333333</v>
      </c>
      <c r="I11" s="218">
        <f t="shared" si="8"/>
        <v>202789.33333333334</v>
      </c>
      <c r="K11" s="167" t="s">
        <v>209</v>
      </c>
      <c r="L11" s="218">
        <f>+L10/12</f>
        <v>135120.79444056001</v>
      </c>
      <c r="M11" s="218">
        <f t="shared" ref="M11:N11" si="9">+M10/12</f>
        <v>173100.84962666666</v>
      </c>
      <c r="N11" s="218">
        <f t="shared" si="9"/>
        <v>248084.70400000003</v>
      </c>
    </row>
    <row r="12" spans="1:15" x14ac:dyDescent="0.55000000000000004">
      <c r="A12" s="167" t="s">
        <v>210</v>
      </c>
      <c r="B12" s="85">
        <f>+B11/'Birches Report Level'!$AG$13</f>
        <v>8.1235179330592491</v>
      </c>
      <c r="C12" s="85">
        <f>+C11/'Birches Report Level'!$AG$13</f>
        <v>9.8574356391576874</v>
      </c>
      <c r="D12" s="85">
        <f>+D11/'Birches Report Level'!$AG$13</f>
        <v>12.025123326260937</v>
      </c>
      <c r="F12" s="167" t="s">
        <v>210</v>
      </c>
      <c r="G12" s="85">
        <f>+G11/'Birches Report Level'!$AG$13</f>
        <v>3.3917014509966745</v>
      </c>
      <c r="H12" s="85">
        <f>+H11/'Birches Report Level'!$AG$13</f>
        <v>8.9417583708094135</v>
      </c>
      <c r="I12" s="85">
        <f>+I11/'Birches Report Level'!$AG$13</f>
        <v>14.491815290622155</v>
      </c>
      <c r="K12" s="167" t="s">
        <v>210</v>
      </c>
      <c r="L12" s="85">
        <f>+L11/'Birches Report Level'!$AG$13</f>
        <v>9.6560581504355287</v>
      </c>
      <c r="M12" s="85">
        <f>+M11/'Birches Report Level'!$AG$13</f>
        <v>12.370204577358182</v>
      </c>
      <c r="N12" s="85">
        <f>+N11/'Birches Report Level'!$AG$13</f>
        <v>17.728731820855163</v>
      </c>
    </row>
  </sheetData>
  <mergeCells count="3">
    <mergeCell ref="A1:D1"/>
    <mergeCell ref="F1:I1"/>
    <mergeCell ref="K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3F418-C2E8-43A8-8499-7F70092738F9}">
  <dimension ref="A3:K59"/>
  <sheetViews>
    <sheetView topLeftCell="A5" workbookViewId="0">
      <selection activeCell="F6" sqref="F6"/>
    </sheetView>
  </sheetViews>
  <sheetFormatPr defaultRowHeight="15" customHeight="1" x14ac:dyDescent="0.55000000000000004"/>
  <cols>
    <col min="1" max="1" width="54.68359375" customWidth="1"/>
    <col min="2" max="5" width="12.68359375" customWidth="1"/>
    <col min="7" max="7" width="35.41796875" bestFit="1" customWidth="1"/>
    <col min="8" max="8" width="13.83984375" customWidth="1"/>
    <col min="9" max="9" width="27.68359375" customWidth="1"/>
    <col min="10" max="10" width="17.83984375" customWidth="1"/>
    <col min="11" max="11" width="41.15625" customWidth="1"/>
    <col min="14" max="14" width="8.68359375" customWidth="1"/>
  </cols>
  <sheetData>
    <row r="3" spans="1:11" ht="15" customHeight="1" x14ac:dyDescent="0.55000000000000004">
      <c r="C3">
        <v>12</v>
      </c>
      <c r="D3" t="s">
        <v>126</v>
      </c>
      <c r="E3" s="84">
        <v>25.9679</v>
      </c>
    </row>
    <row r="4" spans="1:11" ht="15.3" x14ac:dyDescent="0.55000000000000004">
      <c r="C4">
        <v>12</v>
      </c>
      <c r="D4" t="s">
        <v>126</v>
      </c>
      <c r="E4" s="84">
        <v>25.9679</v>
      </c>
      <c r="H4" s="24" t="s">
        <v>232</v>
      </c>
    </row>
    <row r="5" spans="1:11" ht="30" x14ac:dyDescent="0.55000000000000004">
      <c r="A5" s="83" t="s">
        <v>233</v>
      </c>
      <c r="B5" s="95" t="s">
        <v>234</v>
      </c>
      <c r="C5" s="95" t="s">
        <v>235</v>
      </c>
      <c r="D5" s="95" t="s">
        <v>236</v>
      </c>
      <c r="E5" s="95" t="s">
        <v>237</v>
      </c>
      <c r="F5" s="96"/>
      <c r="G5" s="97" t="s">
        <v>84</v>
      </c>
      <c r="H5" s="25" t="s">
        <v>14</v>
      </c>
      <c r="I5" s="26" t="s">
        <v>84</v>
      </c>
      <c r="J5" s="26" t="s">
        <v>85</v>
      </c>
      <c r="K5" s="26" t="s">
        <v>84</v>
      </c>
    </row>
    <row r="6" spans="1:11" ht="14.4" x14ac:dyDescent="0.55000000000000004">
      <c r="A6" s="58" t="s">
        <v>238</v>
      </c>
      <c r="B6" s="19">
        <v>9583</v>
      </c>
      <c r="C6" s="19">
        <f t="shared" ref="C6:C39" si="0">+B6*$E$3</f>
        <v>248850.38570000001</v>
      </c>
      <c r="D6" s="19">
        <f t="shared" ref="D6:D39" si="1">+B6*$C$3</f>
        <v>114996</v>
      </c>
      <c r="E6" s="19">
        <f>+D6*$E$3</f>
        <v>2986204.6283999998</v>
      </c>
      <c r="F6" t="s">
        <v>239</v>
      </c>
      <c r="G6" s="82" t="s">
        <v>240</v>
      </c>
      <c r="H6" s="27" t="s">
        <v>95</v>
      </c>
      <c r="I6" s="28" t="s">
        <v>96</v>
      </c>
      <c r="J6" s="386" t="s">
        <v>97</v>
      </c>
      <c r="K6" s="29" t="s">
        <v>241</v>
      </c>
    </row>
    <row r="7" spans="1:11" ht="14.4" x14ac:dyDescent="0.55000000000000004">
      <c r="A7" s="58" t="s">
        <v>242</v>
      </c>
      <c r="B7" s="19">
        <v>6500</v>
      </c>
      <c r="C7" s="19">
        <f t="shared" si="0"/>
        <v>168791.35</v>
      </c>
      <c r="D7" s="19">
        <f t="shared" si="1"/>
        <v>78000</v>
      </c>
      <c r="E7" s="19">
        <f t="shared" ref="E7:E39" si="2">+D7*$E$3</f>
        <v>2025496.2</v>
      </c>
      <c r="F7" t="s">
        <v>239</v>
      </c>
      <c r="G7" s="82" t="s">
        <v>138</v>
      </c>
      <c r="H7" s="30" t="s">
        <v>108</v>
      </c>
      <c r="I7" s="31" t="s">
        <v>109</v>
      </c>
      <c r="J7" s="387"/>
      <c r="K7" s="32" t="s">
        <v>240</v>
      </c>
    </row>
    <row r="8" spans="1:11" ht="14.4" x14ac:dyDescent="0.55000000000000004">
      <c r="A8" s="58" t="s">
        <v>243</v>
      </c>
      <c r="B8" s="19">
        <v>1500</v>
      </c>
      <c r="C8" s="19">
        <f t="shared" si="0"/>
        <v>38951.85</v>
      </c>
      <c r="D8" s="19">
        <f t="shared" si="1"/>
        <v>18000</v>
      </c>
      <c r="E8" s="19">
        <f t="shared" si="2"/>
        <v>467422.2</v>
      </c>
      <c r="F8" t="s">
        <v>244</v>
      </c>
      <c r="G8" t="s">
        <v>160</v>
      </c>
      <c r="H8" s="33" t="s">
        <v>118</v>
      </c>
      <c r="I8" s="34" t="s">
        <v>119</v>
      </c>
      <c r="J8" s="388" t="s">
        <v>120</v>
      </c>
      <c r="K8" s="29" t="s">
        <v>245</v>
      </c>
    </row>
    <row r="9" spans="1:11" ht="14.4" x14ac:dyDescent="0.55000000000000004">
      <c r="A9" s="58" t="s">
        <v>246</v>
      </c>
      <c r="B9" s="19">
        <v>4583</v>
      </c>
      <c r="C9" s="19">
        <f>+B9*$E$3</f>
        <v>119010.8857</v>
      </c>
      <c r="D9" s="19">
        <f t="shared" si="1"/>
        <v>54996</v>
      </c>
      <c r="E9" s="19">
        <f t="shared" si="2"/>
        <v>1428130.6284</v>
      </c>
      <c r="F9" t="s">
        <v>239</v>
      </c>
      <c r="G9" s="82" t="s">
        <v>138</v>
      </c>
      <c r="H9" s="35" t="s">
        <v>136</v>
      </c>
      <c r="I9" s="36" t="s">
        <v>137</v>
      </c>
      <c r="J9" s="389"/>
      <c r="K9" s="32" t="s">
        <v>138</v>
      </c>
    </row>
    <row r="10" spans="1:11" ht="14.4" x14ac:dyDescent="0.55000000000000004">
      <c r="A10" s="58" t="s">
        <v>247</v>
      </c>
      <c r="B10" s="19">
        <v>2000</v>
      </c>
      <c r="C10" s="19">
        <f t="shared" si="0"/>
        <v>51935.8</v>
      </c>
      <c r="D10" s="19">
        <f t="shared" si="1"/>
        <v>24000</v>
      </c>
      <c r="E10" s="19">
        <f t="shared" si="2"/>
        <v>623229.6</v>
      </c>
      <c r="F10" t="s">
        <v>244</v>
      </c>
      <c r="G10" t="s">
        <v>160</v>
      </c>
      <c r="H10" s="37" t="s">
        <v>153</v>
      </c>
      <c r="I10" s="38" t="s">
        <v>154</v>
      </c>
      <c r="J10" s="39" t="s">
        <v>155</v>
      </c>
      <c r="K10" s="40" t="s">
        <v>156</v>
      </c>
    </row>
    <row r="11" spans="1:11" ht="24.75" customHeight="1" x14ac:dyDescent="0.55000000000000004">
      <c r="A11" s="58" t="s">
        <v>248</v>
      </c>
      <c r="B11" s="19">
        <v>1000</v>
      </c>
      <c r="C11" s="19">
        <f t="shared" si="0"/>
        <v>25967.9</v>
      </c>
      <c r="D11" s="19">
        <f t="shared" si="1"/>
        <v>12000</v>
      </c>
      <c r="E11" s="19">
        <f t="shared" si="2"/>
        <v>311614.8</v>
      </c>
      <c r="F11" t="s">
        <v>249</v>
      </c>
      <c r="G11" t="s">
        <v>184</v>
      </c>
      <c r="H11" s="41" t="s">
        <v>157</v>
      </c>
      <c r="I11" s="42" t="s">
        <v>158</v>
      </c>
      <c r="J11" s="390" t="s">
        <v>159</v>
      </c>
      <c r="K11" s="29" t="s">
        <v>160</v>
      </c>
    </row>
    <row r="12" spans="1:11" ht="14.4" x14ac:dyDescent="0.55000000000000004">
      <c r="A12" s="58" t="s">
        <v>250</v>
      </c>
      <c r="B12" s="19">
        <v>1500</v>
      </c>
      <c r="C12" s="19">
        <f t="shared" si="0"/>
        <v>38951.85</v>
      </c>
      <c r="D12" s="19">
        <f t="shared" si="1"/>
        <v>18000</v>
      </c>
      <c r="E12" s="19">
        <f t="shared" si="2"/>
        <v>467422.2</v>
      </c>
      <c r="F12" t="s">
        <v>244</v>
      </c>
      <c r="G12" t="s">
        <v>160</v>
      </c>
      <c r="H12" s="43" t="s">
        <v>175</v>
      </c>
      <c r="I12" s="44" t="s">
        <v>176</v>
      </c>
      <c r="J12" s="389"/>
      <c r="K12" s="32" t="s">
        <v>177</v>
      </c>
    </row>
    <row r="13" spans="1:11" ht="14.4" x14ac:dyDescent="0.55000000000000004">
      <c r="A13" s="58" t="s">
        <v>251</v>
      </c>
      <c r="B13" s="19">
        <v>1000</v>
      </c>
      <c r="C13" s="19">
        <f t="shared" si="0"/>
        <v>25967.9</v>
      </c>
      <c r="D13" s="19">
        <f t="shared" si="1"/>
        <v>12000</v>
      </c>
      <c r="E13" s="19">
        <f t="shared" si="2"/>
        <v>311614.8</v>
      </c>
      <c r="F13" t="s">
        <v>249</v>
      </c>
      <c r="G13" t="s">
        <v>184</v>
      </c>
      <c r="H13" s="45" t="s">
        <v>178</v>
      </c>
      <c r="I13" s="46" t="s">
        <v>179</v>
      </c>
      <c r="J13" s="391" t="s">
        <v>180</v>
      </c>
      <c r="K13" s="29" t="s">
        <v>181</v>
      </c>
    </row>
    <row r="14" spans="1:11" ht="14.4" x14ac:dyDescent="0.55000000000000004">
      <c r="A14" s="58" t="s">
        <v>252</v>
      </c>
      <c r="B14" s="19">
        <v>1500</v>
      </c>
      <c r="C14" s="19">
        <f t="shared" si="0"/>
        <v>38951.85</v>
      </c>
      <c r="D14" s="19">
        <f t="shared" si="1"/>
        <v>18000</v>
      </c>
      <c r="E14" s="19">
        <f t="shared" si="2"/>
        <v>467422.2</v>
      </c>
      <c r="F14" t="s">
        <v>244</v>
      </c>
      <c r="G14" t="s">
        <v>160</v>
      </c>
      <c r="H14" s="47" t="s">
        <v>182</v>
      </c>
      <c r="I14" s="48" t="s">
        <v>183</v>
      </c>
      <c r="J14" s="387"/>
      <c r="K14" s="32" t="s">
        <v>184</v>
      </c>
    </row>
    <row r="15" spans="1:11" ht="14.4" x14ac:dyDescent="0.55000000000000004">
      <c r="A15" s="58" t="s">
        <v>253</v>
      </c>
      <c r="B15" s="19">
        <v>1000</v>
      </c>
      <c r="C15" s="19">
        <f t="shared" si="0"/>
        <v>25967.9</v>
      </c>
      <c r="D15" s="19">
        <f t="shared" si="1"/>
        <v>12000</v>
      </c>
      <c r="E15" s="19">
        <f t="shared" si="2"/>
        <v>311614.8</v>
      </c>
      <c r="F15" t="s">
        <v>249</v>
      </c>
      <c r="G15" t="s">
        <v>184</v>
      </c>
      <c r="H15" s="49" t="s">
        <v>185</v>
      </c>
      <c r="I15" s="50" t="s">
        <v>186</v>
      </c>
      <c r="J15" s="391" t="s">
        <v>187</v>
      </c>
      <c r="K15" s="29" t="s">
        <v>188</v>
      </c>
    </row>
    <row r="16" spans="1:11" ht="14.4" x14ac:dyDescent="0.55000000000000004">
      <c r="A16" s="58" t="s">
        <v>254</v>
      </c>
      <c r="B16" s="19">
        <v>1000</v>
      </c>
      <c r="C16" s="19">
        <f t="shared" si="0"/>
        <v>25967.9</v>
      </c>
      <c r="D16" s="19">
        <f t="shared" si="1"/>
        <v>12000</v>
      </c>
      <c r="E16" s="19">
        <f t="shared" si="2"/>
        <v>311614.8</v>
      </c>
      <c r="F16" t="s">
        <v>249</v>
      </c>
      <c r="G16" t="s">
        <v>184</v>
      </c>
      <c r="H16" s="51" t="s">
        <v>189</v>
      </c>
      <c r="I16" s="52" t="s">
        <v>190</v>
      </c>
      <c r="J16" s="392"/>
      <c r="K16" s="29" t="s">
        <v>191</v>
      </c>
    </row>
    <row r="17" spans="1:11" ht="14.4" x14ac:dyDescent="0.55000000000000004">
      <c r="A17" s="58" t="s">
        <v>255</v>
      </c>
      <c r="B17" s="19">
        <v>1500</v>
      </c>
      <c r="C17" s="19">
        <f t="shared" si="0"/>
        <v>38951.85</v>
      </c>
      <c r="D17" s="19">
        <f t="shared" si="1"/>
        <v>18000</v>
      </c>
      <c r="E17" s="19">
        <f t="shared" si="2"/>
        <v>467422.2</v>
      </c>
      <c r="F17" t="s">
        <v>244</v>
      </c>
      <c r="G17" t="s">
        <v>160</v>
      </c>
      <c r="H17" s="53" t="s">
        <v>192</v>
      </c>
      <c r="I17" s="54" t="s">
        <v>193</v>
      </c>
      <c r="J17" s="387"/>
      <c r="K17" s="32" t="s">
        <v>194</v>
      </c>
    </row>
    <row r="18" spans="1:11" ht="14.4" x14ac:dyDescent="0.55000000000000004">
      <c r="A18" s="58" t="s">
        <v>256</v>
      </c>
      <c r="B18" s="19">
        <v>1000</v>
      </c>
      <c r="C18" s="19">
        <f t="shared" si="0"/>
        <v>25967.9</v>
      </c>
      <c r="D18" s="19">
        <f t="shared" si="1"/>
        <v>12000</v>
      </c>
      <c r="E18" s="19">
        <f t="shared" si="2"/>
        <v>311614.8</v>
      </c>
      <c r="F18" t="s">
        <v>249</v>
      </c>
      <c r="G18" t="s">
        <v>184</v>
      </c>
    </row>
    <row r="19" spans="1:11" ht="14.4" x14ac:dyDescent="0.55000000000000004">
      <c r="A19" s="58" t="s">
        <v>257</v>
      </c>
      <c r="B19" s="19">
        <v>1500</v>
      </c>
      <c r="C19" s="19">
        <f t="shared" si="0"/>
        <v>38951.85</v>
      </c>
      <c r="D19" s="19">
        <f t="shared" si="1"/>
        <v>18000</v>
      </c>
      <c r="E19" s="19">
        <f t="shared" si="2"/>
        <v>467422.2</v>
      </c>
      <c r="F19" t="s">
        <v>244</v>
      </c>
      <c r="G19" t="s">
        <v>160</v>
      </c>
    </row>
    <row r="20" spans="1:11" ht="14.4" x14ac:dyDescent="0.55000000000000004">
      <c r="A20" s="58" t="s">
        <v>258</v>
      </c>
      <c r="B20" s="19">
        <v>1000</v>
      </c>
      <c r="C20" s="19">
        <f t="shared" si="0"/>
        <v>25967.9</v>
      </c>
      <c r="D20" s="19">
        <f t="shared" si="1"/>
        <v>12000</v>
      </c>
      <c r="E20" s="19">
        <f t="shared" si="2"/>
        <v>311614.8</v>
      </c>
      <c r="F20" t="s">
        <v>249</v>
      </c>
      <c r="G20" t="s">
        <v>184</v>
      </c>
    </row>
    <row r="21" spans="1:11" ht="14.4" x14ac:dyDescent="0.55000000000000004">
      <c r="A21" s="58" t="s">
        <v>259</v>
      </c>
      <c r="B21" s="19">
        <v>1500</v>
      </c>
      <c r="C21" s="19">
        <f t="shared" si="0"/>
        <v>38951.85</v>
      </c>
      <c r="D21" s="19">
        <f t="shared" si="1"/>
        <v>18000</v>
      </c>
      <c r="E21" s="19">
        <f t="shared" si="2"/>
        <v>467422.2</v>
      </c>
      <c r="F21" t="s">
        <v>244</v>
      </c>
      <c r="G21" t="s">
        <v>160</v>
      </c>
    </row>
    <row r="22" spans="1:11" ht="14.4" x14ac:dyDescent="0.55000000000000004">
      <c r="A22" s="58" t="s">
        <v>260</v>
      </c>
      <c r="B22" s="19">
        <v>4583</v>
      </c>
      <c r="C22" s="19">
        <f t="shared" si="0"/>
        <v>119010.8857</v>
      </c>
      <c r="D22" s="19">
        <f t="shared" si="1"/>
        <v>54996</v>
      </c>
      <c r="E22" s="19">
        <f t="shared" si="2"/>
        <v>1428130.6284</v>
      </c>
      <c r="F22" t="s">
        <v>239</v>
      </c>
      <c r="G22" s="82" t="s">
        <v>138</v>
      </c>
    </row>
    <row r="23" spans="1:11" ht="14.4" x14ac:dyDescent="0.55000000000000004">
      <c r="A23" s="58" t="s">
        <v>261</v>
      </c>
      <c r="B23" s="19">
        <v>2000</v>
      </c>
      <c r="C23" s="19">
        <f t="shared" si="0"/>
        <v>51935.8</v>
      </c>
      <c r="D23" s="19">
        <f t="shared" si="1"/>
        <v>24000</v>
      </c>
      <c r="E23" s="19">
        <f t="shared" si="2"/>
        <v>623229.6</v>
      </c>
      <c r="F23" t="s">
        <v>244</v>
      </c>
      <c r="G23" t="s">
        <v>160</v>
      </c>
    </row>
    <row r="24" spans="1:11" ht="14.4" x14ac:dyDescent="0.55000000000000004">
      <c r="A24" s="58" t="s">
        <v>262</v>
      </c>
      <c r="B24" s="19">
        <v>1250</v>
      </c>
      <c r="C24" s="19">
        <f t="shared" si="0"/>
        <v>32459.875</v>
      </c>
      <c r="D24" s="19">
        <f t="shared" si="1"/>
        <v>15000</v>
      </c>
      <c r="E24" s="19">
        <f t="shared" si="2"/>
        <v>389518.5</v>
      </c>
      <c r="F24" t="s">
        <v>249</v>
      </c>
      <c r="G24" t="s">
        <v>184</v>
      </c>
    </row>
    <row r="25" spans="1:11" ht="14.4" x14ac:dyDescent="0.55000000000000004">
      <c r="A25" s="58" t="s">
        <v>263</v>
      </c>
      <c r="B25" s="19">
        <v>5000</v>
      </c>
      <c r="C25" s="19">
        <f t="shared" si="0"/>
        <v>129839.5</v>
      </c>
      <c r="D25" s="19">
        <f t="shared" si="1"/>
        <v>60000</v>
      </c>
      <c r="E25" s="19">
        <f t="shared" si="2"/>
        <v>1558074</v>
      </c>
      <c r="F25" t="s">
        <v>239</v>
      </c>
      <c r="G25" s="82" t="s">
        <v>138</v>
      </c>
    </row>
    <row r="26" spans="1:11" ht="14.4" x14ac:dyDescent="0.55000000000000004">
      <c r="A26" s="58" t="s">
        <v>264</v>
      </c>
      <c r="B26" s="19">
        <v>2000</v>
      </c>
      <c r="C26" s="19">
        <f t="shared" si="0"/>
        <v>51935.8</v>
      </c>
      <c r="D26" s="19">
        <f t="shared" si="1"/>
        <v>24000</v>
      </c>
      <c r="E26" s="19">
        <f t="shared" si="2"/>
        <v>623229.6</v>
      </c>
      <c r="F26" t="s">
        <v>244</v>
      </c>
      <c r="G26" t="s">
        <v>160</v>
      </c>
    </row>
    <row r="27" spans="1:11" ht="14.4" x14ac:dyDescent="0.55000000000000004">
      <c r="A27" s="58" t="s">
        <v>265</v>
      </c>
      <c r="B27" s="19">
        <v>2000</v>
      </c>
      <c r="C27" s="19">
        <f t="shared" si="0"/>
        <v>51935.8</v>
      </c>
      <c r="D27" s="19">
        <f t="shared" si="1"/>
        <v>24000</v>
      </c>
      <c r="E27" s="19">
        <f t="shared" si="2"/>
        <v>623229.6</v>
      </c>
      <c r="F27" t="s">
        <v>244</v>
      </c>
      <c r="G27" t="s">
        <v>160</v>
      </c>
    </row>
    <row r="28" spans="1:11" ht="14.4" x14ac:dyDescent="0.55000000000000004">
      <c r="A28" s="58" t="s">
        <v>266</v>
      </c>
      <c r="B28" s="19">
        <v>1250</v>
      </c>
      <c r="C28" s="19">
        <f t="shared" si="0"/>
        <v>32459.875</v>
      </c>
      <c r="D28" s="19">
        <f t="shared" si="1"/>
        <v>15000</v>
      </c>
      <c r="E28" s="19">
        <f t="shared" si="2"/>
        <v>389518.5</v>
      </c>
      <c r="F28" t="s">
        <v>244</v>
      </c>
      <c r="G28" t="s">
        <v>160</v>
      </c>
    </row>
    <row r="29" spans="1:11" ht="14.4" x14ac:dyDescent="0.55000000000000004">
      <c r="A29" s="58" t="s">
        <v>267</v>
      </c>
      <c r="B29" s="19">
        <v>1000</v>
      </c>
      <c r="C29" s="19">
        <f t="shared" si="0"/>
        <v>25967.9</v>
      </c>
      <c r="D29" s="19">
        <f t="shared" si="1"/>
        <v>12000</v>
      </c>
      <c r="E29" s="19">
        <f t="shared" si="2"/>
        <v>311614.8</v>
      </c>
      <c r="F29" t="s">
        <v>249</v>
      </c>
      <c r="G29" t="s">
        <v>184</v>
      </c>
    </row>
    <row r="30" spans="1:11" ht="14.4" x14ac:dyDescent="0.55000000000000004">
      <c r="A30" s="58" t="s">
        <v>268</v>
      </c>
      <c r="B30" s="19">
        <v>1500</v>
      </c>
      <c r="C30" s="19">
        <f t="shared" si="0"/>
        <v>38951.85</v>
      </c>
      <c r="D30" s="19">
        <f t="shared" si="1"/>
        <v>18000</v>
      </c>
      <c r="E30" s="19">
        <f t="shared" si="2"/>
        <v>467422.2</v>
      </c>
      <c r="F30" t="s">
        <v>244</v>
      </c>
      <c r="G30" t="s">
        <v>160</v>
      </c>
    </row>
    <row r="31" spans="1:11" ht="14.4" x14ac:dyDescent="0.55000000000000004">
      <c r="A31" s="58" t="s">
        <v>269</v>
      </c>
      <c r="B31" s="19">
        <v>5000</v>
      </c>
      <c r="C31" s="19">
        <f t="shared" si="0"/>
        <v>129839.5</v>
      </c>
      <c r="D31" s="19">
        <f t="shared" si="1"/>
        <v>60000</v>
      </c>
      <c r="E31" s="19">
        <f t="shared" si="2"/>
        <v>1558074</v>
      </c>
      <c r="F31" t="s">
        <v>239</v>
      </c>
      <c r="G31" s="82" t="s">
        <v>138</v>
      </c>
    </row>
    <row r="32" spans="1:11" ht="14.4" x14ac:dyDescent="0.55000000000000004">
      <c r="A32" s="58" t="s">
        <v>270</v>
      </c>
      <c r="B32" s="19">
        <v>2633</v>
      </c>
      <c r="C32" s="19">
        <f t="shared" si="0"/>
        <v>68373.4807</v>
      </c>
      <c r="D32" s="19">
        <f t="shared" si="1"/>
        <v>31596</v>
      </c>
      <c r="E32" s="19">
        <f t="shared" si="2"/>
        <v>820481.76840000006</v>
      </c>
      <c r="F32" t="s">
        <v>244</v>
      </c>
      <c r="G32" t="s">
        <v>160</v>
      </c>
    </row>
    <row r="33" spans="1:7" ht="14.4" x14ac:dyDescent="0.55000000000000004">
      <c r="A33" s="58" t="s">
        <v>271</v>
      </c>
      <c r="B33" s="19">
        <v>1500</v>
      </c>
      <c r="C33" s="19">
        <f t="shared" si="0"/>
        <v>38951.85</v>
      </c>
      <c r="D33" s="19">
        <f t="shared" si="1"/>
        <v>18000</v>
      </c>
      <c r="E33" s="19">
        <f t="shared" si="2"/>
        <v>467422.2</v>
      </c>
      <c r="F33" t="s">
        <v>244</v>
      </c>
      <c r="G33" t="s">
        <v>160</v>
      </c>
    </row>
    <row r="34" spans="1:7" ht="14.4" x14ac:dyDescent="0.55000000000000004">
      <c r="A34" s="58" t="s">
        <v>272</v>
      </c>
      <c r="B34" s="19">
        <v>1000</v>
      </c>
      <c r="C34" s="19">
        <f t="shared" si="0"/>
        <v>25967.9</v>
      </c>
      <c r="D34" s="19">
        <f t="shared" si="1"/>
        <v>12000</v>
      </c>
      <c r="E34" s="19">
        <f t="shared" si="2"/>
        <v>311614.8</v>
      </c>
      <c r="F34" t="s">
        <v>249</v>
      </c>
      <c r="G34" t="s">
        <v>184</v>
      </c>
    </row>
    <row r="35" spans="1:7" ht="14.4" x14ac:dyDescent="0.55000000000000004">
      <c r="A35" s="58" t="s">
        <v>273</v>
      </c>
      <c r="B35" s="19">
        <v>1250</v>
      </c>
      <c r="C35" s="19">
        <f t="shared" si="0"/>
        <v>32459.875</v>
      </c>
      <c r="D35" s="19">
        <f t="shared" si="1"/>
        <v>15000</v>
      </c>
      <c r="E35" s="19">
        <f t="shared" si="2"/>
        <v>389518.5</v>
      </c>
      <c r="F35" s="255" t="s">
        <v>249</v>
      </c>
      <c r="G35" t="s">
        <v>184</v>
      </c>
    </row>
    <row r="36" spans="1:7" ht="14.4" x14ac:dyDescent="0.55000000000000004">
      <c r="A36" s="58" t="s">
        <v>274</v>
      </c>
      <c r="B36" s="19">
        <v>1000</v>
      </c>
      <c r="C36" s="19">
        <f t="shared" si="0"/>
        <v>25967.9</v>
      </c>
      <c r="D36" s="19">
        <f t="shared" si="1"/>
        <v>12000</v>
      </c>
      <c r="E36" s="19">
        <f t="shared" si="2"/>
        <v>311614.8</v>
      </c>
      <c r="F36" t="s">
        <v>249</v>
      </c>
      <c r="G36" t="s">
        <v>184</v>
      </c>
    </row>
    <row r="37" spans="1:7" ht="14.4" x14ac:dyDescent="0.55000000000000004">
      <c r="A37" s="58" t="s">
        <v>275</v>
      </c>
      <c r="B37" s="19">
        <v>1800</v>
      </c>
      <c r="C37" s="19">
        <f t="shared" si="0"/>
        <v>46742.22</v>
      </c>
      <c r="D37" s="19">
        <f t="shared" si="1"/>
        <v>21600</v>
      </c>
      <c r="E37" s="19">
        <f t="shared" si="2"/>
        <v>560906.64</v>
      </c>
      <c r="F37" s="255" t="s">
        <v>244</v>
      </c>
      <c r="G37" t="s">
        <v>160</v>
      </c>
    </row>
    <row r="38" spans="1:7" ht="14.4" x14ac:dyDescent="0.55000000000000004">
      <c r="A38" s="58" t="s">
        <v>276</v>
      </c>
      <c r="B38">
        <v>750</v>
      </c>
      <c r="C38" s="19">
        <f t="shared" si="0"/>
        <v>19475.924999999999</v>
      </c>
      <c r="D38" s="19">
        <f t="shared" si="1"/>
        <v>9000</v>
      </c>
      <c r="E38" s="19">
        <f t="shared" si="2"/>
        <v>233711.1</v>
      </c>
      <c r="F38" t="s">
        <v>277</v>
      </c>
      <c r="G38" t="s">
        <v>188</v>
      </c>
    </row>
    <row r="39" spans="1:7" ht="14.4" x14ac:dyDescent="0.55000000000000004">
      <c r="A39" s="58" t="s">
        <v>278</v>
      </c>
      <c r="B39">
        <v>500</v>
      </c>
      <c r="C39" s="19">
        <f t="shared" si="0"/>
        <v>12983.95</v>
      </c>
      <c r="D39" s="19">
        <f t="shared" si="1"/>
        <v>6000</v>
      </c>
      <c r="E39" s="19">
        <f t="shared" si="2"/>
        <v>155807.4</v>
      </c>
      <c r="F39" t="s">
        <v>277</v>
      </c>
      <c r="G39" s="82" t="s">
        <v>191</v>
      </c>
    </row>
    <row r="40" spans="1:7" ht="14.4" x14ac:dyDescent="0.55000000000000004"/>
    <row r="41" spans="1:7" ht="14.4" x14ac:dyDescent="0.55000000000000004"/>
    <row r="42" spans="1:7" ht="14.4" x14ac:dyDescent="0.55000000000000004"/>
    <row r="43" spans="1:7" ht="14.4" x14ac:dyDescent="0.55000000000000004"/>
    <row r="44" spans="1:7" ht="14.4" x14ac:dyDescent="0.55000000000000004"/>
    <row r="45" spans="1:7" ht="14.4" x14ac:dyDescent="0.55000000000000004"/>
    <row r="46" spans="1:7" ht="14.4" x14ac:dyDescent="0.55000000000000004"/>
    <row r="47" spans="1:7" ht="14.4" x14ac:dyDescent="0.55000000000000004"/>
    <row r="48" spans="1:7" ht="14.4" x14ac:dyDescent="0.55000000000000004"/>
    <row r="49" ht="14.4" x14ac:dyDescent="0.55000000000000004"/>
    <row r="50" ht="14.4" x14ac:dyDescent="0.55000000000000004"/>
    <row r="51" ht="14.4" x14ac:dyDescent="0.55000000000000004"/>
    <row r="52" ht="14.4" x14ac:dyDescent="0.55000000000000004"/>
    <row r="53" ht="14.4" x14ac:dyDescent="0.55000000000000004"/>
    <row r="54" ht="14.4" x14ac:dyDescent="0.55000000000000004"/>
    <row r="55" ht="14.4" x14ac:dyDescent="0.55000000000000004"/>
    <row r="56" ht="14.4" x14ac:dyDescent="0.55000000000000004"/>
    <row r="57" ht="14.4" x14ac:dyDescent="0.55000000000000004"/>
    <row r="58" ht="14.4" x14ac:dyDescent="0.55000000000000004"/>
    <row r="59" ht="14.4" x14ac:dyDescent="0.55000000000000004"/>
  </sheetData>
  <autoFilter ref="A5:G39" xr:uid="{2BA3F418-C2E8-43A8-8499-7F70092738F9}"/>
  <mergeCells count="5">
    <mergeCell ref="J6:J7"/>
    <mergeCell ref="J8:J9"/>
    <mergeCell ref="J11:J12"/>
    <mergeCell ref="J13:J14"/>
    <mergeCell ref="J15:J1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68D7-2D2C-4559-8167-32D052501F3E}">
  <dimension ref="A1:AJ41"/>
  <sheetViews>
    <sheetView topLeftCell="AA1" zoomScale="70" zoomScaleNormal="70" workbookViewId="0">
      <selection activeCell="AG10" sqref="AG10"/>
    </sheetView>
  </sheetViews>
  <sheetFormatPr defaultColWidth="48.578125" defaultRowHeight="15" customHeight="1" x14ac:dyDescent="0.55000000000000004"/>
  <cols>
    <col min="1" max="1" width="20" bestFit="1" customWidth="1"/>
    <col min="2" max="2" width="27.68359375" bestFit="1" customWidth="1"/>
    <col min="3" max="3" width="27.26171875" bestFit="1" customWidth="1"/>
    <col min="4" max="4" width="21.41796875" customWidth="1"/>
    <col min="5" max="5" width="9.26171875" customWidth="1"/>
    <col min="6" max="6" width="10.41796875" bestFit="1" customWidth="1"/>
    <col min="7" max="9" width="11.41796875" bestFit="1" customWidth="1"/>
    <col min="10" max="11" width="10.41796875" bestFit="1" customWidth="1"/>
    <col min="12" max="18" width="10.41796875" customWidth="1"/>
    <col min="19" max="19" width="10" customWidth="1"/>
    <col min="20" max="20" width="10.41796875" bestFit="1" customWidth="1"/>
    <col min="21" max="23" width="11.41796875" bestFit="1" customWidth="1"/>
    <col min="24" max="25" width="10.41796875" bestFit="1" customWidth="1"/>
    <col min="26" max="32" width="10.41796875" customWidth="1"/>
    <col min="33" max="33" width="100.41796875" customWidth="1"/>
  </cols>
  <sheetData>
    <row r="1" spans="1:36" ht="23.1" x14ac:dyDescent="0.85">
      <c r="E1" s="349" t="s">
        <v>81</v>
      </c>
      <c r="F1" s="349"/>
      <c r="G1" s="349"/>
      <c r="H1" s="349"/>
      <c r="I1" s="349"/>
      <c r="J1" s="349"/>
      <c r="K1" s="349"/>
      <c r="L1" s="349" t="s">
        <v>279</v>
      </c>
      <c r="M1" s="349"/>
      <c r="N1" s="349"/>
      <c r="O1" s="349"/>
      <c r="P1" s="349"/>
      <c r="Q1" s="349"/>
      <c r="R1" s="349"/>
      <c r="S1" s="349" t="s">
        <v>280</v>
      </c>
      <c r="T1" s="349"/>
      <c r="U1" s="349"/>
      <c r="V1" s="349"/>
      <c r="W1" s="349"/>
      <c r="X1" s="349"/>
      <c r="Y1" s="349"/>
      <c r="Z1" s="349" t="s">
        <v>281</v>
      </c>
      <c r="AA1" s="349"/>
      <c r="AB1" s="349"/>
      <c r="AC1" s="349"/>
      <c r="AD1" s="349"/>
      <c r="AE1" s="349"/>
      <c r="AF1" s="349"/>
    </row>
    <row r="2" spans="1:36" ht="30" x14ac:dyDescent="0.55000000000000004">
      <c r="A2" s="79" t="s">
        <v>14</v>
      </c>
      <c r="B2" s="79" t="s">
        <v>84</v>
      </c>
      <c r="C2" s="79" t="s">
        <v>85</v>
      </c>
      <c r="D2" s="79" t="s">
        <v>84</v>
      </c>
      <c r="E2" s="80"/>
      <c r="F2" s="81" t="s">
        <v>88</v>
      </c>
      <c r="G2" s="81" t="s">
        <v>89</v>
      </c>
      <c r="H2" s="81" t="s">
        <v>90</v>
      </c>
      <c r="I2" s="81" t="s">
        <v>91</v>
      </c>
      <c r="J2" s="81" t="s">
        <v>92</v>
      </c>
      <c r="K2" s="81" t="s">
        <v>93</v>
      </c>
      <c r="L2" s="80"/>
      <c r="M2" s="81" t="s">
        <v>88</v>
      </c>
      <c r="N2" s="81" t="s">
        <v>89</v>
      </c>
      <c r="O2" s="81" t="s">
        <v>90</v>
      </c>
      <c r="P2" s="81" t="s">
        <v>91</v>
      </c>
      <c r="Q2" s="81" t="s">
        <v>92</v>
      </c>
      <c r="R2" s="81" t="s">
        <v>93</v>
      </c>
      <c r="S2" s="80"/>
      <c r="T2" s="81" t="s">
        <v>88</v>
      </c>
      <c r="U2" s="81" t="s">
        <v>89</v>
      </c>
      <c r="V2" s="81" t="s">
        <v>90</v>
      </c>
      <c r="W2" s="81" t="s">
        <v>91</v>
      </c>
      <c r="X2" s="81" t="s">
        <v>92</v>
      </c>
      <c r="Y2" s="81" t="s">
        <v>93</v>
      </c>
      <c r="Z2" s="80"/>
      <c r="AA2" s="81" t="s">
        <v>88</v>
      </c>
      <c r="AB2" s="81" t="s">
        <v>89</v>
      </c>
      <c r="AC2" s="81" t="s">
        <v>90</v>
      </c>
      <c r="AD2" s="81" t="s">
        <v>91</v>
      </c>
      <c r="AE2" s="81" t="s">
        <v>92</v>
      </c>
      <c r="AF2" s="81" t="s">
        <v>93</v>
      </c>
      <c r="AG2" s="87" t="s">
        <v>94</v>
      </c>
    </row>
    <row r="3" spans="1:36" ht="14.4" x14ac:dyDescent="0.55000000000000004">
      <c r="A3" s="393" t="s">
        <v>95</v>
      </c>
      <c r="B3" s="393" t="s">
        <v>96</v>
      </c>
      <c r="C3" s="381" t="s">
        <v>97</v>
      </c>
      <c r="D3" s="393" t="s">
        <v>98</v>
      </c>
      <c r="E3" s="59" t="s">
        <v>101</v>
      </c>
      <c r="F3" s="64">
        <v>1281000</v>
      </c>
      <c r="G3" s="64">
        <v>1668232</v>
      </c>
      <c r="H3" s="64">
        <v>1757143</v>
      </c>
      <c r="I3" s="64">
        <v>2163000</v>
      </c>
      <c r="J3" s="64">
        <v>2800000</v>
      </c>
      <c r="K3" s="64">
        <v>1898529</v>
      </c>
      <c r="L3" s="59" t="s">
        <v>101</v>
      </c>
      <c r="M3" s="64">
        <f>((F3*$AG$11)+F3)/$AG$12</f>
        <v>54925.448084054384</v>
      </c>
      <c r="N3" s="64">
        <f t="shared" ref="N3:Q3" si="0">((G3*$AG$11)+G3)/$AG$12</f>
        <v>71528.797898640289</v>
      </c>
      <c r="O3" s="64">
        <f t="shared" si="0"/>
        <v>75341.035614956738</v>
      </c>
      <c r="P3" s="64">
        <f t="shared" si="0"/>
        <v>92742.969715698389</v>
      </c>
      <c r="Q3" s="64">
        <f t="shared" si="0"/>
        <v>120055.62422744128</v>
      </c>
      <c r="R3" s="64">
        <f>MEDIAN(M3:Q3)</f>
        <v>75341.035614956738</v>
      </c>
      <c r="S3" s="59" t="s">
        <v>101</v>
      </c>
      <c r="T3" s="64">
        <f>((F3*$AG$9)+F3)/$AG$12</f>
        <v>50966.857231149566</v>
      </c>
      <c r="U3" s="64">
        <f t="shared" ref="U3:X3" si="1">((G3*$AG$9)+G3)/$AG$12</f>
        <v>66373.569221260812</v>
      </c>
      <c r="V3" s="64">
        <f t="shared" si="1"/>
        <v>69911.051066131025</v>
      </c>
      <c r="W3" s="64">
        <f t="shared" si="1"/>
        <v>86058.791718170571</v>
      </c>
      <c r="X3" s="64">
        <f t="shared" si="1"/>
        <v>111402.96662546352</v>
      </c>
      <c r="Y3" s="64">
        <f>MEDIAN(T3:X3)</f>
        <v>69911.051066131025</v>
      </c>
      <c r="Z3" s="59" t="s">
        <v>101</v>
      </c>
      <c r="AA3" s="64">
        <f>(T3*$AG$10)+T3</f>
        <v>52495.862948084054</v>
      </c>
      <c r="AB3" s="64">
        <f t="shared" ref="AB3:AE3" si="2">(U3*$AG$10)+U3</f>
        <v>68364.776297898643</v>
      </c>
      <c r="AC3" s="198">
        <f t="shared" si="2"/>
        <v>72008.382598114957</v>
      </c>
      <c r="AD3" s="198">
        <f t="shared" si="2"/>
        <v>88640.555469715691</v>
      </c>
      <c r="AE3" s="198">
        <f t="shared" si="2"/>
        <v>114745.05562422743</v>
      </c>
      <c r="AF3" s="64">
        <f>MEDIAN(AA3:AE3)</f>
        <v>72008.382598114957</v>
      </c>
      <c r="AH3" s="85"/>
    </row>
    <row r="4" spans="1:36" ht="28.8" x14ac:dyDescent="0.55000000000000004">
      <c r="A4" s="393"/>
      <c r="B4" s="393"/>
      <c r="C4" s="381"/>
      <c r="D4" s="393"/>
      <c r="E4" s="59" t="s">
        <v>102</v>
      </c>
      <c r="F4" s="64">
        <v>1281000</v>
      </c>
      <c r="G4" s="64">
        <v>1464121</v>
      </c>
      <c r="H4" s="64">
        <v>1728090</v>
      </c>
      <c r="I4" s="64">
        <v>1937393</v>
      </c>
      <c r="J4" s="64">
        <v>2333333</v>
      </c>
      <c r="K4" s="64">
        <v>1757545</v>
      </c>
      <c r="L4" s="59" t="s">
        <v>102</v>
      </c>
      <c r="M4" s="64">
        <f t="shared" ref="M4:M6" si="3">((F4*$AG$11)+F4)/$AG$12</f>
        <v>54925.448084054384</v>
      </c>
      <c r="N4" s="64">
        <f t="shared" ref="N4:N6" si="4">((G4*$AG$11)+G4)/$AG$12</f>
        <v>62777.128785537701</v>
      </c>
      <c r="O4" s="64">
        <f t="shared" ref="O4:O6" si="5">((H4*$AG$11)+H4)/$AG$12</f>
        <v>74095.329882571066</v>
      </c>
      <c r="P4" s="64">
        <f t="shared" ref="P4:P6" si="6">((I4*$AG$11)+I4)/$AG$12</f>
        <v>83069.616424598265</v>
      </c>
      <c r="Q4" s="64">
        <f t="shared" ref="Q4:Q6" si="7">((J4*$AG$11)+J4)/$AG$12</f>
        <v>100046.33923053151</v>
      </c>
      <c r="R4" s="64">
        <f t="shared" ref="R4:R5" si="8">MEDIAN(M4:Q4)</f>
        <v>74095.329882571066</v>
      </c>
      <c r="S4" s="59" t="s">
        <v>102</v>
      </c>
      <c r="T4" s="64">
        <f t="shared" ref="T4:T6" si="9">((F4*$AG$9)+F4)/$AG$12</f>
        <v>50966.857231149566</v>
      </c>
      <c r="U4" s="64">
        <f t="shared" ref="U4:U6" si="10">((G4*$AG$9)+G4)/$AG$12</f>
        <v>58252.651035228671</v>
      </c>
      <c r="V4" s="64">
        <f t="shared" ref="V4:V6" si="11">((H4*$AG$9)+H4)/$AG$12</f>
        <v>68755.125927070447</v>
      </c>
      <c r="W4" s="64">
        <f t="shared" ref="W4:W6" si="12">((I4*$AG$9)+I4)/$AG$12</f>
        <v>77082.617042645245</v>
      </c>
      <c r="X4" s="64">
        <f t="shared" ref="X4:X6" si="13">((J4*$AG$9)+J4)/$AG$12</f>
        <v>92835.792258961679</v>
      </c>
      <c r="Y4" s="64">
        <f t="shared" ref="Y4:Y6" si="14">MEDIAN(T4:X4)</f>
        <v>68755.125927070447</v>
      </c>
      <c r="Z4" s="59" t="s">
        <v>102</v>
      </c>
      <c r="AA4" s="64">
        <f t="shared" ref="AA4:AA5" si="15">(T4*$AG$10)+T4</f>
        <v>52495.862948084054</v>
      </c>
      <c r="AB4" s="64">
        <f t="shared" ref="AB4:AB5" si="16">(U4*$AG$10)+U4</f>
        <v>60000.230566285529</v>
      </c>
      <c r="AC4" s="198">
        <f t="shared" ref="AC4:AC5" si="17">(V4*$AG$10)+V4</f>
        <v>70817.77970488256</v>
      </c>
      <c r="AD4" s="198">
        <f t="shared" ref="AD4:AD5" si="18">(W4*$AG$10)+W4</f>
        <v>79395.095553924606</v>
      </c>
      <c r="AE4" s="198">
        <f t="shared" ref="AE4:AE5" si="19">(X4*$AG$10)+X4</f>
        <v>95620.866026730524</v>
      </c>
      <c r="AF4" s="64">
        <f t="shared" ref="AF4:AF38" si="20">MEDIAN(AA4:AE4)</f>
        <v>70817.77970488256</v>
      </c>
      <c r="AG4" s="88" t="s">
        <v>103</v>
      </c>
      <c r="AH4" s="85"/>
    </row>
    <row r="5" spans="1:36" ht="28.8" x14ac:dyDescent="0.55000000000000004">
      <c r="A5" s="393"/>
      <c r="B5" s="393"/>
      <c r="C5" s="381"/>
      <c r="D5" s="393"/>
      <c r="E5" s="59" t="s">
        <v>104</v>
      </c>
      <c r="F5" s="64">
        <v>1174040</v>
      </c>
      <c r="G5" s="64">
        <v>1375440</v>
      </c>
      <c r="H5" s="64">
        <v>1567430</v>
      </c>
      <c r="I5" s="64">
        <v>1770426</v>
      </c>
      <c r="J5" s="64">
        <v>2163000</v>
      </c>
      <c r="K5" s="64">
        <v>1616561</v>
      </c>
      <c r="L5" s="59" t="s">
        <v>104</v>
      </c>
      <c r="M5" s="64">
        <f t="shared" si="3"/>
        <v>50339.323238566125</v>
      </c>
      <c r="N5" s="64">
        <f t="shared" si="4"/>
        <v>58974.752781211362</v>
      </c>
      <c r="O5" s="64">
        <f t="shared" si="5"/>
        <v>67206.709672435099</v>
      </c>
      <c r="P5" s="64">
        <f t="shared" si="6"/>
        <v>75910.570920889993</v>
      </c>
      <c r="Q5" s="64">
        <f t="shared" si="7"/>
        <v>92742.969715698389</v>
      </c>
      <c r="R5" s="64">
        <f t="shared" si="8"/>
        <v>67206.709672435099</v>
      </c>
      <c r="S5" s="59" t="s">
        <v>104</v>
      </c>
      <c r="T5" s="64">
        <f t="shared" si="9"/>
        <v>46711.263906056854</v>
      </c>
      <c r="U5" s="64">
        <f t="shared" si="10"/>
        <v>54724.320148331266</v>
      </c>
      <c r="V5" s="64">
        <f t="shared" si="11"/>
        <v>62362.982849196531</v>
      </c>
      <c r="W5" s="64">
        <f t="shared" si="12"/>
        <v>70439.53878244746</v>
      </c>
      <c r="X5" s="64">
        <f t="shared" si="13"/>
        <v>86058.791718170571</v>
      </c>
      <c r="Y5" s="64">
        <f t="shared" si="14"/>
        <v>62362.982849196531</v>
      </c>
      <c r="Z5" s="59" t="s">
        <v>104</v>
      </c>
      <c r="AA5" s="64">
        <f t="shared" si="15"/>
        <v>48112.601823238561</v>
      </c>
      <c r="AB5" s="199">
        <f t="shared" si="16"/>
        <v>56366.049752781204</v>
      </c>
      <c r="AC5" s="198">
        <f t="shared" si="17"/>
        <v>64233.872334672429</v>
      </c>
      <c r="AD5" s="201">
        <f t="shared" si="18"/>
        <v>72552.724945920883</v>
      </c>
      <c r="AE5" s="198">
        <f t="shared" si="19"/>
        <v>88640.555469715691</v>
      </c>
      <c r="AF5" s="64">
        <f t="shared" si="20"/>
        <v>64233.872334672429</v>
      </c>
      <c r="AG5" s="58" t="s">
        <v>105</v>
      </c>
      <c r="AH5" s="85"/>
    </row>
    <row r="6" spans="1:36" ht="14.4" x14ac:dyDescent="0.55000000000000004">
      <c r="A6" s="394" t="s">
        <v>108</v>
      </c>
      <c r="B6" s="394" t="s">
        <v>109</v>
      </c>
      <c r="C6" s="381"/>
      <c r="D6" s="394" t="s">
        <v>110</v>
      </c>
      <c r="E6" s="60" t="s">
        <v>101</v>
      </c>
      <c r="F6" s="65">
        <v>941347</v>
      </c>
      <c r="G6" s="65">
        <v>1542070</v>
      </c>
      <c r="H6" s="65">
        <v>1886528</v>
      </c>
      <c r="I6" s="65">
        <v>2129776</v>
      </c>
      <c r="J6" s="65">
        <v>3450528</v>
      </c>
      <c r="K6" s="65">
        <v>1961246</v>
      </c>
      <c r="L6" s="60" t="s">
        <v>101</v>
      </c>
      <c r="M6" s="65">
        <f t="shared" si="3"/>
        <v>40362.143464153276</v>
      </c>
      <c r="N6" s="65">
        <f t="shared" si="4"/>
        <v>66119.348733003702</v>
      </c>
      <c r="O6" s="65">
        <f t="shared" si="5"/>
        <v>80888.67737948084</v>
      </c>
      <c r="P6" s="65">
        <f t="shared" si="6"/>
        <v>91318.423980222491</v>
      </c>
      <c r="Q6" s="65">
        <f t="shared" si="7"/>
        <v>147948.31891223733</v>
      </c>
      <c r="R6" s="65">
        <f>MEDIAN(M6:Q6)</f>
        <v>80888.67737948084</v>
      </c>
      <c r="S6" s="60" t="s">
        <v>101</v>
      </c>
      <c r="T6" s="65">
        <f t="shared" si="9"/>
        <v>37453.160151421507</v>
      </c>
      <c r="U6" s="65">
        <f t="shared" si="10"/>
        <v>61353.9902657602</v>
      </c>
      <c r="V6" s="65">
        <f t="shared" si="11"/>
        <v>75058.862793572305</v>
      </c>
      <c r="W6" s="65">
        <f t="shared" si="12"/>
        <v>84736.91594561185</v>
      </c>
      <c r="X6" s="65">
        <f t="shared" si="13"/>
        <v>137285.37700865263</v>
      </c>
      <c r="Y6" s="65">
        <f t="shared" si="14"/>
        <v>75058.862793572305</v>
      </c>
      <c r="Z6" s="60" t="s">
        <v>101</v>
      </c>
      <c r="AA6" s="65">
        <f>+(T6*$AG$10)+T6</f>
        <v>38576.754955964156</v>
      </c>
      <c r="AB6" s="65">
        <f t="shared" ref="AB6:AE6" si="21">+(U6*$AG$10)+U6</f>
        <v>63194.609973733008</v>
      </c>
      <c r="AC6" s="65">
        <f t="shared" si="21"/>
        <v>77310.628677379471</v>
      </c>
      <c r="AD6" s="65">
        <f t="shared" si="21"/>
        <v>87279.023423980208</v>
      </c>
      <c r="AE6" s="65">
        <f t="shared" si="21"/>
        <v>141403.9383189122</v>
      </c>
      <c r="AF6" s="65">
        <f t="shared" si="20"/>
        <v>77310.628677379471</v>
      </c>
      <c r="AG6" s="58" t="s">
        <v>113</v>
      </c>
    </row>
    <row r="7" spans="1:36" ht="14.4" x14ac:dyDescent="0.55000000000000004">
      <c r="A7" s="394"/>
      <c r="B7" s="394"/>
      <c r="C7" s="381"/>
      <c r="D7" s="394"/>
      <c r="E7" s="60" t="s">
        <v>102</v>
      </c>
      <c r="F7" s="65">
        <v>760167</v>
      </c>
      <c r="G7" s="65">
        <v>1309132</v>
      </c>
      <c r="H7" s="65">
        <v>1452829</v>
      </c>
      <c r="I7" s="65">
        <v>1846013</v>
      </c>
      <c r="J7" s="65">
        <v>2239464</v>
      </c>
      <c r="K7" s="65">
        <v>1538094</v>
      </c>
      <c r="L7" s="60" t="s">
        <v>102</v>
      </c>
      <c r="M7" s="65">
        <f t="shared" ref="M7:M9" si="22">((F7*$AG$11)+F7)/$AG$12</f>
        <v>32593.687036464769</v>
      </c>
      <c r="N7" s="65">
        <f t="shared" ref="N7:N9" si="23">((G7*$AG$11)+G7)/$AG$12</f>
        <v>56131.66409147095</v>
      </c>
      <c r="O7" s="65">
        <f t="shared" ref="O7:O9" si="24">((H7*$AG$11)+H7)/$AG$12</f>
        <v>62292.961603831885</v>
      </c>
      <c r="P7" s="65">
        <f t="shared" ref="P7:P9" si="25">((I7*$AG$11)+I7)/$AG$12</f>
        <v>79151.515373918417</v>
      </c>
      <c r="Q7" s="65">
        <f t="shared" ref="Q7:Q9" si="26">((J7*$AG$11)+J7)/$AG$12</f>
        <v>96021.517305315196</v>
      </c>
      <c r="R7" s="65">
        <f t="shared" ref="R7:R38" si="27">MEDIAN(M7:Q7)</f>
        <v>62292.961603831885</v>
      </c>
      <c r="S7" s="60" t="s">
        <v>102</v>
      </c>
      <c r="T7" s="65">
        <f t="shared" ref="T7:T9" si="28">((F7*$AG$9)+F7)/$AG$12</f>
        <v>30244.592475278121</v>
      </c>
      <c r="U7" s="65">
        <f t="shared" ref="U7:U9" si="29">((G7*$AG$9)+G7)/$AG$12</f>
        <v>52086.138751545113</v>
      </c>
      <c r="V7" s="65">
        <f t="shared" ref="V7:V9" si="30">((H7*$AG$9)+H7)/$AG$12</f>
        <v>57803.378785537701</v>
      </c>
      <c r="W7" s="65">
        <f t="shared" ref="W7:W9" si="31">((I7*$AG$9)+I7)/$AG$12</f>
        <v>73446.901653275636</v>
      </c>
      <c r="X7" s="65">
        <f t="shared" ref="X7:X9" si="32">((J7*$AG$9)+J7)/$AG$12</f>
        <v>89101.047589616806</v>
      </c>
      <c r="Y7" s="65">
        <f t="shared" ref="Y7:Y38" si="33">MEDIAN(T7:X7)</f>
        <v>57803.378785537701</v>
      </c>
      <c r="Z7" s="60" t="s">
        <v>102</v>
      </c>
      <c r="AA7" s="204">
        <f t="shared" ref="AA7:AA9" si="34">+(T7*$AG$10)+T7</f>
        <v>31151.930249536465</v>
      </c>
      <c r="AB7" s="204">
        <f t="shared" ref="AB7:AB9" si="35">+(U7*$AG$10)+U7</f>
        <v>53648.722914091464</v>
      </c>
      <c r="AC7" s="204">
        <f>+(V7*$AG$10)+V7</f>
        <v>59537.480149103831</v>
      </c>
      <c r="AD7" s="65">
        <f t="shared" ref="AD7:AD9" si="36">+(W7*$AG$10)+W7</f>
        <v>75650.30870287391</v>
      </c>
      <c r="AE7" s="65">
        <f t="shared" ref="AE7:AE9" si="37">+(X7*$AG$10)+X7</f>
        <v>91774.07901730531</v>
      </c>
      <c r="AF7" s="65">
        <f t="shared" si="20"/>
        <v>59537.480149103831</v>
      </c>
      <c r="AG7" s="92" t="s">
        <v>282</v>
      </c>
    </row>
    <row r="8" spans="1:36" ht="28.8" x14ac:dyDescent="0.55000000000000004">
      <c r="A8" s="394"/>
      <c r="B8" s="394"/>
      <c r="C8" s="381"/>
      <c r="D8" s="394"/>
      <c r="E8" s="60" t="s">
        <v>104</v>
      </c>
      <c r="F8" s="65">
        <v>578987</v>
      </c>
      <c r="G8" s="65">
        <v>961524</v>
      </c>
      <c r="H8" s="65">
        <v>1036042</v>
      </c>
      <c r="I8" s="65">
        <v>1150800</v>
      </c>
      <c r="J8" s="65">
        <v>1898048</v>
      </c>
      <c r="K8" s="65">
        <v>1114941</v>
      </c>
      <c r="L8" s="60" t="s">
        <v>104</v>
      </c>
      <c r="M8" s="65">
        <f t="shared" si="22"/>
        <v>24825.230608776263</v>
      </c>
      <c r="N8" s="65">
        <f t="shared" si="23"/>
        <v>41227.272867737942</v>
      </c>
      <c r="O8" s="65">
        <f t="shared" si="24"/>
        <v>44422.38179851669</v>
      </c>
      <c r="P8" s="65">
        <f t="shared" si="25"/>
        <v>49342.861557478362</v>
      </c>
      <c r="Q8" s="65">
        <f t="shared" si="26"/>
        <v>81382.620519159449</v>
      </c>
      <c r="R8" s="65">
        <f t="shared" si="27"/>
        <v>44422.38179851669</v>
      </c>
      <c r="S8" s="60" t="s">
        <v>104</v>
      </c>
      <c r="T8" s="65">
        <f t="shared" si="28"/>
        <v>23036.024799134731</v>
      </c>
      <c r="U8" s="65">
        <f t="shared" si="29"/>
        <v>38255.937886279353</v>
      </c>
      <c r="V8" s="65">
        <f t="shared" si="30"/>
        <v>41220.768695920888</v>
      </c>
      <c r="W8" s="65">
        <f t="shared" si="31"/>
        <v>45786.619283065513</v>
      </c>
      <c r="X8" s="65">
        <f t="shared" si="32"/>
        <v>75517.206427688492</v>
      </c>
      <c r="Y8" s="65">
        <f t="shared" si="33"/>
        <v>41220.768695920888</v>
      </c>
      <c r="Z8" s="60" t="s">
        <v>104</v>
      </c>
      <c r="AA8" s="65">
        <f t="shared" si="34"/>
        <v>23727.105543108773</v>
      </c>
      <c r="AB8" s="65">
        <f t="shared" si="35"/>
        <v>39403.616022867733</v>
      </c>
      <c r="AC8" s="65">
        <f t="shared" ref="AC8:AC9" si="38">+(V8*$AG$10)+V8</f>
        <v>42457.391756798512</v>
      </c>
      <c r="AD8" s="65">
        <f t="shared" si="36"/>
        <v>47160.217861557481</v>
      </c>
      <c r="AE8" s="65">
        <f t="shared" si="37"/>
        <v>77782.72262051914</v>
      </c>
      <c r="AF8" s="65">
        <f t="shared" si="20"/>
        <v>42457.391756798512</v>
      </c>
      <c r="AG8" s="92" t="s">
        <v>115</v>
      </c>
    </row>
    <row r="9" spans="1:36" ht="15" customHeight="1" x14ac:dyDescent="0.55000000000000004">
      <c r="A9" s="356" t="s">
        <v>118</v>
      </c>
      <c r="B9" s="356" t="s">
        <v>119</v>
      </c>
      <c r="C9" s="381" t="s">
        <v>120</v>
      </c>
      <c r="D9" s="356" t="s">
        <v>121</v>
      </c>
      <c r="E9" s="61" t="s">
        <v>101</v>
      </c>
      <c r="F9" s="66">
        <v>815061</v>
      </c>
      <c r="G9" s="66">
        <v>1078766</v>
      </c>
      <c r="H9" s="66">
        <v>1237256</v>
      </c>
      <c r="I9" s="66">
        <v>1460946</v>
      </c>
      <c r="J9" s="66">
        <v>2126740</v>
      </c>
      <c r="K9" s="66">
        <v>1277641</v>
      </c>
      <c r="L9" s="61" t="s">
        <v>101</v>
      </c>
      <c r="M9" s="66">
        <f t="shared" si="22"/>
        <v>34947.37754944375</v>
      </c>
      <c r="N9" s="66">
        <f t="shared" si="23"/>
        <v>46254.259116192829</v>
      </c>
      <c r="O9" s="66">
        <f t="shared" si="24"/>
        <v>53049.836217552525</v>
      </c>
      <c r="P9" s="66">
        <f t="shared" si="25"/>
        <v>62640.994283065513</v>
      </c>
      <c r="Q9" s="66">
        <f t="shared" si="26"/>
        <v>91188.249381953021</v>
      </c>
      <c r="R9" s="66">
        <f t="shared" si="27"/>
        <v>53049.836217552525</v>
      </c>
      <c r="S9" s="61" t="s">
        <v>101</v>
      </c>
      <c r="T9" s="66">
        <f t="shared" si="28"/>
        <v>32428.64763597033</v>
      </c>
      <c r="U9" s="66">
        <f t="shared" si="29"/>
        <v>42920.618819530282</v>
      </c>
      <c r="V9" s="66">
        <f t="shared" si="30"/>
        <v>49226.424598269463</v>
      </c>
      <c r="W9" s="66">
        <f t="shared" si="31"/>
        <v>58126.328028430151</v>
      </c>
      <c r="X9" s="66">
        <f t="shared" si="32"/>
        <v>84616.123300370833</v>
      </c>
      <c r="Y9" s="66">
        <f t="shared" si="33"/>
        <v>49226.424598269463</v>
      </c>
      <c r="Z9" s="61" t="s">
        <v>101</v>
      </c>
      <c r="AA9" s="66">
        <f t="shared" si="34"/>
        <v>33401.507065049438</v>
      </c>
      <c r="AB9" s="66">
        <f t="shared" si="35"/>
        <v>44208.23738411619</v>
      </c>
      <c r="AC9" s="200">
        <f t="shared" si="38"/>
        <v>50703.217336217545</v>
      </c>
      <c r="AD9" s="200">
        <f t="shared" si="36"/>
        <v>59870.117869283058</v>
      </c>
      <c r="AE9" s="200">
        <f t="shared" si="37"/>
        <v>87154.606999381955</v>
      </c>
      <c r="AF9" s="66">
        <f t="shared" si="20"/>
        <v>50703.217336217545</v>
      </c>
      <c r="AG9" s="86">
        <v>0.03</v>
      </c>
      <c r="AH9" t="s">
        <v>283</v>
      </c>
      <c r="AI9" s="86">
        <v>3.8800000000000001E-2</v>
      </c>
      <c r="AJ9" s="193" t="s">
        <v>124</v>
      </c>
    </row>
    <row r="10" spans="1:36" ht="14.4" x14ac:dyDescent="0.55000000000000004">
      <c r="A10" s="356"/>
      <c r="B10" s="356"/>
      <c r="C10" s="381"/>
      <c r="D10" s="356"/>
      <c r="E10" s="61" t="s">
        <v>102</v>
      </c>
      <c r="F10" s="66">
        <v>658762</v>
      </c>
      <c r="G10" s="66">
        <v>913182</v>
      </c>
      <c r="H10" s="66">
        <v>1065812</v>
      </c>
      <c r="I10" s="66">
        <v>1217462</v>
      </c>
      <c r="J10" s="66">
        <v>1479152</v>
      </c>
      <c r="K10" s="66">
        <v>1054481</v>
      </c>
      <c r="L10" s="61" t="s">
        <v>102</v>
      </c>
      <c r="M10" s="66">
        <f t="shared" ref="M10:M12" si="39">((F10*$AG$11)+F10)/$AG$12</f>
        <v>28245.743974042027</v>
      </c>
      <c r="N10" s="66">
        <f t="shared" ref="N10:N12" si="40">((G10*$AG$11)+G10)/$AG$12</f>
        <v>39154.51251545117</v>
      </c>
      <c r="O10" s="66">
        <f t="shared" ref="O10:O12" si="41">((H10*$AG$11)+H10)/$AG$12</f>
        <v>45698.830346106304</v>
      </c>
      <c r="P10" s="66">
        <f t="shared" ref="P10:P12" si="42">((I10*$AG$11)+I10)/$AG$12</f>
        <v>52201.128708281831</v>
      </c>
      <c r="Q10" s="66">
        <f t="shared" ref="Q10:Q12" si="43">((J10*$AG$11)+J10)/$AG$12</f>
        <v>63421.613102595795</v>
      </c>
      <c r="R10" s="66">
        <f t="shared" si="27"/>
        <v>45698.830346106304</v>
      </c>
      <c r="S10" s="61" t="s">
        <v>102</v>
      </c>
      <c r="T10" s="66">
        <f t="shared" ref="T10:T12" si="44">((F10*$AG$9)+F10)/$AG$12</f>
        <v>26210.014678615571</v>
      </c>
      <c r="U10" s="66">
        <f t="shared" ref="U10:U12" si="45">((G10*$AG$9)+G10)/$AG$12</f>
        <v>36332.565667490722</v>
      </c>
      <c r="V10" s="66">
        <f t="shared" ref="V10:V12" si="46">((H10*$AG$9)+H10)/$AG$12</f>
        <v>42405.22095179234</v>
      </c>
      <c r="W10" s="66">
        <f t="shared" ref="W10:W12" si="47">((I10*$AG$9)+I10)/$AG$12</f>
        <v>48438.885197775031</v>
      </c>
      <c r="X10" s="66">
        <f t="shared" ref="X10:X12" si="48">((J10*$AG$9)+J10)/$AG$12</f>
        <v>58850.686032138437</v>
      </c>
      <c r="Y10" s="66">
        <f t="shared" si="33"/>
        <v>42405.22095179234</v>
      </c>
      <c r="Z10" s="61" t="s">
        <v>102</v>
      </c>
      <c r="AA10" s="192">
        <f t="shared" ref="AA10:AA12" si="49">+(T10*$AG$10)+T10</f>
        <v>26996.315118974038</v>
      </c>
      <c r="AB10" s="66">
        <f t="shared" ref="AB10:AB12" si="50">+(U10*$AG$10)+U10</f>
        <v>37422.542637515442</v>
      </c>
      <c r="AC10" s="192">
        <f t="shared" ref="AC10:AC12" si="51">+(V10*$AG$10)+V10</f>
        <v>43677.37758034611</v>
      </c>
      <c r="AD10" s="66">
        <f t="shared" ref="AD10:AD12" si="52">+(W10*$AG$10)+W10</f>
        <v>49892.051753708285</v>
      </c>
      <c r="AE10" s="192">
        <f t="shared" ref="AE10:AE12" si="53">+(X10*$AG$10)+X10</f>
        <v>60616.206613102593</v>
      </c>
      <c r="AF10" s="66">
        <f t="shared" si="20"/>
        <v>43677.37758034611</v>
      </c>
      <c r="AG10" s="86">
        <v>0.03</v>
      </c>
      <c r="AH10" t="s">
        <v>283</v>
      </c>
      <c r="AI10" s="86">
        <v>4.1599999999999998E-2</v>
      </c>
      <c r="AJ10" t="s">
        <v>125</v>
      </c>
    </row>
    <row r="11" spans="1:36" ht="14.4" x14ac:dyDescent="0.55000000000000004">
      <c r="A11" s="356"/>
      <c r="B11" s="356"/>
      <c r="C11" s="381"/>
      <c r="D11" s="356"/>
      <c r="E11" s="61" t="s">
        <v>104</v>
      </c>
      <c r="F11" s="66">
        <v>457498</v>
      </c>
      <c r="G11" s="66">
        <v>705246</v>
      </c>
      <c r="H11" s="66">
        <v>840000</v>
      </c>
      <c r="I11" s="66">
        <v>1018463</v>
      </c>
      <c r="J11" s="66">
        <v>1243740</v>
      </c>
      <c r="K11" s="66">
        <v>831321</v>
      </c>
      <c r="L11" s="61" t="s">
        <v>104</v>
      </c>
      <c r="M11" s="66">
        <f t="shared" si="39"/>
        <v>19616.145704573548</v>
      </c>
      <c r="N11" s="66">
        <f t="shared" si="40"/>
        <v>30238.838844252165</v>
      </c>
      <c r="O11" s="66">
        <f t="shared" si="41"/>
        <v>36016.687268232381</v>
      </c>
      <c r="P11" s="66">
        <f t="shared" si="42"/>
        <v>43668.646863411617</v>
      </c>
      <c r="Q11" s="66">
        <f t="shared" si="43"/>
        <v>53327.850741656359</v>
      </c>
      <c r="R11" s="66">
        <f t="shared" si="27"/>
        <v>36016.687268232381</v>
      </c>
      <c r="S11" s="61" t="s">
        <v>104</v>
      </c>
      <c r="T11" s="66">
        <f t="shared" si="44"/>
        <v>18202.369437577254</v>
      </c>
      <c r="U11" s="66">
        <f t="shared" si="45"/>
        <v>28059.463071693448</v>
      </c>
      <c r="V11" s="66">
        <f t="shared" si="46"/>
        <v>33420.889987639057</v>
      </c>
      <c r="W11" s="66">
        <f t="shared" si="47"/>
        <v>40521.356999381947</v>
      </c>
      <c r="X11" s="66">
        <f t="shared" si="48"/>
        <v>49484.402039555003</v>
      </c>
      <c r="Y11" s="66">
        <f t="shared" si="33"/>
        <v>33420.889987639057</v>
      </c>
      <c r="Z11" s="61" t="s">
        <v>104</v>
      </c>
      <c r="AA11" s="192">
        <f t="shared" si="49"/>
        <v>18748.440520704571</v>
      </c>
      <c r="AB11" s="66">
        <f t="shared" si="50"/>
        <v>28901.246963844253</v>
      </c>
      <c r="AC11" s="192">
        <f t="shared" si="51"/>
        <v>34423.516687268231</v>
      </c>
      <c r="AD11" s="66">
        <f t="shared" si="52"/>
        <v>41736.997709363408</v>
      </c>
      <c r="AE11" s="192">
        <f t="shared" si="53"/>
        <v>50968.934100741651</v>
      </c>
      <c r="AF11" s="66">
        <f t="shared" si="20"/>
        <v>34423.516687268231</v>
      </c>
      <c r="AG11" s="86">
        <v>0.11</v>
      </c>
      <c r="AH11" t="s">
        <v>284</v>
      </c>
    </row>
    <row r="12" spans="1:36" ht="15" customHeight="1" x14ac:dyDescent="0.55000000000000004">
      <c r="A12" s="357" t="s">
        <v>136</v>
      </c>
      <c r="B12" s="357" t="s">
        <v>137</v>
      </c>
      <c r="C12" s="381"/>
      <c r="D12" s="357" t="s">
        <v>138</v>
      </c>
      <c r="E12" s="62" t="s">
        <v>101</v>
      </c>
      <c r="F12" s="67">
        <v>431487</v>
      </c>
      <c r="G12" s="67">
        <v>786095</v>
      </c>
      <c r="H12" s="67">
        <v>853252</v>
      </c>
      <c r="I12" s="67">
        <v>1169733</v>
      </c>
      <c r="J12" s="67">
        <v>1946078</v>
      </c>
      <c r="K12" s="67">
        <v>957927</v>
      </c>
      <c r="L12" s="62" t="s">
        <v>101</v>
      </c>
      <c r="M12" s="67">
        <f t="shared" si="39"/>
        <v>18500.87183250927</v>
      </c>
      <c r="N12" s="67">
        <f t="shared" si="40"/>
        <v>33705.402116810874</v>
      </c>
      <c r="O12" s="67">
        <f t="shared" si="41"/>
        <v>36584.893386897398</v>
      </c>
      <c r="P12" s="67">
        <f t="shared" si="42"/>
        <v>50154.651962299125</v>
      </c>
      <c r="Q12" s="67">
        <f t="shared" si="43"/>
        <v>83442.003244746593</v>
      </c>
      <c r="R12" s="67">
        <f t="shared" si="27"/>
        <v>36584.893386897398</v>
      </c>
      <c r="S12" s="62" t="s">
        <v>101</v>
      </c>
      <c r="T12" s="67">
        <f t="shared" si="44"/>
        <v>17167.475664400492</v>
      </c>
      <c r="U12" s="67">
        <f t="shared" si="45"/>
        <v>31276.18394622991</v>
      </c>
      <c r="V12" s="67">
        <f t="shared" si="46"/>
        <v>33948.144313967859</v>
      </c>
      <c r="W12" s="67">
        <f t="shared" si="47"/>
        <v>46539.902271322615</v>
      </c>
      <c r="X12" s="67">
        <f t="shared" si="48"/>
        <v>77428.165173053145</v>
      </c>
      <c r="Y12" s="67">
        <f t="shared" si="33"/>
        <v>33948.144313967859</v>
      </c>
      <c r="Z12" s="62" t="s">
        <v>101</v>
      </c>
      <c r="AA12" s="67">
        <f t="shared" si="49"/>
        <v>17682.499934332507</v>
      </c>
      <c r="AB12" s="67">
        <f t="shared" si="50"/>
        <v>32214.469464616806</v>
      </c>
      <c r="AC12" s="67">
        <f t="shared" si="51"/>
        <v>34966.588643386895</v>
      </c>
      <c r="AD12" s="67">
        <f t="shared" si="52"/>
        <v>47936.099339462293</v>
      </c>
      <c r="AE12" s="67">
        <f t="shared" si="53"/>
        <v>79751.010128244743</v>
      </c>
      <c r="AF12" s="67">
        <f t="shared" si="20"/>
        <v>34966.588643386895</v>
      </c>
      <c r="AG12" s="180">
        <v>25.888000000000002</v>
      </c>
      <c r="AH12" t="s">
        <v>126</v>
      </c>
    </row>
    <row r="13" spans="1:36" ht="14.4" x14ac:dyDescent="0.55000000000000004">
      <c r="A13" s="357"/>
      <c r="B13" s="357"/>
      <c r="C13" s="381"/>
      <c r="D13" s="357"/>
      <c r="E13" s="62" t="s">
        <v>102</v>
      </c>
      <c r="F13" s="67">
        <v>414767</v>
      </c>
      <c r="G13" s="67">
        <v>673834</v>
      </c>
      <c r="H13" s="67">
        <v>748250</v>
      </c>
      <c r="I13" s="67">
        <v>931103</v>
      </c>
      <c r="J13" s="67">
        <v>1622087</v>
      </c>
      <c r="K13" s="67">
        <v>798360</v>
      </c>
      <c r="L13" s="62" t="s">
        <v>102</v>
      </c>
      <c r="M13" s="67">
        <f t="shared" ref="M13:M15" si="54">((F13*$AG$11)+F13)/$AG$12</f>
        <v>17783.968247836834</v>
      </c>
      <c r="N13" s="67">
        <f t="shared" ref="N13:N15" si="55">((G13*$AG$11)+G13)/$AG$12</f>
        <v>28891.986248454879</v>
      </c>
      <c r="O13" s="67">
        <f t="shared" ref="O13:O15" si="56">((H13*$AG$11)+H13)/$AG$12</f>
        <v>32082.721724351049</v>
      </c>
      <c r="P13" s="67">
        <f t="shared" ref="P13:P15" si="57">((I13*$AG$11)+I13)/$AG$12</f>
        <v>39922.911387515443</v>
      </c>
      <c r="Q13" s="67">
        <f t="shared" ref="Q13:Q15" si="58">((J13*$AG$11)+J13)/$AG$12</f>
        <v>69550.238334363414</v>
      </c>
      <c r="R13" s="67">
        <f t="shared" si="27"/>
        <v>32082.721724351049</v>
      </c>
      <c r="S13" s="62" t="s">
        <v>102</v>
      </c>
      <c r="T13" s="67">
        <f t="shared" ref="T13:T15" si="59">((F13*$AG$9)+F13)/$AG$12</f>
        <v>16502.240806551297</v>
      </c>
      <c r="U13" s="67">
        <f t="shared" ref="U13:U15" si="60">((G13*$AG$9)+G13)/$AG$12</f>
        <v>26809.680933250926</v>
      </c>
      <c r="V13" s="67">
        <f t="shared" ref="V13:V15" si="61">((H13*$AG$9)+H13)/$AG$12</f>
        <v>29770.453491965389</v>
      </c>
      <c r="W13" s="67">
        <f t="shared" ref="W13:W15" si="62">((I13*$AG$9)+I13)/$AG$12</f>
        <v>37045.584440667488</v>
      </c>
      <c r="X13" s="67">
        <f t="shared" ref="X13:X15" si="63">((J13*$AG$9)+J13)/$AG$12</f>
        <v>64537.608544499381</v>
      </c>
      <c r="Y13" s="67">
        <f t="shared" si="33"/>
        <v>29770.453491965389</v>
      </c>
      <c r="Z13" s="62" t="s">
        <v>102</v>
      </c>
      <c r="AA13" s="191">
        <f t="shared" ref="AA13:AA15" si="64">+(T13*$AG$10)+T13</f>
        <v>16997.308030747838</v>
      </c>
      <c r="AB13" s="67">
        <f t="shared" ref="AB13:AB15" si="65">+(U13*$AG$10)+U13</f>
        <v>27613.971361248452</v>
      </c>
      <c r="AC13" s="191">
        <f t="shared" ref="AC13:AC15" si="66">+(V13*$AG$10)+V13</f>
        <v>30663.56709672435</v>
      </c>
      <c r="AD13" s="67">
        <f t="shared" ref="AD13:AD15" si="67">+(W13*$AG$10)+W13</f>
        <v>38156.95197388751</v>
      </c>
      <c r="AE13" s="191">
        <f t="shared" ref="AE13:AE15" si="68">+(X13*$AG$10)+X13</f>
        <v>66473.736800834362</v>
      </c>
      <c r="AF13" s="67">
        <f t="shared" si="20"/>
        <v>30663.56709672435</v>
      </c>
      <c r="AG13" s="219">
        <v>13993.37</v>
      </c>
      <c r="AH13" t="s">
        <v>284</v>
      </c>
    </row>
    <row r="14" spans="1:36" ht="14.4" x14ac:dyDescent="0.55000000000000004">
      <c r="A14" s="357"/>
      <c r="B14" s="357"/>
      <c r="C14" s="381"/>
      <c r="D14" s="357"/>
      <c r="E14" s="62" t="s">
        <v>104</v>
      </c>
      <c r="F14" s="67">
        <v>361300</v>
      </c>
      <c r="G14" s="67">
        <v>518942</v>
      </c>
      <c r="H14" s="67">
        <v>584900</v>
      </c>
      <c r="I14" s="67">
        <v>703811</v>
      </c>
      <c r="J14" s="67">
        <v>1374707</v>
      </c>
      <c r="K14" s="67">
        <v>638793</v>
      </c>
      <c r="L14" s="62" t="s">
        <v>104</v>
      </c>
      <c r="M14" s="67">
        <f t="shared" si="54"/>
        <v>15491.463226205191</v>
      </c>
      <c r="N14" s="67">
        <f t="shared" si="55"/>
        <v>22250.68062422744</v>
      </c>
      <c r="O14" s="67">
        <f t="shared" si="56"/>
        <v>25078.762360939429</v>
      </c>
      <c r="P14" s="67">
        <f t="shared" si="57"/>
        <v>30177.310336835595</v>
      </c>
      <c r="Q14" s="67">
        <f t="shared" si="58"/>
        <v>58943.323933868975</v>
      </c>
      <c r="R14" s="67">
        <f t="shared" si="27"/>
        <v>25078.762360939429</v>
      </c>
      <c r="S14" s="62" t="s">
        <v>104</v>
      </c>
      <c r="T14" s="67">
        <f t="shared" si="59"/>
        <v>14374.961372064276</v>
      </c>
      <c r="U14" s="67">
        <f t="shared" si="60"/>
        <v>20647.027966625461</v>
      </c>
      <c r="V14" s="67">
        <f t="shared" si="61"/>
        <v>23271.283992583434</v>
      </c>
      <c r="W14" s="67">
        <f t="shared" si="62"/>
        <v>28002.369051297894</v>
      </c>
      <c r="X14" s="67">
        <f t="shared" si="63"/>
        <v>54695.156443139676</v>
      </c>
      <c r="Y14" s="67">
        <f t="shared" si="33"/>
        <v>23271.283992583434</v>
      </c>
      <c r="Z14" s="62" t="s">
        <v>104</v>
      </c>
      <c r="AA14" s="67">
        <f t="shared" si="64"/>
        <v>14806.210213226204</v>
      </c>
      <c r="AB14" s="67">
        <f t="shared" si="65"/>
        <v>21266.438805624224</v>
      </c>
      <c r="AC14" s="67">
        <f t="shared" si="66"/>
        <v>23969.422512360936</v>
      </c>
      <c r="AD14" s="67">
        <f t="shared" si="67"/>
        <v>28842.44012283683</v>
      </c>
      <c r="AE14" s="67">
        <f t="shared" si="68"/>
        <v>56336.011136433866</v>
      </c>
      <c r="AF14" s="67">
        <f t="shared" si="20"/>
        <v>23969.422512360936</v>
      </c>
    </row>
    <row r="15" spans="1:36" ht="15" customHeight="1" x14ac:dyDescent="0.55000000000000004">
      <c r="A15" s="364" t="s">
        <v>153</v>
      </c>
      <c r="B15" s="364" t="s">
        <v>154</v>
      </c>
      <c r="C15" s="365" t="s">
        <v>155</v>
      </c>
      <c r="D15" s="364" t="s">
        <v>156</v>
      </c>
      <c r="E15" s="63" t="s">
        <v>101</v>
      </c>
      <c r="F15" s="68">
        <v>627521</v>
      </c>
      <c r="G15" s="68">
        <v>842534</v>
      </c>
      <c r="H15" s="68">
        <v>846989</v>
      </c>
      <c r="I15" s="68">
        <v>898333</v>
      </c>
      <c r="J15" s="68">
        <v>1543883</v>
      </c>
      <c r="K15" s="68">
        <v>924420</v>
      </c>
      <c r="L15" s="63" t="s">
        <v>101</v>
      </c>
      <c r="M15" s="68">
        <f t="shared" si="54"/>
        <v>26906.223346724353</v>
      </c>
      <c r="N15" s="68">
        <f t="shared" si="55"/>
        <v>36125.337608158217</v>
      </c>
      <c r="O15" s="68">
        <f t="shared" si="56"/>
        <v>36316.354681705809</v>
      </c>
      <c r="P15" s="68">
        <f t="shared" si="57"/>
        <v>38517.831813967859</v>
      </c>
      <c r="Q15" s="68">
        <f t="shared" si="58"/>
        <v>66197.08474969097</v>
      </c>
      <c r="R15" s="68">
        <f t="shared" si="27"/>
        <v>36316.354681705809</v>
      </c>
      <c r="S15" s="63" t="s">
        <v>101</v>
      </c>
      <c r="T15" s="68">
        <f t="shared" si="59"/>
        <v>24967.036078491965</v>
      </c>
      <c r="U15" s="68">
        <f t="shared" si="60"/>
        <v>33521.709672435107</v>
      </c>
      <c r="V15" s="68">
        <f t="shared" si="61"/>
        <v>33698.959749690977</v>
      </c>
      <c r="W15" s="68">
        <f t="shared" si="62"/>
        <v>35741.771863411617</v>
      </c>
      <c r="X15" s="68">
        <f t="shared" si="63"/>
        <v>61426.123686650179</v>
      </c>
      <c r="Y15" s="68">
        <f t="shared" si="33"/>
        <v>33698.959749690977</v>
      </c>
      <c r="Z15" s="63" t="s">
        <v>101</v>
      </c>
      <c r="AA15" s="68">
        <f t="shared" si="64"/>
        <v>25716.047160846723</v>
      </c>
      <c r="AB15" s="68">
        <f t="shared" si="65"/>
        <v>34527.36096260816</v>
      </c>
      <c r="AC15" s="68">
        <f t="shared" si="66"/>
        <v>34709.928542181704</v>
      </c>
      <c r="AD15" s="68">
        <f t="shared" si="67"/>
        <v>36814.025019313965</v>
      </c>
      <c r="AE15" s="68">
        <f t="shared" si="68"/>
        <v>63268.907397249684</v>
      </c>
      <c r="AF15" s="68">
        <f t="shared" si="20"/>
        <v>34709.928542181704</v>
      </c>
    </row>
    <row r="16" spans="1:36" ht="14.4" x14ac:dyDescent="0.55000000000000004">
      <c r="A16" s="364"/>
      <c r="B16" s="364"/>
      <c r="C16" s="365"/>
      <c r="D16" s="364"/>
      <c r="E16" s="63" t="s">
        <v>102</v>
      </c>
      <c r="F16" s="68">
        <v>509861</v>
      </c>
      <c r="G16" s="68">
        <v>668801</v>
      </c>
      <c r="H16" s="68">
        <v>692818</v>
      </c>
      <c r="I16" s="68">
        <v>770000</v>
      </c>
      <c r="J16" s="68">
        <v>1092775</v>
      </c>
      <c r="K16" s="68">
        <v>710943</v>
      </c>
      <c r="L16" s="63" t="s">
        <v>102</v>
      </c>
      <c r="M16" s="68">
        <f t="shared" ref="M16:M18" si="69">((F16*$AG$11)+F16)/$AG$12</f>
        <v>21861.314508652657</v>
      </c>
      <c r="N16" s="68">
        <f t="shared" ref="N16:N18" si="70">((G16*$AG$11)+G16)/$AG$12</f>
        <v>28676.186263906053</v>
      </c>
      <c r="O16" s="68">
        <f t="shared" ref="O16:O18" si="71">((H16*$AG$11)+H16)/$AG$12</f>
        <v>29705.96338071693</v>
      </c>
      <c r="P16" s="68">
        <f t="shared" ref="P16:P18" si="72">((I16*$AG$11)+I16)/$AG$12</f>
        <v>33015.296662546352</v>
      </c>
      <c r="Q16" s="68">
        <f t="shared" ref="Q16:Q18" si="73">((J16*$AG$11)+J16)/$AG$12</f>
        <v>46854.923130407908</v>
      </c>
      <c r="R16" s="68">
        <f t="shared" si="27"/>
        <v>29705.96338071693</v>
      </c>
      <c r="S16" s="63" t="s">
        <v>102</v>
      </c>
      <c r="T16" s="68">
        <f t="shared" ref="T16:T18" si="74">((F16*$AG$9)+F16)/$AG$12</f>
        <v>20285.724273794807</v>
      </c>
      <c r="U16" s="68">
        <f t="shared" ref="U16:U18" si="75">((G16*$AG$9)+G16)/$AG$12</f>
        <v>26609.434100741655</v>
      </c>
      <c r="V16" s="68">
        <f t="shared" ref="V16:V18" si="76">((H16*$AG$9)+H16)/$AG$12</f>
        <v>27564.993046971569</v>
      </c>
      <c r="W16" s="68">
        <f t="shared" ref="W16:W18" si="77">((I16*$AG$9)+I16)/$AG$12</f>
        <v>30635.815822002471</v>
      </c>
      <c r="X16" s="68">
        <f t="shared" ref="X16:X18" si="78">((J16*$AG$9)+J16)/$AG$12</f>
        <v>43477.991733621755</v>
      </c>
      <c r="Y16" s="68">
        <f t="shared" si="33"/>
        <v>27564.993046971569</v>
      </c>
      <c r="Z16" s="63" t="s">
        <v>102</v>
      </c>
      <c r="AA16" s="68">
        <f t="shared" ref="AA16:AA17" si="79">+(T16*$AG$10)+T16</f>
        <v>20894.29600200865</v>
      </c>
      <c r="AB16" s="68">
        <f t="shared" ref="AB16:AB17" si="80">+(U16*$AG$10)+U16</f>
        <v>27407.717123763905</v>
      </c>
      <c r="AC16" s="68">
        <f t="shared" ref="AC16:AC17" si="81">+(V16*$AG$10)+V16</f>
        <v>28391.942838380717</v>
      </c>
      <c r="AD16" s="68">
        <f t="shared" ref="AD16:AD17" si="82">+(W16*$AG$10)+W16</f>
        <v>31554.890296662546</v>
      </c>
      <c r="AE16" s="68">
        <f t="shared" ref="AE16:AE17" si="83">+(X16*$AG$10)+X16</f>
        <v>44782.331485630406</v>
      </c>
      <c r="AF16" s="68">
        <f t="shared" si="20"/>
        <v>28391.942838380717</v>
      </c>
    </row>
    <row r="17" spans="1:32" ht="14.4" x14ac:dyDescent="0.55000000000000004">
      <c r="A17" s="364"/>
      <c r="B17" s="364"/>
      <c r="C17" s="365"/>
      <c r="D17" s="364"/>
      <c r="E17" s="63" t="s">
        <v>104</v>
      </c>
      <c r="F17" s="68">
        <v>392201</v>
      </c>
      <c r="G17" s="68">
        <v>423652</v>
      </c>
      <c r="H17" s="68">
        <v>495068</v>
      </c>
      <c r="I17" s="68">
        <v>543102</v>
      </c>
      <c r="J17" s="68">
        <v>641667</v>
      </c>
      <c r="K17" s="68">
        <v>497466</v>
      </c>
      <c r="L17" s="63" t="s">
        <v>104</v>
      </c>
      <c r="M17" s="68">
        <f t="shared" si="69"/>
        <v>16816.405670580963</v>
      </c>
      <c r="N17" s="68">
        <f t="shared" si="70"/>
        <v>18164.930469715695</v>
      </c>
      <c r="O17" s="68">
        <f t="shared" si="71"/>
        <v>21227.034919653892</v>
      </c>
      <c r="P17" s="68">
        <f t="shared" si="72"/>
        <v>23286.589153275647</v>
      </c>
      <c r="Q17" s="68">
        <f t="shared" si="73"/>
        <v>27512.761511124845</v>
      </c>
      <c r="R17" s="68">
        <f t="shared" si="27"/>
        <v>21227.034919653892</v>
      </c>
      <c r="S17" s="63" t="s">
        <v>104</v>
      </c>
      <c r="T17" s="68">
        <f t="shared" si="74"/>
        <v>15604.412469097651</v>
      </c>
      <c r="U17" s="68">
        <f t="shared" si="75"/>
        <v>16855.746291718169</v>
      </c>
      <c r="V17" s="68">
        <f t="shared" si="76"/>
        <v>19697.158529048207</v>
      </c>
      <c r="W17" s="68">
        <f t="shared" si="77"/>
        <v>21608.276421508035</v>
      </c>
      <c r="X17" s="68">
        <f t="shared" si="78"/>
        <v>25529.859780593324</v>
      </c>
      <c r="Y17" s="68">
        <f t="shared" si="33"/>
        <v>19697.158529048207</v>
      </c>
      <c r="Z17" s="63" t="s">
        <v>104</v>
      </c>
      <c r="AA17" s="68">
        <f t="shared" si="79"/>
        <v>16072.544843170581</v>
      </c>
      <c r="AB17" s="68">
        <f t="shared" si="80"/>
        <v>17361.418680469713</v>
      </c>
      <c r="AC17" s="68">
        <f t="shared" si="81"/>
        <v>20288.073284919654</v>
      </c>
      <c r="AD17" s="68">
        <f t="shared" si="82"/>
        <v>22256.524714153275</v>
      </c>
      <c r="AE17" s="68">
        <f t="shared" si="83"/>
        <v>26295.755574011124</v>
      </c>
      <c r="AF17" s="68">
        <f t="shared" si="20"/>
        <v>20288.073284919654</v>
      </c>
    </row>
    <row r="18" spans="1:32" ht="15" customHeight="1" x14ac:dyDescent="0.55000000000000004">
      <c r="A18" s="346" t="s">
        <v>157</v>
      </c>
      <c r="B18" s="346" t="s">
        <v>158</v>
      </c>
      <c r="C18" s="366" t="s">
        <v>159</v>
      </c>
      <c r="D18" s="346" t="s">
        <v>160</v>
      </c>
      <c r="E18" s="69" t="s">
        <v>101</v>
      </c>
      <c r="F18" s="71">
        <v>379497</v>
      </c>
      <c r="G18" s="71">
        <v>554366</v>
      </c>
      <c r="H18" s="71">
        <v>695712</v>
      </c>
      <c r="I18" s="71">
        <v>866996</v>
      </c>
      <c r="J18" s="71">
        <v>1225700</v>
      </c>
      <c r="K18" s="71">
        <v>712178</v>
      </c>
      <c r="L18" s="69" t="s">
        <v>101</v>
      </c>
      <c r="M18" s="71">
        <f t="shared" si="69"/>
        <v>16271.6961526576</v>
      </c>
      <c r="N18" s="71">
        <f t="shared" si="70"/>
        <v>23769.555778739184</v>
      </c>
      <c r="O18" s="71">
        <f t="shared" si="71"/>
        <v>29830.049443757725</v>
      </c>
      <c r="P18" s="71">
        <f t="shared" si="72"/>
        <v>37174.194993819532</v>
      </c>
      <c r="Q18" s="71">
        <f t="shared" si="73"/>
        <v>52554.349505562423</v>
      </c>
      <c r="R18" s="71">
        <f t="shared" si="27"/>
        <v>29830.049443757725</v>
      </c>
      <c r="S18" s="69" t="s">
        <v>101</v>
      </c>
      <c r="T18" s="71">
        <f t="shared" si="74"/>
        <v>15098.961294808403</v>
      </c>
      <c r="U18" s="71">
        <f t="shared" si="75"/>
        <v>22056.434641532753</v>
      </c>
      <c r="V18" s="71">
        <f t="shared" si="76"/>
        <v>27680.135970333744</v>
      </c>
      <c r="W18" s="71">
        <f t="shared" si="77"/>
        <v>34494.97373300371</v>
      </c>
      <c r="X18" s="71">
        <f t="shared" si="78"/>
        <v>48766.648640296662</v>
      </c>
      <c r="Y18" s="71">
        <f t="shared" si="33"/>
        <v>27680.135970333744</v>
      </c>
      <c r="Z18" s="69" t="s">
        <v>101</v>
      </c>
      <c r="AA18" s="71">
        <f t="shared" ref="AA18:AA38" si="84">+(T18*$AG$10)+T18</f>
        <v>15551.930133652655</v>
      </c>
      <c r="AB18" s="71">
        <f t="shared" ref="AB18:AB38" si="85">+(U18*$AG$10)+U18</f>
        <v>22718.127680778736</v>
      </c>
      <c r="AC18" s="71">
        <f t="shared" ref="AC18:AC38" si="86">+(V18*$AG$10)+V18</f>
        <v>28510.540049443756</v>
      </c>
      <c r="AD18" s="71">
        <f t="shared" ref="AD18:AD38" si="87">+(W18*$AG$10)+W18</f>
        <v>35529.822944993823</v>
      </c>
      <c r="AE18" s="71">
        <f t="shared" ref="AE18:AE38" si="88">+(X18*$AG$10)+X18</f>
        <v>50229.648099505561</v>
      </c>
      <c r="AF18" s="71">
        <f t="shared" si="20"/>
        <v>28510.540049443756</v>
      </c>
    </row>
    <row r="19" spans="1:32" ht="14.4" x14ac:dyDescent="0.55000000000000004">
      <c r="A19" s="347"/>
      <c r="B19" s="347"/>
      <c r="C19" s="367"/>
      <c r="D19" s="347"/>
      <c r="E19" s="69" t="s">
        <v>102</v>
      </c>
      <c r="F19" s="71">
        <v>361273</v>
      </c>
      <c r="G19" s="71">
        <v>469910</v>
      </c>
      <c r="H19" s="71">
        <v>567000</v>
      </c>
      <c r="I19" s="71">
        <v>662081</v>
      </c>
      <c r="J19" s="71">
        <v>1225700</v>
      </c>
      <c r="K19" s="71">
        <v>584607</v>
      </c>
      <c r="L19" s="69" t="s">
        <v>102</v>
      </c>
      <c r="M19" s="71">
        <f t="shared" ref="M19:M21" si="89">((F19*$AG$11)+F19)/$AG$12</f>
        <v>15490.305546971569</v>
      </c>
      <c r="N19" s="71">
        <f t="shared" ref="N19:N21" si="90">((G19*$AG$11)+G19)/$AG$12</f>
        <v>20148.33513597033</v>
      </c>
      <c r="O19" s="71">
        <f t="shared" ref="O19:O21" si="91">((H19*$AG$11)+H19)/$AG$12</f>
        <v>24311.263906056858</v>
      </c>
      <c r="P19" s="71">
        <f t="shared" ref="P19:P21" si="92">((I19*$AG$11)+I19)/$AG$12</f>
        <v>28388.052765760196</v>
      </c>
      <c r="Q19" s="71">
        <f t="shared" ref="Q19:Q21" si="93">((J19*$AG$11)+J19)/$AG$12</f>
        <v>52554.349505562423</v>
      </c>
      <c r="R19" s="71">
        <f t="shared" si="27"/>
        <v>24311.263906056858</v>
      </c>
      <c r="S19" s="69" t="s">
        <v>102</v>
      </c>
      <c r="T19" s="71">
        <f t="shared" ref="T19:T21" si="94">((F19*$AG$9)+F19)/$AG$12</f>
        <v>14373.887129171817</v>
      </c>
      <c r="U19" s="71">
        <f t="shared" ref="U19:U21" si="95">((G19*$AG$9)+G19)/$AG$12</f>
        <v>18696.202873918417</v>
      </c>
      <c r="V19" s="71">
        <f t="shared" ref="V19:V21" si="96">((H19*$AG$9)+H19)/$AG$12</f>
        <v>22559.100741656366</v>
      </c>
      <c r="W19" s="71">
        <f t="shared" ref="W19:W21" si="97">((I19*$AG$9)+I19)/$AG$12</f>
        <v>26342.066980840544</v>
      </c>
      <c r="X19" s="71">
        <f t="shared" ref="X19:X21" si="98">((J19*$AG$9)+J19)/$AG$12</f>
        <v>48766.648640296662</v>
      </c>
      <c r="Y19" s="71">
        <f t="shared" si="33"/>
        <v>22559.100741656366</v>
      </c>
      <c r="Z19" s="69" t="s">
        <v>102</v>
      </c>
      <c r="AA19" s="189">
        <f t="shared" si="84"/>
        <v>14805.103743046971</v>
      </c>
      <c r="AB19" s="71">
        <f t="shared" si="85"/>
        <v>19257.08896013597</v>
      </c>
      <c r="AC19" s="189">
        <f t="shared" si="86"/>
        <v>23235.873763906056</v>
      </c>
      <c r="AD19" s="71">
        <f t="shared" si="87"/>
        <v>27132.32899026576</v>
      </c>
      <c r="AE19" s="189">
        <f t="shared" si="88"/>
        <v>50229.648099505561</v>
      </c>
      <c r="AF19" s="71">
        <f t="shared" si="20"/>
        <v>23235.873763906056</v>
      </c>
    </row>
    <row r="20" spans="1:32" ht="14.4" x14ac:dyDescent="0.55000000000000004">
      <c r="A20" s="348"/>
      <c r="B20" s="348"/>
      <c r="C20" s="367"/>
      <c r="D20" s="348"/>
      <c r="E20" s="69" t="s">
        <v>104</v>
      </c>
      <c r="F20" s="71">
        <v>273242</v>
      </c>
      <c r="G20" s="71">
        <v>367080</v>
      </c>
      <c r="H20" s="71">
        <v>414246</v>
      </c>
      <c r="I20" s="71">
        <v>489209</v>
      </c>
      <c r="J20" s="71">
        <v>1225700</v>
      </c>
      <c r="K20" s="71">
        <v>457036</v>
      </c>
      <c r="L20" s="69" t="s">
        <v>104</v>
      </c>
      <c r="M20" s="71">
        <f t="shared" si="89"/>
        <v>11715.799598269468</v>
      </c>
      <c r="N20" s="71">
        <f t="shared" si="90"/>
        <v>15739.292336217552</v>
      </c>
      <c r="O20" s="71">
        <f t="shared" si="91"/>
        <v>17761.629326328799</v>
      </c>
      <c r="P20" s="71">
        <f t="shared" si="92"/>
        <v>20975.81852595797</v>
      </c>
      <c r="Q20" s="71">
        <f t="shared" si="93"/>
        <v>52554.349505562423</v>
      </c>
      <c r="R20" s="71">
        <f t="shared" si="27"/>
        <v>17761.629326328799</v>
      </c>
      <c r="S20" s="69" t="s">
        <v>104</v>
      </c>
      <c r="T20" s="71">
        <f t="shared" si="94"/>
        <v>10871.417645241037</v>
      </c>
      <c r="U20" s="71">
        <f t="shared" si="95"/>
        <v>14604.928924598269</v>
      </c>
      <c r="V20" s="71">
        <f t="shared" si="96"/>
        <v>16481.511897404202</v>
      </c>
      <c r="W20" s="71">
        <f t="shared" si="97"/>
        <v>19464.047821384425</v>
      </c>
      <c r="X20" s="71">
        <f t="shared" si="98"/>
        <v>48766.648640296662</v>
      </c>
      <c r="Y20" s="71">
        <f t="shared" si="33"/>
        <v>16481.511897404202</v>
      </c>
      <c r="Z20" s="69" t="s">
        <v>104</v>
      </c>
      <c r="AA20" s="71">
        <f t="shared" si="84"/>
        <v>11197.560174598269</v>
      </c>
      <c r="AB20" s="71">
        <f t="shared" si="85"/>
        <v>15043.076792336216</v>
      </c>
      <c r="AC20" s="71">
        <f t="shared" si="86"/>
        <v>16975.957254326328</v>
      </c>
      <c r="AD20" s="71">
        <f t="shared" si="87"/>
        <v>20047.969256025957</v>
      </c>
      <c r="AE20" s="71">
        <f t="shared" si="88"/>
        <v>50229.648099505561</v>
      </c>
      <c r="AF20" s="71">
        <f t="shared" si="20"/>
        <v>16975.957254326328</v>
      </c>
    </row>
    <row r="21" spans="1:32" ht="15" customHeight="1" x14ac:dyDescent="0.55000000000000004">
      <c r="A21" s="369" t="s">
        <v>175</v>
      </c>
      <c r="B21" s="369" t="s">
        <v>176</v>
      </c>
      <c r="C21" s="367"/>
      <c r="D21" s="369" t="s">
        <v>177</v>
      </c>
      <c r="E21" s="70" t="s">
        <v>101</v>
      </c>
      <c r="F21" s="72">
        <v>356742</v>
      </c>
      <c r="G21" s="72">
        <v>455830</v>
      </c>
      <c r="H21" s="72">
        <v>530833</v>
      </c>
      <c r="I21" s="72">
        <v>634244</v>
      </c>
      <c r="J21" s="72">
        <v>974813</v>
      </c>
      <c r="K21" s="72">
        <v>566658</v>
      </c>
      <c r="L21" s="70" t="s">
        <v>101</v>
      </c>
      <c r="M21" s="72">
        <f t="shared" si="89"/>
        <v>15296.029820766376</v>
      </c>
      <c r="N21" s="72">
        <f t="shared" si="90"/>
        <v>19544.626854140912</v>
      </c>
      <c r="O21" s="72">
        <f t="shared" si="91"/>
        <v>22760.531134116191</v>
      </c>
      <c r="P21" s="72">
        <f t="shared" si="92"/>
        <v>27194.485475896166</v>
      </c>
      <c r="Q21" s="72">
        <f t="shared" si="93"/>
        <v>41797.065435723111</v>
      </c>
      <c r="R21" s="72">
        <f t="shared" si="27"/>
        <v>22760.531134116191</v>
      </c>
      <c r="S21" s="70" t="s">
        <v>101</v>
      </c>
      <c r="T21" s="72">
        <f t="shared" si="94"/>
        <v>14193.61325710754</v>
      </c>
      <c r="U21" s="72">
        <f t="shared" si="95"/>
        <v>18136.005098887515</v>
      </c>
      <c r="V21" s="72">
        <f t="shared" si="96"/>
        <v>21120.132493819528</v>
      </c>
      <c r="W21" s="72">
        <f t="shared" si="97"/>
        <v>25234.52255871446</v>
      </c>
      <c r="X21" s="72">
        <f t="shared" si="98"/>
        <v>38784.664323238561</v>
      </c>
      <c r="Y21" s="72">
        <f t="shared" si="33"/>
        <v>21120.132493819528</v>
      </c>
      <c r="Z21" s="70" t="s">
        <v>101</v>
      </c>
      <c r="AA21" s="186">
        <f t="shared" si="84"/>
        <v>14619.421654820766</v>
      </c>
      <c r="AB21" s="72">
        <f t="shared" si="85"/>
        <v>18680.08525185414</v>
      </c>
      <c r="AC21" s="186">
        <f t="shared" si="86"/>
        <v>21753.736468634113</v>
      </c>
      <c r="AD21" s="72">
        <f t="shared" si="87"/>
        <v>25991.558235475892</v>
      </c>
      <c r="AE21" s="186">
        <f t="shared" si="88"/>
        <v>39948.20425293572</v>
      </c>
      <c r="AF21" s="72">
        <f t="shared" si="20"/>
        <v>21753.736468634113</v>
      </c>
    </row>
    <row r="22" spans="1:32" ht="14.4" x14ac:dyDescent="0.55000000000000004">
      <c r="A22" s="370"/>
      <c r="B22" s="370"/>
      <c r="C22" s="367"/>
      <c r="D22" s="370"/>
      <c r="E22" s="70" t="s">
        <v>102</v>
      </c>
      <c r="F22" s="72">
        <v>310927</v>
      </c>
      <c r="G22" s="72">
        <v>391510</v>
      </c>
      <c r="H22" s="72">
        <v>431479</v>
      </c>
      <c r="I22" s="72">
        <v>529777</v>
      </c>
      <c r="J22" s="72">
        <v>771883</v>
      </c>
      <c r="K22" s="72">
        <v>458949</v>
      </c>
      <c r="L22" s="70" t="s">
        <v>102</v>
      </c>
      <c r="M22" s="72">
        <f t="shared" ref="M22:M24" si="99">((F22*$AG$11)+F22)/$AG$12</f>
        <v>13331.619669344867</v>
      </c>
      <c r="N22" s="72">
        <f t="shared" ref="N22:N24" si="100">((G22*$AG$11)+G22)/$AG$12</f>
        <v>16786.777657601975</v>
      </c>
      <c r="O22" s="72">
        <f t="shared" ref="O22:O24" si="101">((H22*$AG$11)+H22)/$AG$12</f>
        <v>18500.528816440048</v>
      </c>
      <c r="P22" s="72">
        <f t="shared" ref="P22:P24" si="102">((I22*$AG$11)+I22)/$AG$12</f>
        <v>22715.253012978985</v>
      </c>
      <c r="Q22" s="72">
        <f t="shared" ref="Q22:Q24" si="103">((J22*$AG$11)+J22)/$AG$12</f>
        <v>33096.034069839305</v>
      </c>
      <c r="R22" s="72">
        <f t="shared" si="27"/>
        <v>18500.528816440048</v>
      </c>
      <c r="S22" s="70" t="s">
        <v>102</v>
      </c>
      <c r="T22" s="72">
        <f t="shared" ref="T22:T38" si="104">((F22*$AG$9)+F22)/$AG$12</f>
        <v>12370.782215698393</v>
      </c>
      <c r="U22" s="72">
        <f t="shared" ref="U22:U38" si="105">((G22*$AG$9)+G22)/$AG$12</f>
        <v>15576.919808405437</v>
      </c>
      <c r="V22" s="72">
        <f t="shared" ref="V22:V38" si="106">((H22*$AG$9)+H22)/$AG$12</f>
        <v>17167.157370210134</v>
      </c>
      <c r="W22" s="72">
        <f t="shared" ref="W22:W38" si="107">((I22*$AG$9)+I22)/$AG$12</f>
        <v>21078.117660692213</v>
      </c>
      <c r="X22" s="72">
        <f t="shared" ref="X22:X38" si="108">((J22*$AG$9)+J22)/$AG$12</f>
        <v>30710.734317058093</v>
      </c>
      <c r="Y22" s="72">
        <f t="shared" si="33"/>
        <v>17167.157370210134</v>
      </c>
      <c r="Z22" s="70" t="s">
        <v>102</v>
      </c>
      <c r="AA22" s="186">
        <f t="shared" si="84"/>
        <v>12741.905682169345</v>
      </c>
      <c r="AB22" s="72">
        <f t="shared" si="85"/>
        <v>16044.2274026576</v>
      </c>
      <c r="AC22" s="186">
        <f t="shared" si="86"/>
        <v>17682.172091316439</v>
      </c>
      <c r="AD22" s="72">
        <f t="shared" si="87"/>
        <v>21710.461190512979</v>
      </c>
      <c r="AE22" s="186">
        <f t="shared" si="88"/>
        <v>31632.056346569836</v>
      </c>
      <c r="AF22" s="72">
        <f t="shared" si="20"/>
        <v>17682.172091316439</v>
      </c>
    </row>
    <row r="23" spans="1:32" ht="14.4" x14ac:dyDescent="0.55000000000000004">
      <c r="A23" s="371"/>
      <c r="B23" s="371"/>
      <c r="C23" s="368"/>
      <c r="D23" s="371"/>
      <c r="E23" s="70" t="s">
        <v>104</v>
      </c>
      <c r="F23" s="72">
        <v>223167</v>
      </c>
      <c r="G23" s="72">
        <v>289003</v>
      </c>
      <c r="H23" s="72">
        <v>326650</v>
      </c>
      <c r="I23" s="72">
        <v>363620</v>
      </c>
      <c r="J23" s="72">
        <v>603766</v>
      </c>
      <c r="K23" s="72">
        <v>351239</v>
      </c>
      <c r="L23" s="70" t="s">
        <v>104</v>
      </c>
      <c r="M23" s="72">
        <f t="shared" si="99"/>
        <v>9568.7333899876376</v>
      </c>
      <c r="N23" s="72">
        <f t="shared" si="100"/>
        <v>12391.584131644006</v>
      </c>
      <c r="O23" s="72">
        <f t="shared" si="101"/>
        <v>14005.774876390606</v>
      </c>
      <c r="P23" s="72">
        <f t="shared" si="102"/>
        <v>15590.937886279356</v>
      </c>
      <c r="Q23" s="72">
        <f t="shared" si="103"/>
        <v>25887.680006180468</v>
      </c>
      <c r="R23" s="72">
        <f t="shared" si="27"/>
        <v>14005.774876390606</v>
      </c>
      <c r="S23" s="70" t="s">
        <v>104</v>
      </c>
      <c r="T23" s="72">
        <f t="shared" si="104"/>
        <v>8879.0949474660065</v>
      </c>
      <c r="U23" s="72">
        <f t="shared" si="105"/>
        <v>11498.496987021013</v>
      </c>
      <c r="V23" s="72">
        <f t="shared" si="106"/>
        <v>12996.349660074166</v>
      </c>
      <c r="W23" s="72">
        <f t="shared" si="107"/>
        <v>14467.266687268231</v>
      </c>
      <c r="X23" s="72">
        <f t="shared" si="108"/>
        <v>24021.90126699629</v>
      </c>
      <c r="Y23" s="72">
        <f t="shared" si="33"/>
        <v>12996.349660074166</v>
      </c>
      <c r="Z23" s="70" t="s">
        <v>104</v>
      </c>
      <c r="AA23" s="72">
        <f t="shared" si="84"/>
        <v>9145.4677958899865</v>
      </c>
      <c r="AB23" s="72">
        <f t="shared" si="85"/>
        <v>11843.451896631645</v>
      </c>
      <c r="AC23" s="72">
        <f t="shared" si="86"/>
        <v>13386.24014987639</v>
      </c>
      <c r="AD23" s="72">
        <f t="shared" si="87"/>
        <v>14901.284687886278</v>
      </c>
      <c r="AE23" s="72">
        <f t="shared" si="88"/>
        <v>24742.55830500618</v>
      </c>
      <c r="AF23" s="72">
        <f t="shared" si="20"/>
        <v>13386.24014987639</v>
      </c>
    </row>
    <row r="24" spans="1:32" ht="15" customHeight="1" x14ac:dyDescent="0.55000000000000004">
      <c r="A24" s="374" t="s">
        <v>178</v>
      </c>
      <c r="B24" s="374" t="s">
        <v>179</v>
      </c>
      <c r="C24" s="366" t="s">
        <v>180</v>
      </c>
      <c r="D24" s="374" t="s">
        <v>181</v>
      </c>
      <c r="E24" s="73" t="s">
        <v>101</v>
      </c>
      <c r="F24" s="74">
        <v>198638</v>
      </c>
      <c r="G24" s="74">
        <v>372268</v>
      </c>
      <c r="H24" s="74">
        <v>424667</v>
      </c>
      <c r="I24" s="74">
        <v>560000</v>
      </c>
      <c r="J24" s="74">
        <v>863081</v>
      </c>
      <c r="K24" s="74">
        <v>474314</v>
      </c>
      <c r="L24" s="73" t="s">
        <v>101</v>
      </c>
      <c r="M24" s="74">
        <f t="shared" si="99"/>
        <v>8517.0032447466001</v>
      </c>
      <c r="N24" s="74">
        <f t="shared" si="100"/>
        <v>15961.738257107538</v>
      </c>
      <c r="O24" s="74">
        <f t="shared" si="101"/>
        <v>18208.450633498145</v>
      </c>
      <c r="P24" s="74">
        <f t="shared" si="102"/>
        <v>24011.124845488255</v>
      </c>
      <c r="Q24" s="74">
        <f t="shared" si="103"/>
        <v>37006.331504944377</v>
      </c>
      <c r="R24" s="74">
        <f t="shared" si="27"/>
        <v>18208.450633498145</v>
      </c>
      <c r="S24" s="73" t="s">
        <v>101</v>
      </c>
      <c r="T24" s="74">
        <f t="shared" si="104"/>
        <v>7903.1651730531521</v>
      </c>
      <c r="U24" s="74">
        <f t="shared" si="105"/>
        <v>14811.342707045733</v>
      </c>
      <c r="V24" s="74">
        <f t="shared" si="106"/>
        <v>16896.1298671199</v>
      </c>
      <c r="W24" s="74">
        <f t="shared" si="107"/>
        <v>22280.593325092705</v>
      </c>
      <c r="X24" s="74">
        <f t="shared" si="108"/>
        <v>34339.208513597034</v>
      </c>
      <c r="Y24" s="74">
        <f t="shared" si="33"/>
        <v>16896.1298671199</v>
      </c>
      <c r="Z24" s="73" t="s">
        <v>101</v>
      </c>
      <c r="AA24" s="74">
        <f t="shared" si="84"/>
        <v>8140.2601282447467</v>
      </c>
      <c r="AB24" s="74">
        <f t="shared" si="85"/>
        <v>15255.682988257106</v>
      </c>
      <c r="AC24" s="74">
        <f t="shared" si="86"/>
        <v>17403.013763133498</v>
      </c>
      <c r="AD24" s="74">
        <f t="shared" si="87"/>
        <v>22949.011124845485</v>
      </c>
      <c r="AE24" s="74">
        <f t="shared" si="88"/>
        <v>35369.384769004944</v>
      </c>
      <c r="AF24" s="74">
        <f t="shared" si="20"/>
        <v>17403.013763133498</v>
      </c>
    </row>
    <row r="25" spans="1:32" ht="14.4" x14ac:dyDescent="0.55000000000000004">
      <c r="A25" s="375"/>
      <c r="B25" s="375"/>
      <c r="C25" s="367"/>
      <c r="D25" s="375"/>
      <c r="E25" s="73" t="s">
        <v>102</v>
      </c>
      <c r="F25" s="74">
        <v>194037</v>
      </c>
      <c r="G25" s="74">
        <v>307348</v>
      </c>
      <c r="H25" s="74">
        <v>347067</v>
      </c>
      <c r="I25" s="74">
        <v>441000</v>
      </c>
      <c r="J25" s="74">
        <v>719590</v>
      </c>
      <c r="K25" s="74">
        <v>393121</v>
      </c>
      <c r="L25" s="73" t="s">
        <v>102</v>
      </c>
      <c r="M25" s="74">
        <f t="shared" ref="M25:M27" si="109">((F25*$AG$11)+F25)/$AG$12</f>
        <v>8319.7261279357226</v>
      </c>
      <c r="N25" s="74">
        <f t="shared" ref="N25:N27" si="110">((G25*$AG$11)+G25)/$AG$12</f>
        <v>13178.16285537701</v>
      </c>
      <c r="O25" s="74">
        <f t="shared" ref="O25:O27" si="111">((H25*$AG$11)+H25)/$AG$12</f>
        <v>14881.194762051915</v>
      </c>
      <c r="P25" s="74">
        <f t="shared" ref="P25:P27" si="112">((I25*$AG$11)+I25)/$AG$12</f>
        <v>18908.760815822003</v>
      </c>
      <c r="Q25" s="74">
        <f t="shared" ref="Q25:Q27" si="113">((J25*$AG$11)+J25)/$AG$12</f>
        <v>30853.866656365884</v>
      </c>
      <c r="R25" s="74">
        <f t="shared" si="27"/>
        <v>14881.194762051915</v>
      </c>
      <c r="S25" s="73" t="s">
        <v>102</v>
      </c>
      <c r="T25" s="74">
        <f t="shared" si="104"/>
        <v>7720.1062268232372</v>
      </c>
      <c r="U25" s="74">
        <f t="shared" si="105"/>
        <v>12228.385352286774</v>
      </c>
      <c r="V25" s="74">
        <f t="shared" si="106"/>
        <v>13808.676220642768</v>
      </c>
      <c r="W25" s="74">
        <f t="shared" si="107"/>
        <v>17545.967243510506</v>
      </c>
      <c r="X25" s="74">
        <f t="shared" si="108"/>
        <v>28630.164555006177</v>
      </c>
      <c r="Y25" s="74">
        <f t="shared" si="33"/>
        <v>13808.676220642768</v>
      </c>
      <c r="Z25" s="73" t="s">
        <v>102</v>
      </c>
      <c r="AA25" s="185">
        <f t="shared" si="84"/>
        <v>7951.7094136279347</v>
      </c>
      <c r="AB25" s="74">
        <f t="shared" si="85"/>
        <v>12595.236912855376</v>
      </c>
      <c r="AC25" s="185">
        <f t="shared" si="86"/>
        <v>14222.936507262051</v>
      </c>
      <c r="AD25" s="74">
        <f t="shared" si="87"/>
        <v>18072.346260815822</v>
      </c>
      <c r="AE25" s="185">
        <f t="shared" si="88"/>
        <v>29489.069491656363</v>
      </c>
      <c r="AF25" s="74">
        <f t="shared" si="20"/>
        <v>14222.936507262051</v>
      </c>
    </row>
    <row r="26" spans="1:32" ht="14.4" x14ac:dyDescent="0.55000000000000004">
      <c r="A26" s="376"/>
      <c r="B26" s="376"/>
      <c r="C26" s="367"/>
      <c r="D26" s="376"/>
      <c r="E26" s="73" t="s">
        <v>104</v>
      </c>
      <c r="F26" s="74">
        <v>189437</v>
      </c>
      <c r="G26" s="74">
        <v>237102</v>
      </c>
      <c r="H26" s="74">
        <v>265216</v>
      </c>
      <c r="I26" s="74">
        <v>383313</v>
      </c>
      <c r="J26" s="74">
        <v>634480</v>
      </c>
      <c r="K26" s="74">
        <v>311927</v>
      </c>
      <c r="L26" s="73" t="s">
        <v>104</v>
      </c>
      <c r="M26" s="74">
        <f t="shared" si="109"/>
        <v>8122.4918881334979</v>
      </c>
      <c r="N26" s="74">
        <f t="shared" si="110"/>
        <v>10166.224505562421</v>
      </c>
      <c r="O26" s="74">
        <f t="shared" si="111"/>
        <v>11371.668726823238</v>
      </c>
      <c r="P26" s="74">
        <f t="shared" si="112"/>
        <v>16435.314817676142</v>
      </c>
      <c r="Q26" s="74">
        <f t="shared" si="113"/>
        <v>27204.604449938197</v>
      </c>
      <c r="R26" s="74">
        <f t="shared" si="27"/>
        <v>11371.668726823238</v>
      </c>
      <c r="S26" s="73" t="s">
        <v>104</v>
      </c>
      <c r="T26" s="74">
        <f t="shared" si="104"/>
        <v>7537.0870673671188</v>
      </c>
      <c r="U26" s="74">
        <f t="shared" si="105"/>
        <v>9433.5236402966621</v>
      </c>
      <c r="V26" s="74">
        <f t="shared" si="106"/>
        <v>10552.088998763904</v>
      </c>
      <c r="W26" s="74">
        <f t="shared" si="107"/>
        <v>15250.787623609394</v>
      </c>
      <c r="X26" s="74">
        <f t="shared" si="108"/>
        <v>25243.912237330038</v>
      </c>
      <c r="Y26" s="74">
        <f t="shared" si="33"/>
        <v>10552.088998763904</v>
      </c>
      <c r="Z26" s="73" t="s">
        <v>104</v>
      </c>
      <c r="AA26" s="74">
        <f t="shared" si="84"/>
        <v>7763.1996793881326</v>
      </c>
      <c r="AB26" s="74">
        <f t="shared" si="85"/>
        <v>9716.5293495055612</v>
      </c>
      <c r="AC26" s="74">
        <f t="shared" si="86"/>
        <v>10868.651668726821</v>
      </c>
      <c r="AD26" s="74">
        <f t="shared" si="87"/>
        <v>15708.311252317677</v>
      </c>
      <c r="AE26" s="74">
        <f t="shared" si="88"/>
        <v>26001.229604449938</v>
      </c>
      <c r="AF26" s="74">
        <f t="shared" si="20"/>
        <v>10868.651668726821</v>
      </c>
    </row>
    <row r="27" spans="1:32" ht="14.4" x14ac:dyDescent="0.55000000000000004">
      <c r="A27" s="377" t="s">
        <v>182</v>
      </c>
      <c r="B27" s="377" t="s">
        <v>183</v>
      </c>
      <c r="C27" s="367"/>
      <c r="D27" s="377" t="s">
        <v>184</v>
      </c>
      <c r="E27" s="93" t="s">
        <v>101</v>
      </c>
      <c r="F27" s="75">
        <v>240912</v>
      </c>
      <c r="G27" s="75">
        <v>308723</v>
      </c>
      <c r="H27" s="75">
        <v>347251</v>
      </c>
      <c r="I27" s="75">
        <v>421939</v>
      </c>
      <c r="J27" s="75">
        <v>1464372</v>
      </c>
      <c r="K27" s="75">
        <v>387778</v>
      </c>
      <c r="L27" s="93" t="s">
        <v>101</v>
      </c>
      <c r="M27" s="75">
        <f t="shared" si="109"/>
        <v>10329.585908529049</v>
      </c>
      <c r="N27" s="75">
        <f t="shared" si="110"/>
        <v>13237.118742274413</v>
      </c>
      <c r="O27" s="75">
        <f t="shared" si="111"/>
        <v>14889.084131644004</v>
      </c>
      <c r="P27" s="75">
        <f t="shared" si="112"/>
        <v>18091.482153893692</v>
      </c>
      <c r="Q27" s="75">
        <f t="shared" si="113"/>
        <v>62787.890914709511</v>
      </c>
      <c r="R27" s="75">
        <f t="shared" si="27"/>
        <v>14889.084131644004</v>
      </c>
      <c r="S27" s="93" t="s">
        <v>101</v>
      </c>
      <c r="T27" s="75">
        <f t="shared" si="104"/>
        <v>9585.1112484548812</v>
      </c>
      <c r="U27" s="75">
        <f t="shared" si="105"/>
        <v>12283.092166254635</v>
      </c>
      <c r="V27" s="75">
        <f t="shared" si="106"/>
        <v>13815.996987021013</v>
      </c>
      <c r="W27" s="75">
        <f t="shared" si="107"/>
        <v>16787.591548207663</v>
      </c>
      <c r="X27" s="75">
        <f t="shared" si="108"/>
        <v>58262.63751545117</v>
      </c>
      <c r="Y27" s="75">
        <f t="shared" si="33"/>
        <v>13815.996987021013</v>
      </c>
      <c r="Z27" s="93" t="s">
        <v>101</v>
      </c>
      <c r="AA27" s="75">
        <f t="shared" si="84"/>
        <v>9872.6645859085274</v>
      </c>
      <c r="AB27" s="75">
        <f t="shared" si="85"/>
        <v>12651.584931242274</v>
      </c>
      <c r="AC27" s="75">
        <f t="shared" si="86"/>
        <v>14230.476896631644</v>
      </c>
      <c r="AD27" s="75">
        <f t="shared" si="87"/>
        <v>17291.219294653893</v>
      </c>
      <c r="AE27" s="75">
        <f t="shared" si="88"/>
        <v>60010.516640914706</v>
      </c>
      <c r="AF27" s="75">
        <f t="shared" si="20"/>
        <v>14230.476896631644</v>
      </c>
    </row>
    <row r="28" spans="1:32" ht="14.4" x14ac:dyDescent="0.55000000000000004">
      <c r="A28" s="378"/>
      <c r="B28" s="378"/>
      <c r="C28" s="367"/>
      <c r="D28" s="378"/>
      <c r="E28" s="93" t="s">
        <v>102</v>
      </c>
      <c r="F28" s="75">
        <v>225049</v>
      </c>
      <c r="G28" s="75">
        <v>255799</v>
      </c>
      <c r="H28" s="75">
        <v>292276</v>
      </c>
      <c r="I28" s="75">
        <v>374500</v>
      </c>
      <c r="J28" s="75">
        <v>872186</v>
      </c>
      <c r="K28" s="75">
        <v>317190</v>
      </c>
      <c r="L28" s="93" t="s">
        <v>102</v>
      </c>
      <c r="M28" s="75">
        <f t="shared" ref="M28:M30" si="114">((F28*$AG$11)+F28)/$AG$12</f>
        <v>9649.4279202719408</v>
      </c>
      <c r="N28" s="75">
        <f t="shared" ref="N28:N30" si="115">((G28*$AG$11)+G28)/$AG$12</f>
        <v>10967.895936341161</v>
      </c>
      <c r="O28" s="75">
        <f t="shared" ref="O28:O30" si="116">((H28*$AG$11)+H28)/$AG$12</f>
        <v>12531.920580964152</v>
      </c>
      <c r="P28" s="75">
        <f t="shared" ref="P28:P30" si="117">((I28*$AG$11)+I28)/$AG$12</f>
        <v>16057.43974042027</v>
      </c>
      <c r="Q28" s="75">
        <f t="shared" ref="Q28:Q30" si="118">((J28*$AG$11)+J28)/$AG$12</f>
        <v>37396.72666872682</v>
      </c>
      <c r="R28" s="75">
        <f t="shared" si="27"/>
        <v>12531.920580964152</v>
      </c>
      <c r="S28" s="93" t="s">
        <v>102</v>
      </c>
      <c r="T28" s="75">
        <f t="shared" si="104"/>
        <v>8953.9736557478354</v>
      </c>
      <c r="U28" s="75">
        <f t="shared" si="105"/>
        <v>10177.416949938193</v>
      </c>
      <c r="V28" s="75">
        <f t="shared" si="106"/>
        <v>11628.719097651421</v>
      </c>
      <c r="W28" s="75">
        <f t="shared" si="107"/>
        <v>14900.146786155747</v>
      </c>
      <c r="X28" s="75">
        <f t="shared" si="108"/>
        <v>34701.467088998761</v>
      </c>
      <c r="Y28" s="75">
        <f t="shared" si="33"/>
        <v>11628.719097651421</v>
      </c>
      <c r="Z28" s="93" t="s">
        <v>102</v>
      </c>
      <c r="AA28" s="181">
        <f t="shared" si="84"/>
        <v>9222.5928654202708</v>
      </c>
      <c r="AB28" s="75">
        <f t="shared" si="85"/>
        <v>10482.739458436339</v>
      </c>
      <c r="AC28" s="181">
        <f t="shared" si="86"/>
        <v>11977.580670580965</v>
      </c>
      <c r="AD28" s="75">
        <f t="shared" si="87"/>
        <v>15347.15118974042</v>
      </c>
      <c r="AE28" s="181">
        <f t="shared" si="88"/>
        <v>35742.511101668722</v>
      </c>
      <c r="AF28" s="75">
        <f t="shared" si="20"/>
        <v>11977.580670580965</v>
      </c>
    </row>
    <row r="29" spans="1:32" ht="14.4" x14ac:dyDescent="0.55000000000000004">
      <c r="A29" s="378"/>
      <c r="B29" s="378"/>
      <c r="C29" s="367"/>
      <c r="D29" s="378"/>
      <c r="E29" s="93" t="s">
        <v>104</v>
      </c>
      <c r="F29" s="75">
        <v>171226</v>
      </c>
      <c r="G29" s="75">
        <v>199970</v>
      </c>
      <c r="H29" s="75">
        <v>239817</v>
      </c>
      <c r="I29" s="75">
        <v>278313</v>
      </c>
      <c r="J29" s="75">
        <v>422561</v>
      </c>
      <c r="K29" s="75">
        <v>246601</v>
      </c>
      <c r="L29" s="93" t="s">
        <v>104</v>
      </c>
      <c r="M29" s="75">
        <f t="shared" si="114"/>
        <v>7341.6586835599492</v>
      </c>
      <c r="N29" s="75">
        <f t="shared" si="115"/>
        <v>8574.1154202719408</v>
      </c>
      <c r="O29" s="75">
        <f t="shared" si="116"/>
        <v>10282.635584054387</v>
      </c>
      <c r="P29" s="75">
        <f t="shared" si="117"/>
        <v>11933.228909147094</v>
      </c>
      <c r="Q29" s="75">
        <f t="shared" si="118"/>
        <v>18118.151653275647</v>
      </c>
      <c r="R29" s="75">
        <f t="shared" si="27"/>
        <v>10282.635584054387</v>
      </c>
      <c r="S29" s="93" t="s">
        <v>104</v>
      </c>
      <c r="T29" s="75">
        <f t="shared" si="104"/>
        <v>6812.5301297898632</v>
      </c>
      <c r="U29" s="75">
        <f t="shared" si="105"/>
        <v>7956.1611557478363</v>
      </c>
      <c r="V29" s="75">
        <f t="shared" si="106"/>
        <v>9541.5447311495664</v>
      </c>
      <c r="W29" s="75">
        <f t="shared" si="107"/>
        <v>11073.176375154511</v>
      </c>
      <c r="X29" s="75">
        <f t="shared" si="108"/>
        <v>16812.338921508035</v>
      </c>
      <c r="Y29" s="75">
        <f t="shared" si="33"/>
        <v>9541.5447311495664</v>
      </c>
      <c r="Z29" s="93" t="s">
        <v>104</v>
      </c>
      <c r="AA29" s="75">
        <f t="shared" si="84"/>
        <v>7016.9060336835591</v>
      </c>
      <c r="AB29" s="75">
        <f t="shared" si="85"/>
        <v>8194.8459904202718</v>
      </c>
      <c r="AC29" s="75">
        <f t="shared" si="86"/>
        <v>9827.791073084054</v>
      </c>
      <c r="AD29" s="75">
        <f t="shared" si="87"/>
        <v>11405.371666409146</v>
      </c>
      <c r="AE29" s="75">
        <f t="shared" si="88"/>
        <v>17316.709089153275</v>
      </c>
      <c r="AF29" s="75">
        <f t="shared" si="20"/>
        <v>9827.791073084054</v>
      </c>
    </row>
    <row r="30" spans="1:32" ht="14.4" x14ac:dyDescent="0.55000000000000004">
      <c r="A30" s="380" t="s">
        <v>185</v>
      </c>
      <c r="B30" s="380" t="s">
        <v>186</v>
      </c>
      <c r="C30" s="381" t="s">
        <v>187</v>
      </c>
      <c r="D30" s="380" t="s">
        <v>188</v>
      </c>
      <c r="E30" s="78" t="s">
        <v>101</v>
      </c>
      <c r="F30" s="89">
        <v>226380</v>
      </c>
      <c r="G30" s="89">
        <v>277573</v>
      </c>
      <c r="H30" s="89">
        <v>315816</v>
      </c>
      <c r="I30" s="89">
        <v>336152</v>
      </c>
      <c r="J30" s="89">
        <v>434735</v>
      </c>
      <c r="K30" s="89">
        <v>311689</v>
      </c>
      <c r="L30" s="78" t="s">
        <v>101</v>
      </c>
      <c r="M30" s="89">
        <f t="shared" si="114"/>
        <v>9706.4972187886269</v>
      </c>
      <c r="N30" s="89">
        <f t="shared" si="115"/>
        <v>11901.499922744129</v>
      </c>
      <c r="O30" s="89">
        <f t="shared" si="116"/>
        <v>13541.245364647713</v>
      </c>
      <c r="P30" s="89">
        <f t="shared" si="117"/>
        <v>14413.192212608155</v>
      </c>
      <c r="Q30" s="89">
        <f t="shared" si="118"/>
        <v>18640.1363566131</v>
      </c>
      <c r="R30" s="89">
        <f t="shared" si="27"/>
        <v>13541.245364647713</v>
      </c>
      <c r="S30" s="78" t="s">
        <v>101</v>
      </c>
      <c r="T30" s="89">
        <f t="shared" si="104"/>
        <v>9006.9298516687268</v>
      </c>
      <c r="U30" s="89">
        <f t="shared" si="105"/>
        <v>11043.734162546352</v>
      </c>
      <c r="V30" s="89">
        <f t="shared" si="106"/>
        <v>12565.299752781209</v>
      </c>
      <c r="W30" s="89">
        <f t="shared" si="107"/>
        <v>13374.403584672435</v>
      </c>
      <c r="X30" s="89">
        <f t="shared" si="108"/>
        <v>17296.703105686032</v>
      </c>
      <c r="Y30" s="89">
        <f t="shared" si="33"/>
        <v>12565.299752781209</v>
      </c>
      <c r="Z30" s="78" t="s">
        <v>101</v>
      </c>
      <c r="AA30" s="89">
        <f t="shared" si="84"/>
        <v>9277.1377472187887</v>
      </c>
      <c r="AB30" s="89">
        <f t="shared" si="85"/>
        <v>11375.046187422742</v>
      </c>
      <c r="AC30" s="89">
        <f t="shared" si="86"/>
        <v>12942.258745364647</v>
      </c>
      <c r="AD30" s="89">
        <f t="shared" si="87"/>
        <v>13775.635692212607</v>
      </c>
      <c r="AE30" s="89">
        <f t="shared" si="88"/>
        <v>17815.604198856614</v>
      </c>
      <c r="AF30" s="89">
        <f t="shared" si="20"/>
        <v>12942.258745364647</v>
      </c>
    </row>
    <row r="31" spans="1:32" ht="14.4" x14ac:dyDescent="0.55000000000000004">
      <c r="A31" s="380"/>
      <c r="B31" s="380"/>
      <c r="C31" s="381"/>
      <c r="D31" s="380"/>
      <c r="E31" s="78" t="s">
        <v>102</v>
      </c>
      <c r="F31" s="89">
        <v>188650</v>
      </c>
      <c r="G31" s="89">
        <v>233163</v>
      </c>
      <c r="H31" s="89">
        <v>252000</v>
      </c>
      <c r="I31" s="89">
        <v>269046</v>
      </c>
      <c r="J31" s="89">
        <v>292276</v>
      </c>
      <c r="K31" s="89">
        <v>249516</v>
      </c>
      <c r="L31" s="78" t="s">
        <v>102</v>
      </c>
      <c r="M31" s="89">
        <f t="shared" ref="M31:M38" si="119">((F31*$AG$11)+F31)/$AG$12</f>
        <v>8088.7476823238558</v>
      </c>
      <c r="N31" s="89">
        <f t="shared" ref="N31:N38" si="120">((G31*$AG$11)+G31)/$AG$12</f>
        <v>9997.3319684796043</v>
      </c>
      <c r="O31" s="89">
        <f t="shared" ref="O31:O38" si="121">((H31*$AG$11)+H31)/$AG$12</f>
        <v>10805.006180469714</v>
      </c>
      <c r="P31" s="89">
        <f t="shared" ref="P31:P38" si="122">((I31*$AG$11)+I31)/$AG$12</f>
        <v>11535.887669962916</v>
      </c>
      <c r="Q31" s="89">
        <f t="shared" ref="Q31:Q38" si="123">((J31*$AG$11)+J31)/$AG$12</f>
        <v>12531.920580964152</v>
      </c>
      <c r="R31" s="89">
        <f t="shared" si="27"/>
        <v>10805.006180469714</v>
      </c>
      <c r="S31" s="78" t="s">
        <v>102</v>
      </c>
      <c r="T31" s="89">
        <f t="shared" si="104"/>
        <v>7505.7748763906056</v>
      </c>
      <c r="U31" s="89">
        <f t="shared" si="105"/>
        <v>9276.8035383189126</v>
      </c>
      <c r="V31" s="89">
        <f t="shared" si="106"/>
        <v>10026.266996291717</v>
      </c>
      <c r="W31" s="89">
        <f t="shared" si="107"/>
        <v>10704.472342398021</v>
      </c>
      <c r="X31" s="89">
        <f t="shared" si="108"/>
        <v>11628.719097651421</v>
      </c>
      <c r="Y31" s="89">
        <f t="shared" si="33"/>
        <v>10026.266996291717</v>
      </c>
      <c r="Z31" s="78" t="s">
        <v>102</v>
      </c>
      <c r="AA31" s="190">
        <f t="shared" si="84"/>
        <v>7730.9481226823236</v>
      </c>
      <c r="AB31" s="89">
        <f t="shared" si="85"/>
        <v>9555.1076444684804</v>
      </c>
      <c r="AC31" s="190">
        <f t="shared" si="86"/>
        <v>10327.055006180468</v>
      </c>
      <c r="AD31" s="89">
        <f t="shared" si="87"/>
        <v>11025.606512669961</v>
      </c>
      <c r="AE31" s="190">
        <f t="shared" si="88"/>
        <v>11977.580670580965</v>
      </c>
      <c r="AF31" s="89">
        <f t="shared" si="20"/>
        <v>10327.055006180468</v>
      </c>
    </row>
    <row r="32" spans="1:32" ht="14.4" x14ac:dyDescent="0.55000000000000004">
      <c r="A32" s="380"/>
      <c r="B32" s="380"/>
      <c r="C32" s="381"/>
      <c r="D32" s="380"/>
      <c r="E32" s="78" t="s">
        <v>104</v>
      </c>
      <c r="F32" s="89">
        <v>144912</v>
      </c>
      <c r="G32" s="89">
        <v>164853</v>
      </c>
      <c r="H32" s="89">
        <v>179972</v>
      </c>
      <c r="I32" s="89">
        <v>196287</v>
      </c>
      <c r="J32" s="89">
        <v>252000</v>
      </c>
      <c r="K32" s="89">
        <v>187343</v>
      </c>
      <c r="L32" s="78" t="s">
        <v>104</v>
      </c>
      <c r="M32" s="89">
        <f t="shared" si="119"/>
        <v>6213.3930778739186</v>
      </c>
      <c r="N32" s="89">
        <f t="shared" si="120"/>
        <v>7068.403507416564</v>
      </c>
      <c r="O32" s="89">
        <f t="shared" si="121"/>
        <v>7716.6610012360943</v>
      </c>
      <c r="P32" s="89">
        <f t="shared" si="122"/>
        <v>8416.1993974042016</v>
      </c>
      <c r="Q32" s="89">
        <f t="shared" si="123"/>
        <v>10805.006180469714</v>
      </c>
      <c r="R32" s="89">
        <f t="shared" si="27"/>
        <v>7716.6610012360943</v>
      </c>
      <c r="S32" s="78" t="s">
        <v>104</v>
      </c>
      <c r="T32" s="89">
        <f t="shared" si="104"/>
        <v>5765.5809641532751</v>
      </c>
      <c r="U32" s="89">
        <f t="shared" si="105"/>
        <v>6558.9690203955497</v>
      </c>
      <c r="V32" s="89">
        <f t="shared" si="106"/>
        <v>7160.5052533992584</v>
      </c>
      <c r="W32" s="89">
        <f t="shared" si="107"/>
        <v>7809.6264678615562</v>
      </c>
      <c r="X32" s="89">
        <f t="shared" si="108"/>
        <v>10026.266996291717</v>
      </c>
      <c r="Y32" s="89">
        <f t="shared" si="33"/>
        <v>7160.5052533992584</v>
      </c>
      <c r="Z32" s="78" t="s">
        <v>104</v>
      </c>
      <c r="AA32" s="89">
        <f t="shared" si="84"/>
        <v>5938.5483930778737</v>
      </c>
      <c r="AB32" s="89">
        <f t="shared" si="85"/>
        <v>6755.7380910074162</v>
      </c>
      <c r="AC32" s="89">
        <f t="shared" si="86"/>
        <v>7375.3204110012366</v>
      </c>
      <c r="AD32" s="89">
        <f t="shared" si="87"/>
        <v>8043.9152618974031</v>
      </c>
      <c r="AE32" s="89">
        <f t="shared" si="88"/>
        <v>10327.055006180468</v>
      </c>
      <c r="AF32" s="89">
        <f t="shared" si="20"/>
        <v>7375.3204110012366</v>
      </c>
    </row>
    <row r="33" spans="1:32" ht="14.4" x14ac:dyDescent="0.55000000000000004">
      <c r="A33" s="372" t="s">
        <v>189</v>
      </c>
      <c r="B33" s="372" t="s">
        <v>190</v>
      </c>
      <c r="C33" s="381"/>
      <c r="D33" s="372" t="s">
        <v>191</v>
      </c>
      <c r="E33" s="76" t="s">
        <v>101</v>
      </c>
      <c r="F33" s="90">
        <v>175545</v>
      </c>
      <c r="G33" s="90">
        <v>221689</v>
      </c>
      <c r="H33" s="90">
        <v>261611</v>
      </c>
      <c r="I33" s="90">
        <v>297573</v>
      </c>
      <c r="J33" s="90">
        <v>395220</v>
      </c>
      <c r="K33" s="90">
        <v>270752</v>
      </c>
      <c r="L33" s="76" t="s">
        <v>101</v>
      </c>
      <c r="M33" s="90">
        <f t="shared" si="119"/>
        <v>7526.8444839307786</v>
      </c>
      <c r="N33" s="90">
        <f t="shared" si="120"/>
        <v>9505.3611711990106</v>
      </c>
      <c r="O33" s="90">
        <f t="shared" si="121"/>
        <v>11217.097110630408</v>
      </c>
      <c r="P33" s="90">
        <f t="shared" si="122"/>
        <v>12759.040095797282</v>
      </c>
      <c r="Q33" s="90">
        <f t="shared" si="123"/>
        <v>16945.851359703338</v>
      </c>
      <c r="R33" s="90">
        <f t="shared" si="27"/>
        <v>11217.097110630408</v>
      </c>
      <c r="S33" s="76" t="s">
        <v>101</v>
      </c>
      <c r="T33" s="90">
        <f t="shared" si="104"/>
        <v>6984.3692058096412</v>
      </c>
      <c r="U33" s="90">
        <f t="shared" si="105"/>
        <v>8820.2900957972797</v>
      </c>
      <c r="V33" s="90">
        <f t="shared" si="106"/>
        <v>10408.657679233622</v>
      </c>
      <c r="W33" s="90">
        <f t="shared" si="107"/>
        <v>11839.469638442521</v>
      </c>
      <c r="X33" s="90">
        <f t="shared" si="108"/>
        <v>15724.528739184176</v>
      </c>
      <c r="Y33" s="90">
        <f t="shared" si="33"/>
        <v>10408.657679233622</v>
      </c>
      <c r="Z33" s="76" t="s">
        <v>101</v>
      </c>
      <c r="AA33" s="90">
        <f t="shared" si="84"/>
        <v>7193.9002819839307</v>
      </c>
      <c r="AB33" s="187">
        <f t="shared" si="85"/>
        <v>9084.8987986711982</v>
      </c>
      <c r="AC33" s="90">
        <f t="shared" si="86"/>
        <v>10720.917409610631</v>
      </c>
      <c r="AD33" s="187">
        <f t="shared" si="87"/>
        <v>12194.653727595796</v>
      </c>
      <c r="AE33" s="90">
        <f t="shared" si="88"/>
        <v>16196.2646013597</v>
      </c>
      <c r="AF33" s="90">
        <f t="shared" si="20"/>
        <v>10720.917409610631</v>
      </c>
    </row>
    <row r="34" spans="1:32" ht="14.4" x14ac:dyDescent="0.55000000000000004">
      <c r="A34" s="372"/>
      <c r="B34" s="372"/>
      <c r="C34" s="381"/>
      <c r="D34" s="372"/>
      <c r="E34" s="76" t="s">
        <v>102</v>
      </c>
      <c r="F34" s="90">
        <v>173475</v>
      </c>
      <c r="G34" s="90">
        <v>189000</v>
      </c>
      <c r="H34" s="90">
        <v>220575</v>
      </c>
      <c r="I34" s="90">
        <v>263480</v>
      </c>
      <c r="J34" s="90">
        <v>317039</v>
      </c>
      <c r="K34" s="90">
        <v>229338</v>
      </c>
      <c r="L34" s="76" t="s">
        <v>102</v>
      </c>
      <c r="M34" s="90">
        <f t="shared" si="119"/>
        <v>7438.0890760197772</v>
      </c>
      <c r="N34" s="90">
        <f t="shared" si="120"/>
        <v>8103.7546353522866</v>
      </c>
      <c r="O34" s="90">
        <f t="shared" si="121"/>
        <v>9457.5961835599501</v>
      </c>
      <c r="P34" s="90">
        <f t="shared" si="122"/>
        <v>11297.234239802225</v>
      </c>
      <c r="Q34" s="90">
        <f t="shared" si="123"/>
        <v>13593.683946229912</v>
      </c>
      <c r="R34" s="90">
        <f t="shared" si="27"/>
        <v>9457.5961835599501</v>
      </c>
      <c r="S34" s="76" t="s">
        <v>102</v>
      </c>
      <c r="T34" s="90">
        <f t="shared" si="104"/>
        <v>6902.0105840543874</v>
      </c>
      <c r="U34" s="90">
        <f t="shared" si="105"/>
        <v>7519.7002472187878</v>
      </c>
      <c r="V34" s="90">
        <f t="shared" si="106"/>
        <v>8775.9676297898641</v>
      </c>
      <c r="W34" s="90">
        <f t="shared" si="107"/>
        <v>10483.019159456118</v>
      </c>
      <c r="X34" s="90">
        <f t="shared" si="108"/>
        <v>12613.958977132261</v>
      </c>
      <c r="Y34" s="90">
        <f t="shared" si="33"/>
        <v>8775.9676297898641</v>
      </c>
      <c r="Z34" s="76" t="s">
        <v>102</v>
      </c>
      <c r="AA34" s="182">
        <f t="shared" si="84"/>
        <v>7109.0709015760194</v>
      </c>
      <c r="AB34" s="187">
        <f t="shared" si="85"/>
        <v>7745.2912546353518</v>
      </c>
      <c r="AC34" s="182">
        <f t="shared" si="86"/>
        <v>9039.2466586835599</v>
      </c>
      <c r="AD34" s="187">
        <f t="shared" si="87"/>
        <v>10797.509734239802</v>
      </c>
      <c r="AE34" s="182">
        <f t="shared" si="88"/>
        <v>12992.377746446229</v>
      </c>
      <c r="AF34" s="187">
        <f t="shared" si="20"/>
        <v>9039.2466586835599</v>
      </c>
    </row>
    <row r="35" spans="1:32" ht="14.4" x14ac:dyDescent="0.55000000000000004">
      <c r="A35" s="372"/>
      <c r="B35" s="372"/>
      <c r="C35" s="381"/>
      <c r="D35" s="372"/>
      <c r="E35" s="76" t="s">
        <v>104</v>
      </c>
      <c r="F35" s="90">
        <v>131740</v>
      </c>
      <c r="G35" s="90">
        <v>168473</v>
      </c>
      <c r="H35" s="90">
        <v>171405</v>
      </c>
      <c r="I35" s="90">
        <v>189000</v>
      </c>
      <c r="J35" s="90">
        <v>276180</v>
      </c>
      <c r="K35" s="90">
        <v>187923</v>
      </c>
      <c r="L35" s="76" t="s">
        <v>104</v>
      </c>
      <c r="M35" s="90">
        <f t="shared" si="119"/>
        <v>5648.6171199011123</v>
      </c>
      <c r="N35" s="90">
        <f t="shared" si="120"/>
        <v>7223.6182787391836</v>
      </c>
      <c r="O35" s="90">
        <f t="shared" si="121"/>
        <v>7349.3336681087758</v>
      </c>
      <c r="P35" s="90">
        <f t="shared" si="122"/>
        <v>8103.7546353522866</v>
      </c>
      <c r="Q35" s="90">
        <f t="shared" si="123"/>
        <v>11841.772249690976</v>
      </c>
      <c r="R35" s="90">
        <f t="shared" si="27"/>
        <v>7349.3336681087758</v>
      </c>
      <c r="S35" s="76" t="s">
        <v>104</v>
      </c>
      <c r="T35" s="90">
        <f t="shared" si="104"/>
        <v>5241.5095797280592</v>
      </c>
      <c r="U35" s="90">
        <f t="shared" si="105"/>
        <v>6702.9971415327564</v>
      </c>
      <c r="V35" s="90">
        <f t="shared" si="106"/>
        <v>6819.6519622991336</v>
      </c>
      <c r="W35" s="90">
        <f t="shared" si="107"/>
        <v>7519.7002472187878</v>
      </c>
      <c r="X35" s="90">
        <f t="shared" si="108"/>
        <v>10988.311186650186</v>
      </c>
      <c r="Y35" s="90">
        <f t="shared" si="33"/>
        <v>6819.6519622991336</v>
      </c>
      <c r="Z35" s="76" t="s">
        <v>104</v>
      </c>
      <c r="AA35" s="90">
        <f t="shared" si="84"/>
        <v>5398.7548671199011</v>
      </c>
      <c r="AB35" s="187">
        <f t="shared" si="85"/>
        <v>6904.0870557787393</v>
      </c>
      <c r="AC35" s="90">
        <f t="shared" si="86"/>
        <v>7024.2415211681073</v>
      </c>
      <c r="AD35" s="187">
        <f t="shared" si="87"/>
        <v>7745.2912546353518</v>
      </c>
      <c r="AE35" s="90">
        <f t="shared" si="88"/>
        <v>11317.960522249692</v>
      </c>
      <c r="AF35" s="187">
        <f t="shared" si="20"/>
        <v>7024.2415211681073</v>
      </c>
    </row>
    <row r="36" spans="1:32" ht="14.4" x14ac:dyDescent="0.55000000000000004">
      <c r="A36" s="373" t="s">
        <v>192</v>
      </c>
      <c r="B36" s="373" t="s">
        <v>193</v>
      </c>
      <c r="C36" s="381"/>
      <c r="D36" s="373" t="s">
        <v>194</v>
      </c>
      <c r="E36" s="77" t="s">
        <v>101</v>
      </c>
      <c r="F36" s="91">
        <v>173575</v>
      </c>
      <c r="G36" s="91">
        <v>206825</v>
      </c>
      <c r="H36" s="91">
        <v>217605</v>
      </c>
      <c r="I36" s="91">
        <v>254296</v>
      </c>
      <c r="J36" s="91">
        <v>315816</v>
      </c>
      <c r="K36" s="91">
        <v>225493</v>
      </c>
      <c r="L36" s="77" t="s">
        <v>101</v>
      </c>
      <c r="M36" s="91">
        <f t="shared" si="119"/>
        <v>7442.376776885043</v>
      </c>
      <c r="N36" s="91">
        <f t="shared" si="120"/>
        <v>8868.0373145859085</v>
      </c>
      <c r="O36" s="91">
        <f t="shared" si="121"/>
        <v>9330.2514678615571</v>
      </c>
      <c r="P36" s="91">
        <f t="shared" si="122"/>
        <v>10903.451792336216</v>
      </c>
      <c r="Q36" s="91">
        <f t="shared" si="123"/>
        <v>13541.245364647713</v>
      </c>
      <c r="R36" s="91">
        <f t="shared" si="27"/>
        <v>9330.2514678615571</v>
      </c>
      <c r="S36" s="77" t="s">
        <v>101</v>
      </c>
      <c r="T36" s="91">
        <f t="shared" si="104"/>
        <v>6905.9892614338687</v>
      </c>
      <c r="U36" s="91">
        <f t="shared" si="105"/>
        <v>8228.8994901112474</v>
      </c>
      <c r="V36" s="91">
        <f t="shared" si="106"/>
        <v>8657.8009116192825</v>
      </c>
      <c r="W36" s="91">
        <f t="shared" si="107"/>
        <v>10117.617428924597</v>
      </c>
      <c r="X36" s="91">
        <f t="shared" si="108"/>
        <v>12565.299752781209</v>
      </c>
      <c r="Y36" s="91">
        <f t="shared" si="33"/>
        <v>8657.8009116192825</v>
      </c>
      <c r="Z36" s="77" t="s">
        <v>101</v>
      </c>
      <c r="AA36" s="91">
        <f t="shared" si="84"/>
        <v>7113.1689392768849</v>
      </c>
      <c r="AB36" s="188">
        <f t="shared" si="85"/>
        <v>8475.7664748145853</v>
      </c>
      <c r="AC36" s="91">
        <f t="shared" si="86"/>
        <v>8917.5349389678613</v>
      </c>
      <c r="AD36" s="188">
        <f t="shared" si="87"/>
        <v>10421.145951792336</v>
      </c>
      <c r="AE36" s="91">
        <f t="shared" si="88"/>
        <v>12942.258745364647</v>
      </c>
      <c r="AF36" s="188">
        <f t="shared" si="20"/>
        <v>8917.5349389678613</v>
      </c>
    </row>
    <row r="37" spans="1:32" ht="14.4" x14ac:dyDescent="0.55000000000000004">
      <c r="A37" s="373"/>
      <c r="B37" s="373"/>
      <c r="C37" s="381"/>
      <c r="D37" s="373"/>
      <c r="E37" s="77" t="s">
        <v>102</v>
      </c>
      <c r="F37" s="91">
        <v>161627</v>
      </c>
      <c r="G37" s="91">
        <v>179964</v>
      </c>
      <c r="H37" s="91">
        <v>188417</v>
      </c>
      <c r="I37" s="91">
        <v>213568</v>
      </c>
      <c r="J37" s="91">
        <v>255421</v>
      </c>
      <c r="K37" s="91">
        <v>198189</v>
      </c>
      <c r="L37" s="77" t="s">
        <v>102</v>
      </c>
      <c r="M37" s="91">
        <f t="shared" si="119"/>
        <v>6930.0822775030902</v>
      </c>
      <c r="N37" s="91">
        <f t="shared" si="120"/>
        <v>7716.3179851668729</v>
      </c>
      <c r="O37" s="91">
        <f t="shared" si="121"/>
        <v>8078.7573393077864</v>
      </c>
      <c r="P37" s="91">
        <f t="shared" si="122"/>
        <v>9157.1569839307776</v>
      </c>
      <c r="Q37" s="91">
        <f t="shared" si="123"/>
        <v>10951.688427070456</v>
      </c>
      <c r="R37" s="91">
        <f t="shared" si="27"/>
        <v>8078.7573393077864</v>
      </c>
      <c r="S37" s="77" t="s">
        <v>102</v>
      </c>
      <c r="T37" s="91">
        <f t="shared" si="104"/>
        <v>6430.6168881334979</v>
      </c>
      <c r="U37" s="91">
        <f t="shared" si="105"/>
        <v>7160.1869592088997</v>
      </c>
      <c r="V37" s="91">
        <f t="shared" si="106"/>
        <v>7496.5045580964152</v>
      </c>
      <c r="W37" s="91">
        <f t="shared" si="107"/>
        <v>8497.1817058096422</v>
      </c>
      <c r="X37" s="91">
        <f t="shared" si="108"/>
        <v>10162.377549443758</v>
      </c>
      <c r="Y37" s="91">
        <f t="shared" si="33"/>
        <v>7496.5045580964152</v>
      </c>
      <c r="Z37" s="77" t="s">
        <v>102</v>
      </c>
      <c r="AA37" s="183">
        <f t="shared" si="84"/>
        <v>6623.5353947775029</v>
      </c>
      <c r="AB37" s="188">
        <f t="shared" si="85"/>
        <v>7374.9925679851667</v>
      </c>
      <c r="AC37" s="184">
        <f t="shared" si="86"/>
        <v>7721.3996948393078</v>
      </c>
      <c r="AD37" s="188">
        <f t="shared" si="87"/>
        <v>8752.0971569839312</v>
      </c>
      <c r="AE37" s="184">
        <f t="shared" si="88"/>
        <v>10467.248875927071</v>
      </c>
      <c r="AF37" s="188">
        <f t="shared" si="20"/>
        <v>7721.3996948393078</v>
      </c>
    </row>
    <row r="38" spans="1:32" ht="14.4" x14ac:dyDescent="0.55000000000000004">
      <c r="A38" s="373"/>
      <c r="B38" s="373"/>
      <c r="C38" s="381"/>
      <c r="D38" s="373"/>
      <c r="E38" s="77" t="s">
        <v>104</v>
      </c>
      <c r="F38" s="91">
        <v>129756</v>
      </c>
      <c r="G38" s="91">
        <v>146194</v>
      </c>
      <c r="H38" s="91">
        <v>163714</v>
      </c>
      <c r="I38" s="91">
        <v>186021</v>
      </c>
      <c r="J38" s="91">
        <v>249240</v>
      </c>
      <c r="K38" s="91">
        <v>170886</v>
      </c>
      <c r="L38" s="77" t="s">
        <v>104</v>
      </c>
      <c r="M38" s="91">
        <f t="shared" si="119"/>
        <v>5563.5491347342395</v>
      </c>
      <c r="N38" s="91">
        <f t="shared" si="120"/>
        <v>6268.3614029666251</v>
      </c>
      <c r="O38" s="91">
        <f t="shared" si="121"/>
        <v>7019.5665945611863</v>
      </c>
      <c r="P38" s="91">
        <f t="shared" si="122"/>
        <v>7976.0240265760194</v>
      </c>
      <c r="Q38" s="91">
        <f t="shared" si="123"/>
        <v>10686.665636588381</v>
      </c>
      <c r="R38" s="91">
        <f t="shared" si="27"/>
        <v>7019.5665945611863</v>
      </c>
      <c r="S38" s="77" t="s">
        <v>104</v>
      </c>
      <c r="T38" s="91">
        <f t="shared" si="104"/>
        <v>5162.5726205191586</v>
      </c>
      <c r="U38" s="91">
        <f t="shared" si="105"/>
        <v>5816.5876081582201</v>
      </c>
      <c r="V38" s="91">
        <f t="shared" si="106"/>
        <v>6513.6518850432631</v>
      </c>
      <c r="W38" s="91">
        <f t="shared" si="107"/>
        <v>7401.1754480840536</v>
      </c>
      <c r="X38" s="91">
        <f t="shared" si="108"/>
        <v>9916.4555006180472</v>
      </c>
      <c r="Y38" s="91">
        <f t="shared" si="33"/>
        <v>6513.6518850432631</v>
      </c>
      <c r="Z38" s="77" t="s">
        <v>104</v>
      </c>
      <c r="AA38" s="91">
        <f t="shared" si="84"/>
        <v>5317.4497991347334</v>
      </c>
      <c r="AB38" s="188">
        <f t="shared" si="85"/>
        <v>5991.085236402967</v>
      </c>
      <c r="AC38" s="91">
        <f t="shared" si="86"/>
        <v>6709.0614415945611</v>
      </c>
      <c r="AD38" s="188">
        <f t="shared" si="87"/>
        <v>7623.2107115265753</v>
      </c>
      <c r="AE38" s="91">
        <f t="shared" si="88"/>
        <v>10213.949165636588</v>
      </c>
      <c r="AF38" s="91">
        <f t="shared" si="20"/>
        <v>6709.0614415945611</v>
      </c>
    </row>
    <row r="39" spans="1:32" ht="14.4" x14ac:dyDescent="0.55000000000000004">
      <c r="F39" s="85"/>
      <c r="AA39" s="164"/>
      <c r="AB39" s="164"/>
    </row>
    <row r="40" spans="1:32" ht="14.4" x14ac:dyDescent="0.55000000000000004">
      <c r="A40" s="379" t="s">
        <v>195</v>
      </c>
      <c r="B40" s="379"/>
      <c r="C40" s="379"/>
      <c r="D40" s="379"/>
      <c r="E40" s="379"/>
      <c r="F40" s="379"/>
      <c r="G40" s="379"/>
      <c r="H40" s="379"/>
      <c r="I40" s="379"/>
      <c r="J40" s="379"/>
      <c r="K40" s="379"/>
      <c r="L40" s="129"/>
      <c r="M40" s="129"/>
      <c r="N40" s="129"/>
      <c r="O40" s="129"/>
      <c r="P40" s="129"/>
      <c r="Q40" s="129"/>
      <c r="R40" s="129"/>
    </row>
    <row r="41" spans="1:32" ht="14.4" x14ac:dyDescent="0.55000000000000004">
      <c r="A41" s="58"/>
    </row>
  </sheetData>
  <mergeCells count="47">
    <mergeCell ref="A40:K40"/>
    <mergeCell ref="S1:Y1"/>
    <mergeCell ref="A15:A17"/>
    <mergeCell ref="B15:B17"/>
    <mergeCell ref="C15:C17"/>
    <mergeCell ref="A3:A5"/>
    <mergeCell ref="B3:B5"/>
    <mergeCell ref="C3:C8"/>
    <mergeCell ref="B6:B8"/>
    <mergeCell ref="A6:A8"/>
    <mergeCell ref="C9:C14"/>
    <mergeCell ref="A12:A14"/>
    <mergeCell ref="B12:B14"/>
    <mergeCell ref="A9:A11"/>
    <mergeCell ref="B9:B11"/>
    <mergeCell ref="A21:A23"/>
    <mergeCell ref="B21:B23"/>
    <mergeCell ref="C18:C23"/>
    <mergeCell ref="A24:A26"/>
    <mergeCell ref="B24:B26"/>
    <mergeCell ref="A18:A20"/>
    <mergeCell ref="B18:B20"/>
    <mergeCell ref="A27:A29"/>
    <mergeCell ref="B27:B29"/>
    <mergeCell ref="C24:C29"/>
    <mergeCell ref="A33:A35"/>
    <mergeCell ref="B33:B35"/>
    <mergeCell ref="A36:A38"/>
    <mergeCell ref="B36:B38"/>
    <mergeCell ref="A30:A32"/>
    <mergeCell ref="B30:B32"/>
    <mergeCell ref="C30:C38"/>
    <mergeCell ref="Z1:AF1"/>
    <mergeCell ref="L1:R1"/>
    <mergeCell ref="D30:D32"/>
    <mergeCell ref="D33:D35"/>
    <mergeCell ref="D36:D38"/>
    <mergeCell ref="D3:D5"/>
    <mergeCell ref="D6:D8"/>
    <mergeCell ref="D9:D11"/>
    <mergeCell ref="D12:D14"/>
    <mergeCell ref="D15:D17"/>
    <mergeCell ref="E1:K1"/>
    <mergeCell ref="D18:D20"/>
    <mergeCell ref="D21:D23"/>
    <mergeCell ref="D24:D26"/>
    <mergeCell ref="D27:D29"/>
  </mergeCells>
  <hyperlinks>
    <hyperlink ref="AG2" r:id="rId1" xr:uid="{FC943AB6-2DA9-4BCF-B69B-A69091D5641A}"/>
    <hyperlink ref="AG4" r:id="rId2" xr:uid="{88CA1404-7707-497C-9CB7-18750B23978E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F3118-4A91-4611-A365-794DDE10110B}">
  <dimension ref="A1:L13"/>
  <sheetViews>
    <sheetView workbookViewId="0">
      <selection activeCell="B5" sqref="B5"/>
    </sheetView>
  </sheetViews>
  <sheetFormatPr defaultRowHeight="14.4" x14ac:dyDescent="0.55000000000000004"/>
  <cols>
    <col min="2" max="2" width="37.41796875" customWidth="1"/>
    <col min="3" max="3" width="44" customWidth="1"/>
    <col min="4" max="4" width="14.68359375" bestFit="1" customWidth="1"/>
    <col min="5" max="5" width="14.68359375" customWidth="1"/>
    <col min="6" max="6" width="14.68359375" bestFit="1" customWidth="1"/>
    <col min="7" max="7" width="14.68359375" customWidth="1"/>
    <col min="8" max="8" width="14.68359375" bestFit="1" customWidth="1"/>
    <col min="9" max="9" width="15.26171875" customWidth="1"/>
  </cols>
  <sheetData>
    <row r="1" spans="1:12" x14ac:dyDescent="0.55000000000000004">
      <c r="B1" s="96" t="s">
        <v>285</v>
      </c>
      <c r="C1" s="96" t="s">
        <v>286</v>
      </c>
      <c r="D1" s="395" t="s">
        <v>287</v>
      </c>
      <c r="E1" s="395"/>
      <c r="F1" s="395" t="s">
        <v>288</v>
      </c>
      <c r="G1" s="395"/>
      <c r="H1" s="395" t="s">
        <v>289</v>
      </c>
      <c r="I1" s="395"/>
    </row>
    <row r="2" spans="1:12" x14ac:dyDescent="0.55000000000000004">
      <c r="A2" s="194">
        <v>1</v>
      </c>
      <c r="B2" s="196" t="s">
        <v>290</v>
      </c>
      <c r="C2" s="58" t="s">
        <v>291</v>
      </c>
      <c r="D2" s="195">
        <v>10891</v>
      </c>
      <c r="E2" s="197">
        <f>(D2/TRM!$I$9)*12</f>
        <v>5048.3621755253398</v>
      </c>
      <c r="F2" s="195">
        <v>14718</v>
      </c>
      <c r="G2" s="197">
        <f>(F2/TRM!$I$9)*12</f>
        <v>6822.3114956736717</v>
      </c>
      <c r="H2" s="195">
        <v>18545</v>
      </c>
      <c r="I2" s="197">
        <f>(H2/TRM!$I$9)*12</f>
        <v>8596.2608158220009</v>
      </c>
      <c r="K2" s="206">
        <f>+E2/G2</f>
        <v>0.73997825791547756</v>
      </c>
      <c r="L2" s="206">
        <f>+G2/I2</f>
        <v>0.79363709894850387</v>
      </c>
    </row>
    <row r="3" spans="1:12" x14ac:dyDescent="0.55000000000000004">
      <c r="A3" s="194">
        <v>2</v>
      </c>
      <c r="B3" s="196" t="s">
        <v>292</v>
      </c>
      <c r="C3" s="58" t="s">
        <v>293</v>
      </c>
      <c r="D3" s="195">
        <v>13070</v>
      </c>
      <c r="E3" s="197">
        <f>(D3/TRM!$I$9)*12</f>
        <v>6058.40543881335</v>
      </c>
      <c r="F3" s="195">
        <v>17662</v>
      </c>
      <c r="G3" s="197">
        <f>(F3/TRM!$I$9)*12</f>
        <v>8186.9592088998752</v>
      </c>
      <c r="H3" s="195">
        <v>22254</v>
      </c>
      <c r="I3" s="197">
        <f>(H3/TRM!$I$9)*12</f>
        <v>10315.512978986402</v>
      </c>
    </row>
    <row r="4" spans="1:12" x14ac:dyDescent="0.55000000000000004">
      <c r="A4" s="194">
        <v>3</v>
      </c>
      <c r="B4" s="196" t="s">
        <v>294</v>
      </c>
      <c r="C4" s="58" t="s">
        <v>295</v>
      </c>
      <c r="D4" s="195">
        <v>15684</v>
      </c>
      <c r="E4" s="197">
        <f>(D4/TRM!$I$9)*12</f>
        <v>7270.0865265760194</v>
      </c>
      <c r="F4" s="195">
        <v>21195</v>
      </c>
      <c r="G4" s="197">
        <f>(F4/TRM!$I$9)*12</f>
        <v>9824.6291718170578</v>
      </c>
      <c r="H4" s="195">
        <v>26705</v>
      </c>
      <c r="I4" s="197">
        <f>(H4/TRM!$I$9)*12</f>
        <v>12378.708281829418</v>
      </c>
    </row>
    <row r="5" spans="1:12" ht="28.8" x14ac:dyDescent="0.55000000000000004">
      <c r="A5" s="194">
        <v>4</v>
      </c>
      <c r="B5" s="196" t="s">
        <v>296</v>
      </c>
      <c r="C5" s="58" t="s">
        <v>297</v>
      </c>
      <c r="D5" s="195">
        <v>18821</v>
      </c>
      <c r="E5" s="197">
        <f>(D5/TRM!$I$9)*12</f>
        <v>8724.1965389369579</v>
      </c>
      <c r="F5" s="195">
        <v>25434</v>
      </c>
      <c r="G5" s="197">
        <f>(F5/TRM!$I$9)*12</f>
        <v>11789.555006180468</v>
      </c>
      <c r="H5" s="195">
        <v>32047</v>
      </c>
      <c r="I5" s="197">
        <f>(H5/TRM!$I$9)*12</f>
        <v>14854.913473423981</v>
      </c>
    </row>
    <row r="6" spans="1:12" ht="28.8" x14ac:dyDescent="0.55000000000000004">
      <c r="A6" s="194">
        <v>5</v>
      </c>
      <c r="B6" s="196" t="s">
        <v>298</v>
      </c>
      <c r="C6" s="58" t="s">
        <v>299</v>
      </c>
      <c r="D6" s="195">
        <v>22585</v>
      </c>
      <c r="E6" s="197">
        <f>(D6/TRM!$I$9)*12</f>
        <v>10468.943139678615</v>
      </c>
      <c r="F6" s="195">
        <v>30521</v>
      </c>
      <c r="G6" s="197">
        <f>(F6/TRM!$I$9)*12</f>
        <v>14147.558714462299</v>
      </c>
      <c r="H6" s="195">
        <v>38456</v>
      </c>
      <c r="I6" s="197">
        <f>(H6/TRM!$I$9)*12</f>
        <v>17825.710754017302</v>
      </c>
    </row>
    <row r="7" spans="1:12" ht="43.2" x14ac:dyDescent="0.55000000000000004">
      <c r="A7" s="194">
        <v>6</v>
      </c>
      <c r="B7" s="196" t="s">
        <v>300</v>
      </c>
      <c r="C7" s="58" t="s">
        <v>301</v>
      </c>
      <c r="D7" s="195">
        <v>27102</v>
      </c>
      <c r="E7" s="197">
        <f>(D7/TRM!$I$9)*12</f>
        <v>12562.731767614339</v>
      </c>
      <c r="F7" s="195">
        <v>36625</v>
      </c>
      <c r="G7" s="197">
        <f>(F7/TRM!$I$9)*12</f>
        <v>16976.977750309023</v>
      </c>
      <c r="H7" s="195">
        <v>46147</v>
      </c>
      <c r="I7" s="197">
        <f>(H7/TRM!$I$9)*12</f>
        <v>21390.760197775031</v>
      </c>
    </row>
    <row r="8" spans="1:12" ht="43.2" x14ac:dyDescent="0.55000000000000004">
      <c r="A8" s="194">
        <v>7</v>
      </c>
      <c r="B8" s="196" t="s">
        <v>302</v>
      </c>
      <c r="C8" s="58" t="s">
        <v>303</v>
      </c>
      <c r="D8" s="195">
        <v>33878</v>
      </c>
      <c r="E8" s="197">
        <f>(D8/TRM!$I$9)*12</f>
        <v>15703.646477132261</v>
      </c>
      <c r="F8" s="195">
        <v>45781</v>
      </c>
      <c r="G8" s="197">
        <f>(F8/TRM!$I$9)*12</f>
        <v>21221.106304079109</v>
      </c>
      <c r="H8" s="195">
        <v>57684</v>
      </c>
      <c r="I8" s="197">
        <f>(H8/TRM!$I$9)*12</f>
        <v>26738.56613102596</v>
      </c>
    </row>
    <row r="9" spans="1:12" ht="43.2" x14ac:dyDescent="0.55000000000000004">
      <c r="A9" s="194">
        <v>8</v>
      </c>
      <c r="B9" s="196" t="s">
        <v>304</v>
      </c>
      <c r="C9" s="58" t="s">
        <v>305</v>
      </c>
      <c r="D9" s="195">
        <v>42347</v>
      </c>
      <c r="E9" s="197">
        <f>(D9/TRM!$I$9)*12</f>
        <v>19629.326328800988</v>
      </c>
      <c r="F9" s="195">
        <v>57226</v>
      </c>
      <c r="G9" s="197">
        <f>(F9/TRM!$I$9)*12</f>
        <v>26526.266996291717</v>
      </c>
      <c r="H9" s="195">
        <v>72105</v>
      </c>
      <c r="I9" s="197">
        <f>(H9/TRM!$I$9)*12</f>
        <v>33423.20766378245</v>
      </c>
    </row>
    <row r="10" spans="1:12" ht="72" x14ac:dyDescent="0.55000000000000004">
      <c r="A10" s="194">
        <v>9</v>
      </c>
      <c r="B10" s="196" t="s">
        <v>306</v>
      </c>
      <c r="C10" s="58" t="s">
        <v>307</v>
      </c>
      <c r="D10" s="195">
        <v>52934</v>
      </c>
      <c r="E10" s="197">
        <f>(D10/TRM!$I$9)*12</f>
        <v>24536.773794808403</v>
      </c>
      <c r="F10" s="195">
        <v>71533</v>
      </c>
      <c r="G10" s="197">
        <f>(F10/TRM!$I$9)*12</f>
        <v>33158.065512978981</v>
      </c>
      <c r="H10" s="195">
        <v>90132</v>
      </c>
      <c r="I10" s="197">
        <f>(H10/TRM!$I$9)*12</f>
        <v>41779.357231149566</v>
      </c>
    </row>
    <row r="11" spans="1:12" ht="28.8" x14ac:dyDescent="0.55000000000000004">
      <c r="A11" s="194">
        <v>10</v>
      </c>
      <c r="B11" s="196" t="s">
        <v>308</v>
      </c>
      <c r="C11" s="58" t="s">
        <v>309</v>
      </c>
      <c r="D11" s="195">
        <v>66168</v>
      </c>
      <c r="E11" s="197">
        <f>(D11/TRM!$I$9)*12</f>
        <v>30671.199011124845</v>
      </c>
      <c r="F11" s="195">
        <v>89417</v>
      </c>
      <c r="G11" s="197">
        <f>(F11/TRM!$I$9)*12</f>
        <v>41447.929542645237</v>
      </c>
      <c r="H11" s="195">
        <v>112665</v>
      </c>
      <c r="I11" s="197">
        <f>(H11/TRM!$I$9)*12</f>
        <v>52224.196538936958</v>
      </c>
    </row>
    <row r="12" spans="1:12" ht="28.8" x14ac:dyDescent="0.55000000000000004">
      <c r="A12" s="194">
        <v>11</v>
      </c>
      <c r="B12" s="196" t="s">
        <v>310</v>
      </c>
      <c r="C12" s="58" t="s">
        <v>311</v>
      </c>
      <c r="D12" s="195">
        <v>86019</v>
      </c>
      <c r="E12" s="197">
        <f>(D12/TRM!$I$9)*12</f>
        <v>39872.836835599504</v>
      </c>
      <c r="F12" s="195">
        <v>116242</v>
      </c>
      <c r="G12" s="197">
        <f>(F12/TRM!$I$9)*12</f>
        <v>53882.262051915939</v>
      </c>
      <c r="H12" s="195">
        <v>146465</v>
      </c>
      <c r="I12" s="197">
        <f>(H12/TRM!$I$9)*12</f>
        <v>67891.687268232374</v>
      </c>
    </row>
    <row r="13" spans="1:12" ht="28.8" x14ac:dyDescent="0.55000000000000004">
      <c r="A13" s="194">
        <v>12</v>
      </c>
      <c r="B13" s="196" t="s">
        <v>312</v>
      </c>
      <c r="C13" s="58" t="s">
        <v>313</v>
      </c>
      <c r="D13" s="195">
        <v>111825</v>
      </c>
      <c r="E13" s="197">
        <f>(D13/TRM!$I$9)*12</f>
        <v>51834.826946847956</v>
      </c>
      <c r="F13" s="195">
        <v>151114</v>
      </c>
      <c r="G13" s="197">
        <f>(F13/TRM!$I$9)*12</f>
        <v>70046.662546353517</v>
      </c>
      <c r="H13" s="195">
        <v>190404</v>
      </c>
      <c r="I13" s="197">
        <f>(H13/TRM!$I$9)*12</f>
        <v>88258.961681087763</v>
      </c>
    </row>
  </sheetData>
  <mergeCells count="3">
    <mergeCell ref="D1:E1"/>
    <mergeCell ref="F1:G1"/>
    <mergeCell ref="H1: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01695-240E-4D68-A641-DF222884C228}">
  <dimension ref="A1:I12"/>
  <sheetViews>
    <sheetView workbookViewId="0">
      <selection activeCell="D2" sqref="D2"/>
    </sheetView>
  </sheetViews>
  <sheetFormatPr defaultRowHeight="14.4" x14ac:dyDescent="0.55000000000000004"/>
  <cols>
    <col min="1" max="1" width="36.578125" bestFit="1" customWidth="1"/>
    <col min="2" max="2" width="3.41796875" bestFit="1" customWidth="1"/>
    <col min="3" max="9" width="18.83984375" customWidth="1"/>
  </cols>
  <sheetData>
    <row r="1" spans="1:9" x14ac:dyDescent="0.55000000000000004">
      <c r="C1" s="395" t="s">
        <v>287</v>
      </c>
      <c r="D1" s="395"/>
      <c r="E1" s="395" t="s">
        <v>288</v>
      </c>
      <c r="F1" s="395"/>
      <c r="G1" s="395"/>
      <c r="H1" s="395" t="s">
        <v>289</v>
      </c>
      <c r="I1" s="395"/>
    </row>
    <row r="2" spans="1:9" ht="19.5" customHeight="1" x14ac:dyDescent="0.55000000000000004">
      <c r="A2" s="213" t="s">
        <v>314</v>
      </c>
      <c r="B2" s="211" t="s">
        <v>21</v>
      </c>
      <c r="C2" s="195">
        <f>+(50580+41480)/2</f>
        <v>46030</v>
      </c>
      <c r="D2" s="197">
        <f>(C2/TRM!$I$9)</f>
        <v>1778.0438813349813</v>
      </c>
      <c r="E2" s="195">
        <f>+(106780+94800)/2</f>
        <v>100790</v>
      </c>
      <c r="F2" s="195">
        <f>+E2/12</f>
        <v>8399.1666666666661</v>
      </c>
      <c r="G2" s="197">
        <f>(E2/TRM!$I$9)</f>
        <v>3893.3096415327564</v>
      </c>
      <c r="H2" s="214">
        <f>+(169000+150000)/2</f>
        <v>159500</v>
      </c>
      <c r="I2" s="197">
        <f>(H2/TRM!$I$9)</f>
        <v>6161.155747836835</v>
      </c>
    </row>
    <row r="3" spans="1:9" ht="19.5" customHeight="1" x14ac:dyDescent="0.55000000000000004">
      <c r="A3" s="213" t="s">
        <v>293</v>
      </c>
      <c r="B3" s="211" t="s">
        <v>29</v>
      </c>
      <c r="C3" s="195">
        <v>53120</v>
      </c>
      <c r="D3" s="197">
        <f>(C3/TRM!$I$9)</f>
        <v>2051.9159456118664</v>
      </c>
      <c r="E3" s="195">
        <v>103580</v>
      </c>
      <c r="F3" s="195">
        <f t="shared" ref="F3:F11" si="0">+E3/12</f>
        <v>8631.6666666666661</v>
      </c>
      <c r="G3" s="197">
        <f>(E3/TRM!$I$9)</f>
        <v>4001.0815822002469</v>
      </c>
      <c r="H3" s="195">
        <v>163800</v>
      </c>
      <c r="I3" s="197">
        <f>(H3/TRM!$I$9)</f>
        <v>6327.2558714462293</v>
      </c>
    </row>
    <row r="4" spans="1:9" ht="19.5" customHeight="1" x14ac:dyDescent="0.55000000000000004">
      <c r="A4" s="213" t="s">
        <v>315</v>
      </c>
      <c r="B4" s="211" t="s">
        <v>34</v>
      </c>
      <c r="C4" s="195">
        <f>+(76570+91560)/2</f>
        <v>84065</v>
      </c>
      <c r="D4" s="197">
        <f>(C4/TRM!$I$9)</f>
        <v>3247.2574165636588</v>
      </c>
      <c r="E4" s="195">
        <f>+(163800+196800)/2</f>
        <v>180300</v>
      </c>
      <c r="F4" s="195">
        <f t="shared" si="0"/>
        <v>15025</v>
      </c>
      <c r="G4" s="197">
        <f>(E4/TRM!$I$9)</f>
        <v>6964.6168108776264</v>
      </c>
      <c r="H4" s="195">
        <f>+(263200+308300)/2</f>
        <v>285750</v>
      </c>
      <c r="I4" s="197">
        <f>(H4/TRM!$I$9)</f>
        <v>11037.932632880098</v>
      </c>
    </row>
    <row r="5" spans="1:9" ht="19.5" customHeight="1" x14ac:dyDescent="0.55000000000000004">
      <c r="A5" s="213" t="s">
        <v>316</v>
      </c>
      <c r="B5" s="211" t="s">
        <v>21</v>
      </c>
      <c r="C5" s="195">
        <f>+(87060+95760)/2</f>
        <v>91410</v>
      </c>
      <c r="D5" s="197">
        <f>(C5/TRM!$I$9)</f>
        <v>3530.9796044499381</v>
      </c>
      <c r="E5" s="195">
        <f>+(180300+205700)/2</f>
        <v>193000</v>
      </c>
      <c r="F5" s="195">
        <f t="shared" si="0"/>
        <v>16083.333333333334</v>
      </c>
      <c r="G5" s="197">
        <f>(E5/TRM!$I$9)</f>
        <v>7455.1915945611863</v>
      </c>
      <c r="H5" s="195">
        <f>+(279400+325600)/2</f>
        <v>302500</v>
      </c>
      <c r="I5" s="197">
        <f>(H5/TRM!$I$9)</f>
        <v>11684.950556242273</v>
      </c>
    </row>
    <row r="6" spans="1:9" ht="19.5" customHeight="1" x14ac:dyDescent="0.55000000000000004">
      <c r="A6" s="213" t="s">
        <v>317</v>
      </c>
      <c r="B6" s="211" t="s">
        <v>29</v>
      </c>
      <c r="C6" s="195">
        <f>(99220+109720+110500)/3</f>
        <v>106480</v>
      </c>
      <c r="D6" s="197">
        <f>(C6/TRM!$I$9)</f>
        <v>4113.1025957972806</v>
      </c>
      <c r="E6" s="195">
        <f>+(207800+210500+214000)/3</f>
        <v>210766.66666666666</v>
      </c>
      <c r="F6" s="195">
        <f t="shared" si="0"/>
        <v>17563.888888888887</v>
      </c>
      <c r="G6" s="197">
        <f>(E6/TRM!$I$9)</f>
        <v>8141.481252575195</v>
      </c>
      <c r="H6" s="195">
        <f>+(320500+325600+327300)/3</f>
        <v>324466.66666666669</v>
      </c>
      <c r="I6" s="197">
        <f>(H6/TRM!$I$9)</f>
        <v>12533.477544293366</v>
      </c>
    </row>
    <row r="7" spans="1:9" ht="19.5" customHeight="1" x14ac:dyDescent="0.55000000000000004">
      <c r="A7" s="213" t="s">
        <v>318</v>
      </c>
      <c r="B7" s="211" t="s">
        <v>21</v>
      </c>
      <c r="C7" s="195">
        <f>+(143200+117860)/2</f>
        <v>130530</v>
      </c>
      <c r="D7" s="197">
        <f>(C6/TRM!$I$9)</f>
        <v>4113.1025957972806</v>
      </c>
      <c r="E7" s="195">
        <f>+(311700+243000)/2</f>
        <v>277350</v>
      </c>
      <c r="F7" s="195">
        <f t="shared" si="0"/>
        <v>23112.5</v>
      </c>
      <c r="G7" s="197">
        <f>(E6/TRM!$I$9)</f>
        <v>8141.481252575195</v>
      </c>
      <c r="H7" s="195">
        <f>+(496100+378800)/2</f>
        <v>437450</v>
      </c>
      <c r="I7" s="197">
        <f>(H7/TRM!$I$9)</f>
        <v>16897.790482076638</v>
      </c>
    </row>
    <row r="8" spans="1:9" ht="19.5" customHeight="1" x14ac:dyDescent="0.55000000000000004">
      <c r="A8" s="213" t="s">
        <v>319</v>
      </c>
      <c r="B8" s="211" t="s">
        <v>29</v>
      </c>
      <c r="C8" s="195">
        <f>+(167100+136200+150000)/3</f>
        <v>151100</v>
      </c>
      <c r="D8" s="197">
        <f>(C8/TRM!$I$9)</f>
        <v>5836.6810877626694</v>
      </c>
      <c r="E8" s="195">
        <f>+(325800+275800+283700)/3</f>
        <v>295100</v>
      </c>
      <c r="F8" s="195">
        <f t="shared" si="0"/>
        <v>24591.666666666668</v>
      </c>
      <c r="G8" s="197">
        <f>(E8/TRM!$I$9)</f>
        <v>11399.103831891223</v>
      </c>
      <c r="H8" s="195">
        <f>+(496100+430000+433800)/3</f>
        <v>453300</v>
      </c>
      <c r="I8" s="197">
        <f>(H8/TRM!$I$9)</f>
        <v>17510.043263288007</v>
      </c>
    </row>
    <row r="9" spans="1:9" ht="19.5" customHeight="1" x14ac:dyDescent="0.55000000000000004">
      <c r="A9" s="213" t="s">
        <v>320</v>
      </c>
      <c r="B9" s="211" t="s">
        <v>34</v>
      </c>
      <c r="C9" s="195">
        <v>212500</v>
      </c>
      <c r="D9" s="197">
        <f>(C9/TRM!$I$9)</f>
        <v>8208.436341161927</v>
      </c>
      <c r="E9" s="195">
        <v>464400</v>
      </c>
      <c r="F9" s="195">
        <f t="shared" si="0"/>
        <v>38700</v>
      </c>
      <c r="G9" s="197">
        <f>(E9/TRM!$I$9)</f>
        <v>17938.813349814583</v>
      </c>
      <c r="H9" s="195">
        <v>735200</v>
      </c>
      <c r="I9" s="197">
        <f>(H9/TRM!$I$9)</f>
        <v>28399.258343634116</v>
      </c>
    </row>
    <row r="10" spans="1:9" ht="19.5" customHeight="1" x14ac:dyDescent="0.55000000000000004">
      <c r="A10" s="212" t="s">
        <v>321</v>
      </c>
      <c r="B10" s="211" t="s">
        <v>21</v>
      </c>
      <c r="C10" s="195">
        <f>(294700+272800)/2</f>
        <v>283750</v>
      </c>
      <c r="D10" s="197">
        <f>(C10/TRM!$I$9)</f>
        <v>10960.676761433868</v>
      </c>
      <c r="E10" s="195">
        <f>(643400+590200)/2</f>
        <v>616800</v>
      </c>
      <c r="F10" s="195">
        <f t="shared" si="0"/>
        <v>51400</v>
      </c>
      <c r="G10" s="197">
        <f>(E10/TRM!$I$9)</f>
        <v>23825.710754017306</v>
      </c>
      <c r="H10" s="195">
        <f>(1021800+939000)/2</f>
        <v>980400</v>
      </c>
      <c r="I10" s="197">
        <f>(H10/TRM!$I$9)</f>
        <v>37870.828182941899</v>
      </c>
    </row>
    <row r="11" spans="1:9" x14ac:dyDescent="0.55000000000000004">
      <c r="A11" s="212" t="s">
        <v>60</v>
      </c>
      <c r="B11" s="211" t="s">
        <v>29</v>
      </c>
      <c r="C11" s="195">
        <f>361600</f>
        <v>361600</v>
      </c>
      <c r="D11" s="197">
        <f>(C11/TRM!$I$9)</f>
        <v>13967.861557478367</v>
      </c>
      <c r="E11" s="195">
        <f>693100</f>
        <v>693100</v>
      </c>
      <c r="F11" s="195">
        <f t="shared" si="0"/>
        <v>57758.333333333336</v>
      </c>
      <c r="G11" s="197">
        <f>(E11/TRM!$I$9)</f>
        <v>26773.022249690974</v>
      </c>
      <c r="H11" s="195">
        <f>1057700</f>
        <v>1057700</v>
      </c>
      <c r="I11" s="197">
        <f>(H11/TRM!$I$9)</f>
        <v>40856.767614338685</v>
      </c>
    </row>
    <row r="12" spans="1:9" x14ac:dyDescent="0.55000000000000004">
      <c r="C12" s="85"/>
      <c r="E12" s="85"/>
      <c r="F12" s="85"/>
    </row>
  </sheetData>
  <mergeCells count="3">
    <mergeCell ref="C1:D1"/>
    <mergeCell ref="E1:G1"/>
    <mergeCell ref="H1:I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5DA73-4C4D-4796-A6B1-B19FDF194DE5}">
  <dimension ref="I9"/>
  <sheetViews>
    <sheetView workbookViewId="0">
      <selection activeCell="J14" sqref="J14"/>
    </sheetView>
  </sheetViews>
  <sheetFormatPr defaultRowHeight="14.4" x14ac:dyDescent="0.55000000000000004"/>
  <sheetData>
    <row r="9" spans="9:9" x14ac:dyDescent="0.55000000000000004">
      <c r="I9" s="84">
        <v>25.888000000000002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204B0-063B-4572-8C30-2F0FBDAABEE1}">
  <dimension ref="A1:BH39"/>
  <sheetViews>
    <sheetView topLeftCell="C3" zoomScale="85" zoomScaleNormal="85" workbookViewId="0">
      <selection activeCell="I6" sqref="I6"/>
    </sheetView>
  </sheetViews>
  <sheetFormatPr defaultColWidth="9.15625" defaultRowHeight="15" customHeight="1" outlineLevelRow="1" outlineLevelCol="2" x14ac:dyDescent="0.55000000000000004"/>
  <cols>
    <col min="1" max="1" width="3.83984375" hidden="1" customWidth="1"/>
    <col min="2" max="2" width="23" hidden="1" customWidth="1" outlineLevel="1"/>
    <col min="3" max="3" width="28.26171875" customWidth="1" collapsed="1"/>
    <col min="4" max="4" width="10.41796875" style="2" bestFit="1" customWidth="1"/>
    <col min="5" max="5" width="9.578125" customWidth="1"/>
    <col min="6" max="6" width="5.83984375" customWidth="1" outlineLevel="1"/>
    <col min="7" max="7" width="32.15625" customWidth="1"/>
    <col min="8" max="8" width="22" customWidth="1" outlineLevel="2"/>
    <col min="9" max="9" width="22" style="130" customWidth="1" outlineLevel="2"/>
    <col min="10" max="10" width="22" customWidth="1" outlineLevel="2"/>
    <col min="11" max="11" width="22" style="130" customWidth="1" outlineLevel="2"/>
    <col min="12" max="12" width="22" customWidth="1" outlineLevel="2"/>
    <col min="13" max="13" width="22" style="130" customWidth="1" outlineLevel="2"/>
    <col min="14" max="14" width="5.26171875" customWidth="1"/>
    <col min="15" max="15" width="11.26171875" customWidth="1"/>
    <col min="16" max="16" width="4.15625" customWidth="1"/>
    <col min="17" max="17" width="6.83984375" customWidth="1" outlineLevel="1"/>
    <col min="18" max="18" width="3.68359375" customWidth="1" outlineLevel="1"/>
    <col min="19" max="19" width="15.68359375" customWidth="1" outlineLevel="1"/>
    <col min="20" max="20" width="8.68359375" customWidth="1" outlineLevel="1"/>
    <col min="21" max="21" width="4.15625" customWidth="1" outlineLevel="1"/>
    <col min="22" max="22" width="15.68359375" customWidth="1" outlineLevel="1"/>
    <col min="23" max="23" width="8.68359375" customWidth="1" outlineLevel="1"/>
    <col min="24" max="24" width="4.83984375" customWidth="1" outlineLevel="1"/>
    <col min="25" max="25" width="10.41796875" customWidth="1" outlineLevel="1"/>
    <col min="26" max="50" width="8.68359375" customWidth="1"/>
    <col min="51" max="51" width="9.578125" customWidth="1"/>
    <col min="52" max="53" width="10.41796875" customWidth="1"/>
    <col min="54" max="58" width="8.68359375" customWidth="1"/>
    <col min="59" max="59" width="11.578125" customWidth="1"/>
    <col min="62" max="64" width="8.68359375" bestFit="1" customWidth="1"/>
  </cols>
  <sheetData>
    <row r="1" spans="2:60" ht="14.7" hidden="1" thickBot="1" x14ac:dyDescent="0.6">
      <c r="J1" s="3" t="s">
        <v>0</v>
      </c>
      <c r="K1" s="145"/>
      <c r="L1" s="4">
        <f>1.05*1*1.03*1*1.03</f>
        <v>1.1139450000000002</v>
      </c>
    </row>
    <row r="2" spans="2:60" ht="14.7" hidden="1" thickBot="1" x14ac:dyDescent="0.6">
      <c r="L2" s="18"/>
      <c r="M2" s="156"/>
      <c r="S2" s="309" t="s">
        <v>1</v>
      </c>
      <c r="T2" s="309"/>
      <c r="U2" s="309"/>
      <c r="V2" s="309"/>
      <c r="W2" s="309"/>
    </row>
    <row r="3" spans="2:60" ht="21" customHeight="1" thickBot="1" x14ac:dyDescent="0.6">
      <c r="C3" s="285" t="s">
        <v>2</v>
      </c>
      <c r="D3" s="286"/>
      <c r="E3" s="286"/>
      <c r="F3" s="286"/>
      <c r="G3" s="286"/>
      <c r="H3" s="286"/>
      <c r="I3" s="286"/>
      <c r="J3" s="286"/>
      <c r="K3" s="286"/>
      <c r="L3" s="286"/>
      <c r="M3" s="287"/>
      <c r="T3" s="13" t="s">
        <v>3</v>
      </c>
      <c r="W3" s="13" t="s">
        <v>3</v>
      </c>
      <c r="Y3" t="s">
        <v>4</v>
      </c>
      <c r="BG3" s="55"/>
    </row>
    <row r="4" spans="2:60" ht="16.2" thickBot="1" x14ac:dyDescent="0.6">
      <c r="C4" s="328" t="s">
        <v>5</v>
      </c>
      <c r="D4" s="329"/>
      <c r="E4" s="329"/>
      <c r="F4" s="329"/>
      <c r="G4" s="330" t="s">
        <v>6</v>
      </c>
      <c r="H4" s="330" t="s">
        <v>7</v>
      </c>
      <c r="I4" s="291" t="s">
        <v>8</v>
      </c>
      <c r="J4" s="330" t="s">
        <v>9</v>
      </c>
      <c r="K4" s="291" t="s">
        <v>10</v>
      </c>
      <c r="L4" s="330" t="s">
        <v>11</v>
      </c>
      <c r="M4" s="291" t="s">
        <v>12</v>
      </c>
      <c r="T4" s="13"/>
      <c r="W4" s="13"/>
      <c r="AX4">
        <v>37440</v>
      </c>
      <c r="BG4" s="324"/>
    </row>
    <row r="5" spans="2:60" ht="15.3" thickBot="1" x14ac:dyDescent="0.6">
      <c r="C5" s="15" t="s">
        <v>13</v>
      </c>
      <c r="D5" s="9"/>
      <c r="E5" s="14" t="s">
        <v>14</v>
      </c>
      <c r="F5" s="16" t="s">
        <v>15</v>
      </c>
      <c r="G5" s="331"/>
      <c r="H5" s="330"/>
      <c r="I5" s="291"/>
      <c r="J5" s="330"/>
      <c r="K5" s="291"/>
      <c r="L5" s="331"/>
      <c r="M5" s="292"/>
      <c r="T5" s="13" t="s">
        <v>16</v>
      </c>
      <c r="W5" s="13" t="s">
        <v>16</v>
      </c>
      <c r="Y5" s="8" t="s">
        <v>17</v>
      </c>
      <c r="AX5" s="5">
        <f>AX4/H6</f>
        <v>5.093877551020408</v>
      </c>
      <c r="BG5" s="324"/>
    </row>
    <row r="6" spans="2:60" ht="44.25" customHeight="1" outlineLevel="1" x14ac:dyDescent="0.55000000000000004">
      <c r="B6" s="12" t="s">
        <v>18</v>
      </c>
      <c r="C6" s="128" t="s">
        <v>19</v>
      </c>
      <c r="D6" s="302" t="s">
        <v>20</v>
      </c>
      <c r="E6" s="298" t="s">
        <v>21</v>
      </c>
      <c r="F6" s="293">
        <v>0</v>
      </c>
      <c r="G6" s="313" t="s">
        <v>22</v>
      </c>
      <c r="H6" s="1">
        <v>7350</v>
      </c>
      <c r="I6" s="131">
        <f>H6*TRM!$I$9</f>
        <v>190276.80000000002</v>
      </c>
      <c r="J6" s="21">
        <v>10240</v>
      </c>
      <c r="K6" s="134">
        <f>J6*TRM!$I$9</f>
        <v>265093.12</v>
      </c>
      <c r="L6" s="103">
        <v>11920</v>
      </c>
      <c r="M6" s="134">
        <f>L6*TRM!$I$9</f>
        <v>308584.96000000002</v>
      </c>
      <c r="O6" s="17">
        <f>(L10-H6)/6</f>
        <v>1001.6666666666666</v>
      </c>
      <c r="S6" s="5">
        <f>H6*1.05</f>
        <v>7717.5</v>
      </c>
      <c r="T6">
        <v>1</v>
      </c>
      <c r="V6" s="5">
        <f>S11*1.05</f>
        <v>10342.188106523441</v>
      </c>
      <c r="W6">
        <v>7</v>
      </c>
      <c r="Y6" s="8" t="s">
        <v>23</v>
      </c>
      <c r="BG6" s="20"/>
    </row>
    <row r="7" spans="2:60" ht="37.5" customHeight="1" outlineLevel="1" thickBot="1" x14ac:dyDescent="0.6">
      <c r="B7" s="300" t="s">
        <v>24</v>
      </c>
      <c r="C7" s="305" t="s">
        <v>322</v>
      </c>
      <c r="D7" s="303"/>
      <c r="E7" s="257"/>
      <c r="F7" s="294"/>
      <c r="G7" s="325"/>
      <c r="H7" s="334" t="s">
        <v>26</v>
      </c>
      <c r="I7" s="335"/>
      <c r="J7" s="109"/>
      <c r="K7" s="146"/>
      <c r="L7" s="104"/>
      <c r="M7" s="157"/>
      <c r="S7" s="5">
        <f>S6*1.05</f>
        <v>8103.375</v>
      </c>
      <c r="T7">
        <v>2</v>
      </c>
      <c r="V7" s="5">
        <f>V6*1.05</f>
        <v>10859.297511849614</v>
      </c>
      <c r="W7">
        <v>8</v>
      </c>
      <c r="Y7" s="8" t="s">
        <v>27</v>
      </c>
      <c r="AY7" t="s">
        <v>28</v>
      </c>
      <c r="BG7" s="5"/>
    </row>
    <row r="8" spans="2:60" ht="44.25" customHeight="1" outlineLevel="1" x14ac:dyDescent="0.55000000000000004">
      <c r="B8" s="300"/>
      <c r="C8" s="305"/>
      <c r="D8" s="303"/>
      <c r="E8" s="256" t="s">
        <v>29</v>
      </c>
      <c r="F8" s="295" t="s">
        <v>30</v>
      </c>
      <c r="G8" s="313" t="s">
        <v>31</v>
      </c>
      <c r="H8" s="108">
        <v>7800</v>
      </c>
      <c r="I8" s="132">
        <f>H8*TRM!$I$9</f>
        <v>201926.40000000002</v>
      </c>
      <c r="J8" s="1">
        <v>10700</v>
      </c>
      <c r="K8" s="131">
        <f>J8*TRM!$I$9</f>
        <v>277001.60000000003</v>
      </c>
      <c r="L8" s="21">
        <v>12250</v>
      </c>
      <c r="M8" s="158">
        <f>L8*TRM!$I$9</f>
        <v>317128</v>
      </c>
      <c r="S8" s="5">
        <f>S7*1.05</f>
        <v>8508.5437500000007</v>
      </c>
      <c r="T8">
        <v>3</v>
      </c>
      <c r="V8" s="5"/>
      <c r="Y8" s="8" t="s">
        <v>32</v>
      </c>
      <c r="BG8" s="5"/>
    </row>
    <row r="9" spans="2:60" ht="37.5" customHeight="1" outlineLevel="1" thickBot="1" x14ac:dyDescent="0.6">
      <c r="B9" s="300"/>
      <c r="C9" s="305"/>
      <c r="D9" s="303"/>
      <c r="E9" s="257"/>
      <c r="F9" s="296"/>
      <c r="G9" s="325"/>
      <c r="H9" s="106"/>
      <c r="I9" s="133"/>
      <c r="J9" s="334" t="s">
        <v>33</v>
      </c>
      <c r="K9" s="336"/>
      <c r="L9" s="112"/>
      <c r="M9" s="159"/>
      <c r="Q9" s="6">
        <f>J8/H8</f>
        <v>1.3717948717948718</v>
      </c>
      <c r="S9" s="5">
        <f>S8*1.05</f>
        <v>8933.970937500002</v>
      </c>
      <c r="T9">
        <v>4</v>
      </c>
      <c r="V9" s="5"/>
      <c r="X9" s="6"/>
      <c r="Y9" s="8"/>
      <c r="BG9" s="5"/>
    </row>
    <row r="10" spans="2:60" ht="44.25" customHeight="1" outlineLevel="1" x14ac:dyDescent="0.55000000000000004">
      <c r="B10" s="300"/>
      <c r="C10" s="305"/>
      <c r="D10" s="303"/>
      <c r="E10" s="256" t="s">
        <v>34</v>
      </c>
      <c r="F10" s="295" t="s">
        <v>35</v>
      </c>
      <c r="G10" s="313" t="s">
        <v>36</v>
      </c>
      <c r="H10" s="21">
        <v>8350</v>
      </c>
      <c r="I10" s="134">
        <f>H10*TRM!$I$9</f>
        <v>216164.80000000002</v>
      </c>
      <c r="J10" s="99">
        <v>11140</v>
      </c>
      <c r="K10" s="137">
        <f>J10*TRM!$I$9</f>
        <v>288392.32000000001</v>
      </c>
      <c r="L10" s="7">
        <v>13360</v>
      </c>
      <c r="M10" s="160">
        <f>L10*TRM!$I$9</f>
        <v>345863.68000000005</v>
      </c>
      <c r="O10" s="17">
        <f>J10+O6</f>
        <v>12141.666666666666</v>
      </c>
      <c r="S10" s="5">
        <f>S9*1.05</f>
        <v>9380.6694843750029</v>
      </c>
      <c r="T10">
        <v>5</v>
      </c>
      <c r="V10" s="5"/>
      <c r="Y10" s="8"/>
      <c r="AY10">
        <f>55000/63000</f>
        <v>0.87301587301587302</v>
      </c>
      <c r="BG10" s="5"/>
      <c r="BH10" s="20"/>
    </row>
    <row r="11" spans="2:60" ht="37.5" customHeight="1" outlineLevel="1" thickBot="1" x14ac:dyDescent="0.6">
      <c r="B11" s="300"/>
      <c r="C11" s="327"/>
      <c r="D11" s="304"/>
      <c r="E11" s="299"/>
      <c r="F11" s="297"/>
      <c r="G11" s="314"/>
      <c r="H11" s="107"/>
      <c r="I11" s="135"/>
      <c r="J11" s="100"/>
      <c r="K11" s="147"/>
      <c r="L11" s="269" t="s">
        <v>37</v>
      </c>
      <c r="M11" s="337"/>
      <c r="Q11" s="6">
        <f>L10/J10</f>
        <v>1.199281867145422</v>
      </c>
      <c r="S11" s="5">
        <f>S10*1.05</f>
        <v>9849.7029585937526</v>
      </c>
      <c r="T11">
        <v>6</v>
      </c>
      <c r="V11" s="5"/>
      <c r="X11" s="6"/>
      <c r="Y11" s="8"/>
      <c r="AY11">
        <f>100-87</f>
        <v>13</v>
      </c>
      <c r="BG11" s="5"/>
    </row>
    <row r="12" spans="2:60" ht="11.5" customHeight="1" thickBot="1" x14ac:dyDescent="0.6">
      <c r="C12" s="289"/>
      <c r="D12" s="263"/>
      <c r="E12" s="263"/>
      <c r="F12" s="263"/>
      <c r="G12" s="263"/>
      <c r="H12" s="263"/>
      <c r="I12" s="263"/>
      <c r="J12" s="263"/>
      <c r="K12" s="263"/>
      <c r="L12" s="263"/>
      <c r="M12" s="263"/>
      <c r="S12" s="310"/>
      <c r="T12" s="310"/>
      <c r="U12" s="310"/>
      <c r="V12" s="310"/>
      <c r="W12" s="310"/>
      <c r="BG12" s="5"/>
    </row>
    <row r="13" spans="2:60" ht="44.25" customHeight="1" outlineLevel="1" thickBot="1" x14ac:dyDescent="0.6">
      <c r="B13" s="11" t="s">
        <v>38</v>
      </c>
      <c r="C13" s="121" t="s">
        <v>39</v>
      </c>
      <c r="D13" s="302" t="s">
        <v>40</v>
      </c>
      <c r="E13" s="256" t="s">
        <v>21</v>
      </c>
      <c r="F13" s="293">
        <v>4</v>
      </c>
      <c r="G13" s="311" t="s">
        <v>41</v>
      </c>
      <c r="H13" s="119">
        <v>17820</v>
      </c>
      <c r="I13" s="136">
        <f>H13*TRM!$I$9</f>
        <v>461324.16000000003</v>
      </c>
      <c r="J13" s="21">
        <v>22440</v>
      </c>
      <c r="K13" s="137">
        <f>J13*TRM!$I$9</f>
        <v>580926.72000000009</v>
      </c>
      <c r="L13" s="21">
        <v>25520</v>
      </c>
      <c r="M13" s="134">
        <f>L13*TRM!$I$9</f>
        <v>660661.76000000001</v>
      </c>
      <c r="O13" s="17">
        <f>(L15-H13)/4</f>
        <v>2420</v>
      </c>
      <c r="S13" s="5">
        <f>H13*1.05</f>
        <v>18711</v>
      </c>
      <c r="T13">
        <v>1</v>
      </c>
      <c r="V13" s="5">
        <f>S16*1.05</f>
        <v>22743.337443749999</v>
      </c>
      <c r="W13">
        <v>5</v>
      </c>
      <c r="Y13" s="8"/>
      <c r="BG13" s="5"/>
    </row>
    <row r="14" spans="2:60" ht="37.5" customHeight="1" outlineLevel="1" thickBot="1" x14ac:dyDescent="0.6">
      <c r="B14" s="300" t="s">
        <v>42</v>
      </c>
      <c r="C14" s="305" t="s">
        <v>43</v>
      </c>
      <c r="D14" s="303"/>
      <c r="E14" s="257"/>
      <c r="F14" s="294"/>
      <c r="G14" s="312"/>
      <c r="H14" s="288" t="s">
        <v>44</v>
      </c>
      <c r="I14" s="258"/>
      <c r="J14" s="109"/>
      <c r="K14" s="148"/>
      <c r="L14" s="111"/>
      <c r="M14" s="157"/>
      <c r="S14" s="5">
        <f>S13*1.05</f>
        <v>19646.55</v>
      </c>
      <c r="T14">
        <v>2</v>
      </c>
      <c r="V14" s="5">
        <f>V13*1.05</f>
        <v>23880.504315937498</v>
      </c>
      <c r="W14">
        <v>6</v>
      </c>
      <c r="Y14" s="8"/>
      <c r="AY14">
        <v>58000</v>
      </c>
      <c r="AZ14" s="5"/>
      <c r="BA14" s="5">
        <f>AY14/AY15</f>
        <v>0.92063492063492058</v>
      </c>
      <c r="BB14">
        <f>100-92</f>
        <v>8</v>
      </c>
      <c r="BG14" s="5"/>
    </row>
    <row r="15" spans="2:60" ht="44.25" customHeight="1" outlineLevel="1" thickBot="1" x14ac:dyDescent="0.6">
      <c r="B15" s="300"/>
      <c r="C15" s="305"/>
      <c r="D15" s="303"/>
      <c r="E15" s="256" t="s">
        <v>29</v>
      </c>
      <c r="F15" s="295" t="s">
        <v>45</v>
      </c>
      <c r="G15" s="313" t="s">
        <v>46</v>
      </c>
      <c r="H15" s="57">
        <v>18830</v>
      </c>
      <c r="I15" s="137">
        <f>H15*TRM!$I$9</f>
        <v>487471.04000000004</v>
      </c>
      <c r="J15" s="114">
        <v>23160</v>
      </c>
      <c r="K15" s="134">
        <f>J15*TRM!$I$9</f>
        <v>599566.08000000007</v>
      </c>
      <c r="L15" s="116">
        <v>27500</v>
      </c>
      <c r="M15" s="161">
        <f>L15*TRM!$I$9</f>
        <v>711920</v>
      </c>
      <c r="O15" s="17">
        <f>J15+O13</f>
        <v>25580</v>
      </c>
      <c r="Q15" s="6">
        <f>J15/H15</f>
        <v>1.2299522039298991</v>
      </c>
      <c r="S15" s="5">
        <f>S14*1.05</f>
        <v>20628.877499999999</v>
      </c>
      <c r="T15">
        <v>3</v>
      </c>
      <c r="V15" s="5">
        <f>V14*1.05</f>
        <v>25074.529531734373</v>
      </c>
      <c r="W15">
        <v>7</v>
      </c>
      <c r="X15" s="6"/>
      <c r="AY15">
        <v>63000</v>
      </c>
      <c r="BG15" s="5"/>
    </row>
    <row r="16" spans="2:60" ht="37.5" customHeight="1" outlineLevel="1" thickBot="1" x14ac:dyDescent="0.6">
      <c r="B16" s="301"/>
      <c r="C16" s="305"/>
      <c r="D16" s="303"/>
      <c r="E16" s="299"/>
      <c r="F16" s="297"/>
      <c r="G16" s="314"/>
      <c r="H16" s="112">
        <f>H15/L13</f>
        <v>0.73785266457680254</v>
      </c>
      <c r="I16" s="138"/>
      <c r="J16" s="120">
        <f>J15/H15</f>
        <v>1.2299522039298991</v>
      </c>
      <c r="K16" s="144"/>
      <c r="L16" s="258" t="s">
        <v>47</v>
      </c>
      <c r="M16" s="259"/>
      <c r="Q16" s="6">
        <f>L15/J15</f>
        <v>1.1873920552677029</v>
      </c>
      <c r="S16" s="5">
        <f>S15*1.05</f>
        <v>21660.321375</v>
      </c>
      <c r="T16">
        <v>4</v>
      </c>
      <c r="V16" s="5"/>
      <c r="X16" s="6"/>
      <c r="Y16" s="8"/>
      <c r="AY16" s="20"/>
      <c r="BG16" s="5"/>
    </row>
    <row r="17" spans="2:59" ht="12" customHeight="1" thickBot="1" x14ac:dyDescent="0.6">
      <c r="C17" s="260"/>
      <c r="D17" s="262"/>
      <c r="E17" s="262"/>
      <c r="F17" s="262"/>
      <c r="G17" s="262"/>
      <c r="H17" s="262"/>
      <c r="I17" s="262"/>
      <c r="J17" s="262"/>
      <c r="K17" s="262"/>
      <c r="L17" s="262"/>
      <c r="M17" s="290"/>
      <c r="S17" s="310"/>
      <c r="T17" s="310"/>
      <c r="U17" s="310"/>
      <c r="V17" s="310"/>
      <c r="W17" s="310"/>
      <c r="BG17" s="5"/>
    </row>
    <row r="18" spans="2:59" ht="44.25" customHeight="1" outlineLevel="1" thickBot="1" x14ac:dyDescent="0.6">
      <c r="B18" s="10" t="s">
        <v>48</v>
      </c>
      <c r="C18" s="121" t="s">
        <v>49</v>
      </c>
      <c r="D18" s="303" t="s">
        <v>50</v>
      </c>
      <c r="E18" s="299" t="s">
        <v>21</v>
      </c>
      <c r="F18" s="306">
        <v>6</v>
      </c>
      <c r="G18" s="265" t="s">
        <v>51</v>
      </c>
      <c r="H18" s="122">
        <v>22880</v>
      </c>
      <c r="I18" s="139">
        <f>H18*TRM!$I$9</f>
        <v>592317.44000000006</v>
      </c>
      <c r="J18" s="56">
        <f>27170</f>
        <v>27170</v>
      </c>
      <c r="K18" s="149">
        <f>J18*TRM!$I$9</f>
        <v>703376.96000000008</v>
      </c>
      <c r="L18" s="56">
        <v>32180</v>
      </c>
      <c r="M18" s="162">
        <f>L18*TRM!$I$9</f>
        <v>833075.84000000008</v>
      </c>
      <c r="O18" s="17">
        <f>(L22-H18)/6</f>
        <v>3836.6666666666665</v>
      </c>
      <c r="S18" s="5">
        <f>H18*1.05</f>
        <v>24024</v>
      </c>
      <c r="T18">
        <v>1</v>
      </c>
      <c r="V18" s="5">
        <f>S23*1.05</f>
        <v>32194.457670375006</v>
      </c>
      <c r="W18">
        <v>7</v>
      </c>
      <c r="Y18" s="8" t="s">
        <v>52</v>
      </c>
      <c r="BG18" s="5"/>
    </row>
    <row r="19" spans="2:59" ht="37.5" customHeight="1" outlineLevel="1" thickBot="1" x14ac:dyDescent="0.6">
      <c r="B19" s="300" t="s">
        <v>53</v>
      </c>
      <c r="C19" s="305" t="s">
        <v>54</v>
      </c>
      <c r="D19" s="303"/>
      <c r="E19" s="257"/>
      <c r="F19" s="307"/>
      <c r="G19" s="266"/>
      <c r="H19" s="288" t="s">
        <v>55</v>
      </c>
      <c r="I19" s="315"/>
      <c r="J19" s="123">
        <f>J18/H18</f>
        <v>1.1875</v>
      </c>
      <c r="K19" s="142"/>
      <c r="L19" s="110">
        <f>L18/J18</f>
        <v>1.1843945528156055</v>
      </c>
      <c r="M19" s="159"/>
      <c r="S19" s="5">
        <f>S18*1.05</f>
        <v>25225.200000000001</v>
      </c>
      <c r="T19">
        <v>2</v>
      </c>
      <c r="V19" s="5">
        <f>V18*1.05</f>
        <v>33804.180553893755</v>
      </c>
      <c r="W19">
        <v>8</v>
      </c>
      <c r="Y19" s="8"/>
      <c r="BG19" s="5"/>
    </row>
    <row r="20" spans="2:59" ht="44.25" customHeight="1" outlineLevel="1" thickBot="1" x14ac:dyDescent="0.6">
      <c r="B20" s="300"/>
      <c r="C20" s="305"/>
      <c r="D20" s="303"/>
      <c r="E20" s="256" t="s">
        <v>29</v>
      </c>
      <c r="F20" s="308">
        <v>9</v>
      </c>
      <c r="G20" s="322" t="s">
        <v>56</v>
      </c>
      <c r="H20" s="105">
        <f>27630</f>
        <v>27630</v>
      </c>
      <c r="I20" s="140">
        <f>H20*TRM!$I$9</f>
        <v>715285.44000000006</v>
      </c>
      <c r="J20" s="1">
        <v>33190</v>
      </c>
      <c r="K20" s="150">
        <f>J20*TRM!$I$9</f>
        <v>859222.72000000009</v>
      </c>
      <c r="L20" s="99">
        <f>39450</f>
        <v>39450</v>
      </c>
      <c r="M20" s="134">
        <f>L20*TRM!$I$9</f>
        <v>1021281.6000000001</v>
      </c>
      <c r="S20" s="5">
        <f>S19*1.05</f>
        <v>26486.460000000003</v>
      </c>
      <c r="T20">
        <v>3</v>
      </c>
      <c r="V20" s="5"/>
      <c r="Y20" s="8"/>
      <c r="BG20" s="5"/>
    </row>
    <row r="21" spans="2:59" ht="37.5" customHeight="1" outlineLevel="1" thickBot="1" x14ac:dyDescent="0.6">
      <c r="B21" s="300"/>
      <c r="C21" s="305"/>
      <c r="D21" s="303"/>
      <c r="E21" s="257"/>
      <c r="F21" s="307"/>
      <c r="G21" s="323"/>
      <c r="H21" s="118">
        <f>H20/L18</f>
        <v>0.85860783095090121</v>
      </c>
      <c r="I21" s="141"/>
      <c r="J21" s="316" t="s">
        <v>57</v>
      </c>
      <c r="K21" s="317"/>
      <c r="L21" s="102">
        <f>L20/J20</f>
        <v>1.1886110274178969</v>
      </c>
      <c r="M21" s="144"/>
      <c r="Q21" s="6">
        <f>J20/H20</f>
        <v>1.2012305465074196</v>
      </c>
      <c r="S21" s="5">
        <f>S20*1.05</f>
        <v>27810.783000000003</v>
      </c>
      <c r="T21">
        <v>4</v>
      </c>
      <c r="V21" s="5"/>
      <c r="X21" s="6"/>
      <c r="Y21" s="5"/>
    </row>
    <row r="22" spans="2:59" ht="44.25" customHeight="1" outlineLevel="1" thickBot="1" x14ac:dyDescent="0.6">
      <c r="B22" s="300"/>
      <c r="C22" s="305"/>
      <c r="D22" s="303"/>
      <c r="E22" s="256" t="s">
        <v>34</v>
      </c>
      <c r="F22" s="308">
        <v>12</v>
      </c>
      <c r="G22" s="322" t="s">
        <v>58</v>
      </c>
      <c r="H22" s="21">
        <f>32830</f>
        <v>32830</v>
      </c>
      <c r="I22" s="137">
        <f>H22*TRM!$I$9</f>
        <v>849903.04</v>
      </c>
      <c r="J22" s="108">
        <v>37320</v>
      </c>
      <c r="K22" s="132">
        <f>J22*TRM!$I$9</f>
        <v>966140.16</v>
      </c>
      <c r="L22" s="98">
        <v>45900</v>
      </c>
      <c r="M22" s="150">
        <f>L22*TRM!$I$9</f>
        <v>1188259.2000000002</v>
      </c>
      <c r="O22" s="17">
        <f>J22+O18</f>
        <v>41156.666666666664</v>
      </c>
      <c r="S22" s="5">
        <f>S21*1.05</f>
        <v>29201.322150000004</v>
      </c>
      <c r="T22">
        <v>5</v>
      </c>
      <c r="V22" s="5"/>
      <c r="Y22" s="5"/>
      <c r="BG22" s="20"/>
    </row>
    <row r="23" spans="2:59" ht="37.5" customHeight="1" outlineLevel="1" thickBot="1" x14ac:dyDescent="0.6">
      <c r="B23" s="301"/>
      <c r="C23" s="305"/>
      <c r="D23" s="303"/>
      <c r="E23" s="299"/>
      <c r="F23" s="306"/>
      <c r="G23" s="314"/>
      <c r="H23" s="120">
        <f>H22/L20</f>
        <v>0.83219264892268696</v>
      </c>
      <c r="I23" s="142"/>
      <c r="J23" s="118">
        <f>J22/H22</f>
        <v>1.136765153822723</v>
      </c>
      <c r="K23" s="141"/>
      <c r="L23" s="288" t="s">
        <v>59</v>
      </c>
      <c r="M23" s="259"/>
      <c r="Q23" s="6">
        <f>L22/J22</f>
        <v>1.229903536977492</v>
      </c>
      <c r="S23" s="5">
        <f>S22*1.05</f>
        <v>30661.388257500006</v>
      </c>
      <c r="T23">
        <v>6</v>
      </c>
      <c r="V23" s="5"/>
      <c r="X23" s="6"/>
      <c r="Y23" s="5"/>
      <c r="BG23" s="5"/>
    </row>
    <row r="24" spans="2:59" ht="13.35" customHeight="1" thickBot="1" x14ac:dyDescent="0.6">
      <c r="C24" s="260"/>
      <c r="D24" s="262"/>
      <c r="E24" s="262"/>
      <c r="F24" s="262"/>
      <c r="G24" s="262"/>
      <c r="H24" s="262"/>
      <c r="I24" s="262"/>
      <c r="J24" s="261"/>
      <c r="K24" s="261"/>
      <c r="L24" s="261"/>
      <c r="M24" s="264"/>
      <c r="S24" s="310"/>
      <c r="T24" s="310"/>
      <c r="U24" s="310"/>
      <c r="V24" s="310"/>
      <c r="W24" s="310"/>
      <c r="Y24" s="5"/>
      <c r="BG24" s="5"/>
    </row>
    <row r="25" spans="2:59" ht="44.25" customHeight="1" outlineLevel="1" thickBot="1" x14ac:dyDescent="0.6">
      <c r="B25" s="10" t="s">
        <v>60</v>
      </c>
      <c r="C25" s="23" t="s">
        <v>61</v>
      </c>
      <c r="D25" s="303" t="s">
        <v>62</v>
      </c>
      <c r="E25" s="281" t="s">
        <v>21</v>
      </c>
      <c r="F25" s="278">
        <v>8</v>
      </c>
      <c r="G25" s="283" t="s">
        <v>63</v>
      </c>
      <c r="H25" s="124">
        <v>39540</v>
      </c>
      <c r="I25" s="143">
        <f>H25*TRM!$I$9</f>
        <v>1023611.52</v>
      </c>
      <c r="J25" s="21">
        <f>48450</f>
        <v>48450</v>
      </c>
      <c r="K25" s="137">
        <f>J25*TRM!$I$9</f>
        <v>1254273.6000000001</v>
      </c>
      <c r="L25" s="21">
        <v>57460</v>
      </c>
      <c r="M25" s="134">
        <f>L25*TRM!$I$9</f>
        <v>1487524.48</v>
      </c>
      <c r="O25" s="17">
        <f>(L29-H25)/6</f>
        <v>4550</v>
      </c>
      <c r="S25" s="5">
        <f>H25*1.05</f>
        <v>41517</v>
      </c>
      <c r="T25">
        <v>1</v>
      </c>
      <c r="V25" s="5">
        <f>S30*1.05</f>
        <v>55636.750711828136</v>
      </c>
      <c r="W25">
        <v>7</v>
      </c>
      <c r="Y25" s="8"/>
      <c r="BG25" s="5"/>
    </row>
    <row r="26" spans="2:59" ht="37.5" customHeight="1" outlineLevel="1" thickBot="1" x14ac:dyDescent="0.6">
      <c r="B26" s="300" t="s">
        <v>64</v>
      </c>
      <c r="C26" s="300" t="s">
        <v>65</v>
      </c>
      <c r="D26" s="303"/>
      <c r="E26" s="282"/>
      <c r="F26" s="280"/>
      <c r="G26" s="284"/>
      <c r="H26" s="267" t="s">
        <v>66</v>
      </c>
      <c r="I26" s="268"/>
      <c r="J26" s="123">
        <f>J25/H25</f>
        <v>1.225341426403642</v>
      </c>
      <c r="K26" s="142"/>
      <c r="L26" s="120">
        <f>L25/J25</f>
        <v>1.1859649122807017</v>
      </c>
      <c r="M26" s="144"/>
      <c r="S26" s="5">
        <f>S25*1.05</f>
        <v>43592.85</v>
      </c>
      <c r="T26">
        <v>2</v>
      </c>
      <c r="V26" s="5">
        <f>V25*1.05</f>
        <v>58418.588247419546</v>
      </c>
      <c r="W26">
        <v>8</v>
      </c>
      <c r="Y26" s="8"/>
    </row>
    <row r="27" spans="2:59" ht="44.25" customHeight="1" outlineLevel="1" thickBot="1" x14ac:dyDescent="0.6">
      <c r="B27" s="300"/>
      <c r="C27" s="300"/>
      <c r="D27" s="303"/>
      <c r="E27" s="271" t="s">
        <v>29</v>
      </c>
      <c r="F27" s="279">
        <v>10</v>
      </c>
      <c r="G27" s="273" t="s">
        <v>67</v>
      </c>
      <c r="H27" s="105">
        <f>45890</f>
        <v>45890</v>
      </c>
      <c r="I27" s="137">
        <f>H27*TRM!$I$9</f>
        <v>1188000.32</v>
      </c>
      <c r="J27" s="119">
        <v>51240</v>
      </c>
      <c r="K27" s="151">
        <f>J27*TRM!$I$9</f>
        <v>1326501.1200000001</v>
      </c>
      <c r="L27" s="103">
        <f>61720</f>
        <v>61720</v>
      </c>
      <c r="M27" s="134">
        <f>L27*TRM!$I$9</f>
        <v>1597807.36</v>
      </c>
      <c r="S27" s="5">
        <f>S26*1.05</f>
        <v>45772.4925</v>
      </c>
      <c r="T27">
        <v>3</v>
      </c>
      <c r="BG27" s="5"/>
    </row>
    <row r="28" spans="2:59" ht="37.5" customHeight="1" outlineLevel="1" thickBot="1" x14ac:dyDescent="0.6">
      <c r="B28" s="300"/>
      <c r="C28" s="300"/>
      <c r="D28" s="303"/>
      <c r="E28" s="281"/>
      <c r="F28" s="280"/>
      <c r="G28" s="274"/>
      <c r="H28" s="113">
        <f>H27/L25</f>
        <v>0.79864253393665163</v>
      </c>
      <c r="I28" s="144"/>
      <c r="J28" s="269" t="s">
        <v>68</v>
      </c>
      <c r="K28" s="270"/>
      <c r="L28" s="115">
        <f>L27/J27</f>
        <v>1.204527712724434</v>
      </c>
      <c r="M28" s="152"/>
      <c r="Q28" s="6">
        <f>J27/H27</f>
        <v>1.1165831335803007</v>
      </c>
      <c r="S28" s="5">
        <f>S27*1.05</f>
        <v>48061.117125000004</v>
      </c>
      <c r="T28">
        <v>4</v>
      </c>
      <c r="X28" s="6"/>
      <c r="BG28" s="5"/>
    </row>
    <row r="29" spans="2:59" ht="44.25" customHeight="1" outlineLevel="1" thickBot="1" x14ac:dyDescent="0.6">
      <c r="B29" s="300"/>
      <c r="C29" s="300"/>
      <c r="D29" s="303"/>
      <c r="E29" s="271" t="s">
        <v>34</v>
      </c>
      <c r="F29" s="277" t="s">
        <v>69</v>
      </c>
      <c r="G29" s="275" t="s">
        <v>70</v>
      </c>
      <c r="H29" s="105">
        <f>50130</f>
        <v>50130</v>
      </c>
      <c r="I29" s="137">
        <f>H29*TRM!$I$9</f>
        <v>1297765.4400000002</v>
      </c>
      <c r="J29" s="21">
        <f>55700</f>
        <v>55700</v>
      </c>
      <c r="K29" s="134">
        <f>J29*TRM!$I$9</f>
        <v>1441961.6</v>
      </c>
      <c r="L29" s="116">
        <v>66840</v>
      </c>
      <c r="M29" s="163">
        <f>L29*TRM!$I$9</f>
        <v>1730353.9200000002</v>
      </c>
      <c r="O29" s="17">
        <f>J29+O25</f>
        <v>60250</v>
      </c>
      <c r="S29" s="5">
        <f>S28*1.05</f>
        <v>50464.172981250005</v>
      </c>
      <c r="T29">
        <v>5</v>
      </c>
      <c r="BG29" s="5"/>
    </row>
    <row r="30" spans="2:59" ht="37.5" customHeight="1" outlineLevel="1" thickBot="1" x14ac:dyDescent="0.6">
      <c r="B30" s="301"/>
      <c r="C30" s="300"/>
      <c r="D30" s="303"/>
      <c r="E30" s="272"/>
      <c r="F30" s="278"/>
      <c r="G30" s="276"/>
      <c r="H30" s="118">
        <f>H29/L27</f>
        <v>0.8122164614387557</v>
      </c>
      <c r="I30" s="142"/>
      <c r="J30" s="120">
        <f>J29/H29</f>
        <v>1.1111111111111112</v>
      </c>
      <c r="K30" s="152"/>
      <c r="L30" s="258" t="s">
        <v>71</v>
      </c>
      <c r="M30" s="259"/>
      <c r="Q30" s="6">
        <f>L29/J29</f>
        <v>1.2</v>
      </c>
      <c r="S30" s="5">
        <f>S29*1.05</f>
        <v>52987.381630312506</v>
      </c>
      <c r="T30">
        <v>6</v>
      </c>
      <c r="X30" s="6"/>
      <c r="BG30" s="5"/>
    </row>
    <row r="31" spans="2:59" ht="11.5" customHeight="1" thickBot="1" x14ac:dyDescent="0.6">
      <c r="C31" s="260"/>
      <c r="D31" s="261"/>
      <c r="E31" s="262"/>
      <c r="F31" s="262"/>
      <c r="G31" s="262"/>
      <c r="H31" s="262"/>
      <c r="I31" s="262"/>
      <c r="J31" s="261"/>
      <c r="K31" s="263"/>
      <c r="L31" s="261"/>
      <c r="M31" s="264"/>
      <c r="S31" s="310"/>
      <c r="T31" s="310"/>
      <c r="U31" s="310"/>
      <c r="V31" s="310"/>
      <c r="W31" s="310"/>
    </row>
    <row r="32" spans="2:59" ht="44.25" customHeight="1" outlineLevel="1" thickBot="1" x14ac:dyDescent="0.6">
      <c r="B32" s="10" t="s">
        <v>60</v>
      </c>
      <c r="C32" s="23" t="s">
        <v>72</v>
      </c>
      <c r="D32" s="343" t="s">
        <v>73</v>
      </c>
      <c r="E32" s="281" t="s">
        <v>21</v>
      </c>
      <c r="F32" s="278">
        <v>10</v>
      </c>
      <c r="G32" s="283" t="s">
        <v>74</v>
      </c>
      <c r="H32" s="124">
        <v>60000</v>
      </c>
      <c r="I32" s="143">
        <f>H32*TRM!$I$9</f>
        <v>1553280</v>
      </c>
      <c r="J32" s="21">
        <f>74000</f>
        <v>74000</v>
      </c>
      <c r="K32" s="137">
        <f>J32*TRM!$I$9</f>
        <v>1915712.0000000002</v>
      </c>
      <c r="L32" s="21">
        <v>87000</v>
      </c>
      <c r="M32" s="134">
        <f>L32*TRM!$I$9</f>
        <v>2252256</v>
      </c>
      <c r="O32" s="17">
        <f>(L36-H32)/6</f>
        <v>10000</v>
      </c>
      <c r="S32" s="5">
        <f>H32*1.05</f>
        <v>63000</v>
      </c>
      <c r="T32">
        <v>1</v>
      </c>
      <c r="V32" s="5">
        <f>S37*1.05</f>
        <v>84426.025359375009</v>
      </c>
      <c r="W32">
        <v>7</v>
      </c>
      <c r="Y32" s="8"/>
      <c r="BG32" s="5"/>
    </row>
    <row r="33" spans="2:59" ht="37.5" customHeight="1" outlineLevel="1" thickBot="1" x14ac:dyDescent="0.6">
      <c r="B33" s="300" t="s">
        <v>64</v>
      </c>
      <c r="C33" s="338" t="s">
        <v>75</v>
      </c>
      <c r="D33" s="344"/>
      <c r="E33" s="282"/>
      <c r="F33" s="280"/>
      <c r="G33" s="284"/>
      <c r="H33" s="267" t="s">
        <v>76</v>
      </c>
      <c r="I33" s="268"/>
      <c r="J33" s="117">
        <f>J32/H32</f>
        <v>1.2333333333333334</v>
      </c>
      <c r="K33" s="153"/>
      <c r="L33" s="115">
        <f>L32/J32</f>
        <v>1.1756756756756757</v>
      </c>
      <c r="M33" s="144"/>
      <c r="S33" s="5">
        <f>S32*1.05</f>
        <v>66150</v>
      </c>
      <c r="T33">
        <v>2</v>
      </c>
      <c r="V33" s="5">
        <f>V32*1.05</f>
        <v>88647.326627343762</v>
      </c>
      <c r="W33">
        <v>8</v>
      </c>
      <c r="Y33" s="8"/>
    </row>
    <row r="34" spans="2:59" ht="44.25" customHeight="1" outlineLevel="1" thickBot="1" x14ac:dyDescent="0.6">
      <c r="B34" s="300"/>
      <c r="C34" s="300"/>
      <c r="D34" s="344"/>
      <c r="E34" s="271" t="s">
        <v>29</v>
      </c>
      <c r="F34" s="279">
        <v>12</v>
      </c>
      <c r="G34" s="273" t="s">
        <v>77</v>
      </c>
      <c r="H34" s="21">
        <f>80000</f>
        <v>80000</v>
      </c>
      <c r="I34" s="134">
        <f>H34*TRM!$I$9</f>
        <v>2071040.0000000002</v>
      </c>
      <c r="J34" s="125">
        <v>95000</v>
      </c>
      <c r="K34" s="154">
        <f>J34*TRM!$I$9</f>
        <v>2459360</v>
      </c>
      <c r="L34" s="127">
        <f>113000</f>
        <v>113000</v>
      </c>
      <c r="M34" s="134">
        <f>L34*TRM!$I$9</f>
        <v>2925344</v>
      </c>
      <c r="S34" s="5">
        <f>S33*1.05</f>
        <v>69457.5</v>
      </c>
      <c r="T34">
        <v>3</v>
      </c>
      <c r="BG34" s="5"/>
    </row>
    <row r="35" spans="2:59" ht="37.5" customHeight="1" outlineLevel="1" thickBot="1" x14ac:dyDescent="0.6">
      <c r="B35" s="300"/>
      <c r="C35" s="300"/>
      <c r="D35" s="344"/>
      <c r="E35" s="281"/>
      <c r="F35" s="280"/>
      <c r="G35" s="339"/>
      <c r="H35" s="120">
        <f>H34/L32</f>
        <v>0.91954022988505746</v>
      </c>
      <c r="I35" s="142"/>
      <c r="J35" s="288" t="s">
        <v>78</v>
      </c>
      <c r="K35" s="317"/>
      <c r="L35" s="102">
        <f>L34/J34</f>
        <v>1.1894736842105262</v>
      </c>
      <c r="M35" s="152"/>
      <c r="Q35" s="6">
        <f>J34/H34</f>
        <v>1.1875</v>
      </c>
      <c r="S35" s="5">
        <f>S34*1.05</f>
        <v>72930.375</v>
      </c>
      <c r="T35">
        <v>4</v>
      </c>
      <c r="X35" s="6"/>
      <c r="BG35" s="5"/>
    </row>
    <row r="36" spans="2:59" ht="44.25" customHeight="1" outlineLevel="1" thickBot="1" x14ac:dyDescent="0.6">
      <c r="B36" s="300"/>
      <c r="C36" s="300"/>
      <c r="D36" s="344"/>
      <c r="E36" s="271" t="s">
        <v>34</v>
      </c>
      <c r="F36" s="340">
        <v>14</v>
      </c>
      <c r="G36" s="311" t="s">
        <v>79</v>
      </c>
      <c r="H36" s="22">
        <v>100000</v>
      </c>
      <c r="I36" s="137">
        <f>H36*TRM!$I$9</f>
        <v>2588800</v>
      </c>
      <c r="J36" s="105">
        <f>117000</f>
        <v>117000</v>
      </c>
      <c r="K36" s="155">
        <f>J36*TRM!$I$9</f>
        <v>3028896</v>
      </c>
      <c r="L36" s="126">
        <v>120000</v>
      </c>
      <c r="M36" s="163">
        <f>L36*TRM!$I$9</f>
        <v>3106560</v>
      </c>
      <c r="O36" s="17">
        <f>J36+O32</f>
        <v>127000</v>
      </c>
      <c r="S36" s="5">
        <f>S35*1.05</f>
        <v>76576.893750000003</v>
      </c>
      <c r="T36">
        <v>5</v>
      </c>
      <c r="BG36" s="5"/>
    </row>
    <row r="37" spans="2:59" ht="37.5" customHeight="1" outlineLevel="1" thickBot="1" x14ac:dyDescent="0.6">
      <c r="B37" s="301"/>
      <c r="C37" s="300"/>
      <c r="D37" s="345"/>
      <c r="E37" s="272"/>
      <c r="F37" s="341"/>
      <c r="G37" s="342"/>
      <c r="H37" s="101">
        <f>H36/L34</f>
        <v>0.88495575221238942</v>
      </c>
      <c r="I37" s="142"/>
      <c r="J37" s="113">
        <f>J36/H36</f>
        <v>1.17</v>
      </c>
      <c r="K37" s="141"/>
      <c r="L37" s="288" t="s">
        <v>80</v>
      </c>
      <c r="M37" s="259"/>
      <c r="Q37" s="6">
        <f>L36/J36</f>
        <v>1.0256410256410255</v>
      </c>
      <c r="S37" s="5">
        <f>S36*1.05</f>
        <v>80405.738437500011</v>
      </c>
      <c r="T37">
        <v>6</v>
      </c>
      <c r="X37" s="6"/>
      <c r="BG37" s="5"/>
    </row>
    <row r="38" spans="2:59" ht="11.5" customHeight="1" x14ac:dyDescent="0.55000000000000004">
      <c r="C38" s="318"/>
      <c r="D38" s="263"/>
      <c r="E38" s="261"/>
      <c r="F38" s="261"/>
      <c r="G38" s="263"/>
      <c r="H38" s="261"/>
      <c r="I38" s="261"/>
      <c r="J38" s="263"/>
      <c r="K38" s="261"/>
      <c r="L38" s="261"/>
      <c r="M38" s="264"/>
      <c r="S38" s="94"/>
      <c r="T38" s="94"/>
      <c r="U38" s="94"/>
      <c r="V38" s="94"/>
      <c r="W38" s="94"/>
    </row>
    <row r="39" spans="2:59" ht="12" customHeight="1" thickBot="1" x14ac:dyDescent="0.6">
      <c r="C39" s="319"/>
      <c r="D39" s="320"/>
      <c r="E39" s="320"/>
      <c r="F39" s="320"/>
      <c r="G39" s="320"/>
      <c r="H39" s="320"/>
      <c r="I39" s="320"/>
      <c r="J39" s="320"/>
      <c r="K39" s="320"/>
      <c r="L39" s="320"/>
      <c r="M39" s="321"/>
      <c r="S39" s="310"/>
      <c r="T39" s="310"/>
      <c r="U39" s="310"/>
      <c r="V39" s="310"/>
      <c r="W39" s="310"/>
    </row>
  </sheetData>
  <mergeCells count="93">
    <mergeCell ref="C38:M38"/>
    <mergeCell ref="C39:M39"/>
    <mergeCell ref="S39:W39"/>
    <mergeCell ref="B33:B37"/>
    <mergeCell ref="C33:C37"/>
    <mergeCell ref="H33:I33"/>
    <mergeCell ref="E34:E35"/>
    <mergeCell ref="F34:F35"/>
    <mergeCell ref="G34:G35"/>
    <mergeCell ref="E36:E37"/>
    <mergeCell ref="F36:F37"/>
    <mergeCell ref="G36:G37"/>
    <mergeCell ref="C31:M31"/>
    <mergeCell ref="S31:W31"/>
    <mergeCell ref="D32:D37"/>
    <mergeCell ref="E32:E33"/>
    <mergeCell ref="F32:F33"/>
    <mergeCell ref="G32:G33"/>
    <mergeCell ref="J35:K35"/>
    <mergeCell ref="L37:M37"/>
    <mergeCell ref="B26:B30"/>
    <mergeCell ref="C26:C30"/>
    <mergeCell ref="H26:I26"/>
    <mergeCell ref="E27:E28"/>
    <mergeCell ref="F27:F28"/>
    <mergeCell ref="G27:G28"/>
    <mergeCell ref="E29:E30"/>
    <mergeCell ref="F29:F30"/>
    <mergeCell ref="G29:G30"/>
    <mergeCell ref="C24:M24"/>
    <mergeCell ref="S24:W24"/>
    <mergeCell ref="D25:D30"/>
    <mergeCell ref="E25:E26"/>
    <mergeCell ref="F25:F26"/>
    <mergeCell ref="G25:G26"/>
    <mergeCell ref="J28:K28"/>
    <mergeCell ref="L30:M30"/>
    <mergeCell ref="B19:B23"/>
    <mergeCell ref="C19:C23"/>
    <mergeCell ref="H19:I19"/>
    <mergeCell ref="E20:E21"/>
    <mergeCell ref="F20:F21"/>
    <mergeCell ref="G20:G21"/>
    <mergeCell ref="E22:E23"/>
    <mergeCell ref="F22:F23"/>
    <mergeCell ref="G22:G23"/>
    <mergeCell ref="C17:M17"/>
    <mergeCell ref="S17:W17"/>
    <mergeCell ref="D18:D23"/>
    <mergeCell ref="E18:E19"/>
    <mergeCell ref="F18:F19"/>
    <mergeCell ref="G18:G19"/>
    <mergeCell ref="J21:K21"/>
    <mergeCell ref="L23:M23"/>
    <mergeCell ref="B14:B16"/>
    <mergeCell ref="C14:C16"/>
    <mergeCell ref="H14:I14"/>
    <mergeCell ref="E15:E16"/>
    <mergeCell ref="F15:F16"/>
    <mergeCell ref="G15:G16"/>
    <mergeCell ref="C12:M12"/>
    <mergeCell ref="S12:W12"/>
    <mergeCell ref="D13:D16"/>
    <mergeCell ref="E13:E14"/>
    <mergeCell ref="F13:F14"/>
    <mergeCell ref="G13:G14"/>
    <mergeCell ref="L16:M16"/>
    <mergeCell ref="L11:M11"/>
    <mergeCell ref="BG4:BG5"/>
    <mergeCell ref="D6:D11"/>
    <mergeCell ref="E6:E7"/>
    <mergeCell ref="F6:F7"/>
    <mergeCell ref="G6:G7"/>
    <mergeCell ref="G8:G9"/>
    <mergeCell ref="J9:K9"/>
    <mergeCell ref="E10:E11"/>
    <mergeCell ref="F10:F11"/>
    <mergeCell ref="G10:G11"/>
    <mergeCell ref="B7:B11"/>
    <mergeCell ref="C7:C11"/>
    <mergeCell ref="H7:I7"/>
    <mergeCell ref="E8:E9"/>
    <mergeCell ref="F8:F9"/>
    <mergeCell ref="S2:W2"/>
    <mergeCell ref="C3:M3"/>
    <mergeCell ref="C4:F4"/>
    <mergeCell ref="G4:G5"/>
    <mergeCell ref="H4:H5"/>
    <mergeCell ref="I4:I5"/>
    <mergeCell ref="J4:J5"/>
    <mergeCell ref="K4:K5"/>
    <mergeCell ref="L4:L5"/>
    <mergeCell ref="M4:M5"/>
  </mergeCells>
  <pageMargins left="0.7" right="0.7" top="0.75" bottom="0.75" header="0.3" footer="0.3"/>
  <pageSetup scale="80" fitToHeight="0" orientation="landscape" r:id="rId1"/>
  <headerFooter>
    <oddHeader>&amp;RINTERNAL:  Not for external distribution</oddHeader>
    <oddFooter>&amp;L&amp;F&amp;C&amp;P / &amp;N&amp;R&amp;D</oddFooter>
  </headerFooter>
  <rowBreaks count="1" manualBreakCount="1">
    <brk id="24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800366-2442-4E66-9B4E-11A317A31464}">
  <ds:schemaRefs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f2466082-b6bf-4153-98c3-3c41e85fda18"/>
    <ds:schemaRef ds:uri="http://www.w3.org/XML/1998/namespace"/>
    <ds:schemaRef ds:uri="http://schemas.microsoft.com/office/2006/documentManagement/types"/>
    <ds:schemaRef ds:uri="dc808d36-874f-4b27-aec2-2fd649817929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5CAC606F-B178-43E8-8A77-64CE654F83C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0DB2B5-B4C4-47BF-877E-53FFA0DE2E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4</vt:i4>
      </vt:variant>
    </vt:vector>
  </HeadingPairs>
  <TitlesOfParts>
    <vt:vector size="17" baseType="lpstr">
      <vt:lpstr>POA Compensation Analysis  </vt:lpstr>
      <vt:lpstr>Birches Report </vt:lpstr>
      <vt:lpstr>Grade A</vt:lpstr>
      <vt:lpstr>Grade B</vt:lpstr>
      <vt:lpstr>Gade C</vt:lpstr>
      <vt:lpstr>Grade D</vt:lpstr>
      <vt:lpstr>Grade E</vt:lpstr>
      <vt:lpstr>Budget USDA Salary Categories</vt:lpstr>
      <vt:lpstr>Birches Report Level</vt:lpstr>
      <vt:lpstr>ONGLocal</vt:lpstr>
      <vt:lpstr>World Salaries</vt:lpstr>
      <vt:lpstr>TRM</vt:lpstr>
      <vt:lpstr>POA Compensation Org. Reference</vt:lpstr>
      <vt:lpstr>'POA Compensation Analysis  '!Print_Area</vt:lpstr>
      <vt:lpstr>'POA Compensation Org. Reference'!Print_Area</vt:lpstr>
      <vt:lpstr>'POA Compensation Analysis  '!Print_Titles</vt:lpstr>
      <vt:lpstr>'POA Compensation Org. Reference'!Print_Titles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Torres Sales</dc:creator>
  <cp:keywords/>
  <dc:description/>
  <cp:lastModifiedBy>Danielle Martin</cp:lastModifiedBy>
  <cp:revision/>
  <dcterms:created xsi:type="dcterms:W3CDTF">2019-08-13T22:01:31Z</dcterms:created>
  <dcterms:modified xsi:type="dcterms:W3CDTF">2026-02-02T20:24:21Z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