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F6001664-F166-4E1C-ACB2-9C76E5CCBE7B}" xr6:coauthVersionLast="47" xr6:coauthVersionMax="47" xr10:uidLastSave="{00000000-0000-0000-0000-000000000000}"/>
  <bookViews>
    <workbookView xWindow="-96" yWindow="-96" windowWidth="23232" windowHeight="12552" tabRatio="689" xr2:uid="{00000000-000D-0000-FFFF-FFFF00000000}"/>
  </bookViews>
  <sheets>
    <sheet name="POA Compensation Analysis" sheetId="10" r:id="rId1"/>
    <sheet name="Birches Report" sheetId="2" r:id="rId2"/>
    <sheet name="TRM" sheetId="3" r:id="rId3"/>
    <sheet name="Budget USDA Salary Categories" sheetId="4" r:id="rId4"/>
    <sheet name="GRADE A" sheetId="5" r:id="rId5"/>
    <sheet name="GRADE B" sheetId="6" r:id="rId6"/>
    <sheet name="GRADE C" sheetId="7" r:id="rId7"/>
    <sheet name="GRADE D" sheetId="8" r:id="rId8"/>
    <sheet name="GRADE E" sheetId="9" r:id="rId9"/>
  </sheets>
  <externalReferences>
    <externalReference r:id="rId10"/>
    <externalReference r:id="rId11"/>
  </externalReferences>
  <definedNames>
    <definedName name="_xlnm.Print_Area" localSheetId="0">'POA Compensation Analysis'!$C$3:$L$39</definedName>
    <definedName name="_xlnm.Print_Titles" localSheetId="0">'POA Compensation Analysis'!$3:$5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37" i="10" l="1"/>
  <c r="J37" i="10"/>
  <c r="H37" i="10"/>
  <c r="M36" i="10"/>
  <c r="K36" i="10"/>
  <c r="I36" i="10"/>
  <c r="Q35" i="10"/>
  <c r="L35" i="10"/>
  <c r="H35" i="10"/>
  <c r="M34" i="10"/>
  <c r="K34" i="10"/>
  <c r="I34" i="10"/>
  <c r="BH33" i="10"/>
  <c r="L33" i="10"/>
  <c r="J33" i="10"/>
  <c r="S32" i="10"/>
  <c r="S33" i="10" s="1"/>
  <c r="S34" i="10" s="1"/>
  <c r="S35" i="10" s="1"/>
  <c r="S36" i="10" s="1"/>
  <c r="S37" i="10" s="1"/>
  <c r="V32" i="10" s="1"/>
  <c r="V33" i="10" s="1"/>
  <c r="O32" i="10"/>
  <c r="O36" i="10" s="1"/>
  <c r="M32" i="10"/>
  <c r="K32" i="10"/>
  <c r="I32" i="10"/>
  <c r="BI30" i="10"/>
  <c r="BI32" i="10" s="1"/>
  <c r="BI33" i="10" s="1"/>
  <c r="Q30" i="10"/>
  <c r="J30" i="10"/>
  <c r="H30" i="10"/>
  <c r="M29" i="10"/>
  <c r="K29" i="10"/>
  <c r="I29" i="10"/>
  <c r="Q28" i="10"/>
  <c r="L28" i="10"/>
  <c r="H28" i="10"/>
  <c r="BI27" i="10"/>
  <c r="BI28" i="10" s="1"/>
  <c r="BI29" i="10" s="1"/>
  <c r="BH27" i="10"/>
  <c r="BH28" i="10" s="1"/>
  <c r="BH29" i="10" s="1"/>
  <c r="BH30" i="10" s="1"/>
  <c r="M27" i="10"/>
  <c r="K27" i="10"/>
  <c r="I27" i="10"/>
  <c r="L26" i="10"/>
  <c r="J26" i="10"/>
  <c r="S25" i="10"/>
  <c r="S26" i="10" s="1"/>
  <c r="S27" i="10" s="1"/>
  <c r="S28" i="10" s="1"/>
  <c r="S29" i="10" s="1"/>
  <c r="S30" i="10" s="1"/>
  <c r="V25" i="10" s="1"/>
  <c r="V26" i="10" s="1"/>
  <c r="O25" i="10"/>
  <c r="O29" i="10" s="1"/>
  <c r="M25" i="10"/>
  <c r="K25" i="10"/>
  <c r="I25" i="10"/>
  <c r="Q23" i="10"/>
  <c r="J23" i="10"/>
  <c r="H23" i="10"/>
  <c r="M22" i="10"/>
  <c r="K22" i="10"/>
  <c r="I22" i="10"/>
  <c r="Q21" i="10"/>
  <c r="L21" i="10"/>
  <c r="H21" i="10"/>
  <c r="M20" i="10"/>
  <c r="K20" i="10"/>
  <c r="I20" i="10"/>
  <c r="L19" i="10"/>
  <c r="J19" i="10"/>
  <c r="S18" i="10"/>
  <c r="S19" i="10" s="1"/>
  <c r="S20" i="10" s="1"/>
  <c r="S21" i="10" s="1"/>
  <c r="S22" i="10" s="1"/>
  <c r="S23" i="10" s="1"/>
  <c r="V18" i="10" s="1"/>
  <c r="V19" i="10" s="1"/>
  <c r="O18" i="10"/>
  <c r="O22" i="10" s="1"/>
  <c r="M18" i="10"/>
  <c r="K18" i="10"/>
  <c r="I18" i="10"/>
  <c r="Q16" i="10"/>
  <c r="J16" i="10"/>
  <c r="Q15" i="10"/>
  <c r="M15" i="10"/>
  <c r="K15" i="10"/>
  <c r="I15" i="10"/>
  <c r="BB14" i="10"/>
  <c r="BA14" i="10"/>
  <c r="S13" i="10"/>
  <c r="S14" i="10" s="1"/>
  <c r="S15" i="10" s="1"/>
  <c r="S16" i="10" s="1"/>
  <c r="V13" i="10" s="1"/>
  <c r="V14" i="10" s="1"/>
  <c r="V15" i="10" s="1"/>
  <c r="O13" i="10"/>
  <c r="O15" i="10" s="1"/>
  <c r="M13" i="10"/>
  <c r="K13" i="10"/>
  <c r="I13" i="10"/>
  <c r="AY11" i="10"/>
  <c r="Q11" i="10"/>
  <c r="AY10" i="10"/>
  <c r="M10" i="10"/>
  <c r="K10" i="10"/>
  <c r="I10" i="10"/>
  <c r="Q9" i="10"/>
  <c r="BH8" i="10"/>
  <c r="M8" i="10"/>
  <c r="K8" i="10"/>
  <c r="I8" i="10"/>
  <c r="BH7" i="10"/>
  <c r="S6" i="10"/>
  <c r="S7" i="10" s="1"/>
  <c r="S8" i="10" s="1"/>
  <c r="S9" i="10" s="1"/>
  <c r="S10" i="10" s="1"/>
  <c r="S11" i="10" s="1"/>
  <c r="V6" i="10" s="1"/>
  <c r="V7" i="10" s="1"/>
  <c r="O6" i="10"/>
  <c r="O10" i="10" s="1"/>
  <c r="M6" i="10"/>
  <c r="K6" i="10"/>
  <c r="I6" i="10"/>
  <c r="AX5" i="10"/>
  <c r="L1" i="10"/>
  <c r="D39" i="4" l="1"/>
  <c r="E39" i="4" s="1"/>
  <c r="C39" i="4"/>
  <c r="D38" i="4"/>
  <c r="E38" i="4" s="1"/>
  <c r="C38" i="4"/>
  <c r="D37" i="4"/>
  <c r="E37" i="4" s="1"/>
  <c r="C37" i="4"/>
  <c r="D36" i="4"/>
  <c r="E36" i="4" s="1"/>
  <c r="C36" i="4"/>
  <c r="D35" i="4"/>
  <c r="E35" i="4" s="1"/>
  <c r="C35" i="4"/>
  <c r="E34" i="4"/>
  <c r="D34" i="4"/>
  <c r="C34" i="4"/>
  <c r="D33" i="4"/>
  <c r="E33" i="4" s="1"/>
  <c r="C33" i="4"/>
  <c r="E32" i="4"/>
  <c r="D32" i="4"/>
  <c r="C32" i="4"/>
  <c r="D31" i="4"/>
  <c r="E31" i="4" s="1"/>
  <c r="C31" i="4"/>
  <c r="D30" i="4"/>
  <c r="E30" i="4" s="1"/>
  <c r="C30" i="4"/>
  <c r="D29" i="4"/>
  <c r="E29" i="4" s="1"/>
  <c r="C29" i="4"/>
  <c r="D28" i="4"/>
  <c r="E28" i="4" s="1"/>
  <c r="C28" i="4"/>
  <c r="D27" i="4"/>
  <c r="E27" i="4" s="1"/>
  <c r="C27" i="4"/>
  <c r="E26" i="4"/>
  <c r="D26" i="4"/>
  <c r="C26" i="4"/>
  <c r="E25" i="4"/>
  <c r="D25" i="4"/>
  <c r="C25" i="4"/>
  <c r="E24" i="4"/>
  <c r="D24" i="4"/>
  <c r="C24" i="4"/>
  <c r="D23" i="4"/>
  <c r="E23" i="4" s="1"/>
  <c r="C23" i="4"/>
  <c r="D22" i="4"/>
  <c r="E22" i="4" s="1"/>
  <c r="C22" i="4"/>
  <c r="D21" i="4"/>
  <c r="E21" i="4" s="1"/>
  <c r="C21" i="4"/>
  <c r="D20" i="4"/>
  <c r="E20" i="4" s="1"/>
  <c r="C20" i="4"/>
  <c r="D19" i="4"/>
  <c r="E19" i="4" s="1"/>
  <c r="C19" i="4"/>
  <c r="E18" i="4"/>
  <c r="D18" i="4"/>
  <c r="C18" i="4"/>
  <c r="E17" i="4"/>
  <c r="D17" i="4"/>
  <c r="C17" i="4"/>
  <c r="E16" i="4"/>
  <c r="D16" i="4"/>
  <c r="C16" i="4"/>
  <c r="D15" i="4"/>
  <c r="E15" i="4" s="1"/>
  <c r="C15" i="4"/>
  <c r="D14" i="4"/>
  <c r="E14" i="4" s="1"/>
  <c r="C14" i="4"/>
  <c r="D13" i="4"/>
  <c r="E13" i="4" s="1"/>
  <c r="C13" i="4"/>
  <c r="D12" i="4"/>
  <c r="E12" i="4" s="1"/>
  <c r="C12" i="4"/>
  <c r="D11" i="4"/>
  <c r="E11" i="4" s="1"/>
  <c r="C11" i="4"/>
  <c r="E10" i="4"/>
  <c r="D10" i="4"/>
  <c r="C10" i="4"/>
  <c r="E9" i="4"/>
  <c r="D9" i="4"/>
  <c r="C9" i="4"/>
  <c r="E8" i="4"/>
  <c r="D8" i="4"/>
  <c r="C8" i="4"/>
  <c r="D7" i="4"/>
  <c r="E7" i="4" s="1"/>
  <c r="C7" i="4"/>
  <c r="D6" i="4"/>
  <c r="E6" i="4" s="1"/>
  <c r="C6" i="4"/>
  <c r="Z38" i="2"/>
  <c r="Y38" i="2"/>
  <c r="R38" i="2"/>
  <c r="Q38" i="2"/>
  <c r="P38" i="2"/>
  <c r="X38" i="2" s="1"/>
  <c r="O38" i="2"/>
  <c r="W38" i="2" s="1"/>
  <c r="N38" i="2"/>
  <c r="V38" i="2" s="1"/>
  <c r="M38" i="2"/>
  <c r="U38" i="2" s="1"/>
  <c r="W37" i="2"/>
  <c r="V37" i="2"/>
  <c r="U37" i="2"/>
  <c r="R37" i="2"/>
  <c r="Z37" i="2" s="1"/>
  <c r="Q37" i="2"/>
  <c r="Y37" i="2" s="1"/>
  <c r="P37" i="2"/>
  <c r="X37" i="2" s="1"/>
  <c r="O37" i="2"/>
  <c r="N37" i="2"/>
  <c r="M37" i="2"/>
  <c r="Z36" i="2"/>
  <c r="Y36" i="2"/>
  <c r="V36" i="2"/>
  <c r="R36" i="2"/>
  <c r="Q36" i="2"/>
  <c r="P36" i="2"/>
  <c r="X36" i="2" s="1"/>
  <c r="O36" i="2"/>
  <c r="W36" i="2" s="1"/>
  <c r="N36" i="2"/>
  <c r="M36" i="2"/>
  <c r="U36" i="2" s="1"/>
  <c r="Z35" i="2"/>
  <c r="W35" i="2"/>
  <c r="V35" i="2"/>
  <c r="U35" i="2"/>
  <c r="R35" i="2"/>
  <c r="Q35" i="2"/>
  <c r="Y35" i="2" s="1"/>
  <c r="P35" i="2"/>
  <c r="X35" i="2" s="1"/>
  <c r="O35" i="2"/>
  <c r="N35" i="2"/>
  <c r="M35" i="2"/>
  <c r="Z34" i="2"/>
  <c r="Y34" i="2"/>
  <c r="V34" i="2"/>
  <c r="R34" i="2"/>
  <c r="Q34" i="2"/>
  <c r="P34" i="2"/>
  <c r="X34" i="2" s="1"/>
  <c r="O34" i="2"/>
  <c r="W34" i="2" s="1"/>
  <c r="N34" i="2"/>
  <c r="M34" i="2"/>
  <c r="U34" i="2" s="1"/>
  <c r="Z33" i="2"/>
  <c r="W33" i="2"/>
  <c r="V33" i="2"/>
  <c r="U33" i="2"/>
  <c r="R33" i="2"/>
  <c r="Q33" i="2"/>
  <c r="Y33" i="2" s="1"/>
  <c r="P33" i="2"/>
  <c r="X33" i="2" s="1"/>
  <c r="O33" i="2"/>
  <c r="N33" i="2"/>
  <c r="M33" i="2"/>
  <c r="Z32" i="2"/>
  <c r="Y32" i="2"/>
  <c r="V32" i="2"/>
  <c r="R32" i="2"/>
  <c r="Q32" i="2"/>
  <c r="P32" i="2"/>
  <c r="X32" i="2" s="1"/>
  <c r="O32" i="2"/>
  <c r="W32" i="2" s="1"/>
  <c r="N32" i="2"/>
  <c r="M32" i="2"/>
  <c r="U32" i="2" s="1"/>
  <c r="Z31" i="2"/>
  <c r="W31" i="2"/>
  <c r="V31" i="2"/>
  <c r="U31" i="2"/>
  <c r="R31" i="2"/>
  <c r="Q31" i="2"/>
  <c r="Y31" i="2" s="1"/>
  <c r="P31" i="2"/>
  <c r="X31" i="2" s="1"/>
  <c r="O31" i="2"/>
  <c r="N31" i="2"/>
  <c r="M31" i="2"/>
  <c r="Z30" i="2"/>
  <c r="Y30" i="2"/>
  <c r="V30" i="2"/>
  <c r="R30" i="2"/>
  <c r="Q30" i="2"/>
  <c r="P30" i="2"/>
  <c r="X30" i="2" s="1"/>
  <c r="O30" i="2"/>
  <c r="W30" i="2" s="1"/>
  <c r="N30" i="2"/>
  <c r="M30" i="2"/>
  <c r="U30" i="2" s="1"/>
  <c r="W29" i="2"/>
  <c r="V29" i="2"/>
  <c r="U29" i="2"/>
  <c r="R29" i="2"/>
  <c r="Z29" i="2" s="1"/>
  <c r="Q29" i="2"/>
  <c r="Y29" i="2" s="1"/>
  <c r="P29" i="2"/>
  <c r="X29" i="2" s="1"/>
  <c r="O29" i="2"/>
  <c r="N29" i="2"/>
  <c r="M29" i="2"/>
  <c r="Z28" i="2"/>
  <c r="Y28" i="2"/>
  <c r="V28" i="2"/>
  <c r="R28" i="2"/>
  <c r="Q28" i="2"/>
  <c r="P28" i="2"/>
  <c r="X28" i="2" s="1"/>
  <c r="O28" i="2"/>
  <c r="W28" i="2" s="1"/>
  <c r="N28" i="2"/>
  <c r="M28" i="2"/>
  <c r="U28" i="2" s="1"/>
  <c r="Z27" i="2"/>
  <c r="W27" i="2"/>
  <c r="V27" i="2"/>
  <c r="U27" i="2"/>
  <c r="R27" i="2"/>
  <c r="Q27" i="2"/>
  <c r="Y27" i="2" s="1"/>
  <c r="P27" i="2"/>
  <c r="X27" i="2" s="1"/>
  <c r="O27" i="2"/>
  <c r="N27" i="2"/>
  <c r="M27" i="2"/>
  <c r="Z26" i="2"/>
  <c r="Y26" i="2"/>
  <c r="V26" i="2"/>
  <c r="R26" i="2"/>
  <c r="Q26" i="2"/>
  <c r="P26" i="2"/>
  <c r="X26" i="2" s="1"/>
  <c r="O26" i="2"/>
  <c r="W26" i="2" s="1"/>
  <c r="N26" i="2"/>
  <c r="M26" i="2"/>
  <c r="U26" i="2" s="1"/>
  <c r="Z25" i="2"/>
  <c r="W25" i="2"/>
  <c r="V25" i="2"/>
  <c r="U25" i="2"/>
  <c r="R25" i="2"/>
  <c r="Q25" i="2"/>
  <c r="Y25" i="2" s="1"/>
  <c r="P25" i="2"/>
  <c r="X25" i="2" s="1"/>
  <c r="O25" i="2"/>
  <c r="N25" i="2"/>
  <c r="M25" i="2"/>
  <c r="Z24" i="2"/>
  <c r="Y24" i="2"/>
  <c r="V24" i="2"/>
  <c r="U24" i="2"/>
  <c r="R24" i="2"/>
  <c r="Q24" i="2"/>
  <c r="P24" i="2"/>
  <c r="X24" i="2" s="1"/>
  <c r="O24" i="2"/>
  <c r="W24" i="2" s="1"/>
  <c r="N24" i="2"/>
  <c r="M24" i="2"/>
  <c r="Z23" i="2"/>
  <c r="Y23" i="2"/>
  <c r="W23" i="2"/>
  <c r="V23" i="2"/>
  <c r="U23" i="2"/>
  <c r="R23" i="2"/>
  <c r="Q23" i="2"/>
  <c r="P23" i="2"/>
  <c r="X23" i="2" s="1"/>
  <c r="O23" i="2"/>
  <c r="N23" i="2"/>
  <c r="M23" i="2"/>
  <c r="Z22" i="2"/>
  <c r="Y22" i="2"/>
  <c r="V22" i="2"/>
  <c r="U22" i="2"/>
  <c r="R22" i="2"/>
  <c r="Q22" i="2"/>
  <c r="P22" i="2"/>
  <c r="X22" i="2" s="1"/>
  <c r="O22" i="2"/>
  <c r="W22" i="2" s="1"/>
  <c r="N22" i="2"/>
  <c r="M22" i="2"/>
  <c r="Z21" i="2"/>
  <c r="Y21" i="2"/>
  <c r="W21" i="2"/>
  <c r="V21" i="2"/>
  <c r="U21" i="2"/>
  <c r="R21" i="2"/>
  <c r="Q21" i="2"/>
  <c r="P21" i="2"/>
  <c r="X21" i="2" s="1"/>
  <c r="O21" i="2"/>
  <c r="N21" i="2"/>
  <c r="M21" i="2"/>
  <c r="Z20" i="2"/>
  <c r="Y20" i="2"/>
  <c r="V20" i="2"/>
  <c r="U20" i="2"/>
  <c r="R20" i="2"/>
  <c r="Q20" i="2"/>
  <c r="P20" i="2"/>
  <c r="X20" i="2" s="1"/>
  <c r="O20" i="2"/>
  <c r="W20" i="2" s="1"/>
  <c r="N20" i="2"/>
  <c r="M20" i="2"/>
  <c r="Z19" i="2"/>
  <c r="Y19" i="2"/>
  <c r="W19" i="2"/>
  <c r="V19" i="2"/>
  <c r="U19" i="2"/>
  <c r="R19" i="2"/>
  <c r="Q19" i="2"/>
  <c r="P19" i="2"/>
  <c r="X19" i="2" s="1"/>
  <c r="O19" i="2"/>
  <c r="N19" i="2"/>
  <c r="M19" i="2"/>
  <c r="Z18" i="2"/>
  <c r="Y18" i="2"/>
  <c r="V18" i="2"/>
  <c r="U18" i="2"/>
  <c r="R18" i="2"/>
  <c r="Q18" i="2"/>
  <c r="P18" i="2"/>
  <c r="X18" i="2" s="1"/>
  <c r="O18" i="2"/>
  <c r="W18" i="2" s="1"/>
  <c r="N18" i="2"/>
  <c r="M18" i="2"/>
  <c r="Z17" i="2"/>
  <c r="Y17" i="2"/>
  <c r="W17" i="2"/>
  <c r="V17" i="2"/>
  <c r="U17" i="2"/>
  <c r="R17" i="2"/>
  <c r="Q17" i="2"/>
  <c r="P17" i="2"/>
  <c r="X17" i="2" s="1"/>
  <c r="O17" i="2"/>
  <c r="N17" i="2"/>
  <c r="M17" i="2"/>
  <c r="Z16" i="2"/>
  <c r="Y16" i="2"/>
  <c r="V16" i="2"/>
  <c r="U16" i="2"/>
  <c r="R16" i="2"/>
  <c r="Q16" i="2"/>
  <c r="P16" i="2"/>
  <c r="X16" i="2" s="1"/>
  <c r="O16" i="2"/>
  <c r="W16" i="2" s="1"/>
  <c r="N16" i="2"/>
  <c r="M16" i="2"/>
  <c r="Z15" i="2"/>
  <c r="Y15" i="2"/>
  <c r="W15" i="2"/>
  <c r="V15" i="2"/>
  <c r="U15" i="2"/>
  <c r="R15" i="2"/>
  <c r="Q15" i="2"/>
  <c r="P15" i="2"/>
  <c r="X15" i="2" s="1"/>
  <c r="O15" i="2"/>
  <c r="N15" i="2"/>
  <c r="M15" i="2"/>
  <c r="Z14" i="2"/>
  <c r="Y14" i="2"/>
  <c r="V14" i="2"/>
  <c r="U14" i="2"/>
  <c r="R14" i="2"/>
  <c r="Q14" i="2"/>
  <c r="P14" i="2"/>
  <c r="X14" i="2" s="1"/>
  <c r="O14" i="2"/>
  <c r="W14" i="2" s="1"/>
  <c r="N14" i="2"/>
  <c r="M14" i="2"/>
  <c r="Z13" i="2"/>
  <c r="Y13" i="2"/>
  <c r="W13" i="2"/>
  <c r="V13" i="2"/>
  <c r="U13" i="2"/>
  <c r="R13" i="2"/>
  <c r="Q13" i="2"/>
  <c r="P13" i="2"/>
  <c r="X13" i="2" s="1"/>
  <c r="O13" i="2"/>
  <c r="N13" i="2"/>
  <c r="M13" i="2"/>
  <c r="Z12" i="2"/>
  <c r="Y12" i="2"/>
  <c r="V12" i="2"/>
  <c r="U12" i="2"/>
  <c r="R12" i="2"/>
  <c r="Q12" i="2"/>
  <c r="P12" i="2"/>
  <c r="X12" i="2" s="1"/>
  <c r="O12" i="2"/>
  <c r="W12" i="2" s="1"/>
  <c r="N12" i="2"/>
  <c r="M12" i="2"/>
  <c r="Z11" i="2"/>
  <c r="Y11" i="2"/>
  <c r="W11" i="2"/>
  <c r="V11" i="2"/>
  <c r="U11" i="2"/>
  <c r="R11" i="2"/>
  <c r="Q11" i="2"/>
  <c r="P11" i="2"/>
  <c r="X11" i="2" s="1"/>
  <c r="O11" i="2"/>
  <c r="N11" i="2"/>
  <c r="M11" i="2"/>
  <c r="Z10" i="2"/>
  <c r="Y10" i="2"/>
  <c r="V10" i="2"/>
  <c r="U10" i="2"/>
  <c r="R10" i="2"/>
  <c r="Q10" i="2"/>
  <c r="P10" i="2"/>
  <c r="X10" i="2" s="1"/>
  <c r="O10" i="2"/>
  <c r="W10" i="2" s="1"/>
  <c r="N10" i="2"/>
  <c r="M10" i="2"/>
  <c r="Z9" i="2"/>
  <c r="Y9" i="2"/>
  <c r="W9" i="2"/>
  <c r="V9" i="2"/>
  <c r="U9" i="2"/>
  <c r="R9" i="2"/>
  <c r="Q9" i="2"/>
  <c r="P9" i="2"/>
  <c r="X9" i="2" s="1"/>
  <c r="O9" i="2"/>
  <c r="N9" i="2"/>
  <c r="M9" i="2"/>
  <c r="Z8" i="2"/>
  <c r="Y8" i="2"/>
  <c r="V8" i="2"/>
  <c r="U8" i="2"/>
  <c r="R8" i="2"/>
  <c r="Q8" i="2"/>
  <c r="P8" i="2"/>
  <c r="X8" i="2" s="1"/>
  <c r="O8" i="2"/>
  <c r="W8" i="2" s="1"/>
  <c r="N8" i="2"/>
  <c r="M8" i="2"/>
  <c r="Z7" i="2"/>
  <c r="Y7" i="2"/>
  <c r="W7" i="2"/>
  <c r="V7" i="2"/>
  <c r="U7" i="2"/>
  <c r="R7" i="2"/>
  <c r="Q7" i="2"/>
  <c r="P7" i="2"/>
  <c r="X7" i="2" s="1"/>
  <c r="O7" i="2"/>
  <c r="N7" i="2"/>
  <c r="M7" i="2"/>
  <c r="Z6" i="2"/>
  <c r="Y6" i="2"/>
  <c r="V6" i="2"/>
  <c r="U6" i="2"/>
  <c r="R6" i="2"/>
  <c r="Q6" i="2"/>
  <c r="P6" i="2"/>
  <c r="X6" i="2" s="1"/>
  <c r="O6" i="2"/>
  <c r="W6" i="2" s="1"/>
  <c r="N6" i="2"/>
  <c r="M6" i="2"/>
  <c r="Z5" i="2"/>
  <c r="Y5" i="2"/>
  <c r="W5" i="2"/>
  <c r="V5" i="2"/>
  <c r="U5" i="2"/>
  <c r="R5" i="2"/>
  <c r="Q5" i="2"/>
  <c r="P5" i="2"/>
  <c r="X5" i="2" s="1"/>
  <c r="O5" i="2"/>
  <c r="N5" i="2"/>
  <c r="M5" i="2"/>
  <c r="Z4" i="2"/>
  <c r="Y4" i="2"/>
  <c r="V4" i="2"/>
  <c r="U4" i="2"/>
  <c r="R4" i="2"/>
  <c r="Q4" i="2"/>
  <c r="P4" i="2"/>
  <c r="X4" i="2" s="1"/>
  <c r="O4" i="2"/>
  <c r="W4" i="2" s="1"/>
  <c r="N4" i="2"/>
  <c r="M4" i="2"/>
  <c r="Z3" i="2"/>
  <c r="Y3" i="2"/>
  <c r="W3" i="2"/>
  <c r="V3" i="2"/>
  <c r="U3" i="2"/>
  <c r="R3" i="2"/>
  <c r="Q3" i="2"/>
  <c r="P3" i="2"/>
  <c r="X3" i="2" s="1"/>
  <c r="O3" i="2"/>
  <c r="N3" i="2"/>
  <c r="M3" i="2"/>
</calcChain>
</file>

<file path=xl/sharedStrings.xml><?xml version="1.0" encoding="utf-8"?>
<sst xmlns="http://schemas.openxmlformats.org/spreadsheetml/2006/main" count="518" uniqueCount="217">
  <si>
    <t>2019 Baseline * % increase:</t>
  </si>
  <si>
    <t>Analysis assuming 5% increase each year</t>
  </si>
  <si>
    <t xml:space="preserve">Partners of the Americas Salary Ranges for NIGERIA                                 </t>
  </si>
  <si>
    <t>Job Positions &amp; Bands</t>
  </si>
  <si>
    <t>Experience</t>
  </si>
  <si>
    <t>Minimum USD</t>
  </si>
  <si>
    <t>Minimum NGN</t>
  </si>
  <si>
    <t>Midpoint USD</t>
  </si>
  <si>
    <t>Midpoint NGN</t>
  </si>
  <si>
    <t>Maximum USD</t>
  </si>
  <si>
    <t>Maximum NGN</t>
  </si>
  <si>
    <t>FFPr Nigeria Positions</t>
  </si>
  <si>
    <t>Comments</t>
  </si>
  <si>
    <t>Core competencies</t>
  </si>
  <si>
    <t>Level</t>
  </si>
  <si>
    <t>Yrs Exp</t>
  </si>
  <si>
    <t>Position</t>
  </si>
  <si>
    <t>- Management Skills:  Project mgmt</t>
  </si>
  <si>
    <t>Officer</t>
  </si>
  <si>
    <t>Maintenance
Driver
Assistant</t>
  </si>
  <si>
    <t>Grade A</t>
  </si>
  <si>
    <t>I</t>
  </si>
  <si>
    <t>Minimum: no degree; no experience; no technical skills.
Maximum: Grad school started;or 0-6 month of experience; with some technical skills.</t>
  </si>
  <si>
    <t>- Leadership Skills:  Project mgmt and personnel mgmt</t>
  </si>
  <si>
    <t>·Accountant Analyst – Field Office
·Administrative Officer
·Communications Officer
·Communication &amp; Outreach Officer
·Membership Officer
·Program Officer, CPU
·Program Officer, EGC
·Program Officer, EDH</t>
  </si>
  <si>
    <r>
      <rPr>
        <b/>
        <sz val="8"/>
        <color rgb="FF000000"/>
        <rFont val="Times New Roman"/>
        <family val="1"/>
      </rPr>
      <t>Provide physical and mechanic support  Core competencies required:                                                                                                           -</t>
    </r>
    <r>
      <rPr>
        <sz val="8"/>
        <color rgb="FF000000"/>
        <rFont val="Times New Roman"/>
        <family val="1"/>
      </rPr>
      <t>Ability to write effectively and think critically.                                                                                                           -Ability to work in a team as well as independently and demonstrate consistency</t>
    </r>
  </si>
  <si>
    <t xml:space="preserve"> No degree. No experience. No technical skills.</t>
  </si>
  <si>
    <t>- I added calculations to show the % increase between each point; I will hide these before sharing</t>
  </si>
  <si>
    <t>,00</t>
  </si>
  <si>
    <t>II</t>
  </si>
  <si>
    <t>2-4</t>
  </si>
  <si>
    <t>Minimum: Level I + min 2 years of experience, with some technical skills.</t>
  </si>
  <si>
    <t>Driver</t>
  </si>
  <si>
    <t>- Note that these % increases are higher than the max 5% estimated increase each year</t>
  </si>
  <si>
    <t xml:space="preserve"> Bachelors degree + least 2 years of experience. Some technical skills or min 2 years in level I</t>
  </si>
  <si>
    <t>III</t>
  </si>
  <si>
    <t>4-6</t>
  </si>
  <si>
    <t>Minimum: 2 years of experience in Level II.</t>
  </si>
  <si>
    <t xml:space="preserve"> Masters degree + least 3 years experience level II; some technical skills; preferred min bilingual.</t>
  </si>
  <si>
    <t>Senior Officer</t>
  </si>
  <si>
    <t>Officer/Technical Officer
Sr. Officer/Sr. Technical Officer</t>
  </si>
  <si>
    <t>Grade B</t>
  </si>
  <si>
    <t>Minimum: 2 years of experience in Officer Level II, or equivalent; management skills demonstrated.</t>
  </si>
  <si>
    <t xml:space="preserve">·Senior Accountant
·Senior Program Officer, EDH
·Senior Program Officer, EGC
·Senior Program Officer, CPU </t>
  </si>
  <si>
    <r>
      <rPr>
        <b/>
        <sz val="8"/>
        <color rgb="FF000000"/>
        <rFont val="Times New Roman"/>
        <family val="1"/>
      </rPr>
      <t>Process basic transaction
Execute intrincate transactions
Core competencies:</t>
    </r>
    <r>
      <rPr>
        <sz val="8"/>
        <color rgb="FF000000"/>
        <rFont val="Times New Roman"/>
        <family val="1"/>
      </rPr>
      <t xml:space="preserve">
-Thorough understanding of federal award management (program SOs)
-Ability to contribute high-quality subsections of donor/partner reports/proposals
-Ability to competently contribute during donor/partner meetings
-Ability to manage 1-2 interns</t>
    </r>
  </si>
  <si>
    <t>2 years of experience in Officer Level II, or equivalent; management skills demonstrated.</t>
  </si>
  <si>
    <t>4-7</t>
  </si>
  <si>
    <t>Minimum: Masters degree preferred + at least 4 years of experience; 1 year as Sr Officer level I; technical skills required; leadership experience and language desired.
Ability to competently serve as interim-Associate Director when necessary.</t>
  </si>
  <si>
    <t>Masters degree preferred; 7+ years experience; 3 years as Sr Officer level I; technical skills required and leadership knowledge desired; preferred min bilingual.</t>
  </si>
  <si>
    <t>Associate Director</t>
  </si>
  <si>
    <t>Coordinator 
Specialist
Sr. Specialist 
Manager</t>
  </si>
  <si>
    <t>Grade C</t>
  </si>
  <si>
    <t xml:space="preserve">Minimum: Bachelors degree. 6+ years experience; 2+ years as Sr Officer Level I or II; technical skills and leadership experience required; preferred min bilingual.
</t>
  </si>
  <si>
    <t>- Note that AD level and above are part of the SMT (Senior Management Team)</t>
  </si>
  <si>
    <t xml:space="preserve">·Associate Director, EDH - F2F
·Associate Director, EDH - AVOP
·Associate Director, EGC
·Associate Director, BD
·Associate Director, Membership
·Executive Administrative Officer </t>
  </si>
  <si>
    <r>
      <rPr>
        <b/>
        <sz val="8"/>
        <color rgb="FF000000"/>
        <rFont val="Times New Roman"/>
        <family val="1"/>
      </rPr>
      <t xml:space="preserve">Ensure process integrity
Manage integrated processes
In addition to grade B core competencies:
</t>
    </r>
    <r>
      <rPr>
        <sz val="8"/>
        <color rgb="FF000000"/>
        <rFont val="Times New Roman"/>
        <family val="1"/>
      </rPr>
      <t>-Ability to write high-quality full sections of proposals/reports
-Ability to deliver high-quality, detail-oriented, and professional donor/partner reports
-Ability to competently lead a donor/partner meeting
-Ability to manage 2-3 staff and/or interns</t>
    </r>
  </si>
  <si>
    <t>Bachelors degree. 6+ years experience; 2+ years as Sr Officer Level I or II; technical skills and leadership experience required; preferred min bilingual.</t>
  </si>
  <si>
    <t>Minimum: 3 additional years experience as AD Level I, or equivalent; international experience desired;
or Level I + Masters degree; international experience desired.</t>
  </si>
  <si>
    <t>M&amp;E Specialist
Accountant
Compliance &amp; Procurement Specialist</t>
  </si>
  <si>
    <t>4 yrs experience as manger/specialist level I; technical skills and leadership experience required; language required; international experience desired.</t>
  </si>
  <si>
    <t>Minimum: Level II + Masters degree + 3 additional years experience as AD Level II; international experience desired.
Ability to competently serve as interim-Director when necessary.</t>
  </si>
  <si>
    <t>Technical Lead US Exports
Technical Lead Access to Finance
Comms / Strategic Partnerships Mgr
Administration / HR Manager
Grants &amp; Contracts Manager</t>
  </si>
  <si>
    <t>Masters degree. 8+ years experience; 3 years as Manager or specialist Level II; international experience desired.</t>
  </si>
  <si>
    <t>Director</t>
  </si>
  <si>
    <t xml:space="preserve">Project Manager
Director (F&amp;A, M&amp;E, Technical)
Sr. Director
</t>
  </si>
  <si>
    <t>Grade D</t>
  </si>
  <si>
    <t>Minimum:  Masters degree and AD Level II or 3 years as AD Level I or equivalent; proven technical skills and leadership experience; 2nd language required; international experience desired.</t>
  </si>
  <si>
    <t>·Director of 100,000 Strong
·Director of EGC
·Director, BD</t>
  </si>
  <si>
    <r>
      <rPr>
        <b/>
        <sz val="8"/>
        <color rgb="FF000000"/>
        <rFont val="Times New Roman"/>
        <family val="1"/>
      </rPr>
      <t>Analyze - Adapt
In addition to Grade C core competencies:</t>
    </r>
    <r>
      <rPr>
        <sz val="8"/>
        <color rgb="FF000000"/>
        <rFont val="Times New Roman"/>
        <family val="1"/>
      </rPr>
      <t xml:space="preserve">
-Ability to lead a full proposal (design, strategy, delegation of duties, etc.)
-Ability to ensure full programmatic and financial compliance of a federal award from startup through closeout
-Ability to manage 3-5 staff, including remote supervision of field staff</t>
    </r>
  </si>
  <si>
    <t>manager/specialist Level I + Masters degree and 2 years as manager or equivalent; 2nd language required; international experience desired.</t>
  </si>
  <si>
    <t>Minimum: At least 2 years as Director Level I, or equivalent.</t>
  </si>
  <si>
    <t>F&amp;A Director
M&amp;E Director
Technical Director</t>
  </si>
  <si>
    <t>F&amp;A: $3,500/month, equal to $42,000 annually, is below the $60,000 to $85,000 benchmark range for Finance &amp; Administration Directors on $10 to 20 million USG funded programs in Nigeria. The rate is defensible under donor cost reasonableness review while reflecting the role's requirements: ten plus years of finance leadership, USG compliance expertise, supervision of three staff, and key personnel responsibility on a USDA award.</t>
  </si>
  <si>
    <t>At least 3 years as Director Level I &amp; II.</t>
  </si>
  <si>
    <t>12-14</t>
  </si>
  <si>
    <t>Minimum: At least 2 years as Director Level II.
Ability to competently serve as interim-Sr Director when necessary.</t>
  </si>
  <si>
    <t>At least 4 years as Director Level II &amp; III.</t>
  </si>
  <si>
    <t>Deputy Chief of Party/Deputy Project Director
Chief of Party/Project Director</t>
  </si>
  <si>
    <t>Grade E</t>
  </si>
  <si>
    <t>Minimum: At least 2 years as Director or 
equivalent; proven high confidence and decision - making; strong leader and manager</t>
  </si>
  <si>
    <r>
      <rPr>
        <b/>
        <sz val="8"/>
        <color rgb="FF000000"/>
        <rFont val="Times New Roman"/>
        <family val="1"/>
      </rPr>
      <t xml:space="preserve">In addition to Director competencies:
</t>
    </r>
    <r>
      <rPr>
        <sz val="8"/>
        <color rgb="FF000000"/>
        <rFont val="Times New Roman"/>
        <family val="1"/>
      </rPr>
      <t>-Ability to raise public and/or private funds
-Ability to manage multiple federal awards
-Ability to execute strategic and operational plans for the units
- Ability to manage a full team (staff, interns, contractors), including remote supervision of field 
staff</t>
    </r>
  </si>
  <si>
    <t>At least 2 years as Director; proven high 
confidence and decision-making; strong 
leader and manager.</t>
  </si>
  <si>
    <t>Minimum:  Dual or multiple Masters Degrees; at 
least 2 years as Sr. Director Level I; proven high 
confidence and decision-making; strong leader and 
manager.</t>
  </si>
  <si>
    <t>Dual or multiple Masters Degrees; at least 3 
years as Sr. Director; proven high 
confidence and decision-making; strong 
leader and manager</t>
  </si>
  <si>
    <t>Minimum: PhD "preference"; at least 2 years as Sr. 
Director.
Ability to competently serve as interim Vice - President when necesary.</t>
  </si>
  <si>
    <t>COP</t>
  </si>
  <si>
    <t>COP was selected from over 140 applicants. His salary is justified by his 24 years managing USG and multi-donor programs and is below both market benchmarks and candidate expectations: Chief of Party salaries for USG funded programs of this size in Nigeria range from USD 100,000 to USD 140,000, with a typical target of USD 115,000 to USD 130,000, and the more than 20 candidates interviewed stated salary expectations ranging from USD 120,000 to USD 180,000, above his agreed salary.</t>
  </si>
  <si>
    <t>PhD preferance required.14+ years of 
experience; at least 4 years as Sr. Director or 
equivalent_x000D_</t>
  </si>
  <si>
    <t>Birches 2025 NGN</t>
  </si>
  <si>
    <t>Estimado 2026 con incremento del 3% NGN</t>
  </si>
  <si>
    <t>Estimado 2026 con incremento del 3% USD</t>
  </si>
  <si>
    <t>Purpose</t>
  </si>
  <si>
    <t>Proposed Field Office Grade</t>
  </si>
  <si>
    <t>Bajo</t>
  </si>
  <si>
    <t>Percentil 25</t>
  </si>
  <si>
    <t>Percentil 50</t>
  </si>
  <si>
    <t>Percentil 75</t>
  </si>
  <si>
    <t xml:space="preserve">Alto </t>
  </si>
  <si>
    <t xml:space="preserve">Media </t>
  </si>
  <si>
    <t>BG-12</t>
  </si>
  <si>
    <t>Integrate-Transform</t>
  </si>
  <si>
    <t>Poa-E</t>
  </si>
  <si>
    <t>BG-12 Executive</t>
  </si>
  <si>
    <t>Máx.</t>
  </si>
  <si>
    <t>Med</t>
  </si>
  <si>
    <t>Min.</t>
  </si>
  <si>
    <t>BG-11</t>
  </si>
  <si>
    <t>Innovate</t>
  </si>
  <si>
    <t>BG-11 Country Directors</t>
  </si>
  <si>
    <t>BG-10</t>
  </si>
  <si>
    <t>Adapt</t>
  </si>
  <si>
    <t>Poa-D</t>
  </si>
  <si>
    <t>BG-10 Project Director/COP</t>
  </si>
  <si>
    <t>BG-9</t>
  </si>
  <si>
    <t>Analyze</t>
  </si>
  <si>
    <t>BG-9 DCOP/DPD/Director of Function XX</t>
  </si>
  <si>
    <t>BG-8</t>
  </si>
  <si>
    <t>Apply Basic Concepts</t>
  </si>
  <si>
    <t xml:space="preserve"> </t>
  </si>
  <si>
    <t>BG-8 Transitional Managerial</t>
  </si>
  <si>
    <t>BG-7</t>
  </si>
  <si>
    <t>Manage Integrated Processes</t>
  </si>
  <si>
    <t>Poa-C</t>
  </si>
  <si>
    <t>BG-7 Manager/Specialist</t>
  </si>
  <si>
    <t>BG-6</t>
  </si>
  <si>
    <t>Ensure Process Integrity</t>
  </si>
  <si>
    <t>BG-6 Coordinator/Jr Specialist</t>
  </si>
  <si>
    <t>BG-5</t>
  </si>
  <si>
    <t>Execute Intricate Transactions</t>
  </si>
  <si>
    <t>Poa-B</t>
  </si>
  <si>
    <t>BG-5 Sr. Officer/Sr. Technical</t>
  </si>
  <si>
    <t>BG-4</t>
  </si>
  <si>
    <t>Process Basic Transactions</t>
  </si>
  <si>
    <t>BG-4 Officer/Technical</t>
  </si>
  <si>
    <t>BG-3</t>
  </si>
  <si>
    <t>Provide General Support</t>
  </si>
  <si>
    <t>Poa-A</t>
  </si>
  <si>
    <t>BG-3 Assistant</t>
  </si>
  <si>
    <t>BG-2</t>
  </si>
  <si>
    <t>Provide Mechanical Support</t>
  </si>
  <si>
    <t>BG-2 Driver</t>
  </si>
  <si>
    <t>BG-1</t>
  </si>
  <si>
    <t>Provide Physical Support</t>
  </si>
  <si>
    <t>BG-1 Maintenance</t>
  </si>
  <si>
    <t>remuneración total (salario base + bonificaciones y asignaciones fijas en efectivo + pagos variables/basados en el rendimiento + prestaciones en</t>
  </si>
  <si>
    <t>TRM</t>
  </si>
  <si>
    <t>For field offices</t>
  </si>
  <si>
    <t>CCN Honduran Field Staff (LOE)</t>
  </si>
  <si>
    <t>Salario mensaul UDS</t>
  </si>
  <si>
    <t>Salario mensual HNL</t>
  </si>
  <si>
    <t>Salario anual UDS</t>
  </si>
  <si>
    <t>Salario anual HNL</t>
  </si>
  <si>
    <t xml:space="preserve">Key Personnel: Chief of Party </t>
  </si>
  <si>
    <t>POA D</t>
  </si>
  <si>
    <t xml:space="preserve">Key Personnel: Deputy Chief of Party </t>
  </si>
  <si>
    <t>Policy &amp; Sustainability Specialist</t>
  </si>
  <si>
    <t>POA C</t>
  </si>
  <si>
    <t>Education Director </t>
  </si>
  <si>
    <t>Education Specialist</t>
  </si>
  <si>
    <t>Education Officer</t>
  </si>
  <si>
    <t>POA B</t>
  </si>
  <si>
    <t>Nutrition and Health Specialist</t>
  </si>
  <si>
    <t>Nutrition Officer - (2 Individuals)</t>
  </si>
  <si>
    <t>School Feeding Specialist</t>
  </si>
  <si>
    <t>Food Aid Monitors - (2 Individuals)</t>
  </si>
  <si>
    <t>WASH Officer</t>
  </si>
  <si>
    <t>Communications Specialist</t>
  </si>
  <si>
    <t>Communications Officer</t>
  </si>
  <si>
    <t>Education &amp; Community Engagement Specialist</t>
  </si>
  <si>
    <t>Education &amp; Community Engagement Officer</t>
  </si>
  <si>
    <t>Private Sector Specialist</t>
  </si>
  <si>
    <t>Key Personnel: M&amp;E Director </t>
  </si>
  <si>
    <t>M&amp;E Specialist</t>
  </si>
  <si>
    <t>M&amp;E Officer</t>
  </si>
  <si>
    <t>Supply Chain Manager</t>
  </si>
  <si>
    <t>In-Country Logistics Specialist</t>
  </si>
  <si>
    <t>US Commodity Logistics Specialist</t>
  </si>
  <si>
    <t>Warehouse Manager</t>
  </si>
  <si>
    <t>Warehouse Officer - (2 Individuals)</t>
  </si>
  <si>
    <t>LRP Technical Specialist </t>
  </si>
  <si>
    <t>Finance &amp; Administration Director</t>
  </si>
  <si>
    <t>Contracts &amp; Compliance Manager</t>
  </si>
  <si>
    <t>Grants &amp; Procurement Specialist</t>
  </si>
  <si>
    <t>Grants &amp; Procurement Officer</t>
  </si>
  <si>
    <t>Finance Officer</t>
  </si>
  <si>
    <t>Accountant</t>
  </si>
  <si>
    <t>Operation &amp; HR Manager</t>
  </si>
  <si>
    <t>Administrative Assistant - (2 Individuals)</t>
  </si>
  <si>
    <t>POA A</t>
  </si>
  <si>
    <t>Driver - (2 Individuals)</t>
  </si>
  <si>
    <t>Maintenance (Nivel I)</t>
  </si>
  <si>
    <t>Driver (Nivel II)</t>
  </si>
  <si>
    <t>Assistant (Nivel III)</t>
  </si>
  <si>
    <t xml:space="preserve"> Minimum </t>
  </si>
  <si>
    <t xml:space="preserve"> Median </t>
  </si>
  <si>
    <t xml:space="preserve"> Maximum </t>
  </si>
  <si>
    <t>FFPr Nigeria</t>
  </si>
  <si>
    <t>(Nivel I)</t>
  </si>
  <si>
    <t>Program Officer (Nivel II)</t>
  </si>
  <si>
    <t>Coordinator (Nivel I)</t>
  </si>
  <si>
    <t>Specialist (Nivel II)</t>
  </si>
  <si>
    <t>Manager (Nivel III)</t>
  </si>
  <si>
    <t>Technical Lead · US Exports</t>
  </si>
  <si>
    <t>Technical Lead · Access to Finance</t>
  </si>
  <si>
    <t>Compliance &amp; Procurement Specialist</t>
  </si>
  <si>
    <t>Comms / Strategic Partnerships Mgr</t>
  </si>
  <si>
    <t>Administration / HR Manager</t>
  </si>
  <si>
    <t>Grants &amp; Contracts Manager</t>
  </si>
  <si>
    <t>Project Manager (Nivel I)</t>
  </si>
  <si>
    <t>Director (Nivel II)</t>
  </si>
  <si>
    <t>Senior Director (Nivel III)</t>
  </si>
  <si>
    <t>F&amp;A Director</t>
  </si>
  <si>
    <t>M&amp;E Director</t>
  </si>
  <si>
    <t>Technical Director</t>
  </si>
  <si>
    <t>Deputy Project Director (Nivel I)</t>
  </si>
  <si>
    <t>Deputy Chief of Party (Nivel II)</t>
  </si>
  <si>
    <t>Chief of Party (Nivel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</si>
</sst>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_(* #,##0_);_(* \(#,##0\);_(* \-??_);_(@_)"/>
    <numFmt numFmtId="165" formatCode="#,##0.0000"/>
    <numFmt numFmtId="166" formatCode="\$#,##0.00"/>
    <numFmt numFmtId="167" formatCode="_([$NGN]\ * #,##0_);_([$NGN]\ * \(#,##0\);_([$NGN]\ * &quot;-&quot;??_);_(@_)"/>
    <numFmt numFmtId="168" formatCode="&quot;$&quot;#,##0.0_);[Red]\(&quot;$&quot;#,##0.0\)"/>
  </numFmts>
  <fonts count="4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1"/>
    </font>
    <font>
      <b/>
      <sz val="12"/>
      <color rgb="FF000000"/>
      <name val="Aptos Narrow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0000"/>
      <name val="Aptos Narrow"/>
      <family val="2"/>
      <charset val="1"/>
    </font>
    <font>
      <sz val="11"/>
      <color rgb="FFFF0000"/>
      <name val="Aptos Narrow"/>
      <family val="2"/>
      <charset val="1"/>
    </font>
    <font>
      <b/>
      <sz val="11"/>
      <color rgb="FFFFFFFF"/>
      <name val="Aptos Narrow"/>
      <family val="2"/>
      <charset val="1"/>
    </font>
    <font>
      <sz val="11"/>
      <color rgb="FFFFFFFF"/>
      <name val="Aptos Narrow"/>
      <family val="2"/>
      <charset val="1"/>
    </font>
    <font>
      <sz val="11"/>
      <color theme="0"/>
      <name val="Aptos Narrow"/>
      <family val="2"/>
      <charset val="1"/>
    </font>
    <font>
      <b/>
      <sz val="11"/>
      <color theme="0"/>
      <name val="Aptos Narrow"/>
      <family val="2"/>
      <charset val="1"/>
    </font>
    <font>
      <sz val="12"/>
      <color theme="1"/>
      <name val="Times New Roman"/>
      <family val="1"/>
      <charset val="1"/>
    </font>
    <font>
      <i/>
      <u/>
      <sz val="11"/>
      <color theme="1"/>
      <name val="Calibri"/>
      <family val="2"/>
      <charset val="1"/>
    </font>
    <font>
      <b/>
      <sz val="11"/>
      <color rgb="FF242424"/>
      <name val="Aptos Narrow"/>
      <family val="2"/>
      <charset val="1"/>
    </font>
    <font>
      <sz val="12"/>
      <color rgb="FF000000"/>
      <name val="Aptos Narrow"/>
      <family val="2"/>
      <charset val="1"/>
    </font>
    <font>
      <sz val="11"/>
      <color rgb="FF242424"/>
      <name val="Aptos Narrow"/>
      <family val="2"/>
      <charset val="1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16"/>
      <color rgb="FFFFFFFF"/>
      <name val="Times New Roman"/>
      <family val="1"/>
    </font>
    <font>
      <b/>
      <sz val="12"/>
      <color theme="0"/>
      <name val="Times New Roman"/>
      <family val="1"/>
    </font>
    <font>
      <b/>
      <sz val="13"/>
      <color theme="0"/>
      <name val="Times New Roman"/>
      <family val="1"/>
    </font>
    <font>
      <b/>
      <sz val="8"/>
      <color theme="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rgb="FFFF0000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sz val="6"/>
      <color theme="1"/>
      <name val="Times New Roman"/>
      <family val="1"/>
    </font>
    <font>
      <sz val="7"/>
      <color rgb="FFFF0000"/>
      <name val="Times New Roman"/>
      <family val="1"/>
    </font>
    <font>
      <sz val="7"/>
      <color theme="0"/>
      <name val="Times New Roman"/>
      <family val="1"/>
    </font>
    <font>
      <sz val="7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rgb="FFFFFF01"/>
      </patternFill>
    </fill>
    <fill>
      <patternFill patternType="solid">
        <fgColor rgb="FFCC63FF"/>
        <bgColor rgb="FF9999FF"/>
      </patternFill>
    </fill>
    <fill>
      <patternFill patternType="solid">
        <fgColor theme="2" tint="-0.249977111117893"/>
        <bgColor rgb="FFFAC090"/>
      </patternFill>
    </fill>
    <fill>
      <patternFill patternType="solid">
        <fgColor rgb="FFFEA600"/>
        <bgColor rgb="FFFFCC00"/>
      </patternFill>
    </fill>
    <fill>
      <patternFill patternType="solid">
        <fgColor rgb="FFFFFF01"/>
        <bgColor rgb="FFFFFF00"/>
      </patternFill>
    </fill>
    <fill>
      <patternFill patternType="solid">
        <fgColor rgb="FF00DE00"/>
        <bgColor rgb="FF4CAF50"/>
      </patternFill>
    </fill>
    <fill>
      <patternFill patternType="solid">
        <fgColor rgb="FF01FFFF"/>
        <bgColor rgb="FF00FFFF"/>
      </patternFill>
    </fill>
    <fill>
      <patternFill patternType="solid">
        <fgColor rgb="FF0203FB"/>
        <bgColor rgb="FF0000FF"/>
      </patternFill>
    </fill>
    <fill>
      <patternFill patternType="solid">
        <fgColor rgb="FF808080"/>
        <bgColor rgb="FF969696"/>
      </patternFill>
    </fill>
    <fill>
      <patternFill patternType="solid">
        <fgColor rgb="FFA526CD"/>
        <bgColor rgb="FF993366"/>
      </patternFill>
    </fill>
    <fill>
      <patternFill patternType="solid">
        <fgColor rgb="FF64C7FE"/>
        <bgColor rgb="FF33CCCC"/>
      </patternFill>
    </fill>
    <fill>
      <patternFill patternType="solid">
        <fgColor rgb="FFC7FF66"/>
        <bgColor rgb="FFFFFF65"/>
      </patternFill>
    </fill>
    <fill>
      <patternFill patternType="solid">
        <fgColor rgb="FF94C900"/>
        <bgColor rgb="FF4CAF50"/>
      </patternFill>
    </fill>
    <fill>
      <patternFill patternType="solid">
        <fgColor rgb="FF986401"/>
        <bgColor rgb="FF993300"/>
      </patternFill>
    </fill>
    <fill>
      <patternFill patternType="solid">
        <fgColor rgb="FF643102"/>
        <bgColor rgb="FF993300"/>
      </patternFill>
    </fill>
    <fill>
      <patternFill patternType="solid">
        <fgColor rgb="FF4CAF50"/>
        <bgColor rgb="FF33CCCC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6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 style="medium">
        <color indexed="64"/>
      </right>
      <top style="medium">
        <color rgb="FF000000"/>
      </top>
      <bottom/>
      <diagonal/>
    </border>
    <border>
      <left style="medium">
        <color auto="1"/>
      </left>
      <right/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/>
      <right style="medium">
        <color auto="1"/>
      </right>
      <top style="medium">
        <color rgb="FF000000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92">
    <xf numFmtId="0" fontId="0" fillId="0" borderId="0" xfId="0"/>
    <xf numFmtId="0" fontId="3" fillId="4" borderId="9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5" fillId="0" borderId="0" xfId="0" applyFont="1"/>
    <xf numFmtId="0" fontId="6" fillId="5" borderId="9" xfId="0" applyFont="1" applyFill="1" applyBorder="1" applyAlignment="1">
      <alignment horizontal="center" vertical="center" wrapText="1"/>
    </xf>
    <xf numFmtId="3" fontId="7" fillId="5" borderId="9" xfId="0" applyNumberFormat="1" applyFont="1" applyFill="1" applyBorder="1" applyAlignment="1">
      <alignment horizontal="right" vertical="center" wrapText="1"/>
    </xf>
    <xf numFmtId="4" fontId="7" fillId="5" borderId="9" xfId="0" applyNumberFormat="1" applyFont="1" applyFill="1" applyBorder="1" applyAlignment="1">
      <alignment horizontal="right" vertical="center" wrapText="1"/>
    </xf>
    <xf numFmtId="3" fontId="6" fillId="5" borderId="9" xfId="0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6" fillId="6" borderId="9" xfId="0" applyFont="1" applyFill="1" applyBorder="1" applyAlignment="1">
      <alignment horizontal="center" vertical="center" wrapText="1"/>
    </xf>
    <xf numFmtId="3" fontId="7" fillId="6" borderId="9" xfId="0" applyNumberFormat="1" applyFont="1" applyFill="1" applyBorder="1" applyAlignment="1">
      <alignment horizontal="right" vertical="center" wrapText="1"/>
    </xf>
    <xf numFmtId="3" fontId="7" fillId="2" borderId="9" xfId="0" applyNumberFormat="1" applyFont="1" applyFill="1" applyBorder="1" applyAlignment="1">
      <alignment horizontal="right" vertical="center" wrapText="1"/>
    </xf>
    <xf numFmtId="3" fontId="6" fillId="2" borderId="9" xfId="0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wrapText="1"/>
    </xf>
    <xf numFmtId="0" fontId="6" fillId="7" borderId="9" xfId="0" applyFont="1" applyFill="1" applyBorder="1" applyAlignment="1">
      <alignment horizontal="center" vertical="center" wrapText="1"/>
    </xf>
    <xf numFmtId="164" fontId="7" fillId="7" borderId="9" xfId="0" applyNumberFormat="1" applyFont="1" applyFill="1" applyBorder="1" applyAlignment="1">
      <alignment horizontal="right" vertical="center" wrapText="1"/>
    </xf>
    <xf numFmtId="3" fontId="7" fillId="7" borderId="9" xfId="0" applyNumberFormat="1" applyFont="1" applyFill="1" applyBorder="1" applyAlignment="1">
      <alignment horizontal="right" vertical="center" wrapText="1"/>
    </xf>
    <xf numFmtId="10" fontId="0" fillId="0" borderId="0" xfId="0" applyNumberFormat="1"/>
    <xf numFmtId="3" fontId="6" fillId="7" borderId="9" xfId="0" applyNumberFormat="1" applyFont="1" applyFill="1" applyBorder="1" applyAlignment="1">
      <alignment horizontal="right" vertical="center" wrapText="1"/>
    </xf>
    <xf numFmtId="0" fontId="6" fillId="8" borderId="9" xfId="0" applyFont="1" applyFill="1" applyBorder="1" applyAlignment="1">
      <alignment horizontal="center" vertical="center" wrapText="1"/>
    </xf>
    <xf numFmtId="3" fontId="7" fillId="8" borderId="9" xfId="0" applyNumberFormat="1" applyFont="1" applyFill="1" applyBorder="1" applyAlignment="1">
      <alignment vertical="center" wrapText="1"/>
    </xf>
    <xf numFmtId="3" fontId="7" fillId="8" borderId="9" xfId="0" applyNumberFormat="1" applyFont="1" applyFill="1" applyBorder="1" applyAlignment="1">
      <alignment horizontal="right" vertical="center" wrapText="1"/>
    </xf>
    <xf numFmtId="3" fontId="6" fillId="8" borderId="9" xfId="0" applyNumberFormat="1" applyFont="1" applyFill="1" applyBorder="1" applyAlignment="1">
      <alignment horizontal="right" vertical="center" wrapText="1"/>
    </xf>
    <xf numFmtId="0" fontId="6" fillId="9" borderId="9" xfId="0" applyFont="1" applyFill="1" applyBorder="1" applyAlignment="1">
      <alignment horizontal="center" vertical="center" wrapText="1"/>
    </xf>
    <xf numFmtId="3" fontId="7" fillId="9" borderId="9" xfId="0" applyNumberFormat="1" applyFont="1" applyFill="1" applyBorder="1" applyAlignment="1">
      <alignment vertical="center" wrapText="1"/>
    </xf>
    <xf numFmtId="3" fontId="7" fillId="9" borderId="9" xfId="0" applyNumberFormat="1" applyFont="1" applyFill="1" applyBorder="1" applyAlignment="1">
      <alignment horizontal="right" vertical="center" wrapText="1"/>
    </xf>
    <xf numFmtId="0" fontId="6" fillId="11" borderId="13" xfId="0" applyFont="1" applyFill="1" applyBorder="1" applyAlignment="1">
      <alignment horizontal="center" vertical="center" wrapText="1"/>
    </xf>
    <xf numFmtId="3" fontId="7" fillId="11" borderId="13" xfId="0" applyNumberFormat="1" applyFont="1" applyFill="1" applyBorder="1" applyAlignment="1">
      <alignment vertical="center" wrapText="1"/>
    </xf>
    <xf numFmtId="3" fontId="7" fillId="11" borderId="9" xfId="0" applyNumberFormat="1" applyFont="1" applyFill="1" applyBorder="1" applyAlignment="1">
      <alignment horizontal="right" vertical="center" wrapText="1"/>
    </xf>
    <xf numFmtId="3" fontId="6" fillId="11" borderId="9" xfId="0" applyNumberFormat="1" applyFont="1" applyFill="1" applyBorder="1" applyAlignment="1">
      <alignment horizontal="right" vertical="center" wrapText="1"/>
    </xf>
    <xf numFmtId="3" fontId="9" fillId="11" borderId="9" xfId="0" applyNumberFormat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 wrapText="1"/>
    </xf>
    <xf numFmtId="3" fontId="7" fillId="3" borderId="13" xfId="0" applyNumberFormat="1" applyFont="1" applyFill="1" applyBorder="1" applyAlignment="1">
      <alignment vertical="center" wrapText="1"/>
    </xf>
    <xf numFmtId="3" fontId="7" fillId="3" borderId="9" xfId="0" applyNumberFormat="1" applyFont="1" applyFill="1" applyBorder="1" applyAlignment="1">
      <alignment horizontal="right" vertical="center" wrapText="1"/>
    </xf>
    <xf numFmtId="3" fontId="6" fillId="3" borderId="9" xfId="0" applyNumberFormat="1" applyFont="1" applyFill="1" applyBorder="1" applyAlignment="1">
      <alignment horizontal="right" vertical="center" wrapText="1"/>
    </xf>
    <xf numFmtId="0" fontId="6" fillId="12" borderId="13" xfId="0" applyFont="1" applyFill="1" applyBorder="1" applyAlignment="1">
      <alignment horizontal="center" vertical="center" wrapText="1"/>
    </xf>
    <xf numFmtId="164" fontId="7" fillId="12" borderId="13" xfId="0" applyNumberFormat="1" applyFont="1" applyFill="1" applyBorder="1" applyAlignment="1">
      <alignment vertical="center" wrapText="1"/>
    </xf>
    <xf numFmtId="3" fontId="7" fillId="12" borderId="13" xfId="0" applyNumberFormat="1" applyFont="1" applyFill="1" applyBorder="1" applyAlignment="1">
      <alignment vertical="center" wrapText="1"/>
    </xf>
    <xf numFmtId="3" fontId="7" fillId="12" borderId="9" xfId="0" applyNumberFormat="1" applyFont="1" applyFill="1" applyBorder="1" applyAlignment="1">
      <alignment horizontal="right" vertical="center" wrapText="1"/>
    </xf>
    <xf numFmtId="3" fontId="6" fillId="13" borderId="13" xfId="0" applyNumberFormat="1" applyFont="1" applyFill="1" applyBorder="1" applyAlignment="1">
      <alignment horizontal="center" vertical="center" wrapText="1"/>
    </xf>
    <xf numFmtId="3" fontId="7" fillId="13" borderId="13" xfId="0" applyNumberFormat="1" applyFont="1" applyFill="1" applyBorder="1" applyAlignment="1">
      <alignment vertical="center" wrapText="1"/>
    </xf>
    <xf numFmtId="3" fontId="7" fillId="13" borderId="9" xfId="0" applyNumberFormat="1" applyFont="1" applyFill="1" applyBorder="1" applyAlignment="1">
      <alignment horizontal="right" vertical="center" wrapText="1"/>
    </xf>
    <xf numFmtId="3" fontId="6" fillId="13" borderId="9" xfId="0" applyNumberFormat="1" applyFont="1" applyFill="1" applyBorder="1" applyAlignment="1">
      <alignment horizontal="right" vertical="center" wrapText="1"/>
    </xf>
    <xf numFmtId="0" fontId="6" fillId="14" borderId="9" xfId="0" applyFont="1" applyFill="1" applyBorder="1" applyAlignment="1">
      <alignment horizontal="center" vertical="center" wrapText="1"/>
    </xf>
    <xf numFmtId="164" fontId="7" fillId="14" borderId="9" xfId="0" applyNumberFormat="1" applyFont="1" applyFill="1" applyBorder="1" applyAlignment="1">
      <alignment vertical="center" wrapText="1"/>
    </xf>
    <xf numFmtId="3" fontId="7" fillId="14" borderId="9" xfId="0" applyNumberFormat="1" applyFont="1" applyFill="1" applyBorder="1" applyAlignment="1">
      <alignment vertical="center" wrapText="1"/>
    </xf>
    <xf numFmtId="3" fontId="7" fillId="14" borderId="9" xfId="0" applyNumberFormat="1" applyFont="1" applyFill="1" applyBorder="1" applyAlignment="1">
      <alignment horizontal="right" vertical="center" wrapText="1"/>
    </xf>
    <xf numFmtId="3" fontId="9" fillId="14" borderId="9" xfId="0" applyNumberFormat="1" applyFont="1" applyFill="1" applyBorder="1" applyAlignment="1">
      <alignment horizontal="right" vertical="center" wrapText="1"/>
    </xf>
    <xf numFmtId="3" fontId="10" fillId="14" borderId="9" xfId="0" applyNumberFormat="1" applyFont="1" applyFill="1" applyBorder="1" applyAlignment="1">
      <alignment horizontal="right" vertical="center" wrapText="1"/>
    </xf>
    <xf numFmtId="0" fontId="11" fillId="15" borderId="9" xfId="0" applyFont="1" applyFill="1" applyBorder="1" applyAlignment="1">
      <alignment horizontal="center" vertical="center" wrapText="1"/>
    </xf>
    <xf numFmtId="164" fontId="12" fillId="15" borderId="9" xfId="0" applyNumberFormat="1" applyFont="1" applyFill="1" applyBorder="1" applyAlignment="1">
      <alignment vertical="center" wrapText="1"/>
    </xf>
    <xf numFmtId="3" fontId="13" fillId="15" borderId="9" xfId="0" applyNumberFormat="1" applyFont="1" applyFill="1" applyBorder="1" applyAlignment="1">
      <alignment horizontal="right" vertical="center" wrapText="1"/>
    </xf>
    <xf numFmtId="3" fontId="14" fillId="15" borderId="9" xfId="0" applyNumberFormat="1" applyFont="1" applyFill="1" applyBorder="1" applyAlignment="1">
      <alignment horizontal="right" vertical="center" wrapText="1"/>
    </xf>
    <xf numFmtId="0" fontId="11" fillId="16" borderId="9" xfId="0" applyFont="1" applyFill="1" applyBorder="1" applyAlignment="1">
      <alignment horizontal="center" vertical="center" wrapText="1"/>
    </xf>
    <xf numFmtId="164" fontId="12" fillId="16" borderId="9" xfId="0" applyNumberFormat="1" applyFont="1" applyFill="1" applyBorder="1" applyAlignment="1">
      <alignment vertical="center" wrapText="1"/>
    </xf>
    <xf numFmtId="3" fontId="14" fillId="16" borderId="9" xfId="0" applyNumberFormat="1" applyFont="1" applyFill="1" applyBorder="1" applyAlignment="1">
      <alignment horizontal="right" vertical="center" wrapText="1"/>
    </xf>
    <xf numFmtId="3" fontId="13" fillId="16" borderId="9" xfId="0" applyNumberFormat="1" applyFont="1" applyFill="1" applyBorder="1" applyAlignment="1">
      <alignment horizontal="right" vertical="center" wrapText="1"/>
    </xf>
    <xf numFmtId="165" fontId="0" fillId="0" borderId="0" xfId="0" applyNumberFormat="1"/>
    <xf numFmtId="0" fontId="15" fillId="0" borderId="0" xfId="0" applyFont="1" applyAlignment="1">
      <alignment horizontal="justify" vertical="center"/>
    </xf>
    <xf numFmtId="0" fontId="16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3" fontId="0" fillId="0" borderId="0" xfId="0" applyNumberFormat="1"/>
    <xf numFmtId="0" fontId="19" fillId="0" borderId="0" xfId="0" applyFont="1"/>
    <xf numFmtId="0" fontId="6" fillId="5" borderId="3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7" fillId="10" borderId="18" xfId="0" applyFont="1" applyFill="1" applyBorder="1" applyAlignment="1">
      <alignment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1" borderId="18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7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6" fillId="13" borderId="7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6" fillId="14" borderId="7" xfId="0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 vertical="center" wrapText="1"/>
    </xf>
    <xf numFmtId="0" fontId="11" fillId="15" borderId="7" xfId="0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 wrapText="1"/>
    </xf>
    <xf numFmtId="0" fontId="11" fillId="16" borderId="7" xfId="0" applyFont="1" applyFill="1" applyBorder="1" applyAlignment="1">
      <alignment horizontal="center" vertical="center" wrapText="1"/>
    </xf>
    <xf numFmtId="0" fontId="0" fillId="0" borderId="9" xfId="0" applyBorder="1"/>
    <xf numFmtId="0" fontId="21" fillId="0" borderId="9" xfId="0" applyFont="1" applyBorder="1" applyAlignment="1">
      <alignment horizontal="center" vertical="center"/>
    </xf>
    <xf numFmtId="0" fontId="22" fillId="0" borderId="9" xfId="0" applyFont="1" applyBorder="1" applyAlignment="1">
      <alignment horizontal="left" vertical="center"/>
    </xf>
    <xf numFmtId="166" fontId="21" fillId="0" borderId="9" xfId="0" applyNumberFormat="1" applyFont="1" applyBorder="1" applyAlignment="1">
      <alignment horizontal="right" vertical="center"/>
    </xf>
    <xf numFmtId="0" fontId="1" fillId="0" borderId="0" xfId="1"/>
    <xf numFmtId="0" fontId="23" fillId="0" borderId="0" xfId="1" applyFont="1"/>
    <xf numFmtId="167" fontId="1" fillId="0" borderId="0" xfId="1" applyNumberFormat="1"/>
    <xf numFmtId="0" fontId="1" fillId="0" borderId="0" xfId="1" applyAlignment="1">
      <alignment horizontal="right"/>
    </xf>
    <xf numFmtId="167" fontId="1" fillId="0" borderId="0" xfId="1" applyNumberFormat="1" applyAlignment="1">
      <alignment horizontal="right"/>
    </xf>
    <xf numFmtId="2" fontId="1" fillId="0" borderId="0" xfId="1" applyNumberFormat="1"/>
    <xf numFmtId="0" fontId="24" fillId="0" borderId="0" xfId="1" applyFont="1"/>
    <xf numFmtId="167" fontId="24" fillId="0" borderId="0" xfId="1" applyNumberFormat="1" applyFont="1"/>
    <xf numFmtId="0" fontId="26" fillId="19" borderId="0" xfId="1" applyFont="1" applyFill="1" applyAlignment="1">
      <alignment horizontal="center" vertical="center" wrapText="1"/>
    </xf>
    <xf numFmtId="0" fontId="28" fillId="19" borderId="25" xfId="1" applyFont="1" applyFill="1" applyBorder="1" applyAlignment="1">
      <alignment horizontal="center" vertical="center" wrapText="1"/>
    </xf>
    <xf numFmtId="0" fontId="27" fillId="19" borderId="26" xfId="1" applyFont="1" applyFill="1" applyBorder="1" applyAlignment="1">
      <alignment vertical="center" textRotation="180"/>
    </xf>
    <xf numFmtId="0" fontId="28" fillId="19" borderId="6" xfId="1" applyFont="1" applyFill="1" applyBorder="1" applyAlignment="1">
      <alignment horizontal="center" vertical="center" wrapText="1"/>
    </xf>
    <xf numFmtId="0" fontId="28" fillId="19" borderId="27" xfId="1" applyFont="1" applyFill="1" applyBorder="1" applyAlignment="1">
      <alignment horizontal="center" vertical="center" wrapText="1"/>
    </xf>
    <xf numFmtId="0" fontId="1" fillId="0" borderId="0" xfId="1" quotePrefix="1"/>
    <xf numFmtId="8" fontId="1" fillId="0" borderId="0" xfId="1" applyNumberFormat="1"/>
    <xf numFmtId="0" fontId="29" fillId="20" borderId="29" xfId="1" applyFont="1" applyFill="1" applyBorder="1" applyAlignment="1">
      <alignment vertical="center" wrapText="1"/>
    </xf>
    <xf numFmtId="0" fontId="30" fillId="20" borderId="29" xfId="1" applyFont="1" applyFill="1" applyBorder="1" applyAlignment="1">
      <alignment vertical="center" wrapText="1"/>
    </xf>
    <xf numFmtId="6" fontId="31" fillId="21" borderId="31" xfId="1" applyNumberFormat="1" applyFont="1" applyFill="1" applyBorder="1" applyAlignment="1">
      <alignment horizontal="center" vertical="center" wrapText="1"/>
    </xf>
    <xf numFmtId="167" fontId="31" fillId="21" borderId="32" xfId="1" applyNumberFormat="1" applyFont="1" applyFill="1" applyBorder="1" applyAlignment="1">
      <alignment horizontal="center" vertical="center" wrapText="1"/>
    </xf>
    <xf numFmtId="6" fontId="34" fillId="22" borderId="32" xfId="1" applyNumberFormat="1" applyFont="1" applyFill="1" applyBorder="1" applyAlignment="1">
      <alignment horizontal="center" vertical="center" wrapText="1"/>
    </xf>
    <xf numFmtId="167" fontId="34" fillId="22" borderId="31" xfId="1" applyNumberFormat="1" applyFont="1" applyFill="1" applyBorder="1" applyAlignment="1">
      <alignment horizontal="center" vertical="center" wrapText="1"/>
    </xf>
    <xf numFmtId="6" fontId="34" fillId="22" borderId="33" xfId="1" applyNumberFormat="1" applyFont="1" applyFill="1" applyBorder="1" applyAlignment="1">
      <alignment horizontal="center" vertical="center" wrapText="1"/>
    </xf>
    <xf numFmtId="8" fontId="23" fillId="0" borderId="0" xfId="1" applyNumberFormat="1" applyFont="1"/>
    <xf numFmtId="6" fontId="1" fillId="0" borderId="0" xfId="1" applyNumberFormat="1"/>
    <xf numFmtId="9" fontId="38" fillId="22" borderId="26" xfId="2" applyFont="1" applyFill="1" applyBorder="1" applyAlignment="1">
      <alignment horizontal="center" vertical="center" wrapText="1"/>
    </xf>
    <xf numFmtId="167" fontId="38" fillId="22" borderId="39" xfId="2" applyNumberFormat="1" applyFont="1" applyFill="1" applyBorder="1" applyAlignment="1">
      <alignment horizontal="center" vertical="center" wrapText="1"/>
    </xf>
    <xf numFmtId="10" fontId="38" fillId="22" borderId="0" xfId="2" applyNumberFormat="1" applyFont="1" applyFill="1" applyBorder="1" applyAlignment="1">
      <alignment horizontal="center" vertical="center" wrapText="1"/>
    </xf>
    <xf numFmtId="168" fontId="1" fillId="0" borderId="0" xfId="1" applyNumberFormat="1"/>
    <xf numFmtId="6" fontId="34" fillId="22" borderId="39" xfId="1" applyNumberFormat="1" applyFont="1" applyFill="1" applyBorder="1" applyAlignment="1">
      <alignment horizontal="center" vertical="center" wrapText="1"/>
    </xf>
    <xf numFmtId="167" fontId="34" fillId="22" borderId="0" xfId="1" applyNumberFormat="1" applyFont="1" applyFill="1" applyAlignment="1">
      <alignment horizontal="center" vertical="center" wrapText="1"/>
    </xf>
    <xf numFmtId="10" fontId="38" fillId="0" borderId="39" xfId="2" applyNumberFormat="1" applyFont="1" applyBorder="1" applyAlignment="1">
      <alignment horizontal="center" vertical="center" wrapText="1"/>
    </xf>
    <xf numFmtId="167" fontId="38" fillId="0" borderId="0" xfId="2" applyNumberFormat="1" applyFont="1" applyBorder="1" applyAlignment="1">
      <alignment horizontal="center" vertical="center" wrapText="1"/>
    </xf>
    <xf numFmtId="10" fontId="39" fillId="22" borderId="26" xfId="2" applyNumberFormat="1" applyFont="1" applyFill="1" applyBorder="1" applyAlignment="1">
      <alignment horizontal="center" vertical="center" wrapText="1"/>
    </xf>
    <xf numFmtId="10" fontId="40" fillId="0" borderId="0" xfId="2" applyNumberFormat="1" applyFont="1"/>
    <xf numFmtId="6" fontId="34" fillId="22" borderId="0" xfId="1" applyNumberFormat="1" applyFont="1" applyFill="1" applyAlignment="1">
      <alignment horizontal="center" vertical="center" wrapText="1"/>
    </xf>
    <xf numFmtId="167" fontId="34" fillId="22" borderId="32" xfId="1" applyNumberFormat="1" applyFont="1" applyFill="1" applyBorder="1" applyAlignment="1">
      <alignment horizontal="center" vertical="center" wrapText="1"/>
    </xf>
    <xf numFmtId="10" fontId="38" fillId="0" borderId="36" xfId="2" applyNumberFormat="1" applyFont="1" applyBorder="1" applyAlignment="1">
      <alignment horizontal="center" vertical="center" wrapText="1"/>
    </xf>
    <xf numFmtId="167" fontId="38" fillId="0" borderId="35" xfId="2" applyNumberFormat="1" applyFont="1" applyBorder="1" applyAlignment="1">
      <alignment horizontal="center" vertical="center" wrapText="1"/>
    </xf>
    <xf numFmtId="10" fontId="39" fillId="22" borderId="7" xfId="2" applyNumberFormat="1" applyFont="1" applyFill="1" applyBorder="1" applyAlignment="1">
      <alignment horizontal="center" vertical="center" wrapText="1"/>
    </xf>
    <xf numFmtId="167" fontId="39" fillId="22" borderId="36" xfId="2" applyNumberFormat="1" applyFont="1" applyFill="1" applyBorder="1" applyAlignment="1">
      <alignment horizontal="center" vertical="center" wrapText="1"/>
    </xf>
    <xf numFmtId="0" fontId="29" fillId="20" borderId="5" xfId="1" applyFont="1" applyFill="1" applyBorder="1" applyAlignment="1">
      <alignment vertical="center" wrapText="1"/>
    </xf>
    <xf numFmtId="0" fontId="30" fillId="20" borderId="5" xfId="1" applyFont="1" applyFill="1" applyBorder="1" applyAlignment="1">
      <alignment vertical="center" wrapText="1"/>
    </xf>
    <xf numFmtId="6" fontId="31" fillId="21" borderId="43" xfId="1" applyNumberFormat="1" applyFont="1" applyFill="1" applyBorder="1" applyAlignment="1">
      <alignment horizontal="center" vertical="center" wrapText="1"/>
    </xf>
    <xf numFmtId="167" fontId="31" fillId="21" borderId="22" xfId="1" applyNumberFormat="1" applyFont="1" applyFill="1" applyBorder="1" applyAlignment="1">
      <alignment horizontal="center" vertical="center" wrapText="1"/>
    </xf>
    <xf numFmtId="167" fontId="38" fillId="22" borderId="26" xfId="2" applyNumberFormat="1" applyFont="1" applyFill="1" applyBorder="1" applyAlignment="1">
      <alignment horizontal="center" vertical="center" wrapText="1"/>
    </xf>
    <xf numFmtId="10" fontId="38" fillId="22" borderId="36" xfId="2" applyNumberFormat="1" applyFont="1" applyFill="1" applyBorder="1" applyAlignment="1">
      <alignment horizontal="center" vertical="center" wrapText="1"/>
    </xf>
    <xf numFmtId="6" fontId="34" fillId="22" borderId="32" xfId="1" applyNumberFormat="1" applyFont="1" applyFill="1" applyBorder="1" applyAlignment="1">
      <alignment horizontal="center" vertical="top" wrapText="1"/>
    </xf>
    <xf numFmtId="6" fontId="31" fillId="21" borderId="15" xfId="1" applyNumberFormat="1" applyFont="1" applyFill="1" applyBorder="1" applyAlignment="1">
      <alignment horizontal="center" vertical="center" wrapText="1"/>
    </xf>
    <xf numFmtId="167" fontId="39" fillId="22" borderId="26" xfId="2" applyNumberFormat="1" applyFont="1" applyFill="1" applyBorder="1" applyAlignment="1">
      <alignment horizontal="center" vertical="center" wrapText="1"/>
    </xf>
    <xf numFmtId="10" fontId="39" fillId="0" borderId="26" xfId="2" applyNumberFormat="1" applyFont="1" applyBorder="1" applyAlignment="1">
      <alignment horizontal="center" vertical="center" wrapText="1"/>
    </xf>
    <xf numFmtId="167" fontId="39" fillId="0" borderId="39" xfId="2" applyNumberFormat="1" applyFont="1" applyBorder="1" applyAlignment="1">
      <alignment horizontal="center" vertical="center" wrapText="1"/>
    </xf>
    <xf numFmtId="0" fontId="29" fillId="20" borderId="8" xfId="1" applyFont="1" applyFill="1" applyBorder="1" applyAlignment="1">
      <alignment vertical="center" wrapText="1"/>
    </xf>
    <xf numFmtId="6" fontId="31" fillId="21" borderId="35" xfId="1" applyNumberFormat="1" applyFont="1" applyFill="1" applyBorder="1" applyAlignment="1">
      <alignment horizontal="center" vertical="center" wrapText="1"/>
    </xf>
    <xf numFmtId="167" fontId="31" fillId="21" borderId="36" xfId="1" applyNumberFormat="1" applyFont="1" applyFill="1" applyBorder="1" applyAlignment="1">
      <alignment horizontal="center" vertical="center" wrapText="1"/>
    </xf>
    <xf numFmtId="6" fontId="34" fillId="22" borderId="26" xfId="1" applyNumberFormat="1" applyFont="1" applyFill="1" applyBorder="1" applyAlignment="1">
      <alignment horizontal="center" vertical="center" wrapText="1"/>
    </xf>
    <xf numFmtId="167" fontId="34" fillId="22" borderId="26" xfId="1" applyNumberFormat="1" applyFont="1" applyFill="1" applyBorder="1" applyAlignment="1">
      <alignment horizontal="center" vertical="center" wrapText="1"/>
    </xf>
    <xf numFmtId="9" fontId="39" fillId="0" borderId="26" xfId="2" applyFont="1" applyBorder="1" applyAlignment="1">
      <alignment horizontal="center" vertical="center" wrapText="1"/>
    </xf>
    <xf numFmtId="167" fontId="39" fillId="0" borderId="26" xfId="2" applyNumberFormat="1" applyFont="1" applyBorder="1" applyAlignment="1">
      <alignment horizontal="center" vertical="center" wrapText="1"/>
    </xf>
    <xf numFmtId="10" fontId="39" fillId="22" borderId="36" xfId="2" applyNumberFormat="1" applyFont="1" applyFill="1" applyBorder="1" applyAlignment="1">
      <alignment horizontal="center" vertical="center" wrapText="1"/>
    </xf>
    <xf numFmtId="6" fontId="34" fillId="22" borderId="31" xfId="1" applyNumberFormat="1" applyFont="1" applyFill="1" applyBorder="1" applyAlignment="1">
      <alignment horizontal="center" vertical="center" wrapText="1"/>
    </xf>
    <xf numFmtId="167" fontId="34" fillId="22" borderId="33" xfId="1" applyNumberFormat="1" applyFont="1" applyFill="1" applyBorder="1" applyAlignment="1">
      <alignment horizontal="center" vertical="center" wrapText="1"/>
    </xf>
    <xf numFmtId="10" fontId="39" fillId="0" borderId="39" xfId="2" applyNumberFormat="1" applyFont="1" applyBorder="1" applyAlignment="1">
      <alignment horizontal="center" vertical="center" wrapText="1"/>
    </xf>
    <xf numFmtId="167" fontId="39" fillId="0" borderId="0" xfId="2" applyNumberFormat="1" applyFont="1" applyBorder="1" applyAlignment="1">
      <alignment horizontal="center" vertical="center" wrapText="1"/>
    </xf>
    <xf numFmtId="10" fontId="39" fillId="0" borderId="7" xfId="2" applyNumberFormat="1" applyFont="1" applyBorder="1" applyAlignment="1">
      <alignment horizontal="center" vertical="center" wrapText="1"/>
    </xf>
    <xf numFmtId="6" fontId="31" fillId="21" borderId="32" xfId="1" applyNumberFormat="1" applyFont="1" applyFill="1" applyBorder="1" applyAlignment="1">
      <alignment horizontal="center" vertical="center" wrapText="1"/>
    </xf>
    <xf numFmtId="0" fontId="41" fillId="20" borderId="5" xfId="1" applyFont="1" applyFill="1" applyBorder="1" applyAlignment="1">
      <alignment vertical="center" wrapText="1"/>
    </xf>
    <xf numFmtId="6" fontId="31" fillId="21" borderId="3" xfId="1" applyNumberFormat="1" applyFont="1" applyFill="1" applyBorder="1" applyAlignment="1">
      <alignment horizontal="center" vertical="center" wrapText="1"/>
    </xf>
    <xf numFmtId="167" fontId="31" fillId="21" borderId="2" xfId="1" applyNumberFormat="1" applyFont="1" applyFill="1" applyBorder="1" applyAlignment="1">
      <alignment horizontal="center" vertical="center" wrapText="1"/>
    </xf>
    <xf numFmtId="167" fontId="31" fillId="21" borderId="24" xfId="1" applyNumberFormat="1" applyFont="1" applyFill="1" applyBorder="1" applyAlignment="1">
      <alignment horizontal="center" vertical="center" wrapText="1"/>
    </xf>
    <xf numFmtId="10" fontId="39" fillId="0" borderId="35" xfId="2" applyNumberFormat="1" applyFont="1" applyBorder="1" applyAlignment="1">
      <alignment horizontal="center" vertical="center" wrapText="1"/>
    </xf>
    <xf numFmtId="10" fontId="39" fillId="0" borderId="36" xfId="2" applyNumberFormat="1" applyFont="1" applyBorder="1" applyAlignment="1">
      <alignment horizontal="center" vertical="center" wrapText="1"/>
    </xf>
    <xf numFmtId="167" fontId="39" fillId="0" borderId="35" xfId="2" applyNumberFormat="1" applyFont="1" applyBorder="1" applyAlignment="1">
      <alignment horizontal="center" vertical="center" wrapText="1"/>
    </xf>
    <xf numFmtId="9" fontId="39" fillId="0" borderId="36" xfId="2" applyFont="1" applyBorder="1" applyAlignment="1">
      <alignment horizontal="center" vertical="center" wrapText="1"/>
    </xf>
    <xf numFmtId="167" fontId="39" fillId="0" borderId="36" xfId="2" applyNumberFormat="1" applyFont="1" applyBorder="1" applyAlignment="1">
      <alignment horizontal="center" vertical="center" wrapText="1"/>
    </xf>
    <xf numFmtId="6" fontId="31" fillId="21" borderId="49" xfId="1" applyNumberFormat="1" applyFont="1" applyFill="1" applyBorder="1" applyAlignment="1">
      <alignment horizontal="center" vertical="center" wrapText="1"/>
    </xf>
    <xf numFmtId="167" fontId="31" fillId="21" borderId="49" xfId="1" applyNumberFormat="1" applyFont="1" applyFill="1" applyBorder="1" applyAlignment="1">
      <alignment horizontal="center" vertical="center" wrapText="1"/>
    </xf>
    <xf numFmtId="6" fontId="34" fillId="0" borderId="26" xfId="1" applyNumberFormat="1" applyFont="1" applyBorder="1" applyAlignment="1">
      <alignment horizontal="center" vertical="center" wrapText="1"/>
    </xf>
    <xf numFmtId="6" fontId="34" fillId="22" borderId="44" xfId="1" applyNumberFormat="1" applyFont="1" applyFill="1" applyBorder="1" applyAlignment="1">
      <alignment horizontal="center" vertical="center" wrapText="1"/>
    </xf>
    <xf numFmtId="167" fontId="34" fillId="22" borderId="49" xfId="1" applyNumberFormat="1" applyFont="1" applyFill="1" applyBorder="1" applyAlignment="1">
      <alignment horizontal="center" vertical="center" wrapText="1"/>
    </xf>
    <xf numFmtId="6" fontId="31" fillId="21" borderId="10" xfId="1" applyNumberFormat="1" applyFont="1" applyFill="1" applyBorder="1" applyAlignment="1">
      <alignment horizontal="center" vertical="center" wrapText="1"/>
    </xf>
    <xf numFmtId="10" fontId="39" fillId="0" borderId="0" xfId="2" applyNumberFormat="1" applyFont="1" applyBorder="1" applyAlignment="1">
      <alignment horizontal="center" vertical="center" wrapText="1"/>
    </xf>
    <xf numFmtId="167" fontId="38" fillId="22" borderId="36" xfId="2" applyNumberFormat="1" applyFont="1" applyFill="1" applyBorder="1" applyAlignment="1">
      <alignment horizontal="center" vertical="center" wrapText="1"/>
    </xf>
    <xf numFmtId="0" fontId="1" fillId="0" borderId="10" xfId="1" applyBorder="1"/>
    <xf numFmtId="0" fontId="1" fillId="0" borderId="3" xfId="1" applyBorder="1"/>
    <xf numFmtId="167" fontId="34" fillId="22" borderId="32" xfId="1" applyNumberFormat="1" applyFont="1" applyFill="1" applyBorder="1" applyAlignment="1">
      <alignment horizontal="center" vertical="top" wrapText="1"/>
    </xf>
    <xf numFmtId="167" fontId="31" fillId="21" borderId="23" xfId="1" applyNumberFormat="1" applyFont="1" applyFill="1" applyBorder="1" applyAlignment="1">
      <alignment horizontal="center" vertical="center" wrapText="1"/>
    </xf>
    <xf numFmtId="167" fontId="31" fillId="21" borderId="26" xfId="1" applyNumberFormat="1" applyFont="1" applyFill="1" applyBorder="1" applyAlignment="1">
      <alignment horizontal="center" vertical="center" wrapText="1"/>
    </xf>
    <xf numFmtId="167" fontId="31" fillId="21" borderId="5" xfId="1" applyNumberFormat="1" applyFont="1" applyFill="1" applyBorder="1" applyAlignment="1">
      <alignment horizontal="center" vertical="center" wrapText="1"/>
    </xf>
    <xf numFmtId="0" fontId="44" fillId="0" borderId="9" xfId="0" applyFont="1" applyBorder="1"/>
    <xf numFmtId="0" fontId="44" fillId="0" borderId="0" xfId="0" applyFont="1"/>
    <xf numFmtId="0" fontId="45" fillId="0" borderId="0" xfId="0" applyFont="1"/>
    <xf numFmtId="0" fontId="32" fillId="19" borderId="26" xfId="1" applyFont="1" applyFill="1" applyBorder="1" applyAlignment="1">
      <alignment horizontal="center" vertical="center" wrapText="1"/>
    </xf>
    <xf numFmtId="0" fontId="32" fillId="19" borderId="0" xfId="1" applyFont="1" applyFill="1" applyAlignment="1">
      <alignment horizontal="center" vertical="center" wrapText="1"/>
    </xf>
    <xf numFmtId="6" fontId="37" fillId="21" borderId="32" xfId="1" applyNumberFormat="1" applyFont="1" applyFill="1" applyBorder="1" applyAlignment="1">
      <alignment horizontal="center" vertical="center" wrapText="1"/>
    </xf>
    <xf numFmtId="6" fontId="37" fillId="21" borderId="33" xfId="1" applyNumberFormat="1" applyFont="1" applyFill="1" applyBorder="1" applyAlignment="1">
      <alignment horizontal="center" vertical="center" wrapText="1"/>
    </xf>
    <xf numFmtId="0" fontId="1" fillId="0" borderId="10" xfId="1" applyBorder="1" applyAlignment="1">
      <alignment horizontal="left" vertical="top" wrapText="1"/>
    </xf>
    <xf numFmtId="0" fontId="1" fillId="0" borderId="3" xfId="1" applyBorder="1" applyAlignment="1">
      <alignment horizontal="left" vertical="top"/>
    </xf>
    <xf numFmtId="6" fontId="37" fillId="21" borderId="24" xfId="1" applyNumberFormat="1" applyFont="1" applyFill="1" applyBorder="1" applyAlignment="1">
      <alignment horizontal="center" vertical="center" wrapText="1"/>
    </xf>
    <xf numFmtId="6" fontId="37" fillId="21" borderId="36" xfId="1" applyNumberFormat="1" applyFont="1" applyFill="1" applyBorder="1" applyAlignment="1">
      <alignment horizontal="center" vertical="center" wrapText="1"/>
    </xf>
    <xf numFmtId="6" fontId="37" fillId="21" borderId="49" xfId="1" applyNumberFormat="1" applyFont="1" applyFill="1" applyBorder="1" applyAlignment="1">
      <alignment horizontal="center" vertical="center" wrapText="1"/>
    </xf>
    <xf numFmtId="0" fontId="1" fillId="0" borderId="10" xfId="1" applyBorder="1" applyAlignment="1">
      <alignment horizontal="left" vertical="top"/>
    </xf>
    <xf numFmtId="2" fontId="43" fillId="0" borderId="10" xfId="1" applyNumberFormat="1" applyFont="1" applyBorder="1" applyAlignment="1">
      <alignment horizontal="left" vertical="top" wrapText="1"/>
    </xf>
    <xf numFmtId="2" fontId="43" fillId="0" borderId="3" xfId="1" applyNumberFormat="1" applyFont="1" applyBorder="1" applyAlignment="1">
      <alignment horizontal="left" vertical="top" wrapText="1"/>
    </xf>
    <xf numFmtId="0" fontId="32" fillId="19" borderId="5" xfId="1" applyFont="1" applyFill="1" applyBorder="1" applyAlignment="1">
      <alignment horizontal="center" vertical="center" wrapText="1"/>
    </xf>
    <xf numFmtId="6" fontId="37" fillId="21" borderId="27" xfId="1" applyNumberFormat="1" applyFont="1" applyFill="1" applyBorder="1" applyAlignment="1">
      <alignment horizontal="center" vertical="center" wrapText="1"/>
    </xf>
    <xf numFmtId="6" fontId="37" fillId="21" borderId="22" xfId="1" applyNumberFormat="1" applyFont="1" applyFill="1" applyBorder="1" applyAlignment="1">
      <alignment horizontal="center" vertical="center" wrapText="1"/>
    </xf>
    <xf numFmtId="0" fontId="35" fillId="20" borderId="5" xfId="1" applyFont="1" applyFill="1" applyBorder="1" applyAlignment="1">
      <alignment horizontal="left" vertical="center" wrapText="1"/>
    </xf>
    <xf numFmtId="0" fontId="35" fillId="20" borderId="2" xfId="1" applyFont="1" applyFill="1" applyBorder="1" applyAlignment="1">
      <alignment horizontal="left" vertical="center" wrapText="1"/>
    </xf>
    <xf numFmtId="6" fontId="37" fillId="21" borderId="8" xfId="1" applyNumberFormat="1" applyFont="1" applyFill="1" applyBorder="1" applyAlignment="1">
      <alignment horizontal="center" vertical="center" wrapText="1"/>
    </xf>
    <xf numFmtId="6" fontId="37" fillId="21" borderId="11" xfId="1" applyNumberFormat="1" applyFont="1" applyFill="1" applyBorder="1" applyAlignment="1">
      <alignment horizontal="center" vertical="center" wrapText="1"/>
    </xf>
    <xf numFmtId="0" fontId="31" fillId="0" borderId="16" xfId="1" applyFont="1" applyBorder="1" applyAlignment="1">
      <alignment horizontal="center" vertical="center" wrapText="1"/>
    </xf>
    <xf numFmtId="0" fontId="31" fillId="0" borderId="18" xfId="1" applyFont="1" applyBorder="1" applyAlignment="1">
      <alignment horizontal="center" vertical="center" wrapText="1"/>
    </xf>
    <xf numFmtId="0" fontId="32" fillId="0" borderId="10" xfId="1" applyFont="1" applyBorder="1" applyAlignment="1">
      <alignment horizontal="center" vertical="center" wrapText="1"/>
    </xf>
    <xf numFmtId="0" fontId="32" fillId="0" borderId="3" xfId="1" applyFont="1" applyBorder="1" applyAlignment="1">
      <alignment horizontal="center" vertical="center" wrapText="1"/>
    </xf>
    <xf numFmtId="0" fontId="33" fillId="0" borderId="8" xfId="1" applyFont="1" applyBorder="1" applyAlignment="1">
      <alignment horizontal="left" vertical="center" wrapText="1"/>
    </xf>
    <xf numFmtId="0" fontId="42" fillId="0" borderId="5" xfId="1" applyFont="1" applyBorder="1" applyAlignment="1">
      <alignment horizontal="left" vertical="center" wrapText="1"/>
    </xf>
    <xf numFmtId="0" fontId="31" fillId="0" borderId="15" xfId="1" applyFont="1" applyBorder="1" applyAlignment="1">
      <alignment horizontal="center" vertical="center" wrapText="1"/>
    </xf>
    <xf numFmtId="0" fontId="32" fillId="0" borderId="8" xfId="1" quotePrefix="1" applyFont="1" applyBorder="1" applyAlignment="1">
      <alignment horizontal="center" vertical="center" wrapText="1"/>
    </xf>
    <xf numFmtId="0" fontId="32" fillId="0" borderId="5" xfId="1" applyFont="1" applyBorder="1" applyAlignment="1">
      <alignment horizontal="center" vertical="center" wrapText="1"/>
    </xf>
    <xf numFmtId="0" fontId="33" fillId="0" borderId="31" xfId="1" applyFont="1" applyBorder="1" applyAlignment="1">
      <alignment horizontal="left" vertical="center" wrapText="1"/>
    </xf>
    <xf numFmtId="0" fontId="31" fillId="0" borderId="35" xfId="1" applyFont="1" applyBorder="1" applyAlignment="1">
      <alignment horizontal="left" vertical="center" wrapText="1"/>
    </xf>
    <xf numFmtId="0" fontId="27" fillId="19" borderId="31" xfId="1" applyFont="1" applyFill="1" applyBorder="1" applyAlignment="1">
      <alignment horizontal="center" vertical="center" textRotation="180"/>
    </xf>
    <xf numFmtId="0" fontId="27" fillId="19" borderId="39" xfId="1" applyFont="1" applyFill="1" applyBorder="1" applyAlignment="1">
      <alignment horizontal="center" vertical="center" textRotation="180"/>
    </xf>
    <xf numFmtId="0" fontId="27" fillId="19" borderId="35" xfId="1" applyFont="1" applyFill="1" applyBorder="1" applyAlignment="1">
      <alignment horizontal="center" vertical="center" textRotation="180"/>
    </xf>
    <xf numFmtId="0" fontId="31" fillId="0" borderId="19" xfId="1" applyFont="1" applyBorder="1" applyAlignment="1">
      <alignment horizontal="center" vertical="center" wrapText="1"/>
    </xf>
    <xf numFmtId="0" fontId="32" fillId="0" borderId="4" xfId="1" applyFont="1" applyBorder="1" applyAlignment="1">
      <alignment horizontal="center" vertical="center" wrapText="1"/>
    </xf>
    <xf numFmtId="0" fontId="33" fillId="0" borderId="4" xfId="1" applyFont="1" applyBorder="1" applyAlignment="1">
      <alignment horizontal="left" vertical="center" wrapText="1"/>
    </xf>
    <xf numFmtId="0" fontId="33" fillId="0" borderId="3" xfId="1" applyFont="1" applyBorder="1" applyAlignment="1">
      <alignment horizontal="left" vertical="center" wrapText="1"/>
    </xf>
    <xf numFmtId="0" fontId="42" fillId="0" borderId="2" xfId="1" applyFont="1" applyBorder="1" applyAlignment="1">
      <alignment horizontal="left" vertical="center" wrapText="1"/>
    </xf>
    <xf numFmtId="0" fontId="32" fillId="0" borderId="10" xfId="1" quotePrefix="1" applyFont="1" applyBorder="1" applyAlignment="1">
      <alignment horizontal="center" vertical="center" wrapText="1"/>
    </xf>
    <xf numFmtId="0" fontId="33" fillId="0" borderId="10" xfId="1" applyFont="1" applyBorder="1" applyAlignment="1">
      <alignment horizontal="left" vertical="center" wrapText="1"/>
    </xf>
    <xf numFmtId="0" fontId="31" fillId="0" borderId="4" xfId="1" applyFont="1" applyBorder="1" applyAlignment="1">
      <alignment horizontal="left" vertical="center" wrapText="1"/>
    </xf>
    <xf numFmtId="0" fontId="27" fillId="19" borderId="17" xfId="1" applyFont="1" applyFill="1" applyBorder="1" applyAlignment="1">
      <alignment horizontal="center" vertical="center" textRotation="180"/>
    </xf>
    <xf numFmtId="0" fontId="35" fillId="20" borderId="14" xfId="1" applyFont="1" applyFill="1" applyBorder="1" applyAlignment="1">
      <alignment horizontal="left" vertical="center" wrapText="1"/>
    </xf>
    <xf numFmtId="6" fontId="37" fillId="21" borderId="23" xfId="1" applyNumberFormat="1" applyFont="1" applyFill="1" applyBorder="1" applyAlignment="1">
      <alignment horizontal="center" vertical="center" wrapText="1"/>
    </xf>
    <xf numFmtId="0" fontId="31" fillId="0" borderId="40" xfId="1" applyFont="1" applyBorder="1" applyAlignment="1">
      <alignment horizontal="center" vertical="center" wrapText="1"/>
    </xf>
    <xf numFmtId="0" fontId="31" fillId="0" borderId="34" xfId="1" applyFont="1" applyBorder="1" applyAlignment="1">
      <alignment horizontal="center" vertical="center" wrapText="1"/>
    </xf>
    <xf numFmtId="0" fontId="32" fillId="0" borderId="46" xfId="1" applyFont="1" applyBorder="1" applyAlignment="1">
      <alignment horizontal="center" vertical="center" wrapText="1"/>
    </xf>
    <xf numFmtId="0" fontId="32" fillId="0" borderId="45" xfId="1" applyFont="1" applyBorder="1" applyAlignment="1">
      <alignment horizontal="center" vertical="center" wrapText="1"/>
    </xf>
    <xf numFmtId="0" fontId="33" fillId="0" borderId="47" xfId="1" applyFont="1" applyBorder="1" applyAlignment="1">
      <alignment horizontal="left" vertical="center" wrapText="1"/>
    </xf>
    <xf numFmtId="0" fontId="33" fillId="0" borderId="48" xfId="1" applyFont="1" applyBorder="1" applyAlignment="1">
      <alignment horizontal="left" vertical="center" wrapText="1"/>
    </xf>
    <xf numFmtId="0" fontId="31" fillId="0" borderId="42" xfId="1" applyFont="1" applyBorder="1" applyAlignment="1">
      <alignment horizontal="center" vertical="center" wrapText="1"/>
    </xf>
    <xf numFmtId="0" fontId="32" fillId="0" borderId="39" xfId="1" applyFont="1" applyBorder="1" applyAlignment="1">
      <alignment horizontal="center" vertical="center" wrapText="1"/>
    </xf>
    <xf numFmtId="0" fontId="33" fillId="0" borderId="26" xfId="1" applyFont="1" applyBorder="1" applyAlignment="1">
      <alignment horizontal="left" vertical="center" wrapText="1"/>
    </xf>
    <xf numFmtId="0" fontId="33" fillId="0" borderId="39" xfId="1" applyFont="1" applyBorder="1" applyAlignment="1">
      <alignment horizontal="left" vertical="center" wrapText="1"/>
    </xf>
    <xf numFmtId="0" fontId="33" fillId="0" borderId="45" xfId="1" applyFont="1" applyBorder="1" applyAlignment="1">
      <alignment horizontal="left" vertical="center" wrapText="1"/>
    </xf>
    <xf numFmtId="0" fontId="32" fillId="0" borderId="31" xfId="1" quotePrefix="1" applyFont="1" applyBorder="1" applyAlignment="1">
      <alignment horizontal="center" vertical="center" wrapText="1"/>
    </xf>
    <xf numFmtId="0" fontId="32" fillId="0" borderId="39" xfId="1" quotePrefix="1" applyFont="1" applyBorder="1" applyAlignment="1">
      <alignment horizontal="center" vertical="center" wrapText="1"/>
    </xf>
    <xf numFmtId="0" fontId="33" fillId="0" borderId="32" xfId="1" applyFont="1" applyBorder="1" applyAlignment="1">
      <alignment horizontal="left" vertical="center" wrapText="1"/>
    </xf>
    <xf numFmtId="0" fontId="27" fillId="19" borderId="13" xfId="1" applyFont="1" applyFill="1" applyBorder="1" applyAlignment="1">
      <alignment horizontal="center" vertical="center" textRotation="180"/>
    </xf>
    <xf numFmtId="0" fontId="32" fillId="0" borderId="31" xfId="1" applyFont="1" applyBorder="1" applyAlignment="1">
      <alignment horizontal="center" vertical="center" wrapText="1"/>
    </xf>
    <xf numFmtId="0" fontId="32" fillId="0" borderId="35" xfId="1" applyFont="1" applyBorder="1" applyAlignment="1">
      <alignment horizontal="center" vertical="center" wrapText="1"/>
    </xf>
    <xf numFmtId="0" fontId="33" fillId="0" borderId="35" xfId="1" applyFont="1" applyBorder="1" applyAlignment="1">
      <alignment horizontal="left" vertical="center" wrapText="1"/>
    </xf>
    <xf numFmtId="6" fontId="37" fillId="21" borderId="37" xfId="1" applyNumberFormat="1" applyFont="1" applyFill="1" applyBorder="1" applyAlignment="1">
      <alignment horizontal="center" vertical="center" wrapText="1"/>
    </xf>
    <xf numFmtId="6" fontId="37" fillId="21" borderId="41" xfId="1" applyNumberFormat="1" applyFont="1" applyFill="1" applyBorder="1" applyAlignment="1">
      <alignment horizontal="center" vertical="center" wrapText="1"/>
    </xf>
    <xf numFmtId="0" fontId="35" fillId="20" borderId="12" xfId="1" applyFont="1" applyFill="1" applyBorder="1" applyAlignment="1">
      <alignment horizontal="left" vertical="center" wrapText="1"/>
    </xf>
    <xf numFmtId="6" fontId="37" fillId="21" borderId="38" xfId="1" applyNumberFormat="1" applyFont="1" applyFill="1" applyBorder="1" applyAlignment="1">
      <alignment horizontal="center" vertical="center" wrapText="1"/>
    </xf>
    <xf numFmtId="0" fontId="32" fillId="0" borderId="35" xfId="1" quotePrefix="1" applyFont="1" applyBorder="1" applyAlignment="1">
      <alignment horizontal="center" vertical="center" wrapText="1"/>
    </xf>
    <xf numFmtId="0" fontId="27" fillId="19" borderId="6" xfId="1" applyFont="1" applyFill="1" applyBorder="1" applyAlignment="1">
      <alignment horizontal="center" vertical="center" textRotation="180"/>
    </xf>
    <xf numFmtId="0" fontId="31" fillId="0" borderId="30" xfId="1" applyFont="1" applyBorder="1" applyAlignment="1">
      <alignment horizontal="center" vertical="center" wrapText="1"/>
    </xf>
    <xf numFmtId="0" fontId="33" fillId="0" borderId="36" xfId="1" applyFont="1" applyBorder="1" applyAlignment="1">
      <alignment horizontal="left" vertical="center" wrapText="1"/>
    </xf>
    <xf numFmtId="0" fontId="1" fillId="18" borderId="0" xfId="1" applyFill="1" applyAlignment="1">
      <alignment horizontal="center"/>
    </xf>
    <xf numFmtId="0" fontId="27" fillId="19" borderId="51" xfId="1" applyFont="1" applyFill="1" applyBorder="1" applyAlignment="1">
      <alignment horizontal="center" vertical="center"/>
    </xf>
    <xf numFmtId="0" fontId="27" fillId="19" borderId="52" xfId="1" applyFont="1" applyFill="1" applyBorder="1" applyAlignment="1">
      <alignment horizontal="center" vertical="center"/>
    </xf>
    <xf numFmtId="0" fontId="27" fillId="19" borderId="53" xfId="1" applyFont="1" applyFill="1" applyBorder="1" applyAlignment="1">
      <alignment horizontal="center" vertical="center"/>
    </xf>
    <xf numFmtId="0" fontId="26" fillId="19" borderId="50" xfId="1" applyFont="1" applyFill="1" applyBorder="1" applyAlignment="1">
      <alignment horizontal="center" vertical="center" wrapText="1"/>
    </xf>
    <xf numFmtId="0" fontId="26" fillId="19" borderId="28" xfId="1" applyFont="1" applyFill="1" applyBorder="1" applyAlignment="1">
      <alignment horizontal="center" vertical="center" wrapText="1"/>
    </xf>
    <xf numFmtId="167" fontId="26" fillId="19" borderId="50" xfId="1" applyNumberFormat="1" applyFont="1" applyFill="1" applyBorder="1" applyAlignment="1">
      <alignment horizontal="center" vertical="center" wrapText="1"/>
    </xf>
    <xf numFmtId="167" fontId="26" fillId="19" borderId="28" xfId="1" applyNumberFormat="1" applyFont="1" applyFill="1" applyBorder="1" applyAlignment="1">
      <alignment horizontal="center" vertical="center" wrapText="1"/>
    </xf>
    <xf numFmtId="0" fontId="25" fillId="19" borderId="26" xfId="1" applyFont="1" applyFill="1" applyBorder="1" applyAlignment="1">
      <alignment horizontal="center" vertical="center"/>
    </xf>
    <xf numFmtId="0" fontId="25" fillId="19" borderId="0" xfId="1" applyFont="1" applyFill="1" applyAlignment="1">
      <alignment horizontal="center" vertical="center"/>
    </xf>
    <xf numFmtId="167" fontId="26" fillId="19" borderId="10" xfId="1" applyNumberFormat="1" applyFont="1" applyFill="1" applyBorder="1" applyAlignment="1">
      <alignment horizontal="center" vertical="center" wrapText="1"/>
    </xf>
    <xf numFmtId="167" fontId="26" fillId="19" borderId="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14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1" fillId="15" borderId="9" xfId="0" applyFont="1" applyFill="1" applyBorder="1" applyAlignment="1">
      <alignment horizontal="center" vertical="center" wrapText="1"/>
    </xf>
    <xf numFmtId="0" fontId="11" fillId="16" borderId="9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13" borderId="13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0" fontId="6" fillId="5" borderId="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0" fillId="17" borderId="2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C81375B6-7BDE-42E4-AE06-E626B9BA56E2}"/>
    <cellStyle name="Percent 2" xfId="2" xr:uid="{B0673210-310D-42D2-A830-1BFDD91B040F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DE00"/>
      <rgbColor rgb="FF0000FF"/>
      <rgbColor rgb="FFFFFF00"/>
      <rgbColor rgb="FFFF00FF"/>
      <rgbColor rgb="FF01FFFF"/>
      <rgbColor rgb="FF800000"/>
      <rgbColor rgb="FF008000"/>
      <rgbColor rgb="FF000080"/>
      <rgbColor rgb="FF986401"/>
      <rgbColor rgb="FF800080"/>
      <rgbColor rgb="FF008080"/>
      <rgbColor rgb="FFC4BD97"/>
      <rgbColor rgb="FF808080"/>
      <rgbColor rgb="FF9999FF"/>
      <rgbColor rgb="FFA526C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1"/>
      <rgbColor rgb="FF00FFFF"/>
      <rgbColor rgb="FF800080"/>
      <rgbColor rgb="FF800000"/>
      <rgbColor rgb="FF008080"/>
      <rgbColor rgb="FF0203FB"/>
      <rgbColor rgb="FF00CCFF"/>
      <rgbColor rgb="FFCCFFFF"/>
      <rgbColor rgb="FFC7FF66"/>
      <rgbColor rgb="FFFFFF65"/>
      <rgbColor rgb="FF64C7FE"/>
      <rgbColor rgb="FFFF99CC"/>
      <rgbColor rgb="FFCC63FF"/>
      <rgbColor rgb="FFFAC090"/>
      <rgbColor rgb="FF3366FF"/>
      <rgbColor rgb="FF33CCCC"/>
      <rgbColor rgb="FF94C900"/>
      <rgbColor rgb="FFFFCC00"/>
      <rgbColor rgb="FFFEA600"/>
      <rgbColor rgb="FFFF6600"/>
      <rgbColor rgb="FF558ED5"/>
      <rgbColor rgb="FF969696"/>
      <rgbColor rgb="FF17375E"/>
      <rgbColor rgb="FF4CAF50"/>
      <rgbColor rgb="FF003300"/>
      <rgbColor rgb="FF643102"/>
      <rgbColor rgb="FF993300"/>
      <rgbColor rgb="FF993366"/>
      <rgbColor rgb="FF1F497D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819150</xdr:colOff>
      <xdr:row>42</xdr:row>
      <xdr:rowOff>20439</xdr:rowOff>
    </xdr:from>
    <xdr:to>
      <xdr:col>9</xdr:col>
      <xdr:colOff>697448</xdr:colOff>
      <xdr:row>67</xdr:row>
      <xdr:rowOff>183736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84E84E-A4EE-4AEA-8873-F16A86B73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" y="16663789"/>
          <a:ext cx="8981023" cy="49289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rtnersnet107.sharepoint.com/sites/FA/Organizational%20FA/Finance%20Policies%20&amp;%20Procedures/Supplemental%20Field%20Office%20Manuals/Nigeria/POA%20Salary%20Matrix%20Nigeria%202026-04%20UN%20included.xlsx" TargetMode="External"/><Relationship Id="rId1" Type="http://schemas.openxmlformats.org/officeDocument/2006/relationships/externalLinkPath" Target="https://partnersnet107.sharepoint.com/sites/FA/Organizational%20FA/Finance%20Policies%20&amp;%20Procedures/Supplemental%20Field%20Office%20Manuals/Nigeria/POA%20Salary%20Matrix%20Nigeria%202026-04%20UN%20includ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rtnersnet107.sharepoint.com/sites/FA/Organizational%20FA/Finance%20Policies%20&amp;%20Procedures/Supplemental%20Field%20Office%20Manuals/Nigeria/POA%20Salary%20Matrix%20Nigeria%202026-04.xlsx" TargetMode="External"/><Relationship Id="rId1" Type="http://schemas.openxmlformats.org/officeDocument/2006/relationships/externalLinkPath" Target="https://partnersnet107.sharepoint.com/sites/FA/Organizational%20FA/Finance%20Policies%20&amp;%20Procedures/Supplemental%20Field%20Office%20Manuals/Nigeria/POA%20Salary%20Matrix%20Nigeria%202026-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A Compensation Analysis  "/>
      <sheetName val="Birches Report"/>
      <sheetName val="TRM"/>
      <sheetName val="GRADE A"/>
      <sheetName val="GRADE B"/>
      <sheetName val="GRADE C"/>
      <sheetName val="GRADE D"/>
      <sheetName val="GRADE E"/>
      <sheetName val="Budget USDA Salary Categories"/>
    </sheetNames>
    <sheetDataSet>
      <sheetData sheetId="0"/>
      <sheetData sheetId="1"/>
      <sheetData sheetId="2">
        <row r="9">
          <cell r="I9">
            <v>1416.79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A Compensation Analysis  "/>
      <sheetName val="Budget USDA Salary Categories"/>
      <sheetName val="Birches Report"/>
      <sheetName val="TRM"/>
      <sheetName val="GRADE A"/>
      <sheetName val="GRADE B"/>
      <sheetName val="GRADE C"/>
      <sheetName val="GRADE D"/>
      <sheetName val="GRADE E"/>
    </sheetNames>
    <sheetDataSet>
      <sheetData sheetId="0">
        <row r="6">
          <cell r="H6">
            <v>626</v>
          </cell>
        </row>
        <row r="25">
          <cell r="L25">
            <v>13998.25</v>
          </cell>
        </row>
        <row r="27">
          <cell r="H27">
            <v>5505</v>
          </cell>
        </row>
        <row r="29">
          <cell r="L29">
            <v>24308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F783-0B03-4069-BCA0-49F65C110007}">
  <dimension ref="A1:BI39"/>
  <sheetViews>
    <sheetView tabSelected="1" topLeftCell="C3" zoomScale="70" zoomScaleNormal="70" workbookViewId="0">
      <selection activeCell="C3" sqref="C3:BG3"/>
    </sheetView>
  </sheetViews>
  <sheetFormatPr defaultColWidth="9.15625" defaultRowHeight="15" customHeight="1" outlineLevelRow="1" outlineLevelCol="2" x14ac:dyDescent="0.55000000000000004"/>
  <cols>
    <col min="1" max="1" width="3.83984375" style="100" hidden="1" customWidth="1"/>
    <col min="2" max="2" width="23" style="100" hidden="1" customWidth="1" outlineLevel="1"/>
    <col min="3" max="3" width="28.26171875" style="100" customWidth="1" collapsed="1"/>
    <col min="4" max="4" width="10.41796875" style="101" bestFit="1" customWidth="1"/>
    <col min="5" max="5" width="9.578125" style="100" customWidth="1"/>
    <col min="6" max="6" width="5.83984375" style="100" customWidth="1" outlineLevel="1"/>
    <col min="7" max="7" width="32.15625" style="100" customWidth="1"/>
    <col min="8" max="8" width="22" style="100" customWidth="1" outlineLevel="2"/>
    <col min="9" max="9" width="22" style="102" customWidth="1" outlineLevel="2"/>
    <col min="10" max="10" width="22" style="100" customWidth="1" outlineLevel="2"/>
    <col min="11" max="11" width="22" style="102" customWidth="1" outlineLevel="2"/>
    <col min="12" max="12" width="22" style="100" customWidth="1" outlineLevel="2"/>
    <col min="13" max="13" width="22" style="102" customWidth="1" outlineLevel="2"/>
    <col min="14" max="14" width="18" style="100" customWidth="1"/>
    <col min="15" max="15" width="11.26171875" style="100" hidden="1" customWidth="1"/>
    <col min="16" max="16" width="4.15625" style="100" hidden="1" customWidth="1"/>
    <col min="17" max="17" width="6.83984375" style="100" hidden="1" customWidth="1" outlineLevel="1"/>
    <col min="18" max="18" width="3.68359375" style="100" hidden="1" customWidth="1" outlineLevel="1"/>
    <col min="19" max="19" width="15.68359375" style="100" hidden="1" customWidth="1" outlineLevel="1"/>
    <col min="20" max="20" width="8.68359375" style="100" hidden="1" customWidth="1" outlineLevel="1"/>
    <col min="21" max="21" width="4.15625" style="100" hidden="1" customWidth="1" outlineLevel="1"/>
    <col min="22" max="22" width="15.68359375" style="100" hidden="1" customWidth="1" outlineLevel="1"/>
    <col min="23" max="23" width="8.68359375" style="100" hidden="1" customWidth="1" outlineLevel="1"/>
    <col min="24" max="24" width="4.83984375" style="100" hidden="1" customWidth="1" outlineLevel="1"/>
    <col min="25" max="25" width="10.41796875" style="100" hidden="1" customWidth="1" outlineLevel="1"/>
    <col min="26" max="26" width="8.68359375" style="100" hidden="1" customWidth="1" collapsed="1"/>
    <col min="27" max="50" width="8.68359375" style="100" hidden="1" customWidth="1"/>
    <col min="51" max="51" width="9.578125" style="100" hidden="1" customWidth="1"/>
    <col min="52" max="53" width="10.41796875" style="100" hidden="1" customWidth="1"/>
    <col min="54" max="57" width="8.68359375" style="100" hidden="1" customWidth="1"/>
    <col min="58" max="58" width="4.15625" style="100" hidden="1" customWidth="1"/>
    <col min="59" max="59" width="58.41796875" style="100" customWidth="1"/>
    <col min="60" max="60" width="17" style="100" customWidth="1"/>
    <col min="61" max="61" width="23.41796875" style="100" customWidth="1"/>
    <col min="62" max="64" width="8.68359375" style="100" bestFit="1" customWidth="1"/>
    <col min="65" max="16384" width="9.15625" style="100"/>
  </cols>
  <sheetData>
    <row r="1" spans="2:60" ht="15" hidden="1" customHeight="1" thickBot="1" x14ac:dyDescent="0.6">
      <c r="J1" s="103" t="s">
        <v>0</v>
      </c>
      <c r="K1" s="104"/>
      <c r="L1" s="105">
        <f>1.05*1*1.03*1*1.03</f>
        <v>1.1139450000000002</v>
      </c>
    </row>
    <row r="2" spans="2:60" ht="15" hidden="1" customHeight="1" thickBot="1" x14ac:dyDescent="0.6">
      <c r="L2" s="106"/>
      <c r="M2" s="107"/>
      <c r="S2" s="261" t="s">
        <v>1</v>
      </c>
      <c r="T2" s="261"/>
      <c r="U2" s="261"/>
      <c r="V2" s="261"/>
      <c r="W2" s="261"/>
    </row>
    <row r="3" spans="2:60" ht="21" customHeight="1" thickBot="1" x14ac:dyDescent="0.6">
      <c r="C3" s="269" t="s">
        <v>2</v>
      </c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0"/>
      <c r="AP3" s="270"/>
      <c r="AQ3" s="270"/>
      <c r="AR3" s="270"/>
      <c r="AS3" s="270"/>
      <c r="AT3" s="270"/>
      <c r="AU3" s="270"/>
      <c r="AV3" s="270"/>
      <c r="AW3" s="270"/>
      <c r="AX3" s="270"/>
      <c r="AY3" s="270"/>
      <c r="AZ3" s="270"/>
      <c r="BA3" s="270"/>
      <c r="BB3" s="270"/>
      <c r="BC3" s="270"/>
      <c r="BD3" s="270"/>
      <c r="BE3" s="270"/>
      <c r="BF3" s="270"/>
      <c r="BG3" s="270"/>
    </row>
    <row r="4" spans="2:60" ht="16.2" thickBot="1" x14ac:dyDescent="0.6">
      <c r="C4" s="262" t="s">
        <v>3</v>
      </c>
      <c r="D4" s="263"/>
      <c r="E4" s="263"/>
      <c r="F4" s="264"/>
      <c r="G4" s="265" t="s">
        <v>4</v>
      </c>
      <c r="H4" s="265" t="s">
        <v>5</v>
      </c>
      <c r="I4" s="267" t="s">
        <v>6</v>
      </c>
      <c r="J4" s="265" t="s">
        <v>7</v>
      </c>
      <c r="K4" s="267" t="s">
        <v>8</v>
      </c>
      <c r="L4" s="265" t="s">
        <v>9</v>
      </c>
      <c r="M4" s="267" t="s">
        <v>10</v>
      </c>
      <c r="N4" s="271" t="s">
        <v>11</v>
      </c>
      <c r="T4" s="108"/>
      <c r="W4" s="108"/>
      <c r="AX4" s="100">
        <v>37440</v>
      </c>
      <c r="BG4" s="271" t="s">
        <v>12</v>
      </c>
    </row>
    <row r="5" spans="2:60" ht="15.3" thickBot="1" x14ac:dyDescent="0.6">
      <c r="C5" s="109" t="s">
        <v>13</v>
      </c>
      <c r="D5" s="110"/>
      <c r="E5" s="111" t="s">
        <v>14</v>
      </c>
      <c r="F5" s="112" t="s">
        <v>15</v>
      </c>
      <c r="G5" s="266"/>
      <c r="H5" s="266"/>
      <c r="I5" s="268"/>
      <c r="J5" s="266"/>
      <c r="K5" s="268"/>
      <c r="L5" s="266"/>
      <c r="M5" s="268"/>
      <c r="N5" s="272"/>
      <c r="T5" s="108" t="s">
        <v>16</v>
      </c>
      <c r="W5" s="108" t="s">
        <v>16</v>
      </c>
      <c r="Y5" s="113" t="s">
        <v>17</v>
      </c>
      <c r="AX5" s="114">
        <f>AX4/H6</f>
        <v>7.8</v>
      </c>
      <c r="BG5" s="272"/>
    </row>
    <row r="6" spans="2:60" ht="44.25" customHeight="1" outlineLevel="1" x14ac:dyDescent="0.55000000000000004">
      <c r="B6" s="115" t="s">
        <v>18</v>
      </c>
      <c r="C6" s="116" t="s">
        <v>19</v>
      </c>
      <c r="D6" s="249" t="s">
        <v>20</v>
      </c>
      <c r="E6" s="259" t="s">
        <v>21</v>
      </c>
      <c r="F6" s="250">
        <v>0</v>
      </c>
      <c r="G6" s="248" t="s">
        <v>22</v>
      </c>
      <c r="H6" s="117">
        <v>4800</v>
      </c>
      <c r="I6" s="118">
        <f>H6*[1]TRM!$I$9</f>
        <v>6800592</v>
      </c>
      <c r="J6" s="119">
        <v>5000</v>
      </c>
      <c r="K6" s="120">
        <f>J6*[1]TRM!$I$9</f>
        <v>7083950</v>
      </c>
      <c r="L6" s="121">
        <v>5500</v>
      </c>
      <c r="M6" s="135">
        <f>L6*[1]TRM!$I$9</f>
        <v>7792345</v>
      </c>
      <c r="N6" s="182"/>
      <c r="O6" s="122">
        <f>(L10-H6)/6</f>
        <v>900</v>
      </c>
      <c r="S6" s="114">
        <f>H6*1.05</f>
        <v>5040</v>
      </c>
      <c r="T6" s="100">
        <v>1</v>
      </c>
      <c r="V6" s="114">
        <f>S11*1.05</f>
        <v>6754.0820287500019</v>
      </c>
      <c r="W6" s="100">
        <v>7</v>
      </c>
      <c r="Y6" s="113" t="s">
        <v>23</v>
      </c>
      <c r="BG6" s="182"/>
    </row>
    <row r="7" spans="2:60" ht="37.5" customHeight="1" outlineLevel="1" thickBot="1" x14ac:dyDescent="0.6">
      <c r="B7" s="206" t="s">
        <v>24</v>
      </c>
      <c r="C7" s="233" t="s">
        <v>25</v>
      </c>
      <c r="D7" s="232"/>
      <c r="E7" s="236"/>
      <c r="F7" s="251"/>
      <c r="G7" s="260"/>
      <c r="H7" s="253" t="s">
        <v>26</v>
      </c>
      <c r="I7" s="256"/>
      <c r="J7" s="124"/>
      <c r="K7" s="125"/>
      <c r="L7" s="126"/>
      <c r="M7" s="181"/>
      <c r="N7" s="183"/>
      <c r="S7" s="114">
        <f>S6*1.05</f>
        <v>5292</v>
      </c>
      <c r="T7" s="100">
        <v>2</v>
      </c>
      <c r="V7" s="114">
        <f>V6*1.05</f>
        <v>7091.7861301875018</v>
      </c>
      <c r="W7" s="100">
        <v>8</v>
      </c>
      <c r="Y7" s="113" t="s">
        <v>27</v>
      </c>
      <c r="AY7" s="100" t="s">
        <v>28</v>
      </c>
      <c r="BG7" s="183"/>
      <c r="BH7" s="127">
        <f>H6*0.6</f>
        <v>2880</v>
      </c>
    </row>
    <row r="8" spans="2:60" ht="44.25" customHeight="1" outlineLevel="1" thickBot="1" x14ac:dyDescent="0.6">
      <c r="B8" s="206"/>
      <c r="C8" s="233"/>
      <c r="D8" s="232"/>
      <c r="E8" s="235" t="s">
        <v>29</v>
      </c>
      <c r="F8" s="246" t="s">
        <v>30</v>
      </c>
      <c r="G8" s="248" t="s">
        <v>31</v>
      </c>
      <c r="H8" s="128">
        <v>6400</v>
      </c>
      <c r="I8" s="129">
        <f>H8*[1]TRM!$I$9</f>
        <v>9067456</v>
      </c>
      <c r="J8" s="142">
        <v>7400</v>
      </c>
      <c r="K8" s="168">
        <f>J8*[1]TRM!$I$9</f>
        <v>10484246</v>
      </c>
      <c r="L8" s="119">
        <v>8200</v>
      </c>
      <c r="M8" s="184">
        <f>L8*[1]TRM!$I$9</f>
        <v>11617678</v>
      </c>
      <c r="N8" s="200" t="s">
        <v>32</v>
      </c>
      <c r="S8" s="114">
        <f>S7*1.05</f>
        <v>5556.6</v>
      </c>
      <c r="T8" s="100">
        <v>3</v>
      </c>
      <c r="V8" s="114"/>
      <c r="Y8" s="113" t="s">
        <v>33</v>
      </c>
      <c r="BG8" s="200"/>
      <c r="BH8" s="127">
        <f>H6-'[2]POA Compensation Analysis  '!$H$6</f>
        <v>4174</v>
      </c>
    </row>
    <row r="9" spans="2:60" ht="37.5" customHeight="1" outlineLevel="1" thickBot="1" x14ac:dyDescent="0.6">
      <c r="B9" s="206"/>
      <c r="C9" s="233"/>
      <c r="D9" s="232"/>
      <c r="E9" s="236"/>
      <c r="F9" s="257"/>
      <c r="G9" s="260"/>
      <c r="H9" s="130"/>
      <c r="I9" s="131"/>
      <c r="J9" s="253" t="s">
        <v>34</v>
      </c>
      <c r="K9" s="254"/>
      <c r="L9" s="132"/>
      <c r="M9" s="148"/>
      <c r="N9" s="196"/>
      <c r="Q9" s="133">
        <f>J8/H8</f>
        <v>1.15625</v>
      </c>
      <c r="S9" s="114">
        <f>S8*1.05</f>
        <v>5834.43</v>
      </c>
      <c r="T9" s="100">
        <v>4</v>
      </c>
      <c r="V9" s="114"/>
      <c r="X9" s="133"/>
      <c r="Y9" s="113"/>
      <c r="BG9" s="196"/>
    </row>
    <row r="10" spans="2:60" ht="44.25" customHeight="1" outlineLevel="1" thickBot="1" x14ac:dyDescent="0.6">
      <c r="B10" s="206"/>
      <c r="C10" s="233"/>
      <c r="D10" s="232"/>
      <c r="E10" s="235" t="s">
        <v>35</v>
      </c>
      <c r="F10" s="246" t="s">
        <v>36</v>
      </c>
      <c r="G10" s="248" t="s">
        <v>37</v>
      </c>
      <c r="H10" s="119">
        <v>8200</v>
      </c>
      <c r="I10" s="120">
        <f>H10*[1]TRM!$I$9</f>
        <v>11617678</v>
      </c>
      <c r="J10" s="134">
        <v>9450</v>
      </c>
      <c r="K10" s="135">
        <f>J10*[1]TRM!$I$9</f>
        <v>13388665.5</v>
      </c>
      <c r="L10" s="142">
        <v>10200</v>
      </c>
      <c r="M10" s="185">
        <f>L10*[1]TRM!$I$9</f>
        <v>14451258</v>
      </c>
      <c r="N10" s="182"/>
      <c r="O10" s="122">
        <f>J10+O6</f>
        <v>10350</v>
      </c>
      <c r="S10" s="114">
        <f>S9*1.05</f>
        <v>6126.1515000000009</v>
      </c>
      <c r="T10" s="100">
        <v>5</v>
      </c>
      <c r="V10" s="114"/>
      <c r="Y10" s="113"/>
      <c r="AY10" s="100">
        <f>55000/63000</f>
        <v>0.87301587301587302</v>
      </c>
      <c r="BG10" s="182"/>
      <c r="BH10" s="123"/>
    </row>
    <row r="11" spans="2:60" ht="37.5" customHeight="1" outlineLevel="1" thickBot="1" x14ac:dyDescent="0.6">
      <c r="B11" s="206"/>
      <c r="C11" s="255"/>
      <c r="D11" s="258"/>
      <c r="E11" s="241"/>
      <c r="F11" s="247"/>
      <c r="G11" s="243"/>
      <c r="H11" s="136"/>
      <c r="I11" s="137"/>
      <c r="J11" s="138"/>
      <c r="K11" s="139"/>
      <c r="L11" s="198" t="s">
        <v>38</v>
      </c>
      <c r="M11" s="204"/>
      <c r="N11" s="183"/>
      <c r="Q11" s="133">
        <f>L10/J10</f>
        <v>1.0793650793650793</v>
      </c>
      <c r="S11" s="114">
        <f>S10*1.05</f>
        <v>6432.4590750000016</v>
      </c>
      <c r="T11" s="100">
        <v>6</v>
      </c>
      <c r="V11" s="114"/>
      <c r="X11" s="133"/>
      <c r="Y11" s="113"/>
      <c r="AY11" s="100">
        <f>100-87</f>
        <v>13</v>
      </c>
      <c r="BG11" s="183"/>
    </row>
    <row r="12" spans="2:60" ht="11.5" customHeight="1" thickBot="1" x14ac:dyDescent="0.6">
      <c r="C12" s="203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2"/>
      <c r="BD12" s="192"/>
      <c r="BE12" s="192"/>
      <c r="BF12" s="192"/>
      <c r="BG12" s="192"/>
    </row>
    <row r="13" spans="2:60" ht="44.25" customHeight="1" outlineLevel="1" thickBot="1" x14ac:dyDescent="0.6">
      <c r="B13" s="140" t="s">
        <v>39</v>
      </c>
      <c r="C13" s="141" t="s">
        <v>40</v>
      </c>
      <c r="D13" s="249" t="s">
        <v>41</v>
      </c>
      <c r="E13" s="235" t="s">
        <v>21</v>
      </c>
      <c r="F13" s="250">
        <v>4</v>
      </c>
      <c r="G13" s="219" t="s">
        <v>42</v>
      </c>
      <c r="H13" s="142">
        <v>18122.59</v>
      </c>
      <c r="I13" s="143">
        <f>H13*[1]TRM!$I$9</f>
        <v>25675904.2861</v>
      </c>
      <c r="J13" s="119">
        <v>21183.86</v>
      </c>
      <c r="K13" s="135">
        <f>J13*[1]TRM!$I$9</f>
        <v>30013081.009399999</v>
      </c>
      <c r="L13" s="119">
        <v>24244.06</v>
      </c>
      <c r="M13" s="135">
        <f>L13*[1]TRM!$I$9</f>
        <v>34348741.767400004</v>
      </c>
      <c r="N13" s="182"/>
      <c r="O13" s="122">
        <f>(L15-H13)/4</f>
        <v>1913.1600000000008</v>
      </c>
      <c r="S13" s="114">
        <f>H13*1.05</f>
        <v>19028.719499999999</v>
      </c>
      <c r="T13" s="100">
        <v>1</v>
      </c>
      <c r="V13" s="114">
        <f>S16*1.05</f>
        <v>23129.527481746878</v>
      </c>
      <c r="W13" s="100">
        <v>5</v>
      </c>
      <c r="Y13" s="113"/>
      <c r="BG13" s="182"/>
    </row>
    <row r="14" spans="2:60" ht="37.5" customHeight="1" outlineLevel="1" thickBot="1" x14ac:dyDescent="0.6">
      <c r="B14" s="206" t="s">
        <v>43</v>
      </c>
      <c r="C14" s="233" t="s">
        <v>44</v>
      </c>
      <c r="D14" s="232"/>
      <c r="E14" s="236"/>
      <c r="F14" s="251"/>
      <c r="G14" s="252"/>
      <c r="H14" s="193" t="s">
        <v>45</v>
      </c>
      <c r="I14" s="194"/>
      <c r="J14" s="124"/>
      <c r="K14" s="144"/>
      <c r="L14" s="145"/>
      <c r="M14" s="181"/>
      <c r="N14" s="183"/>
      <c r="S14" s="114">
        <f>S13*1.05</f>
        <v>19980.155475</v>
      </c>
      <c r="T14" s="100">
        <v>2</v>
      </c>
      <c r="V14" s="114">
        <f>V13*1.05</f>
        <v>24286.003855834224</v>
      </c>
      <c r="W14" s="100">
        <v>6</v>
      </c>
      <c r="Y14" s="113"/>
      <c r="AY14" s="100">
        <v>58000</v>
      </c>
      <c r="AZ14" s="114"/>
      <c r="BA14" s="114">
        <f>AY14/AY15</f>
        <v>0.92063492063492058</v>
      </c>
      <c r="BB14" s="100">
        <f>100-92</f>
        <v>8</v>
      </c>
      <c r="BG14" s="183"/>
    </row>
    <row r="15" spans="2:60" ht="44.25" customHeight="1" outlineLevel="1" thickBot="1" x14ac:dyDescent="0.6">
      <c r="B15" s="206"/>
      <c r="C15" s="233"/>
      <c r="D15" s="232"/>
      <c r="E15" s="235" t="s">
        <v>29</v>
      </c>
      <c r="F15" s="246" t="s">
        <v>46</v>
      </c>
      <c r="G15" s="248" t="s">
        <v>47</v>
      </c>
      <c r="H15" s="146">
        <v>18887.64</v>
      </c>
      <c r="I15" s="135">
        <f>H15*[1]TRM!$I$9</f>
        <v>26759819.475599997</v>
      </c>
      <c r="J15" s="119">
        <v>21948.91</v>
      </c>
      <c r="K15" s="120">
        <f>J15*[1]TRM!$I$9</f>
        <v>31096996.198899999</v>
      </c>
      <c r="L15" s="147">
        <v>25775.230000000003</v>
      </c>
      <c r="M15" s="186">
        <f>L15*[1]TRM!$I$9</f>
        <v>36518088.111700006</v>
      </c>
      <c r="N15" s="182"/>
      <c r="O15" s="122">
        <f>J15+O13</f>
        <v>23862.07</v>
      </c>
      <c r="Q15" s="133">
        <f>J15/H15</f>
        <v>1.1620779515069115</v>
      </c>
      <c r="S15" s="114">
        <f>S14*1.05</f>
        <v>20979.163248749999</v>
      </c>
      <c r="T15" s="100">
        <v>3</v>
      </c>
      <c r="V15" s="114">
        <f>V14*1.05</f>
        <v>25500.304048625938</v>
      </c>
      <c r="W15" s="100">
        <v>7</v>
      </c>
      <c r="X15" s="133"/>
      <c r="AY15" s="100">
        <v>63000</v>
      </c>
      <c r="BG15" s="182"/>
    </row>
    <row r="16" spans="2:60" ht="37.5" customHeight="1" outlineLevel="1" thickBot="1" x14ac:dyDescent="0.6">
      <c r="B16" s="207"/>
      <c r="C16" s="233"/>
      <c r="D16" s="232"/>
      <c r="E16" s="241"/>
      <c r="F16" s="247"/>
      <c r="G16" s="243"/>
      <c r="H16" s="132"/>
      <c r="I16" s="148"/>
      <c r="J16" s="149">
        <f>J15/H15</f>
        <v>1.1620779515069115</v>
      </c>
      <c r="K16" s="150"/>
      <c r="L16" s="194" t="s">
        <v>48</v>
      </c>
      <c r="M16" s="194"/>
      <c r="N16" s="183"/>
      <c r="Q16" s="133">
        <f>L15/J15</f>
        <v>1.1743284746258471</v>
      </c>
      <c r="S16" s="114">
        <f>S15*1.05</f>
        <v>22028.121411187502</v>
      </c>
      <c r="T16" s="100">
        <v>4</v>
      </c>
      <c r="V16" s="114"/>
      <c r="X16" s="133"/>
      <c r="Y16" s="113"/>
      <c r="AY16" s="123"/>
      <c r="BG16" s="183"/>
    </row>
    <row r="17" spans="2:61" ht="12" customHeight="1" thickBot="1" x14ac:dyDescent="0.6">
      <c r="C17" s="191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2"/>
      <c r="BE17" s="192"/>
      <c r="BF17" s="192"/>
      <c r="BG17" s="192"/>
    </row>
    <row r="18" spans="2:61" ht="62.1" customHeight="1" outlineLevel="1" thickBot="1" x14ac:dyDescent="0.6">
      <c r="B18" s="151" t="s">
        <v>49</v>
      </c>
      <c r="C18" s="141" t="s">
        <v>50</v>
      </c>
      <c r="D18" s="232" t="s">
        <v>51</v>
      </c>
      <c r="E18" s="241" t="s">
        <v>21</v>
      </c>
      <c r="F18" s="242">
        <v>6</v>
      </c>
      <c r="G18" s="244" t="s">
        <v>52</v>
      </c>
      <c r="H18" s="152">
        <v>23560.33</v>
      </c>
      <c r="I18" s="153">
        <f>H18*[1]TRM!$I$9</f>
        <v>33380039.940700002</v>
      </c>
      <c r="J18" s="154">
        <v>27538.59</v>
      </c>
      <c r="K18" s="155">
        <f>J18*[1]TRM!$I$9</f>
        <v>39016398.926100001</v>
      </c>
      <c r="L18" s="154">
        <v>31517.920000000002</v>
      </c>
      <c r="M18" s="155">
        <f>L18*[1]TRM!$I$9</f>
        <v>44654273.876800001</v>
      </c>
      <c r="N18" s="182"/>
      <c r="O18" s="122">
        <f>(L22-H18)/6</f>
        <v>2289.9449999999997</v>
      </c>
      <c r="S18" s="114">
        <f>H18*1.05</f>
        <v>24738.346500000003</v>
      </c>
      <c r="T18" s="100">
        <v>1</v>
      </c>
      <c r="V18" s="114">
        <f>S23*1.05</f>
        <v>33151.750300920743</v>
      </c>
      <c r="W18" s="100">
        <v>7</v>
      </c>
      <c r="Y18" s="113" t="s">
        <v>53</v>
      </c>
      <c r="BG18" s="182"/>
    </row>
    <row r="19" spans="2:61" ht="37.5" customHeight="1" outlineLevel="1" thickBot="1" x14ac:dyDescent="0.6">
      <c r="B19" s="206" t="s">
        <v>54</v>
      </c>
      <c r="C19" s="233" t="s">
        <v>55</v>
      </c>
      <c r="D19" s="232"/>
      <c r="E19" s="236"/>
      <c r="F19" s="238"/>
      <c r="G19" s="245"/>
      <c r="H19" s="193" t="s">
        <v>56</v>
      </c>
      <c r="I19" s="234"/>
      <c r="J19" s="156">
        <f>J18/H18</f>
        <v>1.1688541713974294</v>
      </c>
      <c r="K19" s="157"/>
      <c r="L19" s="158">
        <f>L18/J18</f>
        <v>1.1445001359909859</v>
      </c>
      <c r="M19" s="148"/>
      <c r="N19" s="183"/>
      <c r="S19" s="114">
        <f>S18*1.05</f>
        <v>25975.263825000005</v>
      </c>
      <c r="T19" s="100">
        <v>2</v>
      </c>
      <c r="V19" s="114">
        <f>V18*1.05</f>
        <v>34809.337815966785</v>
      </c>
      <c r="W19" s="100">
        <v>8</v>
      </c>
      <c r="Y19" s="113"/>
      <c r="BG19" s="183"/>
    </row>
    <row r="20" spans="2:61" ht="44.25" customHeight="1" outlineLevel="1" thickBot="1" x14ac:dyDescent="0.6">
      <c r="B20" s="206"/>
      <c r="C20" s="233"/>
      <c r="D20" s="232"/>
      <c r="E20" s="235" t="s">
        <v>29</v>
      </c>
      <c r="F20" s="237">
        <v>9</v>
      </c>
      <c r="G20" s="239" t="s">
        <v>57</v>
      </c>
      <c r="H20" s="159">
        <v>25300</v>
      </c>
      <c r="I20" s="160">
        <f>H20*[1]TRM!$I$9</f>
        <v>35844787</v>
      </c>
      <c r="J20" s="142">
        <v>28600</v>
      </c>
      <c r="K20" s="168">
        <f>J20*[1]TRM!$I$9</f>
        <v>40520194</v>
      </c>
      <c r="L20" s="134">
        <v>33150</v>
      </c>
      <c r="M20" s="135">
        <f>L20*[1]TRM!$I$9</f>
        <v>46966588.5</v>
      </c>
      <c r="N20" s="195" t="s">
        <v>58</v>
      </c>
      <c r="S20" s="114">
        <f>S19*1.05</f>
        <v>27274.027016250006</v>
      </c>
      <c r="T20" s="100">
        <v>3</v>
      </c>
      <c r="V20" s="114"/>
      <c r="Y20" s="113"/>
      <c r="BG20" s="195"/>
    </row>
    <row r="21" spans="2:61" ht="37.5" customHeight="1" outlineLevel="1" thickBot="1" x14ac:dyDescent="0.6">
      <c r="B21" s="206"/>
      <c r="C21" s="233"/>
      <c r="D21" s="232"/>
      <c r="E21" s="236"/>
      <c r="F21" s="238"/>
      <c r="G21" s="240"/>
      <c r="H21" s="161">
        <f>H20/L18</f>
        <v>0.8027179458542949</v>
      </c>
      <c r="I21" s="162"/>
      <c r="J21" s="205" t="s">
        <v>59</v>
      </c>
      <c r="K21" s="197"/>
      <c r="L21" s="163">
        <f>L20/J20</f>
        <v>1.1590909090909092</v>
      </c>
      <c r="M21" s="157"/>
      <c r="N21" s="196"/>
      <c r="Q21" s="133">
        <f>J20/H20</f>
        <v>1.1304347826086956</v>
      </c>
      <c r="S21" s="114">
        <f>S20*1.05</f>
        <v>28637.728367062507</v>
      </c>
      <c r="T21" s="100">
        <v>4</v>
      </c>
      <c r="V21" s="114"/>
      <c r="X21" s="133"/>
      <c r="Y21" s="114"/>
      <c r="BG21" s="196"/>
    </row>
    <row r="22" spans="2:61" ht="52" customHeight="1" outlineLevel="1" thickBot="1" x14ac:dyDescent="0.6">
      <c r="B22" s="206"/>
      <c r="C22" s="233"/>
      <c r="D22" s="232"/>
      <c r="E22" s="235" t="s">
        <v>35</v>
      </c>
      <c r="F22" s="237">
        <v>12</v>
      </c>
      <c r="G22" s="239" t="s">
        <v>60</v>
      </c>
      <c r="H22" s="119">
        <v>32100</v>
      </c>
      <c r="I22" s="135">
        <f>H22*[1]TRM!$I$9</f>
        <v>45478959</v>
      </c>
      <c r="J22" s="128">
        <v>34900</v>
      </c>
      <c r="K22" s="129">
        <f>J22*[1]TRM!$I$9</f>
        <v>49445971</v>
      </c>
      <c r="L22" s="164">
        <v>37300</v>
      </c>
      <c r="M22" s="118">
        <f>L22*[1]TRM!$I$9</f>
        <v>52846267</v>
      </c>
      <c r="N22" s="195" t="s">
        <v>61</v>
      </c>
      <c r="O22" s="122">
        <f>J22+O18</f>
        <v>37189.945</v>
      </c>
      <c r="S22" s="114">
        <f>S21*1.05</f>
        <v>30069.614785415633</v>
      </c>
      <c r="T22" s="100">
        <v>5</v>
      </c>
      <c r="V22" s="114"/>
      <c r="Y22" s="114"/>
      <c r="BG22" s="195"/>
    </row>
    <row r="23" spans="2:61" ht="52" customHeight="1" outlineLevel="1" thickBot="1" x14ac:dyDescent="0.6">
      <c r="B23" s="207"/>
      <c r="C23" s="233"/>
      <c r="D23" s="232"/>
      <c r="E23" s="241"/>
      <c r="F23" s="242"/>
      <c r="G23" s="243"/>
      <c r="H23" s="149">
        <f>H22/L20</f>
        <v>0.96832579185520362</v>
      </c>
      <c r="I23" s="157"/>
      <c r="J23" s="161">
        <f>J22/H22</f>
        <v>1.0872274143302181</v>
      </c>
      <c r="K23" s="162"/>
      <c r="L23" s="193" t="s">
        <v>62</v>
      </c>
      <c r="M23" s="194"/>
      <c r="N23" s="196"/>
      <c r="Q23" s="133">
        <f>L22/J22</f>
        <v>1.0687679083094557</v>
      </c>
      <c r="S23" s="114">
        <f>S22*1.05</f>
        <v>31573.095524686418</v>
      </c>
      <c r="T23" s="100">
        <v>6</v>
      </c>
      <c r="V23" s="114"/>
      <c r="X23" s="133"/>
      <c r="Y23" s="114"/>
      <c r="BG23" s="196"/>
    </row>
    <row r="24" spans="2:61" ht="13.35" customHeight="1" thickBot="1" x14ac:dyDescent="0.6">
      <c r="C24" s="191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2"/>
      <c r="BB24" s="192"/>
      <c r="BC24" s="192"/>
      <c r="BD24" s="192"/>
      <c r="BE24" s="192"/>
      <c r="BF24" s="192"/>
      <c r="BG24" s="192"/>
    </row>
    <row r="25" spans="2:61" ht="49.5" customHeight="1" outlineLevel="1" thickBot="1" x14ac:dyDescent="0.6">
      <c r="B25" s="151" t="s">
        <v>63</v>
      </c>
      <c r="C25" s="165" t="s">
        <v>64</v>
      </c>
      <c r="D25" s="232" t="s">
        <v>65</v>
      </c>
      <c r="E25" s="211" t="s">
        <v>21</v>
      </c>
      <c r="F25" s="225">
        <v>8</v>
      </c>
      <c r="G25" s="226" t="s">
        <v>66</v>
      </c>
      <c r="H25" s="166">
        <v>34300</v>
      </c>
      <c r="I25" s="167">
        <f>H25*[1]TRM!$I$9</f>
        <v>48595897</v>
      </c>
      <c r="J25" s="119">
        <v>38300</v>
      </c>
      <c r="K25" s="135">
        <f>J25*[1]TRM!$I$9</f>
        <v>54263057</v>
      </c>
      <c r="L25" s="119">
        <v>44045</v>
      </c>
      <c r="M25" s="135">
        <f>L25*[1]TRM!$I$9</f>
        <v>62402515.549999997</v>
      </c>
      <c r="N25" s="182"/>
      <c r="O25" s="122">
        <f>(L29-H25)/6</f>
        <v>2356.7885950678997</v>
      </c>
      <c r="S25" s="114">
        <f>H25*1.05</f>
        <v>36015</v>
      </c>
      <c r="T25" s="100">
        <v>1</v>
      </c>
      <c r="V25" s="114">
        <f>S30*1.05</f>
        <v>48263.544497109382</v>
      </c>
      <c r="W25" s="100">
        <v>7</v>
      </c>
      <c r="Y25" s="113"/>
      <c r="BG25" s="182"/>
      <c r="BI25" s="114"/>
    </row>
    <row r="26" spans="2:61" ht="37.5" customHeight="1" outlineLevel="1" thickBot="1" x14ac:dyDescent="0.6">
      <c r="B26" s="206" t="s">
        <v>67</v>
      </c>
      <c r="C26" s="206" t="s">
        <v>68</v>
      </c>
      <c r="D26" s="232"/>
      <c r="E26" s="224"/>
      <c r="F26" s="213"/>
      <c r="G26" s="227"/>
      <c r="H26" s="208" t="s">
        <v>69</v>
      </c>
      <c r="I26" s="209"/>
      <c r="J26" s="156">
        <f>J25/H25</f>
        <v>1.1166180758017492</v>
      </c>
      <c r="K26" s="157"/>
      <c r="L26" s="149">
        <f>L25/J25</f>
        <v>1.1499999999999999</v>
      </c>
      <c r="M26" s="157"/>
      <c r="N26" s="183"/>
      <c r="S26" s="114">
        <f>S25*1.05</f>
        <v>37815.75</v>
      </c>
      <c r="T26" s="100">
        <v>2</v>
      </c>
      <c r="V26" s="114">
        <f>V25*1.05</f>
        <v>50676.721721964852</v>
      </c>
      <c r="W26" s="100">
        <v>8</v>
      </c>
      <c r="Y26" s="113"/>
      <c r="BG26" s="183"/>
    </row>
    <row r="27" spans="2:61" ht="43" customHeight="1" outlineLevel="1" thickBot="1" x14ac:dyDescent="0.6">
      <c r="B27" s="206"/>
      <c r="C27" s="206"/>
      <c r="D27" s="232"/>
      <c r="E27" s="210" t="s">
        <v>29</v>
      </c>
      <c r="F27" s="212">
        <v>10</v>
      </c>
      <c r="G27" s="214" t="s">
        <v>70</v>
      </c>
      <c r="H27" s="159">
        <v>37600</v>
      </c>
      <c r="I27" s="135">
        <f>H27*[1]TRM!$I$9</f>
        <v>53271304</v>
      </c>
      <c r="J27" s="142">
        <v>43300</v>
      </c>
      <c r="K27" s="168">
        <f>J27*[1]TRM!$I$9</f>
        <v>61347007</v>
      </c>
      <c r="L27" s="121">
        <v>47002</v>
      </c>
      <c r="M27" s="135">
        <f>L27*[1]TRM!$I$9</f>
        <v>66591963.579999998</v>
      </c>
      <c r="N27" s="195" t="s">
        <v>71</v>
      </c>
      <c r="S27" s="114">
        <f>S26*1.05</f>
        <v>39706.537499999999</v>
      </c>
      <c r="T27" s="100">
        <v>3</v>
      </c>
      <c r="BG27" s="201" t="s">
        <v>72</v>
      </c>
      <c r="BH27" s="123">
        <f>H27-'[2]POA Compensation Analysis  '!$H$27</f>
        <v>32095</v>
      </c>
      <c r="BI27" s="123">
        <f>L27-'[2]POA Compensation Analysis  '!$L$25</f>
        <v>33003.75</v>
      </c>
    </row>
    <row r="28" spans="2:61" ht="43" customHeight="1" outlineLevel="1" thickBot="1" x14ac:dyDescent="0.6">
      <c r="B28" s="206"/>
      <c r="C28" s="206"/>
      <c r="D28" s="232"/>
      <c r="E28" s="211"/>
      <c r="F28" s="213"/>
      <c r="G28" s="228"/>
      <c r="H28" s="169">
        <f>H27/L25</f>
        <v>0.85367238051992278</v>
      </c>
      <c r="I28" s="150"/>
      <c r="J28" s="198" t="s">
        <v>73</v>
      </c>
      <c r="K28" s="199"/>
      <c r="L28" s="170">
        <f>L27/J27</f>
        <v>1.0854965357967667</v>
      </c>
      <c r="M28" s="173"/>
      <c r="N28" s="196"/>
      <c r="Q28" s="133">
        <f>J27/H27</f>
        <v>1.1515957446808511</v>
      </c>
      <c r="S28" s="114">
        <f>S27*1.05</f>
        <v>41691.864374999997</v>
      </c>
      <c r="T28" s="100">
        <v>4</v>
      </c>
      <c r="X28" s="133"/>
      <c r="BG28" s="202"/>
      <c r="BH28" s="127">
        <f>BH27*0.4</f>
        <v>12838</v>
      </c>
      <c r="BI28" s="127">
        <f>BI27*0.4</f>
        <v>13201.5</v>
      </c>
    </row>
    <row r="29" spans="2:61" ht="44.25" customHeight="1" outlineLevel="1" thickBot="1" x14ac:dyDescent="0.6">
      <c r="B29" s="206"/>
      <c r="C29" s="206"/>
      <c r="D29" s="232"/>
      <c r="E29" s="210" t="s">
        <v>35</v>
      </c>
      <c r="F29" s="229" t="s">
        <v>74</v>
      </c>
      <c r="G29" s="230" t="s">
        <v>75</v>
      </c>
      <c r="H29" s="159">
        <v>39121.728022297066</v>
      </c>
      <c r="I29" s="135">
        <f>H29*[1]TRM!$I$9</f>
        <v>55427273.044710256</v>
      </c>
      <c r="J29" s="119">
        <v>47002</v>
      </c>
      <c r="K29" s="120">
        <f>J29*[1]TRM!$I$9</f>
        <v>66591963.579999998</v>
      </c>
      <c r="L29" s="147">
        <v>48440.731570407399</v>
      </c>
      <c r="M29" s="187">
        <f>L29*[1]TRM!$I$9</f>
        <v>68630344.081637502</v>
      </c>
      <c r="N29" s="182"/>
      <c r="O29" s="122">
        <f>J29+O25</f>
        <v>49358.788595067897</v>
      </c>
      <c r="S29" s="114">
        <f>S28*1.05</f>
        <v>43776.457593749998</v>
      </c>
      <c r="T29" s="100">
        <v>5</v>
      </c>
      <c r="BG29" s="182"/>
      <c r="BH29" s="127">
        <f>BH28+'[2]POA Compensation Analysis  '!$H$27</f>
        <v>18343</v>
      </c>
      <c r="BI29" s="127">
        <f>BI28+'[2]POA Compensation Analysis  '!$L$25</f>
        <v>27199.75</v>
      </c>
    </row>
    <row r="30" spans="2:61" ht="37.5" customHeight="1" outlineLevel="1" thickBot="1" x14ac:dyDescent="0.6">
      <c r="B30" s="207"/>
      <c r="C30" s="206"/>
      <c r="D30" s="232"/>
      <c r="E30" s="216"/>
      <c r="F30" s="225"/>
      <c r="G30" s="231"/>
      <c r="H30" s="161">
        <f>H29/L27</f>
        <v>0.83234177316490932</v>
      </c>
      <c r="I30" s="157"/>
      <c r="J30" s="149">
        <f>J29/H29</f>
        <v>1.2014295476215071</v>
      </c>
      <c r="K30" s="171"/>
      <c r="L30" s="194" t="s">
        <v>76</v>
      </c>
      <c r="M30" s="194"/>
      <c r="N30" s="183"/>
      <c r="Q30" s="133">
        <f>L29/J29</f>
        <v>1.0306100074551594</v>
      </c>
      <c r="S30" s="114">
        <f>S29*1.05</f>
        <v>45965.280473437502</v>
      </c>
      <c r="T30" s="100">
        <v>6</v>
      </c>
      <c r="X30" s="133"/>
      <c r="BG30" s="183"/>
      <c r="BH30" s="127">
        <f>BH29/12</f>
        <v>1528.5833333333333</v>
      </c>
      <c r="BI30" s="123">
        <f>L29-'[2]POA Compensation Analysis  '!$L$29</f>
        <v>24132.731570407399</v>
      </c>
    </row>
    <row r="31" spans="2:61" ht="11.5" customHeight="1" thickBot="1" x14ac:dyDescent="0.6">
      <c r="C31" s="191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2"/>
      <c r="BB31" s="192"/>
      <c r="BC31" s="192"/>
      <c r="BD31" s="192"/>
      <c r="BE31" s="192"/>
      <c r="BF31" s="192"/>
      <c r="BG31" s="192"/>
    </row>
    <row r="32" spans="2:61" ht="44.25" customHeight="1" outlineLevel="1" thickBot="1" x14ac:dyDescent="0.6">
      <c r="B32" s="151" t="s">
        <v>63</v>
      </c>
      <c r="C32" s="165" t="s">
        <v>77</v>
      </c>
      <c r="D32" s="221" t="s">
        <v>78</v>
      </c>
      <c r="E32" s="211" t="s">
        <v>21</v>
      </c>
      <c r="F32" s="225">
        <v>10</v>
      </c>
      <c r="G32" s="226" t="s">
        <v>79</v>
      </c>
      <c r="H32" s="166">
        <v>84816</v>
      </c>
      <c r="I32" s="167">
        <f>H32*[1]TRM!$I$9</f>
        <v>120166460.64</v>
      </c>
      <c r="J32" s="119">
        <v>98068.5</v>
      </c>
      <c r="K32" s="135">
        <f>J32*[1]TRM!$I$9</f>
        <v>138942470.11500001</v>
      </c>
      <c r="L32" s="119">
        <v>109112.25</v>
      </c>
      <c r="M32" s="135">
        <f>L32*[1]TRM!$I$9</f>
        <v>154589144.67750001</v>
      </c>
      <c r="N32" s="182"/>
      <c r="O32" s="122">
        <f>(L36-H32)/6</f>
        <v>6447.333333333333</v>
      </c>
      <c r="S32" s="114">
        <f>H32*1.05</f>
        <v>89056.8</v>
      </c>
      <c r="T32" s="100">
        <v>1</v>
      </c>
      <c r="V32" s="114">
        <f>S37*1.05</f>
        <v>119344.62944801254</v>
      </c>
      <c r="W32" s="100">
        <v>7</v>
      </c>
      <c r="Y32" s="113"/>
      <c r="BG32" s="182"/>
      <c r="BI32" s="127">
        <f>BI30*0.4</f>
        <v>9653.09262816296</v>
      </c>
    </row>
    <row r="33" spans="2:61" ht="37.5" customHeight="1" outlineLevel="1" thickBot="1" x14ac:dyDescent="0.6">
      <c r="B33" s="206" t="s">
        <v>67</v>
      </c>
      <c r="C33" s="206" t="s">
        <v>80</v>
      </c>
      <c r="D33" s="222"/>
      <c r="E33" s="224"/>
      <c r="F33" s="213"/>
      <c r="G33" s="227"/>
      <c r="H33" s="208" t="s">
        <v>81</v>
      </c>
      <c r="I33" s="209"/>
      <c r="J33" s="172">
        <f>J32/H32</f>
        <v>1.15625</v>
      </c>
      <c r="K33" s="173"/>
      <c r="L33" s="170">
        <f>L32/J32</f>
        <v>1.1126126126126126</v>
      </c>
      <c r="M33" s="157"/>
      <c r="N33" s="183"/>
      <c r="S33" s="114">
        <f>S32*1.05</f>
        <v>93509.640000000014</v>
      </c>
      <c r="T33" s="100">
        <v>2</v>
      </c>
      <c r="V33" s="114">
        <f>V32*1.05</f>
        <v>125311.86092041316</v>
      </c>
      <c r="W33" s="100">
        <v>8</v>
      </c>
      <c r="Y33" s="113"/>
      <c r="BG33" s="183"/>
      <c r="BH33" s="100">
        <f>4000*12</f>
        <v>48000</v>
      </c>
      <c r="BI33" s="127">
        <f>BI32+'[2]POA Compensation Analysis  '!$L$29</f>
        <v>33961.092628162958</v>
      </c>
    </row>
    <row r="34" spans="2:61" ht="44.25" customHeight="1" outlineLevel="1" thickBot="1" x14ac:dyDescent="0.6">
      <c r="B34" s="206"/>
      <c r="C34" s="206"/>
      <c r="D34" s="222"/>
      <c r="E34" s="210" t="s">
        <v>29</v>
      </c>
      <c r="F34" s="212">
        <v>12</v>
      </c>
      <c r="G34" s="214" t="s">
        <v>82</v>
      </c>
      <c r="H34" s="119">
        <v>89280</v>
      </c>
      <c r="I34" s="120">
        <f>H34*[1]TRM!$I$9</f>
        <v>126491011.2</v>
      </c>
      <c r="J34" s="174">
        <v>103230</v>
      </c>
      <c r="K34" s="175">
        <f>J34*[1]TRM!$I$9</f>
        <v>146255231.69999999</v>
      </c>
      <c r="L34" s="176">
        <v>114855</v>
      </c>
      <c r="M34" s="135">
        <f>L34*[1]TRM!$I$9</f>
        <v>162725415.44999999</v>
      </c>
      <c r="N34" s="182"/>
      <c r="S34" s="114">
        <f>S33*1.05</f>
        <v>98185.122000000018</v>
      </c>
      <c r="T34" s="100">
        <v>3</v>
      </c>
      <c r="BG34" s="182"/>
    </row>
    <row r="35" spans="2:61" ht="37.5" customHeight="1" outlineLevel="1" thickBot="1" x14ac:dyDescent="0.6">
      <c r="B35" s="206"/>
      <c r="C35" s="206"/>
      <c r="D35" s="222"/>
      <c r="E35" s="211"/>
      <c r="F35" s="213"/>
      <c r="G35" s="215"/>
      <c r="H35" s="149">
        <f>H34/L32</f>
        <v>0.81823993181333898</v>
      </c>
      <c r="I35" s="157"/>
      <c r="J35" s="193" t="s">
        <v>83</v>
      </c>
      <c r="K35" s="197"/>
      <c r="L35" s="163">
        <f>L34/J34</f>
        <v>1.1126126126126126</v>
      </c>
      <c r="M35" s="173"/>
      <c r="N35" s="183"/>
      <c r="Q35" s="133">
        <f>J34/H34</f>
        <v>1.15625</v>
      </c>
      <c r="S35" s="114">
        <f>S34*1.05</f>
        <v>103094.37810000002</v>
      </c>
      <c r="T35" s="100">
        <v>4</v>
      </c>
      <c r="X35" s="133"/>
      <c r="BG35" s="183"/>
    </row>
    <row r="36" spans="2:61" ht="47.5" customHeight="1" outlineLevel="1" thickBot="1" x14ac:dyDescent="0.6">
      <c r="B36" s="206"/>
      <c r="C36" s="206"/>
      <c r="D36" s="222"/>
      <c r="E36" s="210" t="s">
        <v>35</v>
      </c>
      <c r="F36" s="217">
        <v>14</v>
      </c>
      <c r="G36" s="219" t="s">
        <v>84</v>
      </c>
      <c r="H36" s="177">
        <v>96000</v>
      </c>
      <c r="I36" s="135">
        <f>H36*[1]TRM!$I$9</f>
        <v>136011840</v>
      </c>
      <c r="J36" s="159">
        <v>111000</v>
      </c>
      <c r="K36" s="178">
        <f>J36*[1]TRM!$I$9</f>
        <v>157263690</v>
      </c>
      <c r="L36" s="179">
        <v>123500</v>
      </c>
      <c r="M36" s="187">
        <f>L36*[1]TRM!$I$9</f>
        <v>174973565</v>
      </c>
      <c r="N36" s="200" t="s">
        <v>85</v>
      </c>
      <c r="O36" s="122">
        <f>J36+O32</f>
        <v>117447.33333333333</v>
      </c>
      <c r="S36" s="114">
        <f>S35*1.05</f>
        <v>108249.09700500002</v>
      </c>
      <c r="T36" s="100">
        <v>5</v>
      </c>
      <c r="BG36" s="201" t="s">
        <v>86</v>
      </c>
    </row>
    <row r="37" spans="2:61" ht="47.5" customHeight="1" outlineLevel="1" thickBot="1" x14ac:dyDescent="0.6">
      <c r="B37" s="207"/>
      <c r="C37" s="206"/>
      <c r="D37" s="223"/>
      <c r="E37" s="216"/>
      <c r="F37" s="218"/>
      <c r="G37" s="220"/>
      <c r="H37" s="180">
        <f>H36/L34</f>
        <v>0.83583648948674416</v>
      </c>
      <c r="I37" s="157"/>
      <c r="J37" s="169">
        <f>J36/H36</f>
        <v>1.15625</v>
      </c>
      <c r="K37" s="162"/>
      <c r="L37" s="193" t="s">
        <v>87</v>
      </c>
      <c r="M37" s="194"/>
      <c r="N37" s="196"/>
      <c r="Q37" s="133">
        <f>L36/J36</f>
        <v>1.1126126126126126</v>
      </c>
      <c r="S37" s="114">
        <f>S36*1.05</f>
        <v>113661.55185525003</v>
      </c>
      <c r="T37" s="100">
        <v>6</v>
      </c>
      <c r="X37" s="133"/>
      <c r="BG37" s="202"/>
    </row>
    <row r="38" spans="2:61" ht="11.5" customHeight="1" x14ac:dyDescent="0.55000000000000004">
      <c r="C38" s="191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92"/>
      <c r="BG38" s="192"/>
    </row>
    <row r="39" spans="2:61" ht="12" customHeight="1" x14ac:dyDescent="0.55000000000000004">
      <c r="C39" s="191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2"/>
      <c r="BD39" s="192"/>
      <c r="BE39" s="192"/>
      <c r="BF39" s="192"/>
      <c r="BG39" s="192"/>
    </row>
  </sheetData>
  <sheetProtection algorithmName="SHA-512" hashValue="8ahjzKFp8SMhww2bTUsXMrpQWrAj256nL2QNZXOQNWDiBkQjyEvsZDlMBj7hTfhOPCSFejfqeOg2n0Z8rv11Ew==" saltValue="K9Vr9qaZAye3N0EHXyK2qw==" spinCount="100000" sheet="1" objects="1" scenarios="1"/>
  <mergeCells count="98">
    <mergeCell ref="S2:W2"/>
    <mergeCell ref="C4:F4"/>
    <mergeCell ref="G4:G5"/>
    <mergeCell ref="H4:H5"/>
    <mergeCell ref="I4:I5"/>
    <mergeCell ref="J4:J5"/>
    <mergeCell ref="K4:K5"/>
    <mergeCell ref="L4:L5"/>
    <mergeCell ref="M4:M5"/>
    <mergeCell ref="C3:BG3"/>
    <mergeCell ref="BG4:BG5"/>
    <mergeCell ref="N4:N5"/>
    <mergeCell ref="B7:B11"/>
    <mergeCell ref="C7:C11"/>
    <mergeCell ref="H7:I7"/>
    <mergeCell ref="E8:E9"/>
    <mergeCell ref="F8:F9"/>
    <mergeCell ref="D6:D11"/>
    <mergeCell ref="E6:E7"/>
    <mergeCell ref="F6:F7"/>
    <mergeCell ref="G6:G7"/>
    <mergeCell ref="G8:G9"/>
    <mergeCell ref="B14:B16"/>
    <mergeCell ref="C14:C16"/>
    <mergeCell ref="H14:I14"/>
    <mergeCell ref="E15:E16"/>
    <mergeCell ref="F15:F16"/>
    <mergeCell ref="G15:G16"/>
    <mergeCell ref="D13:D16"/>
    <mergeCell ref="E13:E14"/>
    <mergeCell ref="F13:F14"/>
    <mergeCell ref="G13:G14"/>
    <mergeCell ref="B19:B23"/>
    <mergeCell ref="C19:C23"/>
    <mergeCell ref="H19:I19"/>
    <mergeCell ref="E20:E21"/>
    <mergeCell ref="F20:F21"/>
    <mergeCell ref="G20:G21"/>
    <mergeCell ref="E22:E23"/>
    <mergeCell ref="F22:F23"/>
    <mergeCell ref="G22:G23"/>
    <mergeCell ref="D18:D23"/>
    <mergeCell ref="E18:E19"/>
    <mergeCell ref="F18:F19"/>
    <mergeCell ref="G18:G19"/>
    <mergeCell ref="B26:B30"/>
    <mergeCell ref="C26:C30"/>
    <mergeCell ref="H26:I26"/>
    <mergeCell ref="E27:E28"/>
    <mergeCell ref="F27:F28"/>
    <mergeCell ref="G27:G28"/>
    <mergeCell ref="E29:E30"/>
    <mergeCell ref="F29:F30"/>
    <mergeCell ref="G29:G30"/>
    <mergeCell ref="D25:D30"/>
    <mergeCell ref="E25:E26"/>
    <mergeCell ref="F25:F26"/>
    <mergeCell ref="G25:G26"/>
    <mergeCell ref="B33:B37"/>
    <mergeCell ref="C33:C37"/>
    <mergeCell ref="H33:I33"/>
    <mergeCell ref="E34:E35"/>
    <mergeCell ref="F34:F35"/>
    <mergeCell ref="G34:G35"/>
    <mergeCell ref="E36:E37"/>
    <mergeCell ref="F36:F37"/>
    <mergeCell ref="G36:G37"/>
    <mergeCell ref="D32:D37"/>
    <mergeCell ref="E32:E33"/>
    <mergeCell ref="F32:F33"/>
    <mergeCell ref="G32:G33"/>
    <mergeCell ref="BG8:BG9"/>
    <mergeCell ref="BG20:BG21"/>
    <mergeCell ref="BG22:BG23"/>
    <mergeCell ref="BG27:BG28"/>
    <mergeCell ref="BG36:BG37"/>
    <mergeCell ref="C12:BG12"/>
    <mergeCell ref="L16:M16"/>
    <mergeCell ref="L11:M11"/>
    <mergeCell ref="J21:K21"/>
    <mergeCell ref="J9:K9"/>
    <mergeCell ref="E10:E11"/>
    <mergeCell ref="F10:F11"/>
    <mergeCell ref="G10:G11"/>
    <mergeCell ref="N8:N9"/>
    <mergeCell ref="C38:BG39"/>
    <mergeCell ref="C31:BG31"/>
    <mergeCell ref="C24:BG24"/>
    <mergeCell ref="C17:BG17"/>
    <mergeCell ref="L23:M23"/>
    <mergeCell ref="N22:N23"/>
    <mergeCell ref="J35:K35"/>
    <mergeCell ref="L37:M37"/>
    <mergeCell ref="J28:K28"/>
    <mergeCell ref="L30:M30"/>
    <mergeCell ref="N27:N28"/>
    <mergeCell ref="N36:N37"/>
    <mergeCell ref="N20:N21"/>
  </mergeCells>
  <pageMargins left="0.7" right="0.7" top="0.75" bottom="0.75" header="0.3" footer="0.3"/>
  <pageSetup scale="80" fitToHeight="0" orientation="landscape" r:id="rId1"/>
  <headerFooter>
    <oddHeader>&amp;RINTERNAL:  Not for external distribution</oddHeader>
    <oddFooter>&amp;L&amp;F&amp;C&amp;P / &amp;N&amp;R&amp;D</oddFooter>
  </headerFooter>
  <rowBreaks count="1" manualBreakCount="1">
    <brk id="2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1"/>
  <sheetViews>
    <sheetView zoomScaleNormal="100" workbookViewId="0"/>
  </sheetViews>
  <sheetFormatPr defaultColWidth="8.68359375" defaultRowHeight="14.4" x14ac:dyDescent="0.55000000000000004"/>
  <cols>
    <col min="1" max="1" width="20" customWidth="1"/>
    <col min="2" max="2" width="27.68359375" customWidth="1"/>
    <col min="3" max="3" width="27.26171875" customWidth="1"/>
    <col min="4" max="4" width="21.41796875" customWidth="1"/>
    <col min="5" max="5" width="9.26171875" customWidth="1"/>
    <col min="6" max="6" width="10.578125" customWidth="1"/>
    <col min="7" max="7" width="11.41796875" customWidth="1"/>
    <col min="9" max="9" width="11.68359375" customWidth="1"/>
    <col min="11" max="11" width="10.578125" customWidth="1"/>
    <col min="12" max="12" width="10" customWidth="1"/>
    <col min="13" max="13" width="10.41796875" customWidth="1"/>
    <col min="14" max="14" width="11.41796875" customWidth="1"/>
    <col min="17" max="17" width="13.578125" customWidth="1"/>
    <col min="18" max="18" width="10.41796875" customWidth="1"/>
    <col min="20" max="20" width="6.26171875" customWidth="1"/>
    <col min="21" max="21" width="20" customWidth="1"/>
    <col min="22" max="22" width="21" customWidth="1"/>
    <col min="23" max="23" width="21.83984375" customWidth="1"/>
    <col min="24" max="24" width="18.15625" customWidth="1"/>
    <col min="25" max="25" width="17.15625" customWidth="1"/>
    <col min="26" max="26" width="21.83984375" customWidth="1"/>
  </cols>
  <sheetData>
    <row r="1" spans="1:26" ht="21.75" customHeight="1" x14ac:dyDescent="0.85">
      <c r="E1" s="287" t="s">
        <v>88</v>
      </c>
      <c r="F1" s="287"/>
      <c r="G1" s="287"/>
      <c r="H1" s="287"/>
      <c r="I1" s="287"/>
      <c r="J1" s="287"/>
      <c r="K1" s="287"/>
      <c r="L1" s="287" t="s">
        <v>89</v>
      </c>
      <c r="M1" s="287"/>
      <c r="N1" s="287"/>
      <c r="O1" s="287"/>
      <c r="P1" s="287"/>
      <c r="Q1" s="287"/>
      <c r="R1" s="287"/>
      <c r="T1" s="287" t="s">
        <v>90</v>
      </c>
      <c r="U1" s="287"/>
      <c r="V1" s="287"/>
      <c r="W1" s="287"/>
      <c r="X1" s="287"/>
      <c r="Y1" s="287"/>
      <c r="Z1" s="287"/>
    </row>
    <row r="2" spans="1:26" ht="29.25" customHeight="1" x14ac:dyDescent="0.55000000000000004">
      <c r="A2" s="1" t="s">
        <v>14</v>
      </c>
      <c r="B2" s="1" t="s">
        <v>91</v>
      </c>
      <c r="C2" s="1" t="s">
        <v>92</v>
      </c>
      <c r="D2" s="1" t="s">
        <v>91</v>
      </c>
      <c r="E2" s="2"/>
      <c r="F2" s="3" t="s">
        <v>93</v>
      </c>
      <c r="G2" s="3" t="s">
        <v>94</v>
      </c>
      <c r="H2" s="3" t="s">
        <v>95</v>
      </c>
      <c r="I2" s="3" t="s">
        <v>96</v>
      </c>
      <c r="J2" s="3" t="s">
        <v>97</v>
      </c>
      <c r="K2" s="3" t="s">
        <v>98</v>
      </c>
      <c r="L2" s="2"/>
      <c r="M2" s="3" t="s">
        <v>93</v>
      </c>
      <c r="N2" s="3" t="s">
        <v>94</v>
      </c>
      <c r="O2" s="3" t="s">
        <v>95</v>
      </c>
      <c r="P2" s="3" t="s">
        <v>96</v>
      </c>
      <c r="Q2" s="3" t="s">
        <v>97</v>
      </c>
      <c r="R2" s="3" t="s">
        <v>98</v>
      </c>
      <c r="S2" s="4"/>
      <c r="T2" s="2"/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</row>
    <row r="3" spans="1:26" ht="15" customHeight="1" x14ac:dyDescent="0.55000000000000004">
      <c r="A3" s="288" t="s">
        <v>99</v>
      </c>
      <c r="B3" s="288" t="s">
        <v>100</v>
      </c>
      <c r="C3" s="275" t="s">
        <v>101</v>
      </c>
      <c r="D3" s="288" t="s">
        <v>102</v>
      </c>
      <c r="E3" s="5" t="s">
        <v>103</v>
      </c>
      <c r="F3" s="6">
        <v>39806586</v>
      </c>
      <c r="G3" s="6">
        <v>67722656</v>
      </c>
      <c r="H3" s="6">
        <v>89704560</v>
      </c>
      <c r="I3" s="6">
        <v>115560592</v>
      </c>
      <c r="J3" s="6">
        <v>191949615</v>
      </c>
      <c r="K3" s="6">
        <v>97765464</v>
      </c>
      <c r="L3" s="5" t="s">
        <v>103</v>
      </c>
      <c r="M3" s="6">
        <f t="shared" ref="M3:M38" si="0">F3*1.03</f>
        <v>41000783.579999998</v>
      </c>
      <c r="N3" s="6">
        <f t="shared" ref="N3:N38" si="1">G3*1.03</f>
        <v>69754335.680000007</v>
      </c>
      <c r="O3" s="6">
        <f t="shared" ref="O3:O38" si="2">H3*1.03</f>
        <v>92395696.799999997</v>
      </c>
      <c r="P3" s="6">
        <f t="shared" ref="P3:P38" si="3">I3*1.03</f>
        <v>119027409.76000001</v>
      </c>
      <c r="Q3" s="6">
        <f t="shared" ref="Q3:Q38" si="4">J3*1.03</f>
        <v>197708103.45000002</v>
      </c>
      <c r="R3" s="7">
        <f t="shared" ref="R3:R38" si="5">K3*1.03</f>
        <v>100698427.92</v>
      </c>
      <c r="T3" s="5" t="s">
        <v>103</v>
      </c>
      <c r="U3" s="6">
        <f t="shared" ref="U3:U38" si="6">M3/1416.79</f>
        <v>28939.210172290881</v>
      </c>
      <c r="V3" s="8">
        <f t="shared" ref="V3:V38" si="7">N3/1416.79</f>
        <v>49234.068337580029</v>
      </c>
      <c r="W3" s="8">
        <f t="shared" ref="W3:W38" si="8">O3/1416.79</f>
        <v>65214.814333810937</v>
      </c>
      <c r="X3" s="8">
        <f t="shared" ref="X3:X38" si="9">P3/1416.79</f>
        <v>84012.034077033299</v>
      </c>
      <c r="Y3" s="6">
        <f t="shared" ref="Y3:Y38" si="10">Q3/1416.79</f>
        <v>139546.51250361736</v>
      </c>
      <c r="Z3" s="6">
        <f t="shared" ref="Z3:Z38" si="11">R3/1416.79</f>
        <v>71075.055526930606</v>
      </c>
    </row>
    <row r="4" spans="1:26" ht="15" customHeight="1" x14ac:dyDescent="0.55000000000000004">
      <c r="A4" s="288"/>
      <c r="B4" s="288"/>
      <c r="C4" s="288"/>
      <c r="D4" s="288"/>
      <c r="E4" s="5" t="s">
        <v>104</v>
      </c>
      <c r="F4" s="6">
        <v>39806586</v>
      </c>
      <c r="G4" s="6">
        <v>50926200</v>
      </c>
      <c r="H4" s="6">
        <v>64489180</v>
      </c>
      <c r="I4" s="6">
        <v>106119656</v>
      </c>
      <c r="J4" s="6">
        <v>180229104</v>
      </c>
      <c r="K4" s="6">
        <v>80382047</v>
      </c>
      <c r="L4" s="5" t="s">
        <v>104</v>
      </c>
      <c r="M4" s="6">
        <f t="shared" si="0"/>
        <v>41000783.579999998</v>
      </c>
      <c r="N4" s="6">
        <f t="shared" si="1"/>
        <v>52453986</v>
      </c>
      <c r="O4" s="6">
        <f t="shared" si="2"/>
        <v>66423855.399999999</v>
      </c>
      <c r="P4" s="6">
        <f t="shared" si="3"/>
        <v>109303245.68000001</v>
      </c>
      <c r="Q4" s="6">
        <f t="shared" si="4"/>
        <v>185635977.12</v>
      </c>
      <c r="R4" s="7">
        <f t="shared" si="5"/>
        <v>82793508.409999996</v>
      </c>
      <c r="S4" s="9"/>
      <c r="T4" s="5" t="s">
        <v>104</v>
      </c>
      <c r="U4" s="6">
        <f t="shared" si="6"/>
        <v>28939.210172290881</v>
      </c>
      <c r="V4" s="8">
        <f t="shared" si="7"/>
        <v>37023.119869564296</v>
      </c>
      <c r="W4" s="8">
        <f t="shared" si="8"/>
        <v>46883.345732253896</v>
      </c>
      <c r="X4" s="8">
        <f t="shared" si="9"/>
        <v>77148.515785684547</v>
      </c>
      <c r="Y4" s="6">
        <f t="shared" si="10"/>
        <v>131025.75337205938</v>
      </c>
      <c r="Z4" s="6">
        <f t="shared" si="11"/>
        <v>58437.389034366417</v>
      </c>
    </row>
    <row r="5" spans="1:26" ht="15" customHeight="1" x14ac:dyDescent="0.55000000000000004">
      <c r="A5" s="288"/>
      <c r="B5" s="288"/>
      <c r="C5" s="275"/>
      <c r="D5" s="288"/>
      <c r="E5" s="5" t="s">
        <v>105</v>
      </c>
      <c r="F5" s="6">
        <v>24257535</v>
      </c>
      <c r="G5" s="6">
        <v>37381444</v>
      </c>
      <c r="H5" s="6">
        <v>43574180</v>
      </c>
      <c r="I5" s="6">
        <v>83641776</v>
      </c>
      <c r="J5" s="6">
        <v>180229104</v>
      </c>
      <c r="K5" s="6">
        <v>62998629</v>
      </c>
      <c r="L5" s="5" t="s">
        <v>105</v>
      </c>
      <c r="M5" s="6">
        <f t="shared" si="0"/>
        <v>24985261.050000001</v>
      </c>
      <c r="N5" s="6">
        <f t="shared" si="1"/>
        <v>38502887.32</v>
      </c>
      <c r="O5" s="6">
        <f t="shared" si="2"/>
        <v>44881405.399999999</v>
      </c>
      <c r="P5" s="6">
        <f t="shared" si="3"/>
        <v>86151029.280000001</v>
      </c>
      <c r="Q5" s="6">
        <f t="shared" si="4"/>
        <v>185635977.12</v>
      </c>
      <c r="R5" s="7">
        <f t="shared" si="5"/>
        <v>64888587.870000005</v>
      </c>
      <c r="S5" s="10"/>
      <c r="T5" s="5" t="s">
        <v>105</v>
      </c>
      <c r="U5" s="6">
        <f t="shared" si="6"/>
        <v>17635.119566061308</v>
      </c>
      <c r="V5" s="8">
        <f t="shared" si="7"/>
        <v>27176.142773452666</v>
      </c>
      <c r="W5" s="8">
        <f t="shared" si="8"/>
        <v>31678.234177259863</v>
      </c>
      <c r="X5" s="8">
        <f t="shared" si="9"/>
        <v>60807.197453398177</v>
      </c>
      <c r="Y5" s="6">
        <f t="shared" si="10"/>
        <v>131025.75337205938</v>
      </c>
      <c r="Z5" s="6">
        <f t="shared" si="11"/>
        <v>45799.721814806719</v>
      </c>
    </row>
    <row r="6" spans="1:26" ht="15" customHeight="1" x14ac:dyDescent="0.55000000000000004">
      <c r="A6" s="289" t="s">
        <v>106</v>
      </c>
      <c r="B6" s="289" t="s">
        <v>107</v>
      </c>
      <c r="C6" s="275"/>
      <c r="D6" s="289" t="s">
        <v>108</v>
      </c>
      <c r="E6" s="11" t="s">
        <v>103</v>
      </c>
      <c r="F6" s="12">
        <v>18792648</v>
      </c>
      <c r="G6" s="12">
        <v>38319976</v>
      </c>
      <c r="H6" s="12">
        <v>50503793</v>
      </c>
      <c r="I6" s="12">
        <v>82198008</v>
      </c>
      <c r="J6" s="12">
        <v>269540954</v>
      </c>
      <c r="K6" s="12">
        <v>69184757</v>
      </c>
      <c r="L6" s="11" t="s">
        <v>103</v>
      </c>
      <c r="M6" s="6">
        <f t="shared" si="0"/>
        <v>19356427.440000001</v>
      </c>
      <c r="N6" s="6">
        <f t="shared" si="1"/>
        <v>39469575.280000001</v>
      </c>
      <c r="O6" s="6">
        <f t="shared" si="2"/>
        <v>52018906.789999999</v>
      </c>
      <c r="P6" s="6">
        <f t="shared" si="3"/>
        <v>84663948.24000001</v>
      </c>
      <c r="Q6" s="6">
        <f t="shared" si="4"/>
        <v>277627182.62</v>
      </c>
      <c r="R6" s="7">
        <f t="shared" si="5"/>
        <v>71260299.710000008</v>
      </c>
      <c r="S6" s="10"/>
      <c r="T6" s="11" t="s">
        <v>103</v>
      </c>
      <c r="U6" s="13">
        <f t="shared" si="6"/>
        <v>13662.171133336629</v>
      </c>
      <c r="V6" s="14">
        <f t="shared" si="7"/>
        <v>27858.451344235917</v>
      </c>
      <c r="W6" s="14">
        <f t="shared" si="8"/>
        <v>36716.031867813865</v>
      </c>
      <c r="X6" s="14">
        <f t="shared" si="9"/>
        <v>59757.584567931743</v>
      </c>
      <c r="Y6" s="13">
        <f t="shared" si="10"/>
        <v>195955.06929043826</v>
      </c>
      <c r="Z6" s="13">
        <f t="shared" si="11"/>
        <v>50297.009232137447</v>
      </c>
    </row>
    <row r="7" spans="1:26" ht="15" customHeight="1" x14ac:dyDescent="0.55000000000000004">
      <c r="A7" s="289"/>
      <c r="B7" s="289"/>
      <c r="C7" s="289"/>
      <c r="D7" s="289"/>
      <c r="E7" s="11" t="s">
        <v>104</v>
      </c>
      <c r="F7" s="12">
        <v>14787924</v>
      </c>
      <c r="G7" s="12">
        <v>30268732</v>
      </c>
      <c r="H7" s="12">
        <v>40176063</v>
      </c>
      <c r="I7" s="12">
        <v>71126368</v>
      </c>
      <c r="J7" s="12">
        <v>198019259</v>
      </c>
      <c r="K7" s="12">
        <v>55181475</v>
      </c>
      <c r="L7" s="11" t="s">
        <v>104</v>
      </c>
      <c r="M7" s="6">
        <f t="shared" si="0"/>
        <v>15231561.720000001</v>
      </c>
      <c r="N7" s="6">
        <f t="shared" si="1"/>
        <v>31176793.960000001</v>
      </c>
      <c r="O7" s="6">
        <f t="shared" si="2"/>
        <v>41381344.890000001</v>
      </c>
      <c r="P7" s="6">
        <f t="shared" si="3"/>
        <v>73260159.040000007</v>
      </c>
      <c r="Q7" s="6">
        <f t="shared" si="4"/>
        <v>203959836.77000001</v>
      </c>
      <c r="R7" s="7">
        <f t="shared" si="5"/>
        <v>56836919.25</v>
      </c>
      <c r="S7" s="10"/>
      <c r="T7" s="11" t="s">
        <v>104</v>
      </c>
      <c r="U7" s="13">
        <f t="shared" si="6"/>
        <v>10750.754677828048</v>
      </c>
      <c r="V7" s="14">
        <f t="shared" si="7"/>
        <v>22005.232927956862</v>
      </c>
      <c r="W7" s="14">
        <f t="shared" si="8"/>
        <v>29207.818300524425</v>
      </c>
      <c r="X7" s="14">
        <f t="shared" si="9"/>
        <v>51708.551754317865</v>
      </c>
      <c r="Y7" s="13">
        <f t="shared" si="10"/>
        <v>143959.11657338068</v>
      </c>
      <c r="Z7" s="13">
        <f t="shared" si="11"/>
        <v>40116.685782649511</v>
      </c>
    </row>
    <row r="8" spans="1:26" ht="15" customHeight="1" x14ac:dyDescent="0.55000000000000004">
      <c r="A8" s="289"/>
      <c r="B8" s="289"/>
      <c r="C8" s="289"/>
      <c r="D8" s="289"/>
      <c r="E8" s="11" t="s">
        <v>105</v>
      </c>
      <c r="F8" s="12">
        <v>10783200</v>
      </c>
      <c r="G8" s="12">
        <v>20749766</v>
      </c>
      <c r="H8" s="12">
        <v>29229677</v>
      </c>
      <c r="I8" s="12">
        <v>55600944</v>
      </c>
      <c r="J8" s="12">
        <v>126497564</v>
      </c>
      <c r="K8" s="12">
        <v>41178193</v>
      </c>
      <c r="L8" s="11" t="s">
        <v>105</v>
      </c>
      <c r="M8" s="6">
        <f t="shared" si="0"/>
        <v>11106696</v>
      </c>
      <c r="N8" s="6">
        <f t="shared" si="1"/>
        <v>21372258.98</v>
      </c>
      <c r="O8" s="6">
        <f t="shared" si="2"/>
        <v>30106567.310000002</v>
      </c>
      <c r="P8" s="6">
        <f t="shared" si="3"/>
        <v>57268972.32</v>
      </c>
      <c r="Q8" s="6">
        <f t="shared" si="4"/>
        <v>130292490.92</v>
      </c>
      <c r="R8" s="7">
        <f t="shared" si="5"/>
        <v>42413538.789999999</v>
      </c>
      <c r="S8" s="15"/>
      <c r="T8" s="11" t="s">
        <v>105</v>
      </c>
      <c r="U8" s="13">
        <f t="shared" si="6"/>
        <v>7839.3382223194685</v>
      </c>
      <c r="V8" s="13">
        <f t="shared" si="7"/>
        <v>15084.987175234157</v>
      </c>
      <c r="W8" s="13">
        <f t="shared" si="8"/>
        <v>21249.84458529493</v>
      </c>
      <c r="X8" s="13">
        <f t="shared" si="9"/>
        <v>40421.63787152648</v>
      </c>
      <c r="Y8" s="13">
        <f t="shared" si="10"/>
        <v>91963.163856323095</v>
      </c>
      <c r="Z8" s="13">
        <f t="shared" si="11"/>
        <v>29936.362333161585</v>
      </c>
    </row>
    <row r="9" spans="1:26" ht="15" customHeight="1" x14ac:dyDescent="0.55000000000000004">
      <c r="A9" s="285" t="s">
        <v>109</v>
      </c>
      <c r="B9" s="285" t="s">
        <v>110</v>
      </c>
      <c r="C9" s="275" t="s">
        <v>111</v>
      </c>
      <c r="D9" s="285" t="s">
        <v>112</v>
      </c>
      <c r="E9" s="16" t="s">
        <v>103</v>
      </c>
      <c r="F9" s="17">
        <v>4259068</v>
      </c>
      <c r="G9" s="17">
        <v>26254583</v>
      </c>
      <c r="H9" s="17">
        <v>35598473</v>
      </c>
      <c r="I9" s="17">
        <v>52731135</v>
      </c>
      <c r="J9" s="18">
        <v>268742629</v>
      </c>
      <c r="K9" s="18">
        <v>46924055</v>
      </c>
      <c r="L9" s="16" t="s">
        <v>103</v>
      </c>
      <c r="M9" s="6">
        <f t="shared" si="0"/>
        <v>4386840.04</v>
      </c>
      <c r="N9" s="6">
        <f t="shared" si="1"/>
        <v>27042220.490000002</v>
      </c>
      <c r="O9" s="6">
        <f t="shared" si="2"/>
        <v>36666427.189999998</v>
      </c>
      <c r="P9" s="6">
        <f t="shared" si="3"/>
        <v>54313069.050000004</v>
      </c>
      <c r="Q9" s="6">
        <f t="shared" si="4"/>
        <v>276804907.87</v>
      </c>
      <c r="R9" s="7">
        <f t="shared" si="5"/>
        <v>48331776.649999999</v>
      </c>
      <c r="S9" s="19">
        <v>0.03</v>
      </c>
      <c r="T9" s="16" t="s">
        <v>103</v>
      </c>
      <c r="U9" s="18">
        <f t="shared" si="6"/>
        <v>3096.3234071386728</v>
      </c>
      <c r="V9" s="20">
        <f t="shared" si="7"/>
        <v>19086.964539557735</v>
      </c>
      <c r="W9" s="20">
        <f t="shared" si="8"/>
        <v>25879.930822493101</v>
      </c>
      <c r="X9" s="20">
        <f t="shared" si="9"/>
        <v>38335.29955039209</v>
      </c>
      <c r="Y9" s="18">
        <f t="shared" si="10"/>
        <v>195374.69058223168</v>
      </c>
      <c r="Z9" s="18">
        <f t="shared" si="11"/>
        <v>34113.578335533144</v>
      </c>
    </row>
    <row r="10" spans="1:26" ht="15" customHeight="1" x14ac:dyDescent="0.55000000000000004">
      <c r="A10" s="285"/>
      <c r="B10" s="285"/>
      <c r="C10" s="285"/>
      <c r="D10" s="285"/>
      <c r="E10" s="16" t="s">
        <v>104</v>
      </c>
      <c r="F10" s="17">
        <v>3037768</v>
      </c>
      <c r="G10" s="17">
        <v>22249846</v>
      </c>
      <c r="H10" s="17">
        <v>28775020</v>
      </c>
      <c r="I10" s="17">
        <v>45278062</v>
      </c>
      <c r="J10" s="18">
        <v>204039000</v>
      </c>
      <c r="K10" s="18">
        <v>38183980</v>
      </c>
      <c r="L10" s="16" t="s">
        <v>104</v>
      </c>
      <c r="M10" s="6">
        <f t="shared" si="0"/>
        <v>3128901.04</v>
      </c>
      <c r="N10" s="6">
        <f t="shared" si="1"/>
        <v>22917341.379999999</v>
      </c>
      <c r="O10" s="6">
        <f t="shared" si="2"/>
        <v>29638270.600000001</v>
      </c>
      <c r="P10" s="6">
        <f t="shared" si="3"/>
        <v>46636403.859999999</v>
      </c>
      <c r="Q10" s="6">
        <f t="shared" si="4"/>
        <v>210160170</v>
      </c>
      <c r="R10" s="7">
        <f t="shared" si="5"/>
        <v>39329499.399999999</v>
      </c>
      <c r="T10" s="16" t="s">
        <v>104</v>
      </c>
      <c r="U10" s="18">
        <f t="shared" si="6"/>
        <v>2208.4437637193937</v>
      </c>
      <c r="V10" s="18">
        <f t="shared" si="7"/>
        <v>16175.538633107235</v>
      </c>
      <c r="W10" s="18">
        <f t="shared" si="8"/>
        <v>20919.310977632536</v>
      </c>
      <c r="X10" s="18">
        <f t="shared" si="9"/>
        <v>32916.948778576923</v>
      </c>
      <c r="Y10" s="18">
        <f t="shared" si="10"/>
        <v>148335.44138510295</v>
      </c>
      <c r="Z10" s="18">
        <f t="shared" si="11"/>
        <v>27759.582859845141</v>
      </c>
    </row>
    <row r="11" spans="1:26" ht="15" customHeight="1" x14ac:dyDescent="0.55000000000000004">
      <c r="A11" s="285"/>
      <c r="B11" s="285"/>
      <c r="C11" s="275"/>
      <c r="D11" s="285"/>
      <c r="E11" s="16" t="s">
        <v>105</v>
      </c>
      <c r="F11" s="17">
        <v>1816468</v>
      </c>
      <c r="G11" s="17">
        <v>16711385</v>
      </c>
      <c r="H11" s="17">
        <v>21827058</v>
      </c>
      <c r="I11" s="17">
        <v>33824511</v>
      </c>
      <c r="J11" s="18">
        <v>204039000</v>
      </c>
      <c r="K11" s="18">
        <v>29443905</v>
      </c>
      <c r="L11" s="16" t="s">
        <v>105</v>
      </c>
      <c r="M11" s="6">
        <f t="shared" si="0"/>
        <v>1870962.04</v>
      </c>
      <c r="N11" s="6">
        <f t="shared" si="1"/>
        <v>17212726.550000001</v>
      </c>
      <c r="O11" s="6">
        <f t="shared" si="2"/>
        <v>22481869.740000002</v>
      </c>
      <c r="P11" s="6">
        <f t="shared" si="3"/>
        <v>34839246.329999998</v>
      </c>
      <c r="Q11" s="6">
        <f t="shared" si="4"/>
        <v>210160170</v>
      </c>
      <c r="R11" s="7">
        <f t="shared" si="5"/>
        <v>30327222.150000002</v>
      </c>
      <c r="T11" s="16" t="s">
        <v>105</v>
      </c>
      <c r="U11" s="18">
        <f t="shared" si="6"/>
        <v>1320.5641203001151</v>
      </c>
      <c r="V11" s="18">
        <f t="shared" si="7"/>
        <v>12149.102231099881</v>
      </c>
      <c r="W11" s="18">
        <f t="shared" si="8"/>
        <v>15868.173646059051</v>
      </c>
      <c r="X11" s="18">
        <f t="shared" si="9"/>
        <v>24590.26837428271</v>
      </c>
      <c r="Y11" s="18">
        <f t="shared" si="10"/>
        <v>148335.44138510295</v>
      </c>
      <c r="Z11" s="18">
        <f t="shared" si="11"/>
        <v>21405.587384157145</v>
      </c>
    </row>
    <row r="12" spans="1:26" ht="15" customHeight="1" x14ac:dyDescent="0.55000000000000004">
      <c r="A12" s="286" t="s">
        <v>113</v>
      </c>
      <c r="B12" s="286" t="s">
        <v>114</v>
      </c>
      <c r="C12" s="275"/>
      <c r="D12" s="286" t="s">
        <v>115</v>
      </c>
      <c r="E12" s="21" t="s">
        <v>103</v>
      </c>
      <c r="F12" s="22">
        <v>7100249</v>
      </c>
      <c r="G12" s="22">
        <v>20047830</v>
      </c>
      <c r="H12" s="22">
        <v>26024161</v>
      </c>
      <c r="I12" s="22">
        <v>42418297</v>
      </c>
      <c r="J12" s="22">
        <v>215034273</v>
      </c>
      <c r="K12" s="22">
        <v>36713928</v>
      </c>
      <c r="L12" s="21" t="s">
        <v>103</v>
      </c>
      <c r="M12" s="6">
        <f t="shared" si="0"/>
        <v>7313256.4699999997</v>
      </c>
      <c r="N12" s="6">
        <f t="shared" si="1"/>
        <v>20649264.900000002</v>
      </c>
      <c r="O12" s="6">
        <f t="shared" si="2"/>
        <v>26804885.830000002</v>
      </c>
      <c r="P12" s="6">
        <f t="shared" si="3"/>
        <v>43690845.910000004</v>
      </c>
      <c r="Q12" s="6">
        <f t="shared" si="4"/>
        <v>221485301.19</v>
      </c>
      <c r="R12" s="7">
        <f t="shared" si="5"/>
        <v>37815345.840000004</v>
      </c>
      <c r="T12" s="21" t="s">
        <v>103</v>
      </c>
      <c r="U12" s="23">
        <f t="shared" si="6"/>
        <v>5161.8493001785728</v>
      </c>
      <c r="V12" s="24">
        <f t="shared" si="7"/>
        <v>14574.682839376339</v>
      </c>
      <c r="W12" s="24">
        <f t="shared" si="8"/>
        <v>18919.448775047822</v>
      </c>
      <c r="X12" s="24">
        <f t="shared" si="9"/>
        <v>30837.912400567482</v>
      </c>
      <c r="Y12" s="23">
        <f t="shared" si="10"/>
        <v>156328.95573091283</v>
      </c>
      <c r="Z12" s="23">
        <f t="shared" si="11"/>
        <v>26690.861623811576</v>
      </c>
    </row>
    <row r="13" spans="1:26" ht="15" customHeight="1" x14ac:dyDescent="0.55000000000000004">
      <c r="A13" s="286"/>
      <c r="B13" s="286"/>
      <c r="C13" s="286"/>
      <c r="D13" s="286"/>
      <c r="E13" s="21" t="s">
        <v>104</v>
      </c>
      <c r="F13" s="22">
        <v>6523303</v>
      </c>
      <c r="G13" s="22">
        <v>16772789</v>
      </c>
      <c r="H13" s="22">
        <v>20156930</v>
      </c>
      <c r="I13" s="22">
        <v>34806349</v>
      </c>
      <c r="J13" s="22">
        <v>129107898</v>
      </c>
      <c r="K13" s="22">
        <v>29868934</v>
      </c>
      <c r="L13" s="21" t="s">
        <v>104</v>
      </c>
      <c r="M13" s="6">
        <f t="shared" si="0"/>
        <v>6719002.0899999999</v>
      </c>
      <c r="N13" s="6">
        <f t="shared" si="1"/>
        <v>17275972.670000002</v>
      </c>
      <c r="O13" s="6">
        <f t="shared" si="2"/>
        <v>20761637.900000002</v>
      </c>
      <c r="P13" s="6">
        <f t="shared" si="3"/>
        <v>35850539.469999999</v>
      </c>
      <c r="Q13" s="6">
        <f t="shared" si="4"/>
        <v>132981134.94</v>
      </c>
      <c r="R13" s="7">
        <f t="shared" si="5"/>
        <v>30765002.02</v>
      </c>
      <c r="T13" s="21" t="s">
        <v>104</v>
      </c>
      <c r="U13" s="23">
        <f t="shared" si="6"/>
        <v>4742.4121358846405</v>
      </c>
      <c r="V13" s="24">
        <f t="shared" si="7"/>
        <v>12193.742664756246</v>
      </c>
      <c r="W13" s="24">
        <f t="shared" si="8"/>
        <v>14653.998051934304</v>
      </c>
      <c r="X13" s="24">
        <f t="shared" si="9"/>
        <v>25304.060213581404</v>
      </c>
      <c r="Y13" s="23">
        <f t="shared" si="10"/>
        <v>93860.865011751914</v>
      </c>
      <c r="Z13" s="23">
        <f t="shared" si="11"/>
        <v>21714.581568192887</v>
      </c>
    </row>
    <row r="14" spans="1:26" ht="15" customHeight="1" x14ac:dyDescent="0.55000000000000004">
      <c r="A14" s="286"/>
      <c r="B14" s="286"/>
      <c r="C14" s="286"/>
      <c r="D14" s="286"/>
      <c r="E14" s="21" t="s">
        <v>105</v>
      </c>
      <c r="F14" s="22">
        <v>5946356</v>
      </c>
      <c r="G14" s="22">
        <v>12458333</v>
      </c>
      <c r="H14" s="22">
        <v>16892670</v>
      </c>
      <c r="I14" s="22">
        <v>28643155</v>
      </c>
      <c r="J14" s="22">
        <v>89100000</v>
      </c>
      <c r="K14" s="22">
        <v>23023939</v>
      </c>
      <c r="L14" s="21" t="s">
        <v>105</v>
      </c>
      <c r="M14" s="6">
        <f t="shared" si="0"/>
        <v>6124746.6799999997</v>
      </c>
      <c r="N14" s="6">
        <f t="shared" si="1"/>
        <v>12832082.99</v>
      </c>
      <c r="O14" s="6">
        <f t="shared" si="2"/>
        <v>17399450.100000001</v>
      </c>
      <c r="P14" s="6">
        <f t="shared" si="3"/>
        <v>29502449.650000002</v>
      </c>
      <c r="Q14" s="6">
        <f t="shared" si="4"/>
        <v>91773000</v>
      </c>
      <c r="R14" s="7">
        <f t="shared" si="5"/>
        <v>23714657.170000002</v>
      </c>
      <c r="T14" s="21" t="s">
        <v>105</v>
      </c>
      <c r="U14" s="23">
        <f t="shared" si="6"/>
        <v>4322.9742445951761</v>
      </c>
      <c r="V14" s="23">
        <f t="shared" si="7"/>
        <v>9057.1524290826455</v>
      </c>
      <c r="W14" s="23">
        <f t="shared" si="8"/>
        <v>12280.895616146361</v>
      </c>
      <c r="X14" s="23">
        <f t="shared" si="9"/>
        <v>20823.445711785094</v>
      </c>
      <c r="Y14" s="23">
        <f t="shared" si="10"/>
        <v>64775.301914892116</v>
      </c>
      <c r="Z14" s="23">
        <f t="shared" si="11"/>
        <v>16738.300785578667</v>
      </c>
    </row>
    <row r="15" spans="1:26" ht="15" customHeight="1" x14ac:dyDescent="0.55000000000000004">
      <c r="A15" s="281" t="s">
        <v>116</v>
      </c>
      <c r="B15" s="281" t="s">
        <v>117</v>
      </c>
      <c r="C15" s="282" t="s">
        <v>118</v>
      </c>
      <c r="D15" s="281" t="s">
        <v>119</v>
      </c>
      <c r="E15" s="25" t="s">
        <v>103</v>
      </c>
      <c r="F15" s="26">
        <v>9793583</v>
      </c>
      <c r="G15" s="26">
        <v>19513692</v>
      </c>
      <c r="H15" s="26">
        <v>22882450</v>
      </c>
      <c r="I15" s="26">
        <v>25402860</v>
      </c>
      <c r="J15" s="26">
        <v>97087935</v>
      </c>
      <c r="K15" s="26">
        <v>30724044</v>
      </c>
      <c r="L15" s="25" t="s">
        <v>103</v>
      </c>
      <c r="M15" s="6">
        <f t="shared" si="0"/>
        <v>10087390.49</v>
      </c>
      <c r="N15" s="6">
        <f t="shared" si="1"/>
        <v>20099102.760000002</v>
      </c>
      <c r="O15" s="6">
        <f t="shared" si="2"/>
        <v>23568923.5</v>
      </c>
      <c r="P15" s="6">
        <f t="shared" si="3"/>
        <v>26164945.800000001</v>
      </c>
      <c r="Q15" s="6">
        <f t="shared" si="4"/>
        <v>100000573.05</v>
      </c>
      <c r="R15" s="7">
        <f t="shared" si="5"/>
        <v>31645765.32</v>
      </c>
      <c r="T15" s="25" t="s">
        <v>103</v>
      </c>
      <c r="U15" s="27">
        <f t="shared" si="6"/>
        <v>7119.891084776149</v>
      </c>
      <c r="V15" s="27">
        <f t="shared" si="7"/>
        <v>14186.36689982284</v>
      </c>
      <c r="W15" s="27">
        <f t="shared" si="8"/>
        <v>16635.438914729777</v>
      </c>
      <c r="X15" s="27">
        <f t="shared" si="9"/>
        <v>18467.765723925211</v>
      </c>
      <c r="Y15" s="27">
        <f t="shared" si="10"/>
        <v>70582.494971026055</v>
      </c>
      <c r="Z15" s="27">
        <f t="shared" si="11"/>
        <v>22336.242717692814</v>
      </c>
    </row>
    <row r="16" spans="1:26" ht="15" customHeight="1" x14ac:dyDescent="0.55000000000000004">
      <c r="A16" s="281"/>
      <c r="B16" s="281"/>
      <c r="C16" s="281"/>
      <c r="D16" s="281"/>
      <c r="E16" s="25" t="s">
        <v>104</v>
      </c>
      <c r="F16" s="26">
        <v>9793583</v>
      </c>
      <c r="G16" s="26">
        <v>15866520</v>
      </c>
      <c r="H16" s="26">
        <v>17794568</v>
      </c>
      <c r="I16" s="26">
        <v>20149124</v>
      </c>
      <c r="J16" s="26">
        <v>65376391</v>
      </c>
      <c r="K16" s="26">
        <v>23166455</v>
      </c>
      <c r="L16" s="25" t="s">
        <v>104</v>
      </c>
      <c r="M16" s="6">
        <f t="shared" si="0"/>
        <v>10087390.49</v>
      </c>
      <c r="N16" s="6">
        <f t="shared" si="1"/>
        <v>16342515.6</v>
      </c>
      <c r="O16" s="6">
        <f t="shared" si="2"/>
        <v>18328405.039999999</v>
      </c>
      <c r="P16" s="6">
        <f t="shared" si="3"/>
        <v>20753597.719999999</v>
      </c>
      <c r="Q16" s="6">
        <f t="shared" si="4"/>
        <v>67337682.730000004</v>
      </c>
      <c r="R16" s="7">
        <f t="shared" si="5"/>
        <v>23861448.650000002</v>
      </c>
      <c r="T16" s="25" t="s">
        <v>104</v>
      </c>
      <c r="U16" s="27">
        <f t="shared" si="6"/>
        <v>7119.891084776149</v>
      </c>
      <c r="V16" s="27">
        <f t="shared" si="7"/>
        <v>11534.88915082687</v>
      </c>
      <c r="W16" s="27">
        <f t="shared" si="8"/>
        <v>12936.571432604691</v>
      </c>
      <c r="X16" s="27">
        <f t="shared" si="9"/>
        <v>14648.323124810309</v>
      </c>
      <c r="Y16" s="27">
        <f t="shared" si="10"/>
        <v>47528.344165331495</v>
      </c>
      <c r="Z16" s="27">
        <f t="shared" si="11"/>
        <v>16841.909280839081</v>
      </c>
    </row>
    <row r="17" spans="1:26" ht="15" customHeight="1" x14ac:dyDescent="0.55000000000000004">
      <c r="A17" s="281"/>
      <c r="B17" s="281"/>
      <c r="C17" s="281"/>
      <c r="D17" s="281"/>
      <c r="E17" s="25" t="s">
        <v>105</v>
      </c>
      <c r="F17" s="26">
        <v>6473014</v>
      </c>
      <c r="G17" s="26">
        <v>11536000</v>
      </c>
      <c r="H17" s="26">
        <v>13559588</v>
      </c>
      <c r="I17" s="26">
        <v>16306338</v>
      </c>
      <c r="J17" s="26">
        <v>33664848</v>
      </c>
      <c r="K17" s="26">
        <v>15608865</v>
      </c>
      <c r="L17" s="25" t="s">
        <v>105</v>
      </c>
      <c r="M17" s="6">
        <f t="shared" si="0"/>
        <v>6667204.4199999999</v>
      </c>
      <c r="N17" s="6">
        <f t="shared" si="1"/>
        <v>11882080</v>
      </c>
      <c r="O17" s="6">
        <f t="shared" si="2"/>
        <v>13966375.640000001</v>
      </c>
      <c r="P17" s="6">
        <f t="shared" si="3"/>
        <v>16795528.140000001</v>
      </c>
      <c r="Q17" s="6">
        <f t="shared" si="4"/>
        <v>34674793.439999998</v>
      </c>
      <c r="R17" s="7">
        <f t="shared" si="5"/>
        <v>16077130.950000001</v>
      </c>
      <c r="T17" s="25" t="s">
        <v>105</v>
      </c>
      <c r="U17" s="27">
        <f t="shared" si="6"/>
        <v>4705.8522575681645</v>
      </c>
      <c r="V17" s="27">
        <f t="shared" si="7"/>
        <v>8386.6204589247518</v>
      </c>
      <c r="W17" s="27">
        <f t="shared" si="8"/>
        <v>9857.7598938445371</v>
      </c>
      <c r="X17" s="27">
        <f t="shared" si="9"/>
        <v>11854.634871787634</v>
      </c>
      <c r="Y17" s="27">
        <f t="shared" si="10"/>
        <v>24474.194086632458</v>
      </c>
      <c r="Z17" s="27">
        <f t="shared" si="11"/>
        <v>11347.575116989816</v>
      </c>
    </row>
    <row r="18" spans="1:26" ht="15" customHeight="1" x14ac:dyDescent="0.55000000000000004">
      <c r="A18" s="283" t="s">
        <v>120</v>
      </c>
      <c r="B18" s="283" t="s">
        <v>121</v>
      </c>
      <c r="C18" s="275" t="s">
        <v>122</v>
      </c>
      <c r="D18" s="283" t="s">
        <v>123</v>
      </c>
      <c r="E18" s="28" t="s">
        <v>103</v>
      </c>
      <c r="F18" s="29">
        <v>4584748</v>
      </c>
      <c r="G18" s="29">
        <v>13699569</v>
      </c>
      <c r="H18" s="29">
        <v>18920989</v>
      </c>
      <c r="I18" s="29">
        <v>34095146</v>
      </c>
      <c r="J18" s="29">
        <v>215034273</v>
      </c>
      <c r="K18" s="29">
        <v>30199032</v>
      </c>
      <c r="L18" s="28" t="s">
        <v>103</v>
      </c>
      <c r="M18" s="6">
        <f t="shared" si="0"/>
        <v>4722290.4400000004</v>
      </c>
      <c r="N18" s="6">
        <f t="shared" si="1"/>
        <v>14110556.07</v>
      </c>
      <c r="O18" s="6">
        <f t="shared" si="2"/>
        <v>19488618.670000002</v>
      </c>
      <c r="P18" s="6">
        <f t="shared" si="3"/>
        <v>35118000.380000003</v>
      </c>
      <c r="Q18" s="6">
        <f t="shared" si="4"/>
        <v>221485301.19</v>
      </c>
      <c r="R18" s="7">
        <f t="shared" si="5"/>
        <v>31105002.960000001</v>
      </c>
      <c r="T18" s="28" t="s">
        <v>103</v>
      </c>
      <c r="U18" s="30">
        <f t="shared" si="6"/>
        <v>3333.0913120504806</v>
      </c>
      <c r="V18" s="31">
        <f t="shared" si="7"/>
        <v>9959.5254554309395</v>
      </c>
      <c r="W18" s="31">
        <f t="shared" si="8"/>
        <v>13755.474466928763</v>
      </c>
      <c r="X18" s="31">
        <f t="shared" si="9"/>
        <v>24787.01881012712</v>
      </c>
      <c r="Y18" s="30">
        <f t="shared" si="10"/>
        <v>156328.95573091283</v>
      </c>
      <c r="Z18" s="30">
        <f t="shared" si="11"/>
        <v>21954.561339365751</v>
      </c>
    </row>
    <row r="19" spans="1:26" ht="15" customHeight="1" x14ac:dyDescent="0.55000000000000004">
      <c r="A19" s="283"/>
      <c r="B19" s="283"/>
      <c r="C19" s="283"/>
      <c r="D19" s="283"/>
      <c r="E19" s="28" t="s">
        <v>104</v>
      </c>
      <c r="F19" s="29">
        <v>4584748</v>
      </c>
      <c r="G19" s="29">
        <v>11482673</v>
      </c>
      <c r="H19" s="29">
        <v>14979072</v>
      </c>
      <c r="I19" s="29">
        <v>29758608</v>
      </c>
      <c r="J19" s="29">
        <v>132001142</v>
      </c>
      <c r="K19" s="29">
        <v>23711686</v>
      </c>
      <c r="L19" s="28" t="s">
        <v>104</v>
      </c>
      <c r="M19" s="6">
        <f t="shared" si="0"/>
        <v>4722290.4400000004</v>
      </c>
      <c r="N19" s="6">
        <f t="shared" si="1"/>
        <v>11827153.189999999</v>
      </c>
      <c r="O19" s="6">
        <f t="shared" si="2"/>
        <v>15428444.16</v>
      </c>
      <c r="P19" s="6">
        <f t="shared" si="3"/>
        <v>30651366.240000002</v>
      </c>
      <c r="Q19" s="6">
        <f t="shared" si="4"/>
        <v>135961176.25999999</v>
      </c>
      <c r="R19" s="7">
        <f t="shared" si="5"/>
        <v>24423036.580000002</v>
      </c>
      <c r="T19" s="28" t="s">
        <v>104</v>
      </c>
      <c r="U19" s="30">
        <f t="shared" si="6"/>
        <v>3333.0913120504806</v>
      </c>
      <c r="V19" s="32">
        <f t="shared" si="7"/>
        <v>8347.8519681815942</v>
      </c>
      <c r="W19" s="32">
        <f t="shared" si="8"/>
        <v>10889.718419808158</v>
      </c>
      <c r="X19" s="32">
        <f t="shared" si="9"/>
        <v>21634.375059112503</v>
      </c>
      <c r="Y19" s="30">
        <f t="shared" si="10"/>
        <v>95964.240473182334</v>
      </c>
      <c r="Z19" s="30">
        <f t="shared" si="11"/>
        <v>17238.289781830761</v>
      </c>
    </row>
    <row r="20" spans="1:26" ht="15" customHeight="1" x14ac:dyDescent="0.55000000000000004">
      <c r="A20" s="283"/>
      <c r="B20" s="283"/>
      <c r="C20" s="275"/>
      <c r="D20" s="283"/>
      <c r="E20" s="28" t="s">
        <v>105</v>
      </c>
      <c r="F20" s="29">
        <v>4360493</v>
      </c>
      <c r="G20" s="29">
        <v>8668754</v>
      </c>
      <c r="H20" s="29">
        <v>13036137</v>
      </c>
      <c r="I20" s="29">
        <v>21442570</v>
      </c>
      <c r="J20" s="29">
        <v>70734477</v>
      </c>
      <c r="K20" s="29">
        <v>17224340</v>
      </c>
      <c r="L20" s="28" t="s">
        <v>105</v>
      </c>
      <c r="M20" s="6">
        <f t="shared" si="0"/>
        <v>4491307.79</v>
      </c>
      <c r="N20" s="6">
        <f t="shared" si="1"/>
        <v>8928816.620000001</v>
      </c>
      <c r="O20" s="6">
        <f t="shared" si="2"/>
        <v>13427221.110000001</v>
      </c>
      <c r="P20" s="6">
        <f t="shared" si="3"/>
        <v>22085847.100000001</v>
      </c>
      <c r="Q20" s="6">
        <f t="shared" si="4"/>
        <v>72856511.310000002</v>
      </c>
      <c r="R20" s="7">
        <f t="shared" si="5"/>
        <v>17741070.199999999</v>
      </c>
      <c r="T20" s="28" t="s">
        <v>105</v>
      </c>
      <c r="U20" s="30">
        <f t="shared" si="6"/>
        <v>3170.0589289873587</v>
      </c>
      <c r="V20" s="30">
        <f t="shared" si="7"/>
        <v>6302.1454273392683</v>
      </c>
      <c r="W20" s="30">
        <f t="shared" si="8"/>
        <v>9477.2133555431665</v>
      </c>
      <c r="X20" s="30">
        <f t="shared" si="9"/>
        <v>15588.652587892349</v>
      </c>
      <c r="Y20" s="30">
        <f t="shared" si="10"/>
        <v>51423.648748226631</v>
      </c>
      <c r="Z20" s="30">
        <f t="shared" si="11"/>
        <v>12522.018224295767</v>
      </c>
    </row>
    <row r="21" spans="1:26" ht="15" customHeight="1" x14ac:dyDescent="0.55000000000000004">
      <c r="A21" s="284" t="s">
        <v>124</v>
      </c>
      <c r="B21" s="284" t="s">
        <v>125</v>
      </c>
      <c r="C21" s="275"/>
      <c r="D21" s="284" t="s">
        <v>126</v>
      </c>
      <c r="E21" s="33" t="s">
        <v>103</v>
      </c>
      <c r="F21" s="34">
        <v>5276118</v>
      </c>
      <c r="G21" s="34">
        <v>11854959</v>
      </c>
      <c r="H21" s="34">
        <v>15899972</v>
      </c>
      <c r="I21" s="34">
        <v>26372856</v>
      </c>
      <c r="J21" s="34">
        <v>172060003</v>
      </c>
      <c r="K21" s="34">
        <v>23214419</v>
      </c>
      <c r="L21" s="33" t="s">
        <v>103</v>
      </c>
      <c r="M21" s="6">
        <f t="shared" si="0"/>
        <v>5434401.54</v>
      </c>
      <c r="N21" s="6">
        <f t="shared" si="1"/>
        <v>12210607.77</v>
      </c>
      <c r="O21" s="6">
        <f t="shared" si="2"/>
        <v>16376971.16</v>
      </c>
      <c r="P21" s="6">
        <f t="shared" si="3"/>
        <v>27164041.68</v>
      </c>
      <c r="Q21" s="6">
        <f t="shared" si="4"/>
        <v>177221803.09</v>
      </c>
      <c r="R21" s="7">
        <f t="shared" si="5"/>
        <v>23910851.57</v>
      </c>
      <c r="T21" s="33" t="s">
        <v>103</v>
      </c>
      <c r="U21" s="35">
        <f t="shared" si="6"/>
        <v>3835.7142131155642</v>
      </c>
      <c r="V21" s="36">
        <f t="shared" si="7"/>
        <v>8618.5022268649554</v>
      </c>
      <c r="W21" s="36">
        <f t="shared" si="8"/>
        <v>11559.208605368474</v>
      </c>
      <c r="X21" s="36">
        <f t="shared" si="9"/>
        <v>19172.948482132146</v>
      </c>
      <c r="Y21" s="35">
        <f t="shared" si="10"/>
        <v>125086.8534433473</v>
      </c>
      <c r="Z21" s="35">
        <f t="shared" si="11"/>
        <v>16876.778894543299</v>
      </c>
    </row>
    <row r="22" spans="1:26" ht="15" customHeight="1" x14ac:dyDescent="0.55000000000000004">
      <c r="A22" s="284"/>
      <c r="B22" s="284"/>
      <c r="C22" s="284"/>
      <c r="D22" s="284"/>
      <c r="E22" s="33" t="s">
        <v>104</v>
      </c>
      <c r="F22" s="34">
        <v>5276118</v>
      </c>
      <c r="G22" s="34">
        <v>9991112</v>
      </c>
      <c r="H22" s="34">
        <v>13019077</v>
      </c>
      <c r="I22" s="34">
        <v>22480028</v>
      </c>
      <c r="J22" s="34">
        <v>105630567</v>
      </c>
      <c r="K22" s="34">
        <v>18213865</v>
      </c>
      <c r="L22" s="33" t="s">
        <v>104</v>
      </c>
      <c r="M22" s="6">
        <f t="shared" si="0"/>
        <v>5434401.54</v>
      </c>
      <c r="N22" s="6">
        <f t="shared" si="1"/>
        <v>10290845.359999999</v>
      </c>
      <c r="O22" s="6">
        <f t="shared" si="2"/>
        <v>13409649.310000001</v>
      </c>
      <c r="P22" s="6">
        <f t="shared" si="3"/>
        <v>23154428.84</v>
      </c>
      <c r="Q22" s="6">
        <f t="shared" si="4"/>
        <v>108799484.01000001</v>
      </c>
      <c r="R22" s="7">
        <f t="shared" si="5"/>
        <v>18760280.949999999</v>
      </c>
      <c r="T22" s="33" t="s">
        <v>104</v>
      </c>
      <c r="U22" s="35">
        <f t="shared" si="6"/>
        <v>3835.7142131155642</v>
      </c>
      <c r="V22" s="36">
        <f t="shared" si="7"/>
        <v>7263.4937852469311</v>
      </c>
      <c r="W22" s="36">
        <f t="shared" si="8"/>
        <v>9464.8108117646243</v>
      </c>
      <c r="X22" s="36">
        <f t="shared" si="9"/>
        <v>16342.879918689432</v>
      </c>
      <c r="Y22" s="35">
        <f t="shared" si="10"/>
        <v>76792.950267859036</v>
      </c>
      <c r="Z22" s="35">
        <f t="shared" si="11"/>
        <v>13241.398478250128</v>
      </c>
    </row>
    <row r="23" spans="1:26" ht="15" customHeight="1" x14ac:dyDescent="0.55000000000000004">
      <c r="A23" s="284"/>
      <c r="B23" s="284"/>
      <c r="C23" s="284"/>
      <c r="D23" s="284"/>
      <c r="E23" s="33" t="s">
        <v>105</v>
      </c>
      <c r="F23" s="34">
        <v>3536226</v>
      </c>
      <c r="G23" s="34">
        <v>7552527</v>
      </c>
      <c r="H23" s="34">
        <v>10685299</v>
      </c>
      <c r="I23" s="34">
        <v>17953784</v>
      </c>
      <c r="J23" s="34">
        <v>53063082</v>
      </c>
      <c r="K23" s="34">
        <v>13213312</v>
      </c>
      <c r="L23" s="33" t="s">
        <v>105</v>
      </c>
      <c r="M23" s="6">
        <f t="shared" si="0"/>
        <v>3642312.7800000003</v>
      </c>
      <c r="N23" s="6">
        <f t="shared" si="1"/>
        <v>7779102.8100000005</v>
      </c>
      <c r="O23" s="6">
        <f t="shared" si="2"/>
        <v>11005857.970000001</v>
      </c>
      <c r="P23" s="6">
        <f t="shared" si="3"/>
        <v>18492397.52</v>
      </c>
      <c r="Q23" s="6">
        <f t="shared" si="4"/>
        <v>54654974.460000001</v>
      </c>
      <c r="R23" s="7">
        <f t="shared" si="5"/>
        <v>13609711.360000001</v>
      </c>
      <c r="T23" s="33" t="s">
        <v>105</v>
      </c>
      <c r="U23" s="35">
        <f t="shared" si="6"/>
        <v>2570.820502685649</v>
      </c>
      <c r="V23" s="35">
        <f t="shared" si="7"/>
        <v>5490.653385469971</v>
      </c>
      <c r="W23" s="35">
        <f t="shared" si="8"/>
        <v>7768.1646327260923</v>
      </c>
      <c r="X23" s="35">
        <f t="shared" si="9"/>
        <v>13052.32075325207</v>
      </c>
      <c r="Y23" s="35">
        <f t="shared" si="10"/>
        <v>38576.623536303901</v>
      </c>
      <c r="Z23" s="35">
        <f t="shared" si="11"/>
        <v>9606.0187889524932</v>
      </c>
    </row>
    <row r="24" spans="1:26" ht="15" customHeight="1" x14ac:dyDescent="0.55000000000000004">
      <c r="A24" s="278" t="s">
        <v>127</v>
      </c>
      <c r="B24" s="278" t="s">
        <v>128</v>
      </c>
      <c r="C24" s="279" t="s">
        <v>129</v>
      </c>
      <c r="D24" s="278" t="s">
        <v>130</v>
      </c>
      <c r="E24" s="37" t="s">
        <v>103</v>
      </c>
      <c r="F24" s="38">
        <v>3335017</v>
      </c>
      <c r="G24" s="38">
        <v>7540622</v>
      </c>
      <c r="H24" s="38">
        <v>11363955</v>
      </c>
      <c r="I24" s="38">
        <v>18661732</v>
      </c>
      <c r="J24" s="39">
        <v>137695759</v>
      </c>
      <c r="K24" s="39">
        <v>16841176</v>
      </c>
      <c r="L24" s="37" t="s">
        <v>103</v>
      </c>
      <c r="M24" s="6">
        <f t="shared" si="0"/>
        <v>3435067.5100000002</v>
      </c>
      <c r="N24" s="6">
        <f t="shared" si="1"/>
        <v>7766840.6600000001</v>
      </c>
      <c r="O24" s="6">
        <f t="shared" si="2"/>
        <v>11704873.65</v>
      </c>
      <c r="P24" s="6">
        <f t="shared" si="3"/>
        <v>19221583.960000001</v>
      </c>
      <c r="Q24" s="6">
        <f t="shared" si="4"/>
        <v>141826631.77000001</v>
      </c>
      <c r="R24" s="7">
        <f t="shared" si="5"/>
        <v>17346411.280000001</v>
      </c>
      <c r="T24" s="37" t="s">
        <v>103</v>
      </c>
      <c r="U24" s="40">
        <f t="shared" si="6"/>
        <v>2424.5424586565409</v>
      </c>
      <c r="V24" s="40">
        <f t="shared" si="7"/>
        <v>5481.9985036596818</v>
      </c>
      <c r="W24" s="40">
        <f t="shared" si="8"/>
        <v>8261.5445125953738</v>
      </c>
      <c r="X24" s="40">
        <f t="shared" si="9"/>
        <v>13566.995786249197</v>
      </c>
      <c r="Y24" s="40">
        <f t="shared" si="10"/>
        <v>100104.2015895087</v>
      </c>
      <c r="Z24" s="40">
        <f t="shared" si="11"/>
        <v>12243.459708213639</v>
      </c>
    </row>
    <row r="25" spans="1:26" ht="15" customHeight="1" x14ac:dyDescent="0.55000000000000004">
      <c r="A25" s="278"/>
      <c r="B25" s="278"/>
      <c r="C25" s="278"/>
      <c r="D25" s="278"/>
      <c r="E25" s="37" t="s">
        <v>104</v>
      </c>
      <c r="F25" s="38">
        <v>3335017</v>
      </c>
      <c r="G25" s="38">
        <v>6350492</v>
      </c>
      <c r="H25" s="38">
        <v>9617356</v>
      </c>
      <c r="I25" s="38">
        <v>15513940</v>
      </c>
      <c r="J25" s="39">
        <v>83713275</v>
      </c>
      <c r="K25" s="39">
        <v>13014497</v>
      </c>
      <c r="L25" s="37" t="s">
        <v>104</v>
      </c>
      <c r="M25" s="6">
        <f t="shared" si="0"/>
        <v>3435067.5100000002</v>
      </c>
      <c r="N25" s="6">
        <f t="shared" si="1"/>
        <v>6541006.7599999998</v>
      </c>
      <c r="O25" s="6">
        <f t="shared" si="2"/>
        <v>9905876.6799999997</v>
      </c>
      <c r="P25" s="6">
        <f t="shared" si="3"/>
        <v>15979358.200000001</v>
      </c>
      <c r="Q25" s="6">
        <f t="shared" si="4"/>
        <v>86224673.25</v>
      </c>
      <c r="R25" s="7">
        <f t="shared" si="5"/>
        <v>13404931.91</v>
      </c>
      <c r="T25" s="37" t="s">
        <v>104</v>
      </c>
      <c r="U25" s="40">
        <f t="shared" si="6"/>
        <v>2424.5424586565409</v>
      </c>
      <c r="V25" s="40">
        <f t="shared" si="7"/>
        <v>4616.7793109776321</v>
      </c>
      <c r="W25" s="40">
        <f t="shared" si="8"/>
        <v>6991.7748431313039</v>
      </c>
      <c r="X25" s="40">
        <f t="shared" si="9"/>
        <v>11278.565066100129</v>
      </c>
      <c r="Y25" s="40">
        <f t="shared" si="10"/>
        <v>60859.17690695163</v>
      </c>
      <c r="Z25" s="40">
        <f t="shared" si="11"/>
        <v>9461.4811722273589</v>
      </c>
    </row>
    <row r="26" spans="1:26" ht="15" customHeight="1" x14ac:dyDescent="0.55000000000000004">
      <c r="A26" s="278"/>
      <c r="B26" s="278"/>
      <c r="C26" s="279"/>
      <c r="D26" s="278"/>
      <c r="E26" s="37" t="s">
        <v>105</v>
      </c>
      <c r="F26" s="38">
        <v>2565691</v>
      </c>
      <c r="G26" s="38">
        <v>5267989</v>
      </c>
      <c r="H26" s="38">
        <v>7415925</v>
      </c>
      <c r="I26" s="38">
        <v>12635436</v>
      </c>
      <c r="J26" s="39">
        <v>29730792</v>
      </c>
      <c r="K26" s="39">
        <v>9187818</v>
      </c>
      <c r="L26" s="37" t="s">
        <v>105</v>
      </c>
      <c r="M26" s="6">
        <f t="shared" si="0"/>
        <v>2642661.73</v>
      </c>
      <c r="N26" s="6">
        <f t="shared" si="1"/>
        <v>5426028.6699999999</v>
      </c>
      <c r="O26" s="6">
        <f t="shared" si="2"/>
        <v>7638402.75</v>
      </c>
      <c r="P26" s="6">
        <f t="shared" si="3"/>
        <v>13014499.08</v>
      </c>
      <c r="Q26" s="6">
        <f t="shared" si="4"/>
        <v>30622715.760000002</v>
      </c>
      <c r="R26" s="7">
        <f t="shared" si="5"/>
        <v>9463452.540000001</v>
      </c>
      <c r="T26" s="37" t="s">
        <v>105</v>
      </c>
      <c r="U26" s="40">
        <f t="shared" si="6"/>
        <v>1865.2458938868851</v>
      </c>
      <c r="V26" s="40">
        <f t="shared" si="7"/>
        <v>3829.8044664346871</v>
      </c>
      <c r="W26" s="40">
        <f t="shared" si="8"/>
        <v>5391.3443417867156</v>
      </c>
      <c r="X26" s="40">
        <f t="shared" si="9"/>
        <v>9185.9055188136572</v>
      </c>
      <c r="Y26" s="40">
        <f t="shared" si="10"/>
        <v>21614.152951390115</v>
      </c>
      <c r="Z26" s="40">
        <f t="shared" si="11"/>
        <v>6679.5026362410808</v>
      </c>
    </row>
    <row r="27" spans="1:26" ht="15" customHeight="1" x14ac:dyDescent="0.55000000000000004">
      <c r="A27" s="280" t="s">
        <v>131</v>
      </c>
      <c r="B27" s="280" t="s">
        <v>132</v>
      </c>
      <c r="C27" s="279"/>
      <c r="D27" s="280" t="s">
        <v>133</v>
      </c>
      <c r="E27" s="41" t="s">
        <v>103</v>
      </c>
      <c r="F27" s="42">
        <v>3250000</v>
      </c>
      <c r="G27" s="42">
        <v>7705877</v>
      </c>
      <c r="H27" s="42">
        <v>10244383</v>
      </c>
      <c r="I27" s="42">
        <v>15359923</v>
      </c>
      <c r="J27" s="42">
        <v>36329556</v>
      </c>
      <c r="K27" s="42">
        <v>12758015</v>
      </c>
      <c r="L27" s="41" t="s">
        <v>103</v>
      </c>
      <c r="M27" s="6">
        <f t="shared" si="0"/>
        <v>3347500</v>
      </c>
      <c r="N27" s="6">
        <f t="shared" si="1"/>
        <v>7937053.3100000005</v>
      </c>
      <c r="O27" s="6">
        <f t="shared" si="2"/>
        <v>10551714.49</v>
      </c>
      <c r="P27" s="6">
        <f t="shared" si="3"/>
        <v>15820720.689999999</v>
      </c>
      <c r="Q27" s="6">
        <f t="shared" si="4"/>
        <v>37419442.68</v>
      </c>
      <c r="R27" s="7">
        <f t="shared" si="5"/>
        <v>13140755.450000001</v>
      </c>
      <c r="T27" s="41" t="s">
        <v>103</v>
      </c>
      <c r="U27" s="43">
        <f t="shared" si="6"/>
        <v>2362.7354794994317</v>
      </c>
      <c r="V27" s="44">
        <f t="shared" si="7"/>
        <v>5602.1381503257371</v>
      </c>
      <c r="W27" s="44">
        <f t="shared" si="8"/>
        <v>7447.6206706710245</v>
      </c>
      <c r="X27" s="44">
        <f t="shared" si="9"/>
        <v>11166.595395224416</v>
      </c>
      <c r="Y27" s="43">
        <f t="shared" si="10"/>
        <v>26411.424897126602</v>
      </c>
      <c r="Z27" s="43">
        <f t="shared" si="11"/>
        <v>9275.0199041495216</v>
      </c>
    </row>
    <row r="28" spans="1:26" ht="15" customHeight="1" x14ac:dyDescent="0.55000000000000004">
      <c r="A28" s="280"/>
      <c r="B28" s="280"/>
      <c r="C28" s="280"/>
      <c r="D28" s="280"/>
      <c r="E28" s="41" t="s">
        <v>104</v>
      </c>
      <c r="F28" s="42">
        <v>3250000</v>
      </c>
      <c r="G28" s="42">
        <v>6324680</v>
      </c>
      <c r="H28" s="42">
        <v>8464678</v>
      </c>
      <c r="I28" s="42">
        <v>13074244</v>
      </c>
      <c r="J28" s="42">
        <v>26200665</v>
      </c>
      <c r="K28" s="42">
        <v>10476552</v>
      </c>
      <c r="L28" s="41" t="s">
        <v>104</v>
      </c>
      <c r="M28" s="6">
        <f t="shared" si="0"/>
        <v>3347500</v>
      </c>
      <c r="N28" s="6">
        <f t="shared" si="1"/>
        <v>6514420.4000000004</v>
      </c>
      <c r="O28" s="6">
        <f t="shared" si="2"/>
        <v>8718618.3399999999</v>
      </c>
      <c r="P28" s="6">
        <f t="shared" si="3"/>
        <v>13466471.32</v>
      </c>
      <c r="Q28" s="6">
        <f t="shared" si="4"/>
        <v>26986684.949999999</v>
      </c>
      <c r="R28" s="7">
        <f t="shared" si="5"/>
        <v>10790848.560000001</v>
      </c>
      <c r="T28" s="41" t="s">
        <v>104</v>
      </c>
      <c r="U28" s="43">
        <f t="shared" si="6"/>
        <v>2362.7354794994317</v>
      </c>
      <c r="V28" s="43">
        <f t="shared" si="7"/>
        <v>4598.0141023016822</v>
      </c>
      <c r="W28" s="43">
        <f t="shared" si="8"/>
        <v>6153.7830871194747</v>
      </c>
      <c r="X28" s="43">
        <f t="shared" si="9"/>
        <v>9504.9169742869453</v>
      </c>
      <c r="Y28" s="43">
        <f t="shared" si="10"/>
        <v>19047.76639445507</v>
      </c>
      <c r="Z28" s="43">
        <f t="shared" si="11"/>
        <v>7616.40649637561</v>
      </c>
    </row>
    <row r="29" spans="1:26" ht="15" customHeight="1" x14ac:dyDescent="0.55000000000000004">
      <c r="A29" s="280"/>
      <c r="B29" s="280"/>
      <c r="C29" s="280"/>
      <c r="D29" s="280"/>
      <c r="E29" s="41" t="s">
        <v>105</v>
      </c>
      <c r="F29" s="42">
        <v>2565691</v>
      </c>
      <c r="G29" s="42">
        <v>4608054</v>
      </c>
      <c r="H29" s="42">
        <v>6871442</v>
      </c>
      <c r="I29" s="42">
        <v>10380592</v>
      </c>
      <c r="J29" s="42">
        <v>22168793</v>
      </c>
      <c r="K29" s="42">
        <v>8195090</v>
      </c>
      <c r="L29" s="41" t="s">
        <v>105</v>
      </c>
      <c r="M29" s="6">
        <f t="shared" si="0"/>
        <v>2642661.73</v>
      </c>
      <c r="N29" s="6">
        <f t="shared" si="1"/>
        <v>4746295.62</v>
      </c>
      <c r="O29" s="6">
        <f t="shared" si="2"/>
        <v>7077585.2599999998</v>
      </c>
      <c r="P29" s="6">
        <f t="shared" si="3"/>
        <v>10692009.76</v>
      </c>
      <c r="Q29" s="6">
        <f t="shared" si="4"/>
        <v>22833856.789999999</v>
      </c>
      <c r="R29" s="7">
        <f t="shared" si="5"/>
        <v>8440942.7000000011</v>
      </c>
      <c r="T29" s="41" t="s">
        <v>105</v>
      </c>
      <c r="U29" s="43">
        <f t="shared" si="6"/>
        <v>1865.2458938868851</v>
      </c>
      <c r="V29" s="44">
        <f t="shared" si="7"/>
        <v>3350.0346699228539</v>
      </c>
      <c r="W29" s="44">
        <f t="shared" si="8"/>
        <v>4995.5076334530877</v>
      </c>
      <c r="X29" s="44">
        <f t="shared" si="9"/>
        <v>7546.6440051101436</v>
      </c>
      <c r="Y29" s="43">
        <f t="shared" si="10"/>
        <v>16116.613464239583</v>
      </c>
      <c r="Z29" s="43">
        <f t="shared" si="11"/>
        <v>5957.7938155972315</v>
      </c>
    </row>
    <row r="30" spans="1:26" ht="15" customHeight="1" x14ac:dyDescent="0.55000000000000004">
      <c r="A30" s="274" t="s">
        <v>134</v>
      </c>
      <c r="B30" s="274" t="s">
        <v>135</v>
      </c>
      <c r="C30" s="275" t="s">
        <v>136</v>
      </c>
      <c r="D30" s="274" t="s">
        <v>137</v>
      </c>
      <c r="E30" s="45" t="s">
        <v>103</v>
      </c>
      <c r="F30" s="46">
        <v>2630668</v>
      </c>
      <c r="G30" s="46">
        <v>5692311</v>
      </c>
      <c r="H30" s="46">
        <v>7070248</v>
      </c>
      <c r="I30" s="46">
        <v>11913607</v>
      </c>
      <c r="J30" s="46">
        <v>74382217</v>
      </c>
      <c r="K30" s="47">
        <v>12089372</v>
      </c>
      <c r="L30" s="45" t="s">
        <v>103</v>
      </c>
      <c r="M30" s="6">
        <f t="shared" si="0"/>
        <v>2709588.04</v>
      </c>
      <c r="N30" s="6">
        <f t="shared" si="1"/>
        <v>5863080.3300000001</v>
      </c>
      <c r="O30" s="6">
        <f t="shared" si="2"/>
        <v>7282355.4400000004</v>
      </c>
      <c r="P30" s="6">
        <f t="shared" si="3"/>
        <v>12271015.210000001</v>
      </c>
      <c r="Q30" s="6">
        <f t="shared" si="4"/>
        <v>76613683.510000005</v>
      </c>
      <c r="R30" s="7">
        <f t="shared" si="5"/>
        <v>12452053.16</v>
      </c>
      <c r="T30" s="45" t="s">
        <v>103</v>
      </c>
      <c r="U30" s="48">
        <f t="shared" si="6"/>
        <v>1912.4838825796344</v>
      </c>
      <c r="V30" s="49">
        <f t="shared" si="7"/>
        <v>4138.2846646291973</v>
      </c>
      <c r="W30" s="49">
        <f t="shared" si="8"/>
        <v>5140.0387072184312</v>
      </c>
      <c r="X30" s="49">
        <f t="shared" si="9"/>
        <v>8661.1390608347047</v>
      </c>
      <c r="Y30" s="48">
        <f t="shared" si="10"/>
        <v>54075.539430684861</v>
      </c>
      <c r="Z30" s="48">
        <f t="shared" si="11"/>
        <v>8788.919430543694</v>
      </c>
    </row>
    <row r="31" spans="1:26" ht="15" customHeight="1" x14ac:dyDescent="0.55000000000000004">
      <c r="A31" s="274"/>
      <c r="B31" s="274"/>
      <c r="C31" s="274"/>
      <c r="D31" s="274"/>
      <c r="E31" s="45" t="s">
        <v>104</v>
      </c>
      <c r="F31" s="46">
        <v>2223568</v>
      </c>
      <c r="G31" s="46">
        <v>5187695</v>
      </c>
      <c r="H31" s="46">
        <v>5658306</v>
      </c>
      <c r="I31" s="46">
        <v>9205050</v>
      </c>
      <c r="J31" s="46">
        <v>45325042</v>
      </c>
      <c r="K31" s="46">
        <v>9045098</v>
      </c>
      <c r="L31" s="45" t="s">
        <v>104</v>
      </c>
      <c r="M31" s="6">
        <f t="shared" si="0"/>
        <v>2290275.04</v>
      </c>
      <c r="N31" s="6">
        <f t="shared" si="1"/>
        <v>5343325.8500000006</v>
      </c>
      <c r="O31" s="6">
        <f t="shared" si="2"/>
        <v>5828055.1799999997</v>
      </c>
      <c r="P31" s="6">
        <f t="shared" si="3"/>
        <v>9481201.5</v>
      </c>
      <c r="Q31" s="6">
        <f t="shared" si="4"/>
        <v>46684793.259999998</v>
      </c>
      <c r="R31" s="7">
        <f t="shared" si="5"/>
        <v>9316450.9399999995</v>
      </c>
      <c r="T31" s="45" t="s">
        <v>104</v>
      </c>
      <c r="U31" s="48">
        <f t="shared" si="6"/>
        <v>1616.5240014398746</v>
      </c>
      <c r="V31" s="50">
        <f t="shared" si="7"/>
        <v>3771.4310871759403</v>
      </c>
      <c r="W31" s="50">
        <f t="shared" si="8"/>
        <v>4113.563181558311</v>
      </c>
      <c r="X31" s="50">
        <f t="shared" si="9"/>
        <v>6692.0302232511522</v>
      </c>
      <c r="Y31" s="48">
        <f t="shared" si="10"/>
        <v>32951.103028677506</v>
      </c>
      <c r="Z31" s="48">
        <f t="shared" si="11"/>
        <v>6575.7458338921078</v>
      </c>
    </row>
    <row r="32" spans="1:26" ht="15" customHeight="1" x14ac:dyDescent="0.55000000000000004">
      <c r="A32" s="274"/>
      <c r="B32" s="274"/>
      <c r="C32" s="275"/>
      <c r="D32" s="274"/>
      <c r="E32" s="45" t="s">
        <v>105</v>
      </c>
      <c r="F32" s="46">
        <v>1816468</v>
      </c>
      <c r="G32" s="46">
        <v>4000736</v>
      </c>
      <c r="H32" s="46">
        <v>4659571</v>
      </c>
      <c r="I32" s="46">
        <v>7248999</v>
      </c>
      <c r="J32" s="46">
        <v>16267867</v>
      </c>
      <c r="K32" s="46">
        <v>6000824</v>
      </c>
      <c r="L32" s="45" t="s">
        <v>105</v>
      </c>
      <c r="M32" s="6">
        <f t="shared" si="0"/>
        <v>1870962.04</v>
      </c>
      <c r="N32" s="6">
        <f t="shared" si="1"/>
        <v>4120758.08</v>
      </c>
      <c r="O32" s="6">
        <f t="shared" si="2"/>
        <v>4799358.13</v>
      </c>
      <c r="P32" s="6">
        <f t="shared" si="3"/>
        <v>7466468.9699999997</v>
      </c>
      <c r="Q32" s="6">
        <f t="shared" si="4"/>
        <v>16755903.01</v>
      </c>
      <c r="R32" s="7">
        <f t="shared" si="5"/>
        <v>6180848.7199999997</v>
      </c>
      <c r="T32" s="45" t="s">
        <v>105</v>
      </c>
      <c r="U32" s="48">
        <f t="shared" si="6"/>
        <v>1320.5641203001151</v>
      </c>
      <c r="V32" s="50">
        <f t="shared" si="7"/>
        <v>2908.5171973263505</v>
      </c>
      <c r="W32" s="50">
        <f t="shared" si="8"/>
        <v>3387.4872987528147</v>
      </c>
      <c r="X32" s="50">
        <f t="shared" si="9"/>
        <v>5269.9898855864312</v>
      </c>
      <c r="Y32" s="48">
        <f t="shared" si="10"/>
        <v>11826.666626670149</v>
      </c>
      <c r="Z32" s="48">
        <f t="shared" si="11"/>
        <v>4362.5722372405226</v>
      </c>
    </row>
    <row r="33" spans="1:26" ht="15" customHeight="1" x14ac:dyDescent="0.55000000000000004">
      <c r="A33" s="276" t="s">
        <v>138</v>
      </c>
      <c r="B33" s="276" t="s">
        <v>139</v>
      </c>
      <c r="C33" s="275"/>
      <c r="D33" s="276" t="s">
        <v>140</v>
      </c>
      <c r="E33" s="51" t="s">
        <v>103</v>
      </c>
      <c r="F33" s="52">
        <v>2166667</v>
      </c>
      <c r="G33" s="52">
        <v>4505420</v>
      </c>
      <c r="H33" s="52">
        <v>5853364</v>
      </c>
      <c r="I33" s="52">
        <v>10750575</v>
      </c>
      <c r="J33" s="52">
        <v>27046305</v>
      </c>
      <c r="K33" s="52">
        <v>7957556</v>
      </c>
      <c r="L33" s="51" t="s">
        <v>103</v>
      </c>
      <c r="M33" s="6">
        <f t="shared" si="0"/>
        <v>2231667.0100000002</v>
      </c>
      <c r="N33" s="6">
        <f t="shared" si="1"/>
        <v>4640582.6000000006</v>
      </c>
      <c r="O33" s="6">
        <f t="shared" si="2"/>
        <v>6028964.9199999999</v>
      </c>
      <c r="P33" s="6">
        <f t="shared" si="3"/>
        <v>11073092.25</v>
      </c>
      <c r="Q33" s="6">
        <f t="shared" si="4"/>
        <v>27857694.150000002</v>
      </c>
      <c r="R33" s="7">
        <f t="shared" si="5"/>
        <v>8196282.6800000006</v>
      </c>
      <c r="T33" s="51" t="s">
        <v>103</v>
      </c>
      <c r="U33" s="53">
        <f t="shared" si="6"/>
        <v>1575.1572286647988</v>
      </c>
      <c r="V33" s="54">
        <f t="shared" si="7"/>
        <v>3275.4202104757942</v>
      </c>
      <c r="W33" s="54">
        <f t="shared" si="8"/>
        <v>4255.3694760691424</v>
      </c>
      <c r="X33" s="54">
        <f t="shared" si="9"/>
        <v>7815.6199930829553</v>
      </c>
      <c r="Y33" s="53">
        <f t="shared" si="10"/>
        <v>19662.542896265502</v>
      </c>
      <c r="Z33" s="53">
        <f t="shared" si="11"/>
        <v>5785.1076588626411</v>
      </c>
    </row>
    <row r="34" spans="1:26" ht="15" customHeight="1" x14ac:dyDescent="0.55000000000000004">
      <c r="A34" s="276"/>
      <c r="B34" s="276"/>
      <c r="C34" s="276"/>
      <c r="D34" s="276"/>
      <c r="E34" s="51" t="s">
        <v>104</v>
      </c>
      <c r="F34" s="52">
        <v>2166667</v>
      </c>
      <c r="G34" s="52">
        <v>3843869</v>
      </c>
      <c r="H34" s="52">
        <v>4828376</v>
      </c>
      <c r="I34" s="52">
        <v>8747960</v>
      </c>
      <c r="J34" s="52">
        <v>22316580</v>
      </c>
      <c r="K34" s="52">
        <v>6445717</v>
      </c>
      <c r="L34" s="51" t="s">
        <v>104</v>
      </c>
      <c r="M34" s="6">
        <f t="shared" si="0"/>
        <v>2231667.0100000002</v>
      </c>
      <c r="N34" s="6">
        <f t="shared" si="1"/>
        <v>3959185.0700000003</v>
      </c>
      <c r="O34" s="6">
        <f t="shared" si="2"/>
        <v>4973227.28</v>
      </c>
      <c r="P34" s="6">
        <f t="shared" si="3"/>
        <v>9010398.8000000007</v>
      </c>
      <c r="Q34" s="6">
        <f t="shared" si="4"/>
        <v>22986077.400000002</v>
      </c>
      <c r="R34" s="7">
        <f t="shared" si="5"/>
        <v>6639088.5099999998</v>
      </c>
      <c r="T34" s="51" t="s">
        <v>104</v>
      </c>
      <c r="U34" s="53">
        <f t="shared" si="6"/>
        <v>1575.1572286647988</v>
      </c>
      <c r="V34" s="53">
        <f t="shared" si="7"/>
        <v>2794.4755891840009</v>
      </c>
      <c r="W34" s="53">
        <f t="shared" si="8"/>
        <v>3510.2077795580153</v>
      </c>
      <c r="X34" s="53">
        <f t="shared" si="9"/>
        <v>6359.7278354590317</v>
      </c>
      <c r="Y34" s="53">
        <f t="shared" si="10"/>
        <v>16224.05395294998</v>
      </c>
      <c r="Z34" s="53">
        <f t="shared" si="11"/>
        <v>4686.0074605269656</v>
      </c>
    </row>
    <row r="35" spans="1:26" ht="15" customHeight="1" x14ac:dyDescent="0.55000000000000004">
      <c r="A35" s="276"/>
      <c r="B35" s="276"/>
      <c r="C35" s="275"/>
      <c r="D35" s="276"/>
      <c r="E35" s="51" t="s">
        <v>105</v>
      </c>
      <c r="F35" s="52">
        <v>698491</v>
      </c>
      <c r="G35" s="52">
        <v>2938532</v>
      </c>
      <c r="H35" s="52">
        <v>4097412</v>
      </c>
      <c r="I35" s="52">
        <v>5539954</v>
      </c>
      <c r="J35" s="52">
        <v>17586855</v>
      </c>
      <c r="K35" s="52">
        <v>4933878</v>
      </c>
      <c r="L35" s="51" t="s">
        <v>105</v>
      </c>
      <c r="M35" s="6">
        <f t="shared" si="0"/>
        <v>719445.73</v>
      </c>
      <c r="N35" s="6">
        <f t="shared" si="1"/>
        <v>3026687.96</v>
      </c>
      <c r="O35" s="6">
        <f t="shared" si="2"/>
        <v>4220334.3600000003</v>
      </c>
      <c r="P35" s="6">
        <f t="shared" si="3"/>
        <v>5706152.6200000001</v>
      </c>
      <c r="Q35" s="6">
        <f t="shared" si="4"/>
        <v>18114460.650000002</v>
      </c>
      <c r="R35" s="7">
        <f t="shared" si="5"/>
        <v>5081894.34</v>
      </c>
      <c r="T35" s="51" t="s">
        <v>105</v>
      </c>
      <c r="U35" s="53">
        <f t="shared" si="6"/>
        <v>507.79983624955003</v>
      </c>
      <c r="V35" s="53">
        <f t="shared" si="7"/>
        <v>2136.2996350905923</v>
      </c>
      <c r="W35" s="53">
        <f t="shared" si="8"/>
        <v>2978.8002173928389</v>
      </c>
      <c r="X35" s="53">
        <f t="shared" si="9"/>
        <v>4027.5218063368602</v>
      </c>
      <c r="Y35" s="53">
        <f t="shared" si="10"/>
        <v>12785.565009634458</v>
      </c>
      <c r="Z35" s="53">
        <f t="shared" si="11"/>
        <v>3586.9072621912915</v>
      </c>
    </row>
    <row r="36" spans="1:26" ht="15" customHeight="1" x14ac:dyDescent="0.55000000000000004">
      <c r="A36" s="277" t="s">
        <v>141</v>
      </c>
      <c r="B36" s="277" t="s">
        <v>142</v>
      </c>
      <c r="C36" s="275"/>
      <c r="D36" s="277" t="s">
        <v>143</v>
      </c>
      <c r="E36" s="55" t="s">
        <v>103</v>
      </c>
      <c r="F36" s="56">
        <v>2261676</v>
      </c>
      <c r="G36" s="56">
        <v>3764947</v>
      </c>
      <c r="H36" s="56">
        <v>5005242</v>
      </c>
      <c r="I36" s="56">
        <v>8159403</v>
      </c>
      <c r="J36" s="56">
        <v>52593049</v>
      </c>
      <c r="K36" s="56">
        <v>7170077</v>
      </c>
      <c r="L36" s="55" t="s">
        <v>103</v>
      </c>
      <c r="M36" s="6">
        <f t="shared" si="0"/>
        <v>2329526.2800000003</v>
      </c>
      <c r="N36" s="6">
        <f t="shared" si="1"/>
        <v>3877895.41</v>
      </c>
      <c r="O36" s="6">
        <f t="shared" si="2"/>
        <v>5155399.26</v>
      </c>
      <c r="P36" s="6">
        <f t="shared" si="3"/>
        <v>8404185.0899999999</v>
      </c>
      <c r="Q36" s="6">
        <f t="shared" si="4"/>
        <v>54170840.469999999</v>
      </c>
      <c r="R36" s="7">
        <f t="shared" si="5"/>
        <v>7385179.3100000005</v>
      </c>
      <c r="T36" s="55" t="s">
        <v>103</v>
      </c>
      <c r="U36" s="57">
        <f t="shared" si="6"/>
        <v>1644.228347179187</v>
      </c>
      <c r="V36" s="57">
        <f t="shared" si="7"/>
        <v>2737.0996477953686</v>
      </c>
      <c r="W36" s="57">
        <f t="shared" si="8"/>
        <v>3638.7885713479063</v>
      </c>
      <c r="X36" s="58">
        <f t="shared" si="9"/>
        <v>5931.8495260412619</v>
      </c>
      <c r="Y36" s="58">
        <f t="shared" si="10"/>
        <v>38234.911645339111</v>
      </c>
      <c r="Z36" s="58">
        <f t="shared" si="11"/>
        <v>5212.6139441977994</v>
      </c>
    </row>
    <row r="37" spans="1:26" ht="15" customHeight="1" x14ac:dyDescent="0.55000000000000004">
      <c r="A37" s="277"/>
      <c r="B37" s="277"/>
      <c r="C37" s="277"/>
      <c r="D37" s="277"/>
      <c r="E37" s="55" t="s">
        <v>104</v>
      </c>
      <c r="F37" s="56">
        <v>1528358</v>
      </c>
      <c r="G37" s="56">
        <v>2959373</v>
      </c>
      <c r="H37" s="56">
        <v>3725085</v>
      </c>
      <c r="I37" s="56">
        <v>6849583</v>
      </c>
      <c r="J37" s="56">
        <v>32321300</v>
      </c>
      <c r="K37" s="56">
        <v>5474531</v>
      </c>
      <c r="L37" s="55" t="s">
        <v>104</v>
      </c>
      <c r="M37" s="6">
        <f t="shared" si="0"/>
        <v>1574208.74</v>
      </c>
      <c r="N37" s="6">
        <f t="shared" si="1"/>
        <v>3048154.19</v>
      </c>
      <c r="O37" s="6">
        <f t="shared" si="2"/>
        <v>3836837.5500000003</v>
      </c>
      <c r="P37" s="6">
        <f t="shared" si="3"/>
        <v>7055070.4900000002</v>
      </c>
      <c r="Q37" s="6">
        <f t="shared" si="4"/>
        <v>33290939</v>
      </c>
      <c r="R37" s="7">
        <f t="shared" si="5"/>
        <v>5638766.9299999997</v>
      </c>
      <c r="T37" s="55" t="s">
        <v>104</v>
      </c>
      <c r="U37" s="57">
        <f t="shared" si="6"/>
        <v>1111.1094375313207</v>
      </c>
      <c r="V37" s="57">
        <f t="shared" si="7"/>
        <v>2151.4509489762067</v>
      </c>
      <c r="W37" s="57">
        <f t="shared" si="8"/>
        <v>2708.1201518926591</v>
      </c>
      <c r="X37" s="58">
        <f t="shared" si="9"/>
        <v>4979.616238115741</v>
      </c>
      <c r="Y37" s="58">
        <f t="shared" si="10"/>
        <v>23497.440693398457</v>
      </c>
      <c r="Z37" s="58">
        <f t="shared" si="11"/>
        <v>3979.9595776367705</v>
      </c>
    </row>
    <row r="38" spans="1:26" ht="15" customHeight="1" x14ac:dyDescent="0.55000000000000004">
      <c r="A38" s="277"/>
      <c r="B38" s="277"/>
      <c r="C38" s="277"/>
      <c r="D38" s="277"/>
      <c r="E38" s="55" t="s">
        <v>105</v>
      </c>
      <c r="F38" s="56">
        <v>698491</v>
      </c>
      <c r="G38" s="56">
        <v>2165066</v>
      </c>
      <c r="H38" s="56">
        <v>3400791</v>
      </c>
      <c r="I38" s="56">
        <v>5271630</v>
      </c>
      <c r="J38" s="56">
        <v>12049550</v>
      </c>
      <c r="K38" s="56">
        <v>3778985</v>
      </c>
      <c r="L38" s="55" t="s">
        <v>105</v>
      </c>
      <c r="M38" s="6">
        <f t="shared" si="0"/>
        <v>719445.73</v>
      </c>
      <c r="N38" s="6">
        <f t="shared" si="1"/>
        <v>2230017.98</v>
      </c>
      <c r="O38" s="6">
        <f t="shared" si="2"/>
        <v>3502814.73</v>
      </c>
      <c r="P38" s="6">
        <f t="shared" si="3"/>
        <v>5429778.9000000004</v>
      </c>
      <c r="Q38" s="6">
        <f t="shared" si="4"/>
        <v>12411036.5</v>
      </c>
      <c r="R38" s="7">
        <f t="shared" si="5"/>
        <v>3892354.5500000003</v>
      </c>
      <c r="T38" s="55" t="s">
        <v>105</v>
      </c>
      <c r="U38" s="57">
        <f t="shared" si="6"/>
        <v>507.79983624955003</v>
      </c>
      <c r="V38" s="57">
        <f t="shared" si="7"/>
        <v>1573.9933088178207</v>
      </c>
      <c r="W38" s="57">
        <f t="shared" si="8"/>
        <v>2472.3598627884162</v>
      </c>
      <c r="X38" s="58">
        <f t="shared" si="9"/>
        <v>3832.4514571672589</v>
      </c>
      <c r="Y38" s="58">
        <f t="shared" si="10"/>
        <v>8759.9690144622709</v>
      </c>
      <c r="Z38" s="58">
        <f t="shared" si="11"/>
        <v>2747.3052110757421</v>
      </c>
    </row>
    <row r="40" spans="1:26" ht="18" customHeight="1" x14ac:dyDescent="0.55000000000000004">
      <c r="A40" s="273" t="s">
        <v>144</v>
      </c>
      <c r="B40" s="273"/>
      <c r="C40" s="273"/>
      <c r="D40" s="273"/>
      <c r="E40" s="273"/>
      <c r="F40" s="273"/>
      <c r="G40" s="273"/>
      <c r="H40" s="273"/>
      <c r="I40" s="273"/>
      <c r="J40" s="273"/>
      <c r="K40" s="273"/>
    </row>
    <row r="41" spans="1:26" ht="15" customHeight="1" x14ac:dyDescent="0.55000000000000004">
      <c r="A41" s="10"/>
    </row>
  </sheetData>
  <mergeCells count="46">
    <mergeCell ref="E1:K1"/>
    <mergeCell ref="L1:R1"/>
    <mergeCell ref="T1:Z1"/>
    <mergeCell ref="A3:A5"/>
    <mergeCell ref="B3:B5"/>
    <mergeCell ref="C3:C8"/>
    <mergeCell ref="D3:D5"/>
    <mergeCell ref="A6:A8"/>
    <mergeCell ref="B6:B8"/>
    <mergeCell ref="D6:D8"/>
    <mergeCell ref="A9:A11"/>
    <mergeCell ref="B9:B11"/>
    <mergeCell ref="C9:C14"/>
    <mergeCell ref="D9:D11"/>
    <mergeCell ref="A12:A14"/>
    <mergeCell ref="B12:B14"/>
    <mergeCell ref="D12:D14"/>
    <mergeCell ref="A15:A17"/>
    <mergeCell ref="B15:B17"/>
    <mergeCell ref="C15:C17"/>
    <mergeCell ref="D15:D17"/>
    <mergeCell ref="A18:A20"/>
    <mergeCell ref="B18:B20"/>
    <mergeCell ref="C18:C23"/>
    <mergeCell ref="D18:D20"/>
    <mergeCell ref="A21:A23"/>
    <mergeCell ref="B21:B23"/>
    <mergeCell ref="D21:D23"/>
    <mergeCell ref="A24:A26"/>
    <mergeCell ref="B24:B26"/>
    <mergeCell ref="C24:C29"/>
    <mergeCell ref="D24:D26"/>
    <mergeCell ref="A27:A29"/>
    <mergeCell ref="B27:B29"/>
    <mergeCell ref="D27:D29"/>
    <mergeCell ref="A40:K40"/>
    <mergeCell ref="A30:A32"/>
    <mergeCell ref="B30:B32"/>
    <mergeCell ref="C30:C38"/>
    <mergeCell ref="D30:D32"/>
    <mergeCell ref="A33:A35"/>
    <mergeCell ref="B33:B35"/>
    <mergeCell ref="D33:D35"/>
    <mergeCell ref="A36:A38"/>
    <mergeCell ref="B36:B38"/>
    <mergeCell ref="D36:D3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I9"/>
  <sheetViews>
    <sheetView zoomScaleNormal="100" workbookViewId="0">
      <selection activeCell="I9" sqref="I9"/>
    </sheetView>
  </sheetViews>
  <sheetFormatPr defaultColWidth="8.68359375" defaultRowHeight="14.4" x14ac:dyDescent="0.55000000000000004"/>
  <cols>
    <col min="9" max="9" width="10.578125" customWidth="1"/>
  </cols>
  <sheetData>
    <row r="9" spans="9:9" ht="15" customHeight="1" x14ac:dyDescent="0.55000000000000004">
      <c r="I9" s="59">
        <v>1416.79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K59"/>
  <sheetViews>
    <sheetView zoomScaleNormal="100" workbookViewId="0"/>
  </sheetViews>
  <sheetFormatPr defaultColWidth="8.68359375" defaultRowHeight="14.4" x14ac:dyDescent="0.55000000000000004"/>
  <cols>
    <col min="1" max="1" width="54.68359375" customWidth="1"/>
    <col min="2" max="2" width="12.68359375" customWidth="1"/>
    <col min="7" max="7" width="35.41796875" customWidth="1"/>
    <col min="8" max="8" width="13.83984375" customWidth="1"/>
    <col min="9" max="9" width="27.68359375" customWidth="1"/>
    <col min="10" max="10" width="17.83984375" customWidth="1"/>
    <col min="11" max="11" width="41.15625" customWidth="1"/>
  </cols>
  <sheetData>
    <row r="3" spans="1:11" ht="15" customHeight="1" x14ac:dyDescent="0.55000000000000004">
      <c r="C3">
        <v>12</v>
      </c>
      <c r="D3" t="s">
        <v>145</v>
      </c>
      <c r="E3" s="59">
        <v>25.9679</v>
      </c>
    </row>
    <row r="4" spans="1:11" ht="26.25" customHeight="1" x14ac:dyDescent="0.55000000000000004">
      <c r="C4">
        <v>12</v>
      </c>
      <c r="D4" t="s">
        <v>145</v>
      </c>
      <c r="E4" s="59">
        <v>25.9679</v>
      </c>
      <c r="H4" s="60" t="s">
        <v>146</v>
      </c>
    </row>
    <row r="5" spans="1:11" ht="41.25" customHeight="1" x14ac:dyDescent="0.55000000000000004">
      <c r="A5" s="61" t="s">
        <v>147</v>
      </c>
      <c r="B5" s="62" t="s">
        <v>148</v>
      </c>
      <c r="C5" s="62" t="s">
        <v>149</v>
      </c>
      <c r="D5" s="62" t="s">
        <v>150</v>
      </c>
      <c r="E5" s="62" t="s">
        <v>151</v>
      </c>
      <c r="F5" s="63"/>
      <c r="G5" s="64" t="s">
        <v>91</v>
      </c>
      <c r="H5" s="65" t="s">
        <v>14</v>
      </c>
      <c r="I5" s="66" t="s">
        <v>91</v>
      </c>
      <c r="J5" s="66" t="s">
        <v>92</v>
      </c>
      <c r="K5" s="66" t="s">
        <v>91</v>
      </c>
    </row>
    <row r="6" spans="1:11" ht="15" customHeight="1" x14ac:dyDescent="0.55000000000000004">
      <c r="A6" s="10" t="s">
        <v>152</v>
      </c>
      <c r="B6" s="67">
        <v>9583</v>
      </c>
      <c r="C6" s="67">
        <f t="shared" ref="C6:C39" si="0">+B6*$E$3</f>
        <v>248850.38570000001</v>
      </c>
      <c r="D6" s="67">
        <f t="shared" ref="D6:D39" si="1">+B6*$C$3</f>
        <v>114996</v>
      </c>
      <c r="E6" s="67">
        <f t="shared" ref="E6:E39" si="2">+D6*$E$3</f>
        <v>2986204.6283999998</v>
      </c>
      <c r="F6" t="s">
        <v>153</v>
      </c>
      <c r="G6" s="68" t="s">
        <v>108</v>
      </c>
      <c r="H6" s="69" t="s">
        <v>99</v>
      </c>
      <c r="I6" s="70" t="s">
        <v>100</v>
      </c>
      <c r="J6" s="290" t="s">
        <v>101</v>
      </c>
      <c r="K6" s="71" t="s">
        <v>102</v>
      </c>
    </row>
    <row r="7" spans="1:11" ht="15" customHeight="1" x14ac:dyDescent="0.55000000000000004">
      <c r="A7" s="10" t="s">
        <v>154</v>
      </c>
      <c r="B7" s="67">
        <v>6500</v>
      </c>
      <c r="C7" s="67">
        <f t="shared" si="0"/>
        <v>168791.35</v>
      </c>
      <c r="D7" s="67">
        <f t="shared" si="1"/>
        <v>78000</v>
      </c>
      <c r="E7" s="67">
        <f t="shared" si="2"/>
        <v>2025496.2</v>
      </c>
      <c r="F7" t="s">
        <v>153</v>
      </c>
      <c r="G7" s="68" t="s">
        <v>115</v>
      </c>
      <c r="H7" s="72" t="s">
        <v>106</v>
      </c>
      <c r="I7" s="73" t="s">
        <v>107</v>
      </c>
      <c r="J7" s="290"/>
      <c r="K7" s="71" t="s">
        <v>108</v>
      </c>
    </row>
    <row r="8" spans="1:11" ht="15" customHeight="1" x14ac:dyDescent="0.55000000000000004">
      <c r="A8" s="10" t="s">
        <v>155</v>
      </c>
      <c r="B8" s="67">
        <v>1500</v>
      </c>
      <c r="C8" s="67">
        <f t="shared" si="0"/>
        <v>38951.85</v>
      </c>
      <c r="D8" s="67">
        <f t="shared" si="1"/>
        <v>18000</v>
      </c>
      <c r="E8" s="67">
        <f t="shared" si="2"/>
        <v>467422.2</v>
      </c>
      <c r="F8" t="s">
        <v>156</v>
      </c>
      <c r="G8" t="s">
        <v>123</v>
      </c>
      <c r="H8" s="74" t="s">
        <v>109</v>
      </c>
      <c r="I8" s="75" t="s">
        <v>110</v>
      </c>
      <c r="J8" s="290" t="s">
        <v>111</v>
      </c>
      <c r="K8" s="71" t="s">
        <v>112</v>
      </c>
    </row>
    <row r="9" spans="1:11" ht="27.75" customHeight="1" x14ac:dyDescent="0.55000000000000004">
      <c r="A9" s="10" t="s">
        <v>157</v>
      </c>
      <c r="B9" s="67">
        <v>4583</v>
      </c>
      <c r="C9" s="67">
        <f t="shared" si="0"/>
        <v>119010.8857</v>
      </c>
      <c r="D9" s="67">
        <f t="shared" si="1"/>
        <v>54996</v>
      </c>
      <c r="E9" s="67">
        <f t="shared" si="2"/>
        <v>1428130.6284</v>
      </c>
      <c r="F9" t="s">
        <v>153</v>
      </c>
      <c r="G9" s="68" t="s">
        <v>115</v>
      </c>
      <c r="H9" s="76" t="s">
        <v>113</v>
      </c>
      <c r="I9" s="77" t="s">
        <v>114</v>
      </c>
      <c r="J9" s="290"/>
      <c r="K9" s="71" t="s">
        <v>115</v>
      </c>
    </row>
    <row r="10" spans="1:11" ht="15" customHeight="1" x14ac:dyDescent="0.55000000000000004">
      <c r="A10" s="10" t="s">
        <v>158</v>
      </c>
      <c r="B10" s="67">
        <v>2000</v>
      </c>
      <c r="C10" s="67">
        <f t="shared" si="0"/>
        <v>51935.8</v>
      </c>
      <c r="D10" s="67">
        <f t="shared" si="1"/>
        <v>24000</v>
      </c>
      <c r="E10" s="67">
        <f t="shared" si="2"/>
        <v>623229.6</v>
      </c>
      <c r="F10" t="s">
        <v>156</v>
      </c>
      <c r="G10" t="s">
        <v>123</v>
      </c>
      <c r="H10" s="78" t="s">
        <v>116</v>
      </c>
      <c r="I10" s="79" t="s">
        <v>117</v>
      </c>
      <c r="J10" s="80" t="s">
        <v>118</v>
      </c>
      <c r="K10" s="81" t="s">
        <v>119</v>
      </c>
    </row>
    <row r="11" spans="1:11" ht="27.75" customHeight="1" x14ac:dyDescent="0.55000000000000004">
      <c r="A11" s="10" t="s">
        <v>159</v>
      </c>
      <c r="B11" s="67">
        <v>1000</v>
      </c>
      <c r="C11" s="67">
        <f t="shared" si="0"/>
        <v>25967.9</v>
      </c>
      <c r="D11" s="67">
        <f t="shared" si="1"/>
        <v>12000</v>
      </c>
      <c r="E11" s="67">
        <f t="shared" si="2"/>
        <v>311614.8</v>
      </c>
      <c r="F11" t="s">
        <v>160</v>
      </c>
      <c r="G11" t="s">
        <v>133</v>
      </c>
      <c r="H11" s="82" t="s">
        <v>120</v>
      </c>
      <c r="I11" s="83" t="s">
        <v>121</v>
      </c>
      <c r="J11" s="290" t="s">
        <v>122</v>
      </c>
      <c r="K11" s="71" t="s">
        <v>123</v>
      </c>
    </row>
    <row r="12" spans="1:11" ht="27.75" customHeight="1" x14ac:dyDescent="0.55000000000000004">
      <c r="A12" s="10" t="s">
        <v>161</v>
      </c>
      <c r="B12" s="67">
        <v>1500</v>
      </c>
      <c r="C12" s="67">
        <f t="shared" si="0"/>
        <v>38951.85</v>
      </c>
      <c r="D12" s="67">
        <f t="shared" si="1"/>
        <v>18000</v>
      </c>
      <c r="E12" s="67">
        <f t="shared" si="2"/>
        <v>467422.2</v>
      </c>
      <c r="F12" t="s">
        <v>156</v>
      </c>
      <c r="G12" t="s">
        <v>123</v>
      </c>
      <c r="H12" s="84" t="s">
        <v>124</v>
      </c>
      <c r="I12" s="85" t="s">
        <v>125</v>
      </c>
      <c r="J12" s="290"/>
      <c r="K12" s="71" t="s">
        <v>126</v>
      </c>
    </row>
    <row r="13" spans="1:11" ht="27.75" customHeight="1" x14ac:dyDescent="0.55000000000000004">
      <c r="A13" s="10" t="s">
        <v>162</v>
      </c>
      <c r="B13" s="67">
        <v>1000</v>
      </c>
      <c r="C13" s="67">
        <f t="shared" si="0"/>
        <v>25967.9</v>
      </c>
      <c r="D13" s="67">
        <f t="shared" si="1"/>
        <v>12000</v>
      </c>
      <c r="E13" s="67">
        <f t="shared" si="2"/>
        <v>311614.8</v>
      </c>
      <c r="F13" t="s">
        <v>160</v>
      </c>
      <c r="G13" t="s">
        <v>133</v>
      </c>
      <c r="H13" s="86" t="s">
        <v>127</v>
      </c>
      <c r="I13" s="87" t="s">
        <v>128</v>
      </c>
      <c r="J13" s="290" t="s">
        <v>129</v>
      </c>
      <c r="K13" s="71" t="s">
        <v>130</v>
      </c>
    </row>
    <row r="14" spans="1:11" ht="27.75" customHeight="1" x14ac:dyDescent="0.55000000000000004">
      <c r="A14" s="10" t="s">
        <v>163</v>
      </c>
      <c r="B14" s="67">
        <v>1500</v>
      </c>
      <c r="C14" s="67">
        <f t="shared" si="0"/>
        <v>38951.85</v>
      </c>
      <c r="D14" s="67">
        <f t="shared" si="1"/>
        <v>18000</v>
      </c>
      <c r="E14" s="67">
        <f t="shared" si="2"/>
        <v>467422.2</v>
      </c>
      <c r="F14" t="s">
        <v>156</v>
      </c>
      <c r="G14" t="s">
        <v>123</v>
      </c>
      <c r="H14" s="88" t="s">
        <v>131</v>
      </c>
      <c r="I14" s="89" t="s">
        <v>132</v>
      </c>
      <c r="J14" s="290"/>
      <c r="K14" s="71" t="s">
        <v>133</v>
      </c>
    </row>
    <row r="15" spans="1:11" ht="27.75" customHeight="1" x14ac:dyDescent="0.55000000000000004">
      <c r="A15" s="10" t="s">
        <v>164</v>
      </c>
      <c r="B15" s="67">
        <v>1000</v>
      </c>
      <c r="C15" s="67">
        <f t="shared" si="0"/>
        <v>25967.9</v>
      </c>
      <c r="D15" s="67">
        <f t="shared" si="1"/>
        <v>12000</v>
      </c>
      <c r="E15" s="67">
        <f t="shared" si="2"/>
        <v>311614.8</v>
      </c>
      <c r="F15" t="s">
        <v>160</v>
      </c>
      <c r="G15" t="s">
        <v>133</v>
      </c>
      <c r="H15" s="90" t="s">
        <v>134</v>
      </c>
      <c r="I15" s="91" t="s">
        <v>135</v>
      </c>
      <c r="J15" s="290" t="s">
        <v>136</v>
      </c>
      <c r="K15" s="71" t="s">
        <v>137</v>
      </c>
    </row>
    <row r="16" spans="1:11" ht="27.75" customHeight="1" x14ac:dyDescent="0.55000000000000004">
      <c r="A16" s="10" t="s">
        <v>165</v>
      </c>
      <c r="B16" s="67">
        <v>1000</v>
      </c>
      <c r="C16" s="67">
        <f t="shared" si="0"/>
        <v>25967.9</v>
      </c>
      <c r="D16" s="67">
        <f t="shared" si="1"/>
        <v>12000</v>
      </c>
      <c r="E16" s="67">
        <f t="shared" si="2"/>
        <v>311614.8</v>
      </c>
      <c r="F16" t="s">
        <v>160</v>
      </c>
      <c r="G16" t="s">
        <v>133</v>
      </c>
      <c r="H16" s="92" t="s">
        <v>138</v>
      </c>
      <c r="I16" s="93" t="s">
        <v>139</v>
      </c>
      <c r="J16" s="290"/>
      <c r="K16" s="71" t="s">
        <v>140</v>
      </c>
    </row>
    <row r="17" spans="1:11" ht="27.75" customHeight="1" x14ac:dyDescent="0.55000000000000004">
      <c r="A17" s="10" t="s">
        <v>166</v>
      </c>
      <c r="B17" s="67">
        <v>1500</v>
      </c>
      <c r="C17" s="67">
        <f t="shared" si="0"/>
        <v>38951.85</v>
      </c>
      <c r="D17" s="67">
        <f t="shared" si="1"/>
        <v>18000</v>
      </c>
      <c r="E17" s="67">
        <f t="shared" si="2"/>
        <v>467422.2</v>
      </c>
      <c r="F17" t="s">
        <v>156</v>
      </c>
      <c r="G17" t="s">
        <v>123</v>
      </c>
      <c r="H17" s="94" t="s">
        <v>141</v>
      </c>
      <c r="I17" s="95" t="s">
        <v>142</v>
      </c>
      <c r="J17" s="290"/>
      <c r="K17" s="71" t="s">
        <v>143</v>
      </c>
    </row>
    <row r="18" spans="1:11" ht="15" customHeight="1" x14ac:dyDescent="0.55000000000000004">
      <c r="A18" s="10" t="s">
        <v>167</v>
      </c>
      <c r="B18" s="67">
        <v>1000</v>
      </c>
      <c r="C18" s="67">
        <f t="shared" si="0"/>
        <v>25967.9</v>
      </c>
      <c r="D18" s="67">
        <f t="shared" si="1"/>
        <v>12000</v>
      </c>
      <c r="E18" s="67">
        <f t="shared" si="2"/>
        <v>311614.8</v>
      </c>
      <c r="F18" t="s">
        <v>160</v>
      </c>
      <c r="G18" t="s">
        <v>133</v>
      </c>
    </row>
    <row r="19" spans="1:11" ht="15" customHeight="1" x14ac:dyDescent="0.55000000000000004">
      <c r="A19" s="10" t="s">
        <v>168</v>
      </c>
      <c r="B19" s="67">
        <v>1500</v>
      </c>
      <c r="C19" s="67">
        <f t="shared" si="0"/>
        <v>38951.85</v>
      </c>
      <c r="D19" s="67">
        <f t="shared" si="1"/>
        <v>18000</v>
      </c>
      <c r="E19" s="67">
        <f t="shared" si="2"/>
        <v>467422.2</v>
      </c>
      <c r="F19" t="s">
        <v>156</v>
      </c>
      <c r="G19" t="s">
        <v>123</v>
      </c>
    </row>
    <row r="20" spans="1:11" ht="15" customHeight="1" x14ac:dyDescent="0.55000000000000004">
      <c r="A20" s="10" t="s">
        <v>169</v>
      </c>
      <c r="B20" s="67">
        <v>1000</v>
      </c>
      <c r="C20" s="67">
        <f t="shared" si="0"/>
        <v>25967.9</v>
      </c>
      <c r="D20" s="67">
        <f t="shared" si="1"/>
        <v>12000</v>
      </c>
      <c r="E20" s="67">
        <f t="shared" si="2"/>
        <v>311614.8</v>
      </c>
      <c r="F20" t="s">
        <v>160</v>
      </c>
      <c r="G20" t="s">
        <v>133</v>
      </c>
    </row>
    <row r="21" spans="1:11" ht="15" customHeight="1" x14ac:dyDescent="0.55000000000000004">
      <c r="A21" s="10" t="s">
        <v>170</v>
      </c>
      <c r="B21" s="67">
        <v>1500</v>
      </c>
      <c r="C21" s="67">
        <f t="shared" si="0"/>
        <v>38951.85</v>
      </c>
      <c r="D21" s="67">
        <f t="shared" si="1"/>
        <v>18000</v>
      </c>
      <c r="E21" s="67">
        <f t="shared" si="2"/>
        <v>467422.2</v>
      </c>
      <c r="F21" t="s">
        <v>156</v>
      </c>
      <c r="G21" t="s">
        <v>123</v>
      </c>
    </row>
    <row r="22" spans="1:11" ht="15" customHeight="1" x14ac:dyDescent="0.55000000000000004">
      <c r="A22" s="10" t="s">
        <v>171</v>
      </c>
      <c r="B22" s="67">
        <v>4583</v>
      </c>
      <c r="C22" s="67">
        <f t="shared" si="0"/>
        <v>119010.8857</v>
      </c>
      <c r="D22" s="67">
        <f t="shared" si="1"/>
        <v>54996</v>
      </c>
      <c r="E22" s="67">
        <f t="shared" si="2"/>
        <v>1428130.6284</v>
      </c>
      <c r="F22" t="s">
        <v>153</v>
      </c>
      <c r="G22" s="68" t="s">
        <v>115</v>
      </c>
    </row>
    <row r="23" spans="1:11" ht="15" customHeight="1" x14ac:dyDescent="0.55000000000000004">
      <c r="A23" s="10" t="s">
        <v>172</v>
      </c>
      <c r="B23" s="67">
        <v>2000</v>
      </c>
      <c r="C23" s="67">
        <f t="shared" si="0"/>
        <v>51935.8</v>
      </c>
      <c r="D23" s="67">
        <f t="shared" si="1"/>
        <v>24000</v>
      </c>
      <c r="E23" s="67">
        <f t="shared" si="2"/>
        <v>623229.6</v>
      </c>
      <c r="F23" t="s">
        <v>156</v>
      </c>
      <c r="G23" t="s">
        <v>123</v>
      </c>
    </row>
    <row r="24" spans="1:11" ht="15" customHeight="1" x14ac:dyDescent="0.55000000000000004">
      <c r="A24" s="10" t="s">
        <v>173</v>
      </c>
      <c r="B24" s="67">
        <v>1250</v>
      </c>
      <c r="C24" s="67">
        <f t="shared" si="0"/>
        <v>32459.875</v>
      </c>
      <c r="D24" s="67">
        <f t="shared" si="1"/>
        <v>15000</v>
      </c>
      <c r="E24" s="67">
        <f t="shared" si="2"/>
        <v>389518.5</v>
      </c>
      <c r="F24" t="s">
        <v>160</v>
      </c>
      <c r="G24" t="s">
        <v>133</v>
      </c>
    </row>
    <row r="25" spans="1:11" ht="15" customHeight="1" x14ac:dyDescent="0.55000000000000004">
      <c r="A25" s="10" t="s">
        <v>174</v>
      </c>
      <c r="B25" s="67">
        <v>5000</v>
      </c>
      <c r="C25" s="67">
        <f t="shared" si="0"/>
        <v>129839.5</v>
      </c>
      <c r="D25" s="67">
        <f t="shared" si="1"/>
        <v>60000</v>
      </c>
      <c r="E25" s="67">
        <f t="shared" si="2"/>
        <v>1558074</v>
      </c>
      <c r="F25" t="s">
        <v>153</v>
      </c>
      <c r="G25" s="68" t="s">
        <v>115</v>
      </c>
    </row>
    <row r="26" spans="1:11" ht="15" customHeight="1" x14ac:dyDescent="0.55000000000000004">
      <c r="A26" s="10" t="s">
        <v>175</v>
      </c>
      <c r="B26" s="67">
        <v>2000</v>
      </c>
      <c r="C26" s="67">
        <f t="shared" si="0"/>
        <v>51935.8</v>
      </c>
      <c r="D26" s="67">
        <f t="shared" si="1"/>
        <v>24000</v>
      </c>
      <c r="E26" s="67">
        <f t="shared" si="2"/>
        <v>623229.6</v>
      </c>
      <c r="F26" t="s">
        <v>156</v>
      </c>
      <c r="G26" t="s">
        <v>123</v>
      </c>
    </row>
    <row r="27" spans="1:11" ht="15" customHeight="1" x14ac:dyDescent="0.55000000000000004">
      <c r="A27" s="10" t="s">
        <v>176</v>
      </c>
      <c r="B27" s="67">
        <v>2000</v>
      </c>
      <c r="C27" s="67">
        <f t="shared" si="0"/>
        <v>51935.8</v>
      </c>
      <c r="D27" s="67">
        <f t="shared" si="1"/>
        <v>24000</v>
      </c>
      <c r="E27" s="67">
        <f t="shared" si="2"/>
        <v>623229.6</v>
      </c>
      <c r="F27" t="s">
        <v>156</v>
      </c>
      <c r="G27" t="s">
        <v>123</v>
      </c>
    </row>
    <row r="28" spans="1:11" ht="15" customHeight="1" x14ac:dyDescent="0.55000000000000004">
      <c r="A28" s="10" t="s">
        <v>177</v>
      </c>
      <c r="B28" s="67">
        <v>1250</v>
      </c>
      <c r="C28" s="67">
        <f t="shared" si="0"/>
        <v>32459.875</v>
      </c>
      <c r="D28" s="67">
        <f t="shared" si="1"/>
        <v>15000</v>
      </c>
      <c r="E28" s="67">
        <f t="shared" si="2"/>
        <v>389518.5</v>
      </c>
      <c r="F28" t="s">
        <v>156</v>
      </c>
      <c r="G28" t="s">
        <v>123</v>
      </c>
    </row>
    <row r="29" spans="1:11" ht="15" customHeight="1" x14ac:dyDescent="0.55000000000000004">
      <c r="A29" s="10" t="s">
        <v>178</v>
      </c>
      <c r="B29" s="67">
        <v>1000</v>
      </c>
      <c r="C29" s="67">
        <f t="shared" si="0"/>
        <v>25967.9</v>
      </c>
      <c r="D29" s="67">
        <f t="shared" si="1"/>
        <v>12000</v>
      </c>
      <c r="E29" s="67">
        <f t="shared" si="2"/>
        <v>311614.8</v>
      </c>
      <c r="F29" t="s">
        <v>160</v>
      </c>
      <c r="G29" t="s">
        <v>133</v>
      </c>
    </row>
    <row r="30" spans="1:11" ht="15" customHeight="1" x14ac:dyDescent="0.55000000000000004">
      <c r="A30" s="10" t="s">
        <v>179</v>
      </c>
      <c r="B30" s="67">
        <v>1500</v>
      </c>
      <c r="C30" s="67">
        <f t="shared" si="0"/>
        <v>38951.85</v>
      </c>
      <c r="D30" s="67">
        <f t="shared" si="1"/>
        <v>18000</v>
      </c>
      <c r="E30" s="67">
        <f t="shared" si="2"/>
        <v>467422.2</v>
      </c>
      <c r="F30" t="s">
        <v>156</v>
      </c>
      <c r="G30" t="s">
        <v>123</v>
      </c>
    </row>
    <row r="31" spans="1:11" ht="15" customHeight="1" x14ac:dyDescent="0.55000000000000004">
      <c r="A31" s="10" t="s">
        <v>180</v>
      </c>
      <c r="B31" s="67">
        <v>5000</v>
      </c>
      <c r="C31" s="67">
        <f t="shared" si="0"/>
        <v>129839.5</v>
      </c>
      <c r="D31" s="67">
        <f t="shared" si="1"/>
        <v>60000</v>
      </c>
      <c r="E31" s="67">
        <f t="shared" si="2"/>
        <v>1558074</v>
      </c>
      <c r="F31" t="s">
        <v>153</v>
      </c>
      <c r="G31" s="68" t="s">
        <v>115</v>
      </c>
    </row>
    <row r="32" spans="1:11" ht="15" customHeight="1" x14ac:dyDescent="0.55000000000000004">
      <c r="A32" s="10" t="s">
        <v>181</v>
      </c>
      <c r="B32" s="67">
        <v>2633</v>
      </c>
      <c r="C32" s="67">
        <f t="shared" si="0"/>
        <v>68373.4807</v>
      </c>
      <c r="D32" s="67">
        <f t="shared" si="1"/>
        <v>31596</v>
      </c>
      <c r="E32" s="67">
        <f t="shared" si="2"/>
        <v>820481.76840000006</v>
      </c>
      <c r="F32" t="s">
        <v>156</v>
      </c>
      <c r="G32" t="s">
        <v>123</v>
      </c>
    </row>
    <row r="33" spans="1:7" ht="15" customHeight="1" x14ac:dyDescent="0.55000000000000004">
      <c r="A33" s="10" t="s">
        <v>182</v>
      </c>
      <c r="B33" s="67">
        <v>1500</v>
      </c>
      <c r="C33" s="67">
        <f t="shared" si="0"/>
        <v>38951.85</v>
      </c>
      <c r="D33" s="67">
        <f t="shared" si="1"/>
        <v>18000</v>
      </c>
      <c r="E33" s="67">
        <f t="shared" si="2"/>
        <v>467422.2</v>
      </c>
      <c r="F33" t="s">
        <v>156</v>
      </c>
      <c r="G33" t="s">
        <v>123</v>
      </c>
    </row>
    <row r="34" spans="1:7" ht="15" customHeight="1" x14ac:dyDescent="0.55000000000000004">
      <c r="A34" s="10" t="s">
        <v>183</v>
      </c>
      <c r="B34" s="67">
        <v>1000</v>
      </c>
      <c r="C34" s="67">
        <f t="shared" si="0"/>
        <v>25967.9</v>
      </c>
      <c r="D34" s="67">
        <f t="shared" si="1"/>
        <v>12000</v>
      </c>
      <c r="E34" s="67">
        <f t="shared" si="2"/>
        <v>311614.8</v>
      </c>
      <c r="F34" t="s">
        <v>160</v>
      </c>
      <c r="G34" t="s">
        <v>133</v>
      </c>
    </row>
    <row r="35" spans="1:7" ht="15" customHeight="1" x14ac:dyDescent="0.55000000000000004">
      <c r="A35" s="10" t="s">
        <v>184</v>
      </c>
      <c r="B35" s="67">
        <v>1250</v>
      </c>
      <c r="C35" s="67">
        <f t="shared" si="0"/>
        <v>32459.875</v>
      </c>
      <c r="D35" s="67">
        <f t="shared" si="1"/>
        <v>15000</v>
      </c>
      <c r="E35" s="67">
        <f t="shared" si="2"/>
        <v>389518.5</v>
      </c>
      <c r="F35" t="s">
        <v>160</v>
      </c>
      <c r="G35" t="s">
        <v>133</v>
      </c>
    </row>
    <row r="36" spans="1:7" ht="15" customHeight="1" x14ac:dyDescent="0.55000000000000004">
      <c r="A36" s="10" t="s">
        <v>185</v>
      </c>
      <c r="B36" s="67">
        <v>1000</v>
      </c>
      <c r="C36" s="67">
        <f t="shared" si="0"/>
        <v>25967.9</v>
      </c>
      <c r="D36" s="67">
        <f t="shared" si="1"/>
        <v>12000</v>
      </c>
      <c r="E36" s="67">
        <f t="shared" si="2"/>
        <v>311614.8</v>
      </c>
      <c r="F36" t="s">
        <v>160</v>
      </c>
      <c r="G36" t="s">
        <v>133</v>
      </c>
    </row>
    <row r="37" spans="1:7" ht="15" customHeight="1" x14ac:dyDescent="0.55000000000000004">
      <c r="A37" s="10" t="s">
        <v>186</v>
      </c>
      <c r="B37" s="67">
        <v>1800</v>
      </c>
      <c r="C37" s="67">
        <f t="shared" si="0"/>
        <v>46742.22</v>
      </c>
      <c r="D37" s="67">
        <f t="shared" si="1"/>
        <v>21600</v>
      </c>
      <c r="E37" s="67">
        <f t="shared" si="2"/>
        <v>560906.64</v>
      </c>
      <c r="F37" t="s">
        <v>156</v>
      </c>
      <c r="G37" t="s">
        <v>123</v>
      </c>
    </row>
    <row r="38" spans="1:7" ht="15" customHeight="1" x14ac:dyDescent="0.55000000000000004">
      <c r="A38" s="10" t="s">
        <v>187</v>
      </c>
      <c r="B38">
        <v>750</v>
      </c>
      <c r="C38" s="67">
        <f t="shared" si="0"/>
        <v>19475.924999999999</v>
      </c>
      <c r="D38" s="67">
        <f t="shared" si="1"/>
        <v>9000</v>
      </c>
      <c r="E38" s="67">
        <f t="shared" si="2"/>
        <v>233711.1</v>
      </c>
      <c r="F38" t="s">
        <v>188</v>
      </c>
      <c r="G38" t="s">
        <v>137</v>
      </c>
    </row>
    <row r="39" spans="1:7" ht="15" customHeight="1" x14ac:dyDescent="0.55000000000000004">
      <c r="A39" s="10" t="s">
        <v>189</v>
      </c>
      <c r="B39">
        <v>500</v>
      </c>
      <c r="C39" s="67">
        <f t="shared" si="0"/>
        <v>12983.95</v>
      </c>
      <c r="D39" s="67">
        <f t="shared" si="1"/>
        <v>6000</v>
      </c>
      <c r="E39" s="67">
        <f t="shared" si="2"/>
        <v>155807.4</v>
      </c>
      <c r="F39" t="s">
        <v>188</v>
      </c>
      <c r="G39" s="68" t="s">
        <v>140</v>
      </c>
    </row>
    <row r="40" spans="1:7" ht="15" customHeight="1" x14ac:dyDescent="0.55000000000000004"/>
    <row r="41" spans="1:7" ht="15" customHeight="1" x14ac:dyDescent="0.55000000000000004"/>
    <row r="42" spans="1:7" ht="15" customHeight="1" x14ac:dyDescent="0.55000000000000004"/>
    <row r="43" spans="1:7" ht="15" customHeight="1" x14ac:dyDescent="0.55000000000000004"/>
    <row r="44" spans="1:7" ht="15" customHeight="1" x14ac:dyDescent="0.55000000000000004"/>
    <row r="45" spans="1:7" ht="15" customHeight="1" x14ac:dyDescent="0.55000000000000004"/>
    <row r="46" spans="1:7" ht="15" customHeight="1" x14ac:dyDescent="0.55000000000000004"/>
    <row r="47" spans="1:7" ht="15" customHeight="1" x14ac:dyDescent="0.55000000000000004"/>
    <row r="48" spans="1:7" ht="15" customHeight="1" x14ac:dyDescent="0.55000000000000004"/>
    <row r="49" ht="15" customHeight="1" x14ac:dyDescent="0.55000000000000004"/>
    <row r="50" ht="15" customHeight="1" x14ac:dyDescent="0.55000000000000004"/>
    <row r="51" ht="15" customHeight="1" x14ac:dyDescent="0.55000000000000004"/>
    <row r="52" ht="15" customHeight="1" x14ac:dyDescent="0.55000000000000004"/>
    <row r="53" ht="15" customHeight="1" x14ac:dyDescent="0.55000000000000004"/>
    <row r="54" ht="15" customHeight="1" x14ac:dyDescent="0.55000000000000004"/>
    <row r="55" ht="15" customHeight="1" x14ac:dyDescent="0.55000000000000004"/>
    <row r="56" ht="15" customHeight="1" x14ac:dyDescent="0.55000000000000004"/>
    <row r="57" ht="15" customHeight="1" x14ac:dyDescent="0.55000000000000004"/>
    <row r="58" ht="15" customHeight="1" x14ac:dyDescent="0.55000000000000004"/>
    <row r="59" ht="15" customHeight="1" x14ac:dyDescent="0.55000000000000004"/>
  </sheetData>
  <mergeCells count="5">
    <mergeCell ref="J6:J7"/>
    <mergeCell ref="J8:J9"/>
    <mergeCell ref="J11:J12"/>
    <mergeCell ref="J13:J14"/>
    <mergeCell ref="J15:J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workbookViewId="0">
      <selection activeCell="N3" sqref="N3"/>
    </sheetView>
  </sheetViews>
  <sheetFormatPr defaultColWidth="8.68359375" defaultRowHeight="14.4" x14ac:dyDescent="0.55000000000000004"/>
  <cols>
    <col min="1" max="1" width="15" customWidth="1"/>
    <col min="2" max="4" width="12" customWidth="1"/>
    <col min="5" max="5" width="4" customWidth="1"/>
    <col min="6" max="6" width="15" customWidth="1"/>
    <col min="7" max="9" width="12" customWidth="1"/>
    <col min="10" max="10" width="4" customWidth="1"/>
    <col min="11" max="11" width="15" customWidth="1"/>
    <col min="12" max="14" width="12" customWidth="1"/>
  </cols>
  <sheetData>
    <row r="1" spans="1:14" ht="19.5" customHeight="1" x14ac:dyDescent="0.55000000000000004">
      <c r="A1" s="291" t="s">
        <v>190</v>
      </c>
      <c r="B1" s="291"/>
      <c r="C1" s="291"/>
      <c r="D1" s="291"/>
      <c r="F1" s="291" t="s">
        <v>191</v>
      </c>
      <c r="G1" s="291"/>
      <c r="H1" s="291"/>
      <c r="I1" s="291"/>
      <c r="K1" s="291" t="s">
        <v>192</v>
      </c>
      <c r="L1" s="291"/>
      <c r="M1" s="291"/>
      <c r="N1" s="291"/>
    </row>
    <row r="2" spans="1:14" ht="18" customHeight="1" x14ac:dyDescent="0.55000000000000004">
      <c r="A2" s="96"/>
      <c r="B2" s="97" t="s">
        <v>193</v>
      </c>
      <c r="C2" s="97" t="s">
        <v>194</v>
      </c>
      <c r="D2" s="97" t="s">
        <v>195</v>
      </c>
      <c r="F2" s="96"/>
      <c r="G2" s="97" t="s">
        <v>193</v>
      </c>
      <c r="H2" s="97" t="s">
        <v>194</v>
      </c>
      <c r="I2" s="97" t="s">
        <v>195</v>
      </c>
      <c r="K2" s="96"/>
      <c r="L2" s="97" t="s">
        <v>193</v>
      </c>
      <c r="M2" s="97" t="s">
        <v>194</v>
      </c>
      <c r="N2" s="97" t="s">
        <v>195</v>
      </c>
    </row>
    <row r="3" spans="1:14" ht="18" customHeight="1" x14ac:dyDescent="0.55000000000000004">
      <c r="A3" s="98" t="s">
        <v>196</v>
      </c>
      <c r="B3" s="99">
        <v>4800</v>
      </c>
      <c r="C3" s="99">
        <v>5000</v>
      </c>
      <c r="D3" s="99">
        <v>5500</v>
      </c>
      <c r="F3" s="98" t="s">
        <v>196</v>
      </c>
      <c r="G3" s="99">
        <v>6400</v>
      </c>
      <c r="H3" s="99">
        <v>7400</v>
      </c>
      <c r="I3" s="99">
        <v>8200</v>
      </c>
      <c r="K3" s="98" t="s">
        <v>196</v>
      </c>
      <c r="L3" s="99">
        <v>8200</v>
      </c>
      <c r="M3" s="99">
        <v>9450</v>
      </c>
      <c r="N3" s="99">
        <v>10200</v>
      </c>
    </row>
    <row r="5" spans="1:14" x14ac:dyDescent="0.55000000000000004">
      <c r="F5" t="s">
        <v>32</v>
      </c>
    </row>
  </sheetData>
  <mergeCells count="3">
    <mergeCell ref="A1:D1"/>
    <mergeCell ref="F1:I1"/>
    <mergeCell ref="K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zoomScaleNormal="100" workbookViewId="0">
      <selection activeCell="I3" sqref="I3"/>
    </sheetView>
  </sheetViews>
  <sheetFormatPr defaultColWidth="8.68359375" defaultRowHeight="14.4" x14ac:dyDescent="0.55000000000000004"/>
  <cols>
    <col min="1" max="1" width="15" customWidth="1"/>
    <col min="2" max="4" width="12" customWidth="1"/>
    <col min="5" max="5" width="4" customWidth="1"/>
    <col min="6" max="6" width="15" customWidth="1"/>
    <col min="7" max="9" width="12" customWidth="1"/>
    <col min="10" max="10" width="4" customWidth="1"/>
    <col min="11" max="11" width="15" customWidth="1"/>
    <col min="12" max="14" width="12" customWidth="1"/>
  </cols>
  <sheetData>
    <row r="1" spans="1:9" ht="19.5" customHeight="1" x14ac:dyDescent="0.55000000000000004">
      <c r="A1" s="291" t="s">
        <v>197</v>
      </c>
      <c r="B1" s="291"/>
      <c r="C1" s="291"/>
      <c r="D1" s="291"/>
      <c r="F1" s="291" t="s">
        <v>198</v>
      </c>
      <c r="G1" s="291"/>
      <c r="H1" s="291"/>
      <c r="I1" s="291"/>
    </row>
    <row r="2" spans="1:9" ht="18" customHeight="1" x14ac:dyDescent="0.55000000000000004">
      <c r="A2" s="96"/>
      <c r="B2" s="97" t="s">
        <v>193</v>
      </c>
      <c r="C2" s="97" t="s">
        <v>194</v>
      </c>
      <c r="D2" s="97" t="s">
        <v>195</v>
      </c>
      <c r="F2" s="96"/>
      <c r="G2" s="97" t="s">
        <v>193</v>
      </c>
      <c r="H2" s="97" t="s">
        <v>194</v>
      </c>
      <c r="I2" s="97" t="s">
        <v>195</v>
      </c>
    </row>
    <row r="3" spans="1:9" ht="18" customHeight="1" x14ac:dyDescent="0.55000000000000004">
      <c r="A3" s="98" t="s">
        <v>196</v>
      </c>
      <c r="B3" s="99">
        <v>18122.59</v>
      </c>
      <c r="C3" s="99">
        <v>21183.86</v>
      </c>
      <c r="D3" s="99">
        <v>24244.06</v>
      </c>
      <c r="F3" s="98" t="s">
        <v>196</v>
      </c>
      <c r="G3" s="99">
        <v>18887.64</v>
      </c>
      <c r="H3" s="99">
        <v>21948.91</v>
      </c>
      <c r="I3" s="99">
        <v>25775.230000000003</v>
      </c>
    </row>
  </sheetData>
  <mergeCells count="2">
    <mergeCell ref="A1:D1"/>
    <mergeCell ref="F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"/>
  <sheetViews>
    <sheetView zoomScaleNormal="100" workbookViewId="0">
      <selection activeCell="M29" sqref="M29"/>
    </sheetView>
  </sheetViews>
  <sheetFormatPr defaultColWidth="8.68359375" defaultRowHeight="14.4" x14ac:dyDescent="0.55000000000000004"/>
  <cols>
    <col min="1" max="1" width="15" customWidth="1"/>
    <col min="2" max="4" width="12" customWidth="1"/>
    <col min="5" max="5" width="4" customWidth="1"/>
    <col min="6" max="6" width="15" customWidth="1"/>
    <col min="7" max="9" width="12" customWidth="1"/>
    <col min="10" max="10" width="4" customWidth="1"/>
    <col min="11" max="11" width="15" customWidth="1"/>
    <col min="12" max="14" width="12" customWidth="1"/>
  </cols>
  <sheetData>
    <row r="1" spans="1:14" ht="19.5" customHeight="1" x14ac:dyDescent="0.55000000000000004">
      <c r="A1" s="291" t="s">
        <v>199</v>
      </c>
      <c r="B1" s="291"/>
      <c r="C1" s="291"/>
      <c r="D1" s="291"/>
      <c r="F1" s="291" t="s">
        <v>200</v>
      </c>
      <c r="G1" s="291"/>
      <c r="H1" s="291"/>
      <c r="I1" s="291"/>
      <c r="K1" s="291" t="s">
        <v>201</v>
      </c>
      <c r="L1" s="291"/>
      <c r="M1" s="291"/>
      <c r="N1" s="291"/>
    </row>
    <row r="2" spans="1:14" ht="18" customHeight="1" x14ac:dyDescent="0.55000000000000004">
      <c r="A2" s="96"/>
      <c r="B2" s="97" t="s">
        <v>193</v>
      </c>
      <c r="C2" s="97" t="s">
        <v>194</v>
      </c>
      <c r="D2" s="97" t="s">
        <v>195</v>
      </c>
      <c r="F2" s="96"/>
      <c r="G2" s="97" t="s">
        <v>193</v>
      </c>
      <c r="H2" s="97" t="s">
        <v>194</v>
      </c>
      <c r="I2" s="97" t="s">
        <v>195</v>
      </c>
      <c r="K2" s="96"/>
      <c r="L2" s="97" t="s">
        <v>193</v>
      </c>
      <c r="M2" s="97" t="s">
        <v>194</v>
      </c>
      <c r="N2" s="97" t="s">
        <v>195</v>
      </c>
    </row>
    <row r="3" spans="1:14" ht="18" customHeight="1" x14ac:dyDescent="0.55000000000000004">
      <c r="A3" s="98" t="s">
        <v>196</v>
      </c>
      <c r="B3" s="99">
        <v>23560.33</v>
      </c>
      <c r="C3" s="99">
        <v>27538.59</v>
      </c>
      <c r="D3" s="99">
        <v>31517.920000000002</v>
      </c>
      <c r="F3" s="98" t="s">
        <v>196</v>
      </c>
      <c r="G3" s="99">
        <v>25300</v>
      </c>
      <c r="H3" s="99">
        <v>28600</v>
      </c>
      <c r="I3" s="99">
        <v>33150</v>
      </c>
      <c r="K3" s="98" t="s">
        <v>196</v>
      </c>
      <c r="L3" s="99">
        <v>32100</v>
      </c>
      <c r="M3" s="99">
        <v>34900</v>
      </c>
      <c r="N3" s="99">
        <v>37300</v>
      </c>
    </row>
    <row r="4" spans="1:14" ht="18" customHeight="1" x14ac:dyDescent="0.55000000000000004"/>
    <row r="5" spans="1:14" x14ac:dyDescent="0.55000000000000004">
      <c r="F5" t="s">
        <v>172</v>
      </c>
      <c r="K5" t="s">
        <v>202</v>
      </c>
    </row>
    <row r="6" spans="1:14" x14ac:dyDescent="0.55000000000000004">
      <c r="F6" t="s">
        <v>185</v>
      </c>
      <c r="K6" t="s">
        <v>203</v>
      </c>
    </row>
    <row r="7" spans="1:14" x14ac:dyDescent="0.55000000000000004">
      <c r="F7" t="s">
        <v>204</v>
      </c>
      <c r="K7" t="s">
        <v>205</v>
      </c>
    </row>
    <row r="8" spans="1:14" x14ac:dyDescent="0.55000000000000004">
      <c r="K8" t="s">
        <v>206</v>
      </c>
    </row>
    <row r="9" spans="1:14" x14ac:dyDescent="0.55000000000000004">
      <c r="K9" t="s">
        <v>207</v>
      </c>
    </row>
  </sheetData>
  <mergeCells count="3">
    <mergeCell ref="A1:D1"/>
    <mergeCell ref="F1:I1"/>
    <mergeCell ref="K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"/>
  <sheetViews>
    <sheetView zoomScaleNormal="100" workbookViewId="0">
      <selection sqref="A1:D1"/>
    </sheetView>
  </sheetViews>
  <sheetFormatPr defaultColWidth="8.68359375" defaultRowHeight="14.4" x14ac:dyDescent="0.55000000000000004"/>
  <cols>
    <col min="1" max="1" width="15" customWidth="1"/>
    <col min="2" max="4" width="12" customWidth="1"/>
    <col min="5" max="5" width="4" customWidth="1"/>
    <col min="6" max="6" width="15" customWidth="1"/>
    <col min="7" max="9" width="12" customWidth="1"/>
    <col min="10" max="10" width="4" customWidth="1"/>
    <col min="11" max="11" width="15" customWidth="1"/>
    <col min="12" max="14" width="12" customWidth="1"/>
  </cols>
  <sheetData>
    <row r="1" spans="1:14" ht="19.5" customHeight="1" x14ac:dyDescent="0.55000000000000004">
      <c r="A1" s="291" t="s">
        <v>208</v>
      </c>
      <c r="B1" s="291"/>
      <c r="C1" s="291"/>
      <c r="D1" s="291"/>
      <c r="F1" s="291" t="s">
        <v>209</v>
      </c>
      <c r="G1" s="291"/>
      <c r="H1" s="291"/>
      <c r="I1" s="291"/>
      <c r="K1" s="291" t="s">
        <v>210</v>
      </c>
      <c r="L1" s="291"/>
      <c r="M1" s="291"/>
      <c r="N1" s="291"/>
    </row>
    <row r="2" spans="1:14" ht="18" customHeight="1" x14ac:dyDescent="0.55000000000000004">
      <c r="A2" s="96"/>
      <c r="B2" s="97" t="s">
        <v>193</v>
      </c>
      <c r="C2" s="97" t="s">
        <v>194</v>
      </c>
      <c r="D2" s="97" t="s">
        <v>195</v>
      </c>
      <c r="F2" s="96"/>
      <c r="G2" s="97" t="s">
        <v>193</v>
      </c>
      <c r="H2" s="97" t="s">
        <v>194</v>
      </c>
      <c r="I2" s="97" t="s">
        <v>195</v>
      </c>
      <c r="K2" s="96"/>
      <c r="L2" s="97" t="s">
        <v>193</v>
      </c>
      <c r="M2" s="97" t="s">
        <v>194</v>
      </c>
      <c r="N2" s="97" t="s">
        <v>195</v>
      </c>
    </row>
    <row r="3" spans="1:14" ht="18" customHeight="1" x14ac:dyDescent="0.55000000000000004">
      <c r="A3" s="98" t="s">
        <v>196</v>
      </c>
      <c r="B3" s="99">
        <v>34300</v>
      </c>
      <c r="C3" s="99">
        <v>38300</v>
      </c>
      <c r="D3" s="99">
        <v>44045</v>
      </c>
      <c r="F3" s="98" t="s">
        <v>196</v>
      </c>
      <c r="G3" s="99">
        <v>37600</v>
      </c>
      <c r="H3" s="99">
        <v>43300</v>
      </c>
      <c r="I3" s="99">
        <v>47002</v>
      </c>
      <c r="K3" s="98" t="s">
        <v>196</v>
      </c>
      <c r="L3" s="99">
        <v>39121.728022297066</v>
      </c>
      <c r="M3" s="99">
        <v>44810.263841694978</v>
      </c>
      <c r="N3" s="99">
        <v>48440.731570407399</v>
      </c>
    </row>
    <row r="5" spans="1:14" x14ac:dyDescent="0.55000000000000004">
      <c r="F5" t="s">
        <v>211</v>
      </c>
    </row>
    <row r="6" spans="1:14" x14ac:dyDescent="0.55000000000000004">
      <c r="F6" t="s">
        <v>212</v>
      </c>
    </row>
    <row r="7" spans="1:14" x14ac:dyDescent="0.55000000000000004">
      <c r="F7" t="s">
        <v>213</v>
      </c>
    </row>
  </sheetData>
  <mergeCells count="3">
    <mergeCell ref="A1:D1"/>
    <mergeCell ref="F1:I1"/>
    <mergeCell ref="K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"/>
  <sheetViews>
    <sheetView zoomScaleNormal="100" workbookViewId="0">
      <selection sqref="A1:D1"/>
    </sheetView>
  </sheetViews>
  <sheetFormatPr defaultColWidth="8.68359375" defaultRowHeight="14.4" x14ac:dyDescent="0.55000000000000004"/>
  <cols>
    <col min="1" max="1" width="13.68359375" customWidth="1"/>
    <col min="2" max="2" width="10.68359375" bestFit="1" customWidth="1"/>
    <col min="3" max="3" width="9.83984375" bestFit="1" customWidth="1"/>
    <col min="4" max="4" width="10.83984375" bestFit="1" customWidth="1"/>
    <col min="5" max="5" width="8.26171875" customWidth="1"/>
    <col min="6" max="6" width="10.68359375" bestFit="1" customWidth="1"/>
    <col min="7" max="7" width="9.83984375" bestFit="1" customWidth="1"/>
    <col min="8" max="9" width="10.83984375" bestFit="1" customWidth="1"/>
    <col min="10" max="10" width="8.15625" customWidth="1"/>
    <col min="11" max="11" width="12.26171875" customWidth="1"/>
    <col min="12" max="12" width="9.83984375" bestFit="1" customWidth="1"/>
    <col min="13" max="14" width="10.83984375" bestFit="1" customWidth="1"/>
  </cols>
  <sheetData>
    <row r="1" spans="1:14" ht="19.5" customHeight="1" x14ac:dyDescent="0.55000000000000004">
      <c r="A1" s="291" t="s">
        <v>214</v>
      </c>
      <c r="B1" s="291"/>
      <c r="C1" s="291"/>
      <c r="D1" s="291"/>
      <c r="F1" s="291" t="s">
        <v>215</v>
      </c>
      <c r="G1" s="291"/>
      <c r="H1" s="291"/>
      <c r="I1" s="291"/>
      <c r="K1" s="291" t="s">
        <v>216</v>
      </c>
      <c r="L1" s="291"/>
      <c r="M1" s="291"/>
      <c r="N1" s="291"/>
    </row>
    <row r="2" spans="1:14" ht="18" customHeight="1" x14ac:dyDescent="0.55000000000000004">
      <c r="A2" s="188"/>
      <c r="B2" s="97" t="s">
        <v>193</v>
      </c>
      <c r="C2" s="97" t="s">
        <v>194</v>
      </c>
      <c r="D2" s="97" t="s">
        <v>195</v>
      </c>
      <c r="E2" s="189"/>
      <c r="F2" s="188"/>
      <c r="G2" s="97" t="s">
        <v>193</v>
      </c>
      <c r="H2" s="97" t="s">
        <v>194</v>
      </c>
      <c r="I2" s="97" t="s">
        <v>195</v>
      </c>
      <c r="J2" s="189"/>
      <c r="K2" s="188"/>
      <c r="L2" s="97" t="s">
        <v>193</v>
      </c>
      <c r="M2" s="97" t="s">
        <v>194</v>
      </c>
      <c r="N2" s="97" t="s">
        <v>195</v>
      </c>
    </row>
    <row r="3" spans="1:14" ht="18" customHeight="1" x14ac:dyDescent="0.55000000000000004">
      <c r="A3" s="98" t="s">
        <v>196</v>
      </c>
      <c r="B3" s="99">
        <v>84816</v>
      </c>
      <c r="C3" s="99">
        <v>98068.5</v>
      </c>
      <c r="D3" s="99">
        <v>109112.25</v>
      </c>
      <c r="E3" s="189"/>
      <c r="F3" s="98" t="s">
        <v>196</v>
      </c>
      <c r="G3" s="99">
        <v>89280</v>
      </c>
      <c r="H3" s="99">
        <v>103230</v>
      </c>
      <c r="I3" s="99">
        <v>114855</v>
      </c>
      <c r="J3" s="189"/>
      <c r="K3" s="98" t="s">
        <v>196</v>
      </c>
      <c r="L3" s="99">
        <v>96000</v>
      </c>
      <c r="M3" s="99">
        <v>111000</v>
      </c>
      <c r="N3" s="99">
        <v>123500</v>
      </c>
    </row>
    <row r="4" spans="1:14" x14ac:dyDescent="0.55000000000000004">
      <c r="A4" s="190"/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</row>
    <row r="5" spans="1:14" x14ac:dyDescent="0.55000000000000004">
      <c r="K5" t="s">
        <v>85</v>
      </c>
    </row>
  </sheetData>
  <mergeCells count="3">
    <mergeCell ref="K1:N1"/>
    <mergeCell ref="A1:D1"/>
    <mergeCell ref="F1:I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C750DC-997D-4239-B532-8C1DACC103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038373-74C3-4AB2-9C5B-4B0BEB6C00FF}">
  <ds:schemaRefs>
    <ds:schemaRef ds:uri="http://purl.org/dc/elements/1.1/"/>
    <ds:schemaRef ds:uri="dc808d36-874f-4b27-aec2-2fd649817929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f8135ccf-0908-4d8c-8b6a-2ec449ff78ed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974BE5E-DCAD-4730-BCA3-D98B83F76C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POA Compensation Analysis</vt:lpstr>
      <vt:lpstr>Birches Report</vt:lpstr>
      <vt:lpstr>TRM</vt:lpstr>
      <vt:lpstr>Budget USDA Salary Categories</vt:lpstr>
      <vt:lpstr>GRADE A</vt:lpstr>
      <vt:lpstr>GRADE B</vt:lpstr>
      <vt:lpstr>GRADE C</vt:lpstr>
      <vt:lpstr>GRADE D</vt:lpstr>
      <vt:lpstr>GRADE E</vt:lpstr>
      <vt:lpstr>'POA Compensation Analysis'!Print_Area</vt:lpstr>
      <vt:lpstr>'POA Compensation Analysis'!Print_Titles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Danielle Martin</cp:lastModifiedBy>
  <cp:revision>0</cp:revision>
  <dcterms:created xsi:type="dcterms:W3CDTF">2026-07-14T22:36:33Z</dcterms:created>
  <dcterms:modified xsi:type="dcterms:W3CDTF">2026-07-24T18:07:13Z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