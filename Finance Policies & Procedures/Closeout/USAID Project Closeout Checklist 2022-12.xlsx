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24"/>
  <workbookPr filterPrivacy="1" codeName="ThisWorkbook" defaultThemeVersion="166925"/>
  <xr:revisionPtr revIDLastSave="302" documentId="8_{0011481D-30DA-48DB-B30F-0E38E48C0E7D}" xr6:coauthVersionLast="47" xr6:coauthVersionMax="47" xr10:uidLastSave="{84B26E06-A491-4120-8C04-CAA674BBD41A}"/>
  <bookViews>
    <workbookView xWindow="-108" yWindow="-108" windowWidth="23256" windowHeight="12576" firstSheet="2" activeTab="2" xr2:uid="{9BFA2F43-58DE-4CAD-B544-3287367B84DA}"/>
  </bookViews>
  <sheets>
    <sheet name="Checklist" sheetId="4" r:id="rId1"/>
    <sheet name="Staff Plan" sheetId="5" r:id="rId2"/>
    <sheet name="Utilities Checklist" sheetId="3" r:id="rId3"/>
    <sheet name="Inventory Listing" sheetId="1" r:id="rId4"/>
    <sheet name="Sheet1" sheetId="2" state="hidden" r:id="rId5"/>
  </sheets>
  <definedNames>
    <definedName name="ColumnTitle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L8" i="1"/>
  <c r="M8" i="1"/>
  <c r="N8" i="1"/>
  <c r="O8" i="1"/>
  <c r="R8" i="1"/>
  <c r="M9" i="1"/>
  <c r="M10" i="1"/>
  <c r="M11" i="1"/>
  <c r="M12" i="1"/>
  <c r="M13" i="1"/>
  <c r="M14" i="1"/>
  <c r="M15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18" i="1"/>
  <c r="M17" i="1"/>
  <c r="N9" i="1"/>
  <c r="N10" i="1"/>
  <c r="N11" i="1"/>
  <c r="N12" i="1"/>
  <c r="N13" i="1"/>
  <c r="N14" i="1"/>
  <c r="N15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L17" i="1"/>
  <c r="O27" i="1"/>
  <c r="O28" i="1"/>
  <c r="O29" i="1"/>
  <c r="O30" i="1"/>
  <c r="O31" i="1"/>
  <c r="O32" i="1"/>
  <c r="O33" i="1"/>
  <c r="O34" i="1"/>
  <c r="O35" i="1"/>
  <c r="O36" i="1"/>
  <c r="O26" i="1"/>
  <c r="O25" i="1"/>
  <c r="O24" i="1"/>
  <c r="O23" i="1"/>
  <c r="O22" i="1"/>
  <c r="O21" i="1"/>
  <c r="O20" i="1"/>
  <c r="O19" i="1"/>
  <c r="O10" i="1"/>
  <c r="O11" i="1"/>
  <c r="O12" i="1"/>
  <c r="O13" i="1"/>
  <c r="O14" i="1"/>
  <c r="O15" i="1"/>
  <c r="L6" i="1"/>
  <c r="J37" i="1"/>
  <c r="R36" i="1"/>
  <c r="L36" i="1"/>
  <c r="L27" i="1"/>
  <c r="L28" i="1"/>
  <c r="L29" i="1"/>
  <c r="L30" i="1"/>
  <c r="L31" i="1"/>
  <c r="L32" i="1"/>
  <c r="L33" i="1"/>
  <c r="L34" i="1"/>
  <c r="L35" i="1"/>
  <c r="L26" i="1"/>
  <c r="L25" i="1"/>
  <c r="L24" i="1"/>
  <c r="L23" i="1"/>
  <c r="L22" i="1"/>
  <c r="L21" i="1"/>
  <c r="L20" i="1"/>
  <c r="L19" i="1"/>
  <c r="L18" i="1"/>
  <c r="L7" i="1"/>
  <c r="L9" i="1"/>
  <c r="L10" i="1"/>
  <c r="L11" i="1"/>
  <c r="L12" i="1"/>
  <c r="L13" i="1"/>
  <c r="L14" i="1"/>
  <c r="L15" i="1"/>
  <c r="R6" i="1"/>
  <c r="N6" i="1" s="1"/>
  <c r="R18" i="1"/>
  <c r="N18" i="1" s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7" i="1"/>
  <c r="R17" i="1"/>
  <c r="N17" i="1" s="1"/>
  <c r="R7" i="1"/>
  <c r="N7" i="1" s="1"/>
  <c r="M7" i="1" s="1"/>
  <c r="O7" i="1" s="1"/>
  <c r="R9" i="1"/>
  <c r="O9" i="1" s="1"/>
  <c r="R10" i="1"/>
  <c r="R11" i="1"/>
  <c r="R12" i="1"/>
  <c r="R13" i="1"/>
  <c r="R14" i="1"/>
  <c r="R15" i="1"/>
  <c r="O18" i="1" l="1"/>
  <c r="O6" i="1"/>
  <c r="O17" i="1"/>
  <c r="L37" i="1"/>
  <c r="M37" i="1"/>
  <c r="O37" i="1" l="1"/>
</calcChain>
</file>

<file path=xl/sharedStrings.xml><?xml version="1.0" encoding="utf-8"?>
<sst xmlns="http://schemas.openxmlformats.org/spreadsheetml/2006/main" count="229" uniqueCount="206">
  <si>
    <t>Partners of the Americas - Project Closeout Checklist</t>
  </si>
  <si>
    <t xml:space="preserve">Award Number and Grant:                                            </t>
  </si>
  <si>
    <t>Country Office:</t>
  </si>
  <si>
    <t>Award End Date:</t>
  </si>
  <si>
    <t>Award Closeout Date:</t>
  </si>
  <si>
    <t>All projects must follow closeout procedure in accordance to 2 CFR 200.344 and terms of the specific award.</t>
  </si>
  <si>
    <t>ACTIONS</t>
  </si>
  <si>
    <t>Complete by Date</t>
  </si>
  <si>
    <t>Person Responsible</t>
  </si>
  <si>
    <t>Reviewer/Approver</t>
  </si>
  <si>
    <t>Status</t>
  </si>
  <si>
    <t>Remark</t>
  </si>
  <si>
    <t>Human Resources</t>
  </si>
  <si>
    <t>Develop staffing plan with termination dates</t>
  </si>
  <si>
    <t>Amend employee contracts to end by project closing date (or process paperwork for internal transfer)</t>
  </si>
  <si>
    <t>Pay or accrue final leave balances, severance (if applicable), other fringe benefits (as applicable), &amp; salary payments</t>
  </si>
  <si>
    <t xml:space="preserve">Contract termination notice (letter) </t>
  </si>
  <si>
    <t>Work certification letter</t>
  </si>
  <si>
    <t>Closure of fringe benefits (social security, pensions, etc.)</t>
  </si>
  <si>
    <t>End of service Checklist and follow termination process</t>
  </si>
  <si>
    <t>Exit interview</t>
  </si>
  <si>
    <t>Final timesheet submitted</t>
  </si>
  <si>
    <t>Terminate employee contracts</t>
  </si>
  <si>
    <t>Operation</t>
  </si>
  <si>
    <t>Compile list of vendors (service, utilities, other) - see utilities checklist tab</t>
  </si>
  <si>
    <t>Notify vendors of contract/service termination and amend contracts as necessary to close by project end date</t>
  </si>
  <si>
    <t>Terminate service/vendor/utilities contracts (including electricity, water, gas, phone, Internet, fuel, mobile phones, security, shipping, cleaning, banks). Settle any obligations related to closing your office or other program facilities</t>
  </si>
  <si>
    <t xml:space="preserve">Terminate insurance policies </t>
  </si>
  <si>
    <t xml:space="preserve">Close petty cash and return funds to bank account </t>
  </si>
  <si>
    <t xml:space="preserve">Ensure all payments and refunds are cleared before the bank account is closed </t>
  </si>
  <si>
    <t>Close bank accounts and send remaining account balance to Home Office</t>
  </si>
  <si>
    <t>Terminate leases (if appropriate) on rented office space that you do not plan to use after the award. Settle any obligations related to closing your office or other program facilities</t>
  </si>
  <si>
    <t>Receive refund of security deposit</t>
  </si>
  <si>
    <t>Receive release letter from landlord</t>
  </si>
  <si>
    <t>If applicable, determine operational requirements to keep the POA registration open (i.e. annual board meetings, registrations, fees, etc.)</t>
  </si>
  <si>
    <t>Pay annual operational fees, taxes and registration and send registration documentation to Compliance Team</t>
  </si>
  <si>
    <t xml:space="preserve">Review Board of Directors for local office </t>
  </si>
  <si>
    <t>Update Board of Directors for local office (as needed)</t>
  </si>
  <si>
    <t>Send thank you notes to key contacts in final project week</t>
  </si>
  <si>
    <t>Finance</t>
  </si>
  <si>
    <t>Budget for final 12-month project expenses</t>
  </si>
  <si>
    <t>Update budget for final 6-month project expenses and adjust spending as necessary</t>
  </si>
  <si>
    <t>Update budget for final 3-month project expenses and adjust spending as necessary</t>
  </si>
  <si>
    <t>Update budget for final 2-month project expenses and adjust spending as necessary</t>
  </si>
  <si>
    <t>Update budget for final 1-month project expenses and adjust spending as necessary</t>
  </si>
  <si>
    <t>Final request for funds submitted to F&amp;A (ensure full amount of award funds are drawn, unless returning funds to USG)</t>
  </si>
  <si>
    <t>Review expenditures for allowability</t>
  </si>
  <si>
    <t>Verify that all costs charged to the project are appropriate and in line with the outcomes and/or deliverables</t>
  </si>
  <si>
    <t>Confirm all expenses have posted and post closeout expenses are accrued</t>
  </si>
  <si>
    <t>Identify and resolve all outstanding invoices (Accounts Receivable and Accounts Payable), reconcile outstanding advances/payments</t>
  </si>
  <si>
    <t>Ensure all journal entries and accruals have been completed and processed</t>
  </si>
  <si>
    <t>Payroll accruals are recorded for severance and other fringe benefits</t>
  </si>
  <si>
    <t>Run a Trial Balance report to verify grant revenue and expenses are in balance</t>
  </si>
  <si>
    <t>Reconcile the general ledger to account codes and make corrections/adjustments as necessary</t>
  </si>
  <si>
    <t>Refund any cash balances that the grantor paid in advance or paid and that is not authorized to be retained</t>
  </si>
  <si>
    <t>Verify all cost sharing/match commitments have been met and document</t>
  </si>
  <si>
    <t>Confirm all time and effort reports are appropriate and certified</t>
  </si>
  <si>
    <t>Submit the final Federal Financial Report (FFRs)</t>
  </si>
  <si>
    <t>Subaward Closeout</t>
  </si>
  <si>
    <t>Verify refund of any cash balances that POA paid in advance or paid and that is not authorized to be retained</t>
  </si>
  <si>
    <t>Ensure Sub-recipients’ final invoices have been paid</t>
  </si>
  <si>
    <t xml:space="preserve">Receive final inventory list from sub-recipient </t>
  </si>
  <si>
    <t>Receive release letter from sub-recipient</t>
  </si>
  <si>
    <t xml:space="preserve">Inventory </t>
  </si>
  <si>
    <t xml:space="preserve">List all Project equipment &amp; supplies and their market value </t>
  </si>
  <si>
    <t>Submit disposition plan (due 120 days prior to end date of the award to donor)</t>
  </si>
  <si>
    <t>Take inventory of all supplies</t>
  </si>
  <si>
    <t>Implement Approved disposition plan</t>
  </si>
  <si>
    <t>M &amp; E</t>
  </si>
  <si>
    <t>Collect impact data</t>
  </si>
  <si>
    <t>Draft Final Evaluation Report</t>
  </si>
  <si>
    <t xml:space="preserve">Submit Final Evaluation </t>
  </si>
  <si>
    <t>Record Retention</t>
  </si>
  <si>
    <t>Create an electronic copy of physical document as applicable</t>
  </si>
  <si>
    <t>Properly label and archive ALL records</t>
  </si>
  <si>
    <t>Log file as closed and store according to POA Record Retention Policy and Terms of the Award</t>
  </si>
  <si>
    <t>Reports and Letters</t>
  </si>
  <si>
    <t>Submit Indirect Cost Rate Certification (NICRA &amp; Breakdown)</t>
  </si>
  <si>
    <t xml:space="preserve">Home office </t>
  </si>
  <si>
    <t xml:space="preserve">Complete Audit Certification </t>
  </si>
  <si>
    <t>Submit Final Inventory Report</t>
  </si>
  <si>
    <t>Submit Program Closeout Letter to grantor</t>
  </si>
  <si>
    <t>Submit Technical Progress Report</t>
  </si>
  <si>
    <t>Programmatic</t>
  </si>
  <si>
    <t xml:space="preserve">End implementation of activities </t>
  </si>
  <si>
    <t>USAID Requirements</t>
  </si>
  <si>
    <t>Submit VAT Report (USAID Only)</t>
  </si>
  <si>
    <t>Country Specific Requirements</t>
  </si>
  <si>
    <t>Staff Transition Plan</t>
  </si>
  <si>
    <t>Name</t>
  </si>
  <si>
    <t>Position</t>
  </si>
  <si>
    <t>Termination Date from Project</t>
  </si>
  <si>
    <t>Notice Required (Y/N)</t>
  </si>
  <si>
    <t>Notice Date</t>
  </si>
  <si>
    <t>Transition Plan</t>
  </si>
  <si>
    <t>Closeout Duties</t>
  </si>
  <si>
    <t>Partners of the Americas - Utilities Checklist</t>
  </si>
  <si>
    <t xml:space="preserve">Award Number :                                            </t>
  </si>
  <si>
    <t>Grant Name: USAID649</t>
  </si>
  <si>
    <t>Utility or Service</t>
  </si>
  <si>
    <t>Company name</t>
  </si>
  <si>
    <t>Last day</t>
  </si>
  <si>
    <t xml:space="preserve">Final </t>
  </si>
  <si>
    <t>Amount paid</t>
  </si>
  <si>
    <t>Date paid</t>
  </si>
  <si>
    <t>Deposits</t>
  </si>
  <si>
    <t>Refund of deposit</t>
  </si>
  <si>
    <t xml:space="preserve">Expected </t>
  </si>
  <si>
    <t>Comments</t>
  </si>
  <si>
    <t>of service</t>
  </si>
  <si>
    <t>Invoice Amt</t>
  </si>
  <si>
    <t>on account</t>
  </si>
  <si>
    <t>amount</t>
  </si>
  <si>
    <t>refund date</t>
  </si>
  <si>
    <t>E.g. Water</t>
  </si>
  <si>
    <t>Nairobi Water Company</t>
  </si>
  <si>
    <t>August 31</t>
  </si>
  <si>
    <t>KES 50,000</t>
  </si>
  <si>
    <t>KES 30,000</t>
  </si>
  <si>
    <t>March 31</t>
  </si>
  <si>
    <t>KES 20,000</t>
  </si>
  <si>
    <t>August 15</t>
  </si>
  <si>
    <t>Deposit used to offset final bill</t>
  </si>
  <si>
    <t>Electricity</t>
  </si>
  <si>
    <t>Guyana Power &amp; Light</t>
  </si>
  <si>
    <t>Water</t>
  </si>
  <si>
    <t>Guyana Water Authority</t>
  </si>
  <si>
    <t>Gas</t>
  </si>
  <si>
    <t>Nil</t>
  </si>
  <si>
    <t>Telephone</t>
  </si>
  <si>
    <t>Guyana Telephone &amp; Telegraph</t>
  </si>
  <si>
    <t>Internet Service Provider</t>
  </si>
  <si>
    <t>Copier maintenance</t>
  </si>
  <si>
    <t>Other equip maintenance</t>
  </si>
  <si>
    <t>Fuel - vehicles</t>
  </si>
  <si>
    <t>Chands Service Station</t>
  </si>
  <si>
    <t>Fuel - generators</t>
  </si>
  <si>
    <t>Vehicle maintenance</t>
  </si>
  <si>
    <t>Patrick Chung</t>
  </si>
  <si>
    <t>Generator maintenance</t>
  </si>
  <si>
    <t>Office supplies</t>
  </si>
  <si>
    <t>Regal Stationery &amp; Computer</t>
  </si>
  <si>
    <t>Newspaper/magazine</t>
  </si>
  <si>
    <t>Bottled water Service</t>
  </si>
  <si>
    <t>Banks DIH Ltd.</t>
  </si>
  <si>
    <t>Kitchen supplies</t>
  </si>
  <si>
    <t>Security</t>
  </si>
  <si>
    <t>NIl</t>
  </si>
  <si>
    <t>Office Cleaning</t>
  </si>
  <si>
    <t>Fentola Belgrave</t>
  </si>
  <si>
    <t>Garbage collection</t>
  </si>
  <si>
    <t>Building maintenance</t>
  </si>
  <si>
    <t>Vibert Lord</t>
  </si>
  <si>
    <t>Inventory &amp; Equipment Listing Report</t>
  </si>
  <si>
    <t xml:space="preserve">Inventory as of: </t>
  </si>
  <si>
    <t>#</t>
  </si>
  <si>
    <t>Photo</t>
  </si>
  <si>
    <t>Description of Inventory &amp; Equipment</t>
  </si>
  <si>
    <t>Condition</t>
  </si>
  <si>
    <t>Brand</t>
  </si>
  <si>
    <t>Model</t>
  </si>
  <si>
    <t>Serial #</t>
  </si>
  <si>
    <t>Method of Acquisition</t>
  </si>
  <si>
    <t>Acquisition/ Purchase Date</t>
  </si>
  <si>
    <t>Purchase Price</t>
  </si>
  <si>
    <t xml:space="preserve">% Charged to Grant </t>
  </si>
  <si>
    <t>Amount Charged to Grant</t>
  </si>
  <si>
    <t>Current Price</t>
  </si>
  <si>
    <t>Useful Life in Days</t>
  </si>
  <si>
    <t>Current Price Charged to Grant</t>
  </si>
  <si>
    <t>Grant</t>
  </si>
  <si>
    <t>Type of Equipment/ Supply</t>
  </si>
  <si>
    <t>Useful Life</t>
  </si>
  <si>
    <t>City &amp; Physical Location</t>
  </si>
  <si>
    <t>Responsible Person</t>
  </si>
  <si>
    <t>Notes</t>
  </si>
  <si>
    <t>Equipment (over $5,000 USD)</t>
  </si>
  <si>
    <t>Inventory &amp; Supplies (under $5,000 USD)</t>
  </si>
  <si>
    <t>Total</t>
  </si>
  <si>
    <t>Submitted by:</t>
  </si>
  <si>
    <t>Date:</t>
  </si>
  <si>
    <t>Signature:</t>
  </si>
  <si>
    <t>New</t>
  </si>
  <si>
    <t>Good</t>
  </si>
  <si>
    <t>Bad</t>
  </si>
  <si>
    <t>Damaged</t>
  </si>
  <si>
    <t xml:space="preserve">Lost </t>
  </si>
  <si>
    <t>Computer/LaptopTablet</t>
  </si>
  <si>
    <t>4 Years</t>
  </si>
  <si>
    <t>4</t>
  </si>
  <si>
    <t>Furniture</t>
  </si>
  <si>
    <t>8 Years</t>
  </si>
  <si>
    <t>8</t>
  </si>
  <si>
    <t>General Supplies</t>
  </si>
  <si>
    <t>1 Year</t>
  </si>
  <si>
    <t>1</t>
  </si>
  <si>
    <t>Other Equipment ($5K+)</t>
  </si>
  <si>
    <t>10 Years</t>
  </si>
  <si>
    <t>10</t>
  </si>
  <si>
    <t>Printer/Projector/Camera, etc.</t>
  </si>
  <si>
    <t>Telecommunications/Phone</t>
  </si>
  <si>
    <t>Vehicle</t>
  </si>
  <si>
    <t>5 Years</t>
  </si>
  <si>
    <t>5</t>
  </si>
  <si>
    <t>Purchased</t>
  </si>
  <si>
    <t>Donated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</si>
</sst>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00"/>
    <numFmt numFmtId="165" formatCode="&quot;$&quot;\ #,##0.00"/>
    <numFmt numFmtId="166" formatCode="&quot;$&quot;#,##0.00"/>
    <numFmt numFmtId="167" formatCode="[$-409]mmmm\ d\,\ yyyy;@"/>
  </numFmts>
  <fonts count="18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color theme="1"/>
      <name val="Calibri"/>
      <family val="2"/>
      <scheme val="minor"/>
    </font>
    <font>
      <sz val="14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Times New Roman"/>
      <family val="1"/>
    </font>
    <font>
      <b/>
      <sz val="12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2"/>
      <name val="Times New Roman"/>
      <family val="1"/>
    </font>
    <font>
      <b/>
      <i/>
      <sz val="7"/>
      <name val="Arial"/>
      <family val="2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7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>
      <alignment vertical="top" wrapText="1"/>
    </xf>
    <xf numFmtId="0" fontId="11" fillId="0" borderId="0"/>
    <xf numFmtId="0" fontId="16" fillId="0" borderId="0" applyNumberFormat="0" applyFill="0" applyBorder="0" applyAlignment="0" applyProtection="0"/>
  </cellStyleXfs>
  <cellXfs count="218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8" xfId="0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5" fillId="0" borderId="10" xfId="0" applyFon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5" fillId="0" borderId="9" xfId="0" applyFont="1" applyBorder="1" applyAlignment="1">
      <alignment horizontal="left" vertical="center"/>
    </xf>
    <xf numFmtId="0" fontId="0" fillId="0" borderId="9" xfId="0" applyBorder="1"/>
    <xf numFmtId="49" fontId="5" fillId="0" borderId="9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left"/>
    </xf>
    <xf numFmtId="0" fontId="5" fillId="0" borderId="9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9" xfId="0" applyFont="1" applyBorder="1"/>
    <xf numFmtId="14" fontId="5" fillId="0" borderId="9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5" xfId="0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  <xf numFmtId="9" fontId="5" fillId="0" borderId="10" xfId="1" applyFont="1" applyBorder="1" applyAlignment="1">
      <alignment horizontal="center"/>
    </xf>
    <xf numFmtId="9" fontId="0" fillId="0" borderId="10" xfId="1" applyFont="1" applyBorder="1" applyAlignment="1">
      <alignment horizontal="center"/>
    </xf>
    <xf numFmtId="9" fontId="5" fillId="0" borderId="9" xfId="1" applyFont="1" applyBorder="1" applyAlignment="1">
      <alignment horizontal="center"/>
    </xf>
    <xf numFmtId="9" fontId="0" fillId="0" borderId="0" xfId="1" applyFont="1" applyAlignment="1">
      <alignment horizontal="center"/>
    </xf>
    <xf numFmtId="9" fontId="4" fillId="0" borderId="0" xfId="1" applyFont="1" applyAlignment="1">
      <alignment horizontal="center"/>
    </xf>
    <xf numFmtId="9" fontId="0" fillId="0" borderId="0" xfId="1" applyFont="1"/>
    <xf numFmtId="49" fontId="0" fillId="0" borderId="0" xfId="0" applyNumberFormat="1"/>
    <xf numFmtId="49" fontId="5" fillId="0" borderId="10" xfId="0" applyNumberFormat="1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14" fontId="5" fillId="0" borderId="10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64" fontId="5" fillId="0" borderId="20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5" fillId="0" borderId="20" xfId="0" applyFont="1" applyBorder="1" applyAlignment="1">
      <alignment horizontal="center"/>
    </xf>
    <xf numFmtId="49" fontId="5" fillId="0" borderId="20" xfId="0" applyNumberFormat="1" applyFont="1" applyBorder="1" applyAlignment="1">
      <alignment horizontal="center"/>
    </xf>
    <xf numFmtId="165" fontId="5" fillId="0" borderId="20" xfId="0" applyNumberFormat="1" applyFont="1" applyBorder="1" applyAlignment="1">
      <alignment horizontal="center"/>
    </xf>
    <xf numFmtId="9" fontId="5" fillId="0" borderId="20" xfId="1" applyFont="1" applyBorder="1" applyAlignment="1">
      <alignment horizontal="center"/>
    </xf>
    <xf numFmtId="165" fontId="5" fillId="0" borderId="21" xfId="0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44" fontId="0" fillId="0" borderId="0" xfId="2" applyFont="1"/>
    <xf numFmtId="166" fontId="0" fillId="0" borderId="0" xfId="0" applyNumberFormat="1"/>
    <xf numFmtId="165" fontId="0" fillId="0" borderId="21" xfId="0" applyNumberFormat="1" applyBorder="1" applyAlignment="1">
      <alignment horizontal="center"/>
    </xf>
    <xf numFmtId="164" fontId="4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165" fontId="4" fillId="0" borderId="13" xfId="0" applyNumberFormat="1" applyFont="1" applyBorder="1" applyAlignment="1">
      <alignment horizontal="center"/>
    </xf>
    <xf numFmtId="9" fontId="4" fillId="0" borderId="13" xfId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0" xfId="0" applyFont="1"/>
    <xf numFmtId="0" fontId="5" fillId="0" borderId="20" xfId="0" applyFont="1" applyBorder="1" applyAlignment="1">
      <alignment horizontal="left" vertical="center"/>
    </xf>
    <xf numFmtId="0" fontId="4" fillId="0" borderId="23" xfId="0" applyFont="1" applyBorder="1" applyAlignment="1">
      <alignment horizontal="center"/>
    </xf>
    <xf numFmtId="43" fontId="0" fillId="0" borderId="10" xfId="3" applyFont="1" applyBorder="1" applyAlignment="1">
      <alignment horizontal="center"/>
    </xf>
    <xf numFmtId="43" fontId="4" fillId="0" borderId="0" xfId="0" applyNumberFormat="1" applyFont="1" applyAlignment="1">
      <alignment horizontal="center"/>
    </xf>
    <xf numFmtId="44" fontId="4" fillId="0" borderId="0" xfId="2" applyFont="1" applyAlignment="1">
      <alignment horizontal="center"/>
    </xf>
    <xf numFmtId="0" fontId="8" fillId="0" borderId="0" xfId="4">
      <alignment vertical="top" wrapText="1"/>
    </xf>
    <xf numFmtId="0" fontId="8" fillId="0" borderId="0" xfId="4" applyAlignment="1">
      <alignment vertical="center" wrapText="1"/>
    </xf>
    <xf numFmtId="0" fontId="11" fillId="0" borderId="0" xfId="5"/>
    <xf numFmtId="0" fontId="10" fillId="6" borderId="0" xfId="5" applyFont="1" applyFill="1" applyAlignment="1">
      <alignment horizontal="center"/>
    </xf>
    <xf numFmtId="0" fontId="4" fillId="0" borderId="0" xfId="5" applyFont="1" applyAlignment="1">
      <alignment horizontal="center"/>
    </xf>
    <xf numFmtId="0" fontId="4" fillId="0" borderId="0" xfId="5" applyFont="1"/>
    <xf numFmtId="0" fontId="10" fillId="4" borderId="29" xfId="5" applyFont="1" applyFill="1" applyBorder="1" applyAlignment="1">
      <alignment horizontal="center"/>
    </xf>
    <xf numFmtId="0" fontId="10" fillId="4" borderId="27" xfId="5" applyFont="1" applyFill="1" applyBorder="1" applyAlignment="1">
      <alignment horizontal="center"/>
    </xf>
    <xf numFmtId="0" fontId="10" fillId="4" borderId="28" xfId="5" applyFont="1" applyFill="1" applyBorder="1" applyAlignment="1">
      <alignment horizontal="center" wrapText="1"/>
    </xf>
    <xf numFmtId="0" fontId="12" fillId="0" borderId="0" xfId="5" applyFont="1"/>
    <xf numFmtId="0" fontId="10" fillId="4" borderId="33" xfId="5" applyFont="1" applyFill="1" applyBorder="1" applyAlignment="1">
      <alignment horizontal="center"/>
    </xf>
    <xf numFmtId="0" fontId="10" fillId="4" borderId="31" xfId="5" applyFont="1" applyFill="1" applyBorder="1" applyAlignment="1">
      <alignment horizontal="center"/>
    </xf>
    <xf numFmtId="0" fontId="10" fillId="4" borderId="32" xfId="5" applyFont="1" applyFill="1" applyBorder="1" applyAlignment="1">
      <alignment horizontal="center"/>
    </xf>
    <xf numFmtId="0" fontId="13" fillId="7" borderId="35" xfId="5" applyFont="1" applyFill="1" applyBorder="1"/>
    <xf numFmtId="0" fontId="13" fillId="7" borderId="36" xfId="5" applyFont="1" applyFill="1" applyBorder="1"/>
    <xf numFmtId="16" fontId="13" fillId="7" borderId="36" xfId="5" quotePrefix="1" applyNumberFormat="1" applyFont="1" applyFill="1" applyBorder="1"/>
    <xf numFmtId="0" fontId="13" fillId="7" borderId="37" xfId="5" applyFont="1" applyFill="1" applyBorder="1"/>
    <xf numFmtId="0" fontId="14" fillId="0" borderId="0" xfId="5" applyFont="1"/>
    <xf numFmtId="0" fontId="15" fillId="0" borderId="38" xfId="5" applyFont="1" applyBorder="1"/>
    <xf numFmtId="0" fontId="15" fillId="0" borderId="9" xfId="5" applyFont="1" applyBorder="1"/>
    <xf numFmtId="0" fontId="15" fillId="0" borderId="12" xfId="5" applyFont="1" applyBorder="1"/>
    <xf numFmtId="0" fontId="5" fillId="0" borderId="0" xfId="5" applyFont="1"/>
    <xf numFmtId="0" fontId="15" fillId="0" borderId="23" xfId="5" applyFont="1" applyBorder="1"/>
    <xf numFmtId="0" fontId="15" fillId="0" borderId="13" xfId="5" applyFont="1" applyBorder="1"/>
    <xf numFmtId="0" fontId="15" fillId="0" borderId="14" xfId="5" applyFont="1" applyBorder="1"/>
    <xf numFmtId="0" fontId="15" fillId="0" borderId="8" xfId="5" applyFont="1" applyBorder="1"/>
    <xf numFmtId="0" fontId="15" fillId="0" borderId="10" xfId="5" applyFont="1" applyBorder="1"/>
    <xf numFmtId="0" fontId="15" fillId="0" borderId="11" xfId="5" applyFont="1" applyBorder="1"/>
    <xf numFmtId="0" fontId="15" fillId="0" borderId="19" xfId="5" applyFont="1" applyBorder="1"/>
    <xf numFmtId="0" fontId="15" fillId="0" borderId="21" xfId="5" applyFont="1" applyBorder="1"/>
    <xf numFmtId="0" fontId="15" fillId="0" borderId="39" xfId="5" applyFont="1" applyBorder="1"/>
    <xf numFmtId="0" fontId="15" fillId="0" borderId="40" xfId="5" applyFont="1" applyBorder="1"/>
    <xf numFmtId="0" fontId="15" fillId="0" borderId="20" xfId="5" applyFont="1" applyBorder="1"/>
    <xf numFmtId="0" fontId="15" fillId="0" borderId="22" xfId="5" applyFont="1" applyBorder="1"/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49" fontId="2" fillId="4" borderId="7" xfId="0" applyNumberFormat="1" applyFont="1" applyFill="1" applyBorder="1" applyAlignment="1">
      <alignment horizontal="center" vertical="center" wrapText="1"/>
    </xf>
    <xf numFmtId="9" fontId="2" fillId="4" borderId="7" xfId="1" applyFont="1" applyFill="1" applyBorder="1" applyAlignment="1">
      <alignment horizontal="center" vertical="center" wrapText="1"/>
    </xf>
    <xf numFmtId="0" fontId="10" fillId="8" borderId="21" xfId="4" applyFont="1" applyFill="1" applyBorder="1" applyAlignment="1">
      <alignment horizontal="center" vertical="center" wrapText="1"/>
    </xf>
    <xf numFmtId="0" fontId="15" fillId="0" borderId="36" xfId="4" applyFont="1" applyBorder="1" applyAlignment="1">
      <alignment horizontal="left" wrapText="1"/>
    </xf>
    <xf numFmtId="0" fontId="10" fillId="0" borderId="36" xfId="4" applyFont="1" applyBorder="1" applyAlignment="1">
      <alignment horizontal="center" vertical="top" wrapText="1"/>
    </xf>
    <xf numFmtId="0" fontId="10" fillId="0" borderId="37" xfId="4" applyFont="1" applyBorder="1" applyAlignment="1">
      <alignment horizontal="center" vertical="top" wrapText="1"/>
    </xf>
    <xf numFmtId="0" fontId="10" fillId="0" borderId="10" xfId="4" applyFont="1" applyBorder="1" applyAlignment="1">
      <alignment horizontal="center" vertical="top" wrapText="1"/>
    </xf>
    <xf numFmtId="0" fontId="10" fillId="0" borderId="11" xfId="4" applyFont="1" applyBorder="1" applyAlignment="1">
      <alignment horizontal="center" vertical="top" wrapText="1"/>
    </xf>
    <xf numFmtId="0" fontId="15" fillId="0" borderId="9" xfId="4" applyFont="1" applyBorder="1" applyAlignment="1">
      <alignment horizontal="left" wrapText="1"/>
    </xf>
    <xf numFmtId="0" fontId="10" fillId="0" borderId="9" xfId="4" applyFont="1" applyBorder="1" applyAlignment="1">
      <alignment horizontal="center" vertical="top" wrapText="1"/>
    </xf>
    <xf numFmtId="0" fontId="10" fillId="0" borderId="12" xfId="4" applyFont="1" applyBorder="1" applyAlignment="1">
      <alignment horizontal="center" vertical="top" wrapText="1"/>
    </xf>
    <xf numFmtId="0" fontId="10" fillId="0" borderId="20" xfId="4" applyFont="1" applyBorder="1" applyAlignment="1">
      <alignment horizontal="center" vertical="top" wrapText="1"/>
    </xf>
    <xf numFmtId="0" fontId="10" fillId="0" borderId="22" xfId="4" applyFont="1" applyBorder="1" applyAlignment="1">
      <alignment horizontal="center" vertical="top" wrapText="1"/>
    </xf>
    <xf numFmtId="0" fontId="15" fillId="0" borderId="13" xfId="4" applyFont="1" applyBorder="1" applyAlignment="1">
      <alignment horizontal="left" wrapText="1"/>
    </xf>
    <xf numFmtId="0" fontId="10" fillId="0" borderId="13" xfId="4" applyFont="1" applyBorder="1" applyAlignment="1">
      <alignment horizontal="center" vertical="top" wrapText="1"/>
    </xf>
    <xf numFmtId="0" fontId="10" fillId="0" borderId="14" xfId="4" applyFont="1" applyBorder="1" applyAlignment="1">
      <alignment horizontal="center" vertical="top" wrapText="1"/>
    </xf>
    <xf numFmtId="0" fontId="15" fillId="0" borderId="36" xfId="4" applyFont="1" applyBorder="1" applyAlignment="1">
      <alignment wrapText="1"/>
    </xf>
    <xf numFmtId="0" fontId="15" fillId="0" borderId="36" xfId="4" applyFont="1" applyBorder="1">
      <alignment vertical="top" wrapText="1"/>
    </xf>
    <xf numFmtId="0" fontId="15" fillId="0" borderId="37" xfId="4" applyFont="1" applyBorder="1">
      <alignment vertical="top" wrapText="1"/>
    </xf>
    <xf numFmtId="0" fontId="15" fillId="0" borderId="9" xfId="4" applyFont="1" applyBorder="1" applyAlignment="1">
      <alignment wrapText="1"/>
    </xf>
    <xf numFmtId="0" fontId="15" fillId="0" borderId="9" xfId="4" applyFont="1" applyBorder="1">
      <alignment vertical="top" wrapText="1"/>
    </xf>
    <xf numFmtId="0" fontId="15" fillId="0" borderId="12" xfId="4" applyFont="1" applyBorder="1">
      <alignment vertical="top" wrapText="1"/>
    </xf>
    <xf numFmtId="0" fontId="15" fillId="0" borderId="20" xfId="4" applyFont="1" applyBorder="1" applyAlignment="1">
      <alignment wrapText="1"/>
    </xf>
    <xf numFmtId="0" fontId="15" fillId="0" borderId="20" xfId="4" applyFont="1" applyBorder="1">
      <alignment vertical="top" wrapText="1"/>
    </xf>
    <xf numFmtId="0" fontId="15" fillId="0" borderId="22" xfId="4" applyFont="1" applyBorder="1">
      <alignment vertical="top" wrapText="1"/>
    </xf>
    <xf numFmtId="0" fontId="15" fillId="0" borderId="13" xfId="4" applyFont="1" applyBorder="1" applyAlignment="1">
      <alignment wrapText="1"/>
    </xf>
    <xf numFmtId="0" fontId="15" fillId="0" borderId="13" xfId="4" applyFont="1" applyBorder="1">
      <alignment vertical="top" wrapText="1"/>
    </xf>
    <xf numFmtId="0" fontId="15" fillId="0" borderId="14" xfId="4" applyFont="1" applyBorder="1">
      <alignment vertical="top" wrapText="1"/>
    </xf>
    <xf numFmtId="0" fontId="10" fillId="0" borderId="44" xfId="4" applyFont="1" applyBorder="1" applyAlignment="1">
      <alignment horizontal="center" vertical="center" wrapText="1"/>
    </xf>
    <xf numFmtId="0" fontId="15" fillId="0" borderId="45" xfId="4" applyFont="1" applyBorder="1">
      <alignment vertical="top" wrapText="1"/>
    </xf>
    <xf numFmtId="0" fontId="15" fillId="0" borderId="46" xfId="4" applyFont="1" applyBorder="1">
      <alignment vertical="top" wrapText="1"/>
    </xf>
    <xf numFmtId="0" fontId="15" fillId="0" borderId="10" xfId="4" applyFont="1" applyBorder="1" applyAlignment="1">
      <alignment wrapText="1"/>
    </xf>
    <xf numFmtId="0" fontId="15" fillId="0" borderId="10" xfId="4" applyFont="1" applyBorder="1">
      <alignment vertical="top" wrapText="1"/>
    </xf>
    <xf numFmtId="0" fontId="15" fillId="0" borderId="11" xfId="4" applyFont="1" applyBorder="1">
      <alignment vertical="top" wrapText="1"/>
    </xf>
    <xf numFmtId="0" fontId="17" fillId="0" borderId="20" xfId="6" applyFont="1" applyBorder="1" applyAlignment="1">
      <alignment wrapText="1"/>
    </xf>
    <xf numFmtId="0" fontId="17" fillId="0" borderId="9" xfId="6" applyFont="1" applyBorder="1" applyAlignment="1">
      <alignment wrapText="1"/>
    </xf>
    <xf numFmtId="0" fontId="17" fillId="0" borderId="36" xfId="6" applyFont="1" applyBorder="1" applyAlignment="1">
      <alignment wrapText="1"/>
    </xf>
    <xf numFmtId="0" fontId="17" fillId="0" borderId="45" xfId="6" applyFont="1" applyBorder="1" applyAlignment="1">
      <alignment wrapText="1"/>
    </xf>
    <xf numFmtId="0" fontId="15" fillId="0" borderId="36" xfId="4" applyFont="1" applyBorder="1" applyAlignment="1">
      <alignment horizontal="center" vertical="top" wrapText="1"/>
    </xf>
    <xf numFmtId="0" fontId="15" fillId="0" borderId="10" xfId="4" applyFont="1" applyBorder="1" applyAlignment="1">
      <alignment horizontal="left" wrapText="1"/>
    </xf>
    <xf numFmtId="0" fontId="15" fillId="0" borderId="10" xfId="4" applyFont="1" applyBorder="1" applyAlignment="1">
      <alignment horizontal="center" vertical="top" wrapText="1"/>
    </xf>
    <xf numFmtId="0" fontId="15" fillId="0" borderId="9" xfId="0" applyFont="1" applyBorder="1" applyAlignment="1">
      <alignment wrapText="1"/>
    </xf>
    <xf numFmtId="0" fontId="15" fillId="0" borderId="9" xfId="4" applyFont="1" applyBorder="1" applyAlignment="1">
      <alignment horizontal="center" vertical="top" wrapText="1"/>
    </xf>
    <xf numFmtId="0" fontId="15" fillId="0" borderId="20" xfId="0" applyFont="1" applyBorder="1" applyAlignment="1">
      <alignment wrapText="1"/>
    </xf>
    <xf numFmtId="0" fontId="15" fillId="0" borderId="20" xfId="4" applyFont="1" applyBorder="1" applyAlignment="1">
      <alignment horizontal="center" vertical="top" wrapText="1"/>
    </xf>
    <xf numFmtId="0" fontId="15" fillId="0" borderId="0" xfId="4" applyFont="1">
      <alignment vertical="top" wrapText="1"/>
    </xf>
    <xf numFmtId="167" fontId="15" fillId="0" borderId="36" xfId="4" applyNumberFormat="1" applyFont="1" applyBorder="1" applyAlignment="1">
      <alignment horizontal="center" vertical="top" wrapText="1"/>
    </xf>
    <xf numFmtId="0" fontId="15" fillId="0" borderId="37" xfId="4" applyFont="1" applyBorder="1" applyAlignment="1">
      <alignment horizontal="center" vertical="top" wrapText="1"/>
    </xf>
    <xf numFmtId="167" fontId="15" fillId="0" borderId="10" xfId="4" applyNumberFormat="1" applyFont="1" applyBorder="1" applyAlignment="1">
      <alignment horizontal="center" vertical="top" wrapText="1"/>
    </xf>
    <xf numFmtId="0" fontId="15" fillId="0" borderId="11" xfId="4" applyFont="1" applyBorder="1" applyAlignment="1">
      <alignment horizontal="center" vertical="top" wrapText="1"/>
    </xf>
    <xf numFmtId="0" fontId="10" fillId="8" borderId="19" xfId="4" applyFont="1" applyFill="1" applyBorder="1" applyAlignment="1">
      <alignment horizontal="center" vertical="center" wrapText="1"/>
    </xf>
    <xf numFmtId="0" fontId="10" fillId="8" borderId="39" xfId="4" applyFont="1" applyFill="1" applyBorder="1" applyAlignment="1">
      <alignment horizontal="center" vertical="center" wrapText="1"/>
    </xf>
    <xf numFmtId="0" fontId="15" fillId="0" borderId="35" xfId="4" applyFont="1" applyBorder="1" applyAlignment="1">
      <alignment horizontal="left" wrapText="1"/>
    </xf>
    <xf numFmtId="0" fontId="15" fillId="0" borderId="8" xfId="4" applyFont="1" applyBorder="1" applyAlignment="1">
      <alignment horizontal="left" wrapText="1"/>
    </xf>
    <xf numFmtId="0" fontId="15" fillId="0" borderId="38" xfId="4" applyFont="1" applyBorder="1" applyAlignment="1">
      <alignment horizontal="left" wrapText="1"/>
    </xf>
    <xf numFmtId="0" fontId="17" fillId="0" borderId="23" xfId="6" applyFont="1" applyBorder="1" applyAlignment="1">
      <alignment wrapText="1"/>
    </xf>
    <xf numFmtId="0" fontId="15" fillId="0" borderId="32" xfId="4" applyFont="1" applyBorder="1" applyAlignment="1">
      <alignment horizontal="center" vertical="top" wrapText="1"/>
    </xf>
    <xf numFmtId="167" fontId="15" fillId="0" borderId="32" xfId="4" applyNumberFormat="1" applyFont="1" applyBorder="1" applyAlignment="1">
      <alignment horizontal="center" vertical="top" wrapText="1"/>
    </xf>
    <xf numFmtId="0" fontId="15" fillId="0" borderId="33" xfId="4" applyFont="1" applyBorder="1" applyAlignment="1">
      <alignment horizontal="center" vertical="top" wrapText="1"/>
    </xf>
    <xf numFmtId="0" fontId="10" fillId="8" borderId="50" xfId="4" applyFont="1" applyFill="1" applyBorder="1" applyAlignment="1">
      <alignment horizontal="center" vertical="center" wrapText="1"/>
    </xf>
    <xf numFmtId="0" fontId="15" fillId="0" borderId="51" xfId="4" applyFont="1" applyBorder="1" applyAlignment="1">
      <alignment horizontal="center" vertical="top" wrapText="1"/>
    </xf>
    <xf numFmtId="167" fontId="15" fillId="0" borderId="52" xfId="4" applyNumberFormat="1" applyFont="1" applyBorder="1" applyAlignment="1">
      <alignment horizontal="center" vertical="top" wrapText="1"/>
    </xf>
    <xf numFmtId="0" fontId="15" fillId="0" borderId="53" xfId="4" applyFont="1" applyBorder="1" applyAlignment="1">
      <alignment horizontal="center" vertical="top" wrapText="1"/>
    </xf>
    <xf numFmtId="0" fontId="15" fillId="0" borderId="45" xfId="6" applyFont="1" applyBorder="1" applyAlignment="1">
      <alignment wrapText="1"/>
    </xf>
    <xf numFmtId="16" fontId="15" fillId="0" borderId="9" xfId="5" applyNumberFormat="1" applyFont="1" applyBorder="1"/>
    <xf numFmtId="16" fontId="15" fillId="0" borderId="10" xfId="5" applyNumberFormat="1" applyFont="1" applyBorder="1"/>
    <xf numFmtId="0" fontId="15" fillId="0" borderId="9" xfId="5" applyFont="1" applyBorder="1" applyAlignment="1">
      <alignment horizontal="right"/>
    </xf>
    <xf numFmtId="0" fontId="15" fillId="0" borderId="10" xfId="5" applyFont="1" applyBorder="1" applyAlignment="1">
      <alignment horizontal="right"/>
    </xf>
    <xf numFmtId="0" fontId="9" fillId="4" borderId="15" xfId="4" applyFont="1" applyFill="1" applyBorder="1" applyAlignment="1">
      <alignment horizontal="center" vertical="top" wrapText="1"/>
    </xf>
    <xf numFmtId="0" fontId="10" fillId="5" borderId="9" xfId="4" applyFont="1" applyFill="1" applyBorder="1" applyAlignment="1">
      <alignment horizontal="left" vertical="center" wrapText="1"/>
    </xf>
    <xf numFmtId="0" fontId="10" fillId="5" borderId="41" xfId="4" applyFont="1" applyFill="1" applyBorder="1" applyAlignment="1">
      <alignment horizontal="left" vertical="center" wrapText="1"/>
    </xf>
    <xf numFmtId="0" fontId="10" fillId="5" borderId="17" xfId="4" applyFont="1" applyFill="1" applyBorder="1" applyAlignment="1">
      <alignment horizontal="left" vertical="center" wrapText="1"/>
    </xf>
    <xf numFmtId="0" fontId="10" fillId="5" borderId="42" xfId="4" applyFont="1" applyFill="1" applyBorder="1" applyAlignment="1">
      <alignment horizontal="left" vertical="center" wrapText="1"/>
    </xf>
    <xf numFmtId="0" fontId="10" fillId="0" borderId="27" xfId="4" applyFont="1" applyBorder="1" applyAlignment="1">
      <alignment horizontal="center" vertical="center" wrapText="1"/>
    </xf>
    <xf numFmtId="0" fontId="10" fillId="0" borderId="19" xfId="4" applyFont="1" applyBorder="1" applyAlignment="1">
      <alignment horizontal="center" vertical="center" wrapText="1"/>
    </xf>
    <xf numFmtId="0" fontId="10" fillId="0" borderId="35" xfId="4" applyFont="1" applyBorder="1" applyAlignment="1">
      <alignment horizontal="center" vertical="center" wrapText="1"/>
    </xf>
    <xf numFmtId="0" fontId="10" fillId="0" borderId="38" xfId="4" applyFont="1" applyBorder="1" applyAlignment="1">
      <alignment horizontal="center" vertical="center" wrapText="1"/>
    </xf>
    <xf numFmtId="0" fontId="10" fillId="0" borderId="40" xfId="4" applyFont="1" applyBorder="1" applyAlignment="1">
      <alignment horizontal="center" vertical="center" wrapText="1"/>
    </xf>
    <xf numFmtId="0" fontId="15" fillId="0" borderId="9" xfId="4" applyFont="1" applyBorder="1" applyAlignment="1">
      <alignment horizontal="left" vertical="top" wrapText="1"/>
    </xf>
    <xf numFmtId="0" fontId="10" fillId="0" borderId="31" xfId="4" applyFont="1" applyBorder="1" applyAlignment="1">
      <alignment horizontal="center" vertical="center" wrapText="1"/>
    </xf>
    <xf numFmtId="0" fontId="10" fillId="8" borderId="5" xfId="4" applyFont="1" applyFill="1" applyBorder="1" applyAlignment="1">
      <alignment horizontal="center" vertical="center" wrapText="1"/>
    </xf>
    <xf numFmtId="0" fontId="10" fillId="8" borderId="43" xfId="4" applyFont="1" applyFill="1" applyBorder="1" applyAlignment="1">
      <alignment horizontal="center" vertical="center" wrapText="1"/>
    </xf>
    <xf numFmtId="0" fontId="10" fillId="0" borderId="23" xfId="4" applyFont="1" applyBorder="1" applyAlignment="1">
      <alignment horizontal="center" vertical="center" wrapText="1"/>
    </xf>
    <xf numFmtId="0" fontId="9" fillId="4" borderId="47" xfId="4" applyFont="1" applyFill="1" applyBorder="1" applyAlignment="1">
      <alignment horizontal="center" vertical="top" wrapText="1"/>
    </xf>
    <xf numFmtId="0" fontId="9" fillId="4" borderId="48" xfId="4" applyFont="1" applyFill="1" applyBorder="1" applyAlignment="1">
      <alignment horizontal="center" vertical="top" wrapText="1"/>
    </xf>
    <xf numFmtId="0" fontId="9" fillId="4" borderId="49" xfId="4" applyFont="1" applyFill="1" applyBorder="1" applyAlignment="1">
      <alignment horizontal="center" vertical="top" wrapText="1"/>
    </xf>
    <xf numFmtId="0" fontId="9" fillId="4" borderId="0" xfId="4" applyFont="1" applyFill="1" applyAlignment="1">
      <alignment horizontal="center" vertical="top" wrapText="1"/>
    </xf>
    <xf numFmtId="0" fontId="10" fillId="5" borderId="24" xfId="4" applyFont="1" applyFill="1" applyBorder="1" applyAlignment="1">
      <alignment horizontal="left" vertical="center" wrapText="1"/>
    </xf>
    <xf numFmtId="0" fontId="10" fillId="5" borderId="25" xfId="4" applyFont="1" applyFill="1" applyBorder="1" applyAlignment="1">
      <alignment horizontal="left" vertical="center" wrapText="1"/>
    </xf>
    <xf numFmtId="0" fontId="10" fillId="5" borderId="26" xfId="4" applyFont="1" applyFill="1" applyBorder="1" applyAlignment="1">
      <alignment horizontal="left" vertical="center" wrapText="1"/>
    </xf>
    <xf numFmtId="0" fontId="10" fillId="4" borderId="27" xfId="5" applyFont="1" applyFill="1" applyBorder="1" applyAlignment="1">
      <alignment horizontal="center" vertical="center"/>
    </xf>
    <xf numFmtId="0" fontId="10" fillId="4" borderId="31" xfId="5" applyFont="1" applyFill="1" applyBorder="1" applyAlignment="1">
      <alignment horizontal="center" vertical="center"/>
    </xf>
    <xf numFmtId="0" fontId="10" fillId="4" borderId="28" xfId="5" applyFont="1" applyFill="1" applyBorder="1" applyAlignment="1">
      <alignment horizontal="center" vertical="center"/>
    </xf>
    <xf numFmtId="0" fontId="10" fillId="4" borderId="32" xfId="5" applyFont="1" applyFill="1" applyBorder="1" applyAlignment="1">
      <alignment horizontal="center" vertical="center"/>
    </xf>
    <xf numFmtId="0" fontId="10" fillId="4" borderId="29" xfId="5" applyFont="1" applyFill="1" applyBorder="1" applyAlignment="1">
      <alignment horizontal="center" vertical="center"/>
    </xf>
    <xf numFmtId="0" fontId="10" fillId="4" borderId="33" xfId="5" applyFont="1" applyFill="1" applyBorder="1" applyAlignment="1">
      <alignment horizontal="center" vertical="center"/>
    </xf>
    <xf numFmtId="0" fontId="10" fillId="4" borderId="30" xfId="5" applyFont="1" applyFill="1" applyBorder="1" applyAlignment="1">
      <alignment horizontal="center" vertical="center"/>
    </xf>
    <xf numFmtId="0" fontId="10" fillId="4" borderId="34" xfId="5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1" fillId="5" borderId="24" xfId="0" applyFont="1" applyFill="1" applyBorder="1" applyAlignment="1">
      <alignment horizontal="right" vertical="center" wrapText="1"/>
    </xf>
    <xf numFmtId="0" fontId="1" fillId="5" borderId="25" xfId="0" applyFont="1" applyFill="1" applyBorder="1" applyAlignment="1">
      <alignment horizontal="right" vertical="center" wrapText="1"/>
    </xf>
    <xf numFmtId="14" fontId="1" fillId="3" borderId="25" xfId="0" applyNumberFormat="1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</cellXfs>
  <cellStyles count="7">
    <cellStyle name="Comma" xfId="3" builtinId="3"/>
    <cellStyle name="Currency" xfId="2" builtinId="4"/>
    <cellStyle name="Hyperlink" xfId="6" xr:uid="{00000000-000B-0000-0000-000008000000}"/>
    <cellStyle name="Normal" xfId="0" builtinId="0"/>
    <cellStyle name="Normal 2" xfId="4" xr:uid="{A6486686-0A1B-4CED-83C5-CFD261F71D47}"/>
    <cellStyle name="Normal 2 2" xfId="5" xr:uid="{7023A81D-190F-42EC-9BFA-C3AB0743AEB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../../../../../../../../../../../../../../../../../../../:w:/s/FA/EZLoAJBSYZZIpGQedTuDOZoBKYNIOnmmWseQdQ0kP_di6g?e=80HmUg" TargetMode="External"/><Relationship Id="rId3" Type="http://schemas.openxmlformats.org/officeDocument/2006/relationships/hyperlink" Target="../../../../../../../../../../../../../../../../../../../../../../../../../:w:/s/FA/ESKRz7en1kVNqvueQqPxoIUBlfgqaWjKKPictGnKBYryeA?e=AcuFkr" TargetMode="External"/><Relationship Id="rId7" Type="http://schemas.openxmlformats.org/officeDocument/2006/relationships/hyperlink" Target="../../../../../../../../../../../../../../../../../../../../../../../../../:x:/s/FA/EYLUtYCcnZFNgisCCCs8uLsBXVDqMBTpznxAjkMOSkZjmA?e=dedQwV" TargetMode="External"/><Relationship Id="rId2" Type="http://schemas.openxmlformats.org/officeDocument/2006/relationships/hyperlink" Target="https://forms.office.com/pages/responsepage.aspx?id=GV6mbrGxP0umV5jchDnISz2423DRD8JFmAK_Nyr425BUQVdMQTlOOUpBNVNFSVBQOTdYRjJVUkdTWS4u&amp;web=1&amp;wdLOR=c731CDF6A-3238-4CB7-8CDF-6B42E3A8B987" TargetMode="External"/><Relationship Id="rId1" Type="http://schemas.openxmlformats.org/officeDocument/2006/relationships/hyperlink" Target="../../../../../../../../../../../../../../../../../../../../../../../../../:w:/s/FA/ETsSNnLRCIZKplBJABPPIf4BDbXLsgzqOKB6Xc4kXIQNyA?e=cY714l" TargetMode="External"/><Relationship Id="rId6" Type="http://schemas.openxmlformats.org/officeDocument/2006/relationships/hyperlink" Target="../../../../../../../../../../../../../../../../../../../../../../../../../:x:/s/FA/EUAKNLzG1KlFn0ojZItGxRABiHQUbIQb-bR8TiL7uy9ptA?e=y8cj2H" TargetMode="External"/><Relationship Id="rId5" Type="http://schemas.openxmlformats.org/officeDocument/2006/relationships/hyperlink" Target="../../../../../../../../../../../../../../../../../../../../../../../../../:w:/s/FA/Eetx3CKZzfBDpwrcqOEkgdIBjrcNhkplq1loT0-DDyx-ZA?e=xIjvbb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../../../../../../../../../../../../../../../../../../../../../../../../../:x:/s/FA/EfpruyW89rNCqrTM9OKtg5gBDrYlFBtDJn_aAlgQIxkGXw?e=JVy6pW" TargetMode="External"/><Relationship Id="rId9" Type="http://schemas.openxmlformats.org/officeDocument/2006/relationships/hyperlink" Target="../../../../../../../../../../../../../../../../../../../../../../../../../:w:/r/sites/FA/_layouts/15/Doc.aspx?sourcedoc=%7B3D4F0A22-08BA-4BDF-B9F1-B4C00AAE61F0%7D&amp;file=Carta%20de%20terminaci%C3%B3n%20de%20contrato.docx&amp;action=default&amp;mobileredirect=tru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5CCB3-4EA6-4DCC-9C4D-E16F7235ED01}">
  <dimension ref="A1:G74"/>
  <sheetViews>
    <sheetView zoomScale="85" zoomScaleNormal="85" workbookViewId="0">
      <pane xSplit="1" ySplit="5" topLeftCell="B13" activePane="bottomRight" state="frozen"/>
      <selection pane="bottomRight" activeCell="B16" sqref="B16"/>
      <selection pane="bottomLeft" activeCell="A6" sqref="A6"/>
      <selection pane="topRight" activeCell="B1" sqref="B1"/>
    </sheetView>
  </sheetViews>
  <sheetFormatPr defaultColWidth="8.85546875" defaultRowHeight="14.25" customHeight="1"/>
  <cols>
    <col min="1" max="1" width="26.28515625" style="67" customWidth="1"/>
    <col min="2" max="2" width="105.140625" style="67" customWidth="1"/>
    <col min="3" max="3" width="21.42578125" style="67" customWidth="1"/>
    <col min="4" max="5" width="36.140625" style="67" customWidth="1"/>
    <col min="6" max="6" width="15.85546875" style="67" customWidth="1"/>
    <col min="7" max="7" width="28.85546875" style="67" customWidth="1"/>
    <col min="8" max="16384" width="8.85546875" style="67"/>
  </cols>
  <sheetData>
    <row r="1" spans="1:7" ht="22.9">
      <c r="A1" s="172" t="s">
        <v>0</v>
      </c>
      <c r="B1" s="172"/>
      <c r="C1" s="172"/>
      <c r="D1" s="172"/>
      <c r="E1" s="172"/>
      <c r="F1" s="172"/>
      <c r="G1" s="172"/>
    </row>
    <row r="2" spans="1:7" s="68" customFormat="1" ht="32.1" customHeight="1">
      <c r="A2" s="173" t="s">
        <v>1</v>
      </c>
      <c r="B2" s="173"/>
      <c r="C2" s="174" t="s">
        <v>2</v>
      </c>
      <c r="D2" s="175"/>
      <c r="E2" s="175"/>
      <c r="F2" s="175"/>
      <c r="G2" s="176"/>
    </row>
    <row r="3" spans="1:7" s="68" customFormat="1" ht="32.1" customHeight="1">
      <c r="A3" s="173" t="s">
        <v>3</v>
      </c>
      <c r="B3" s="173"/>
      <c r="C3" s="174" t="s">
        <v>4</v>
      </c>
      <c r="D3" s="175"/>
      <c r="E3" s="175"/>
      <c r="F3" s="175"/>
      <c r="G3" s="176"/>
    </row>
    <row r="4" spans="1:7" ht="15.6">
      <c r="A4" s="182" t="s">
        <v>5</v>
      </c>
      <c r="B4" s="182"/>
      <c r="C4" s="182"/>
      <c r="D4" s="182"/>
      <c r="E4" s="182"/>
      <c r="F4" s="182"/>
      <c r="G4" s="182"/>
    </row>
    <row r="5" spans="1:7" s="68" customFormat="1" ht="21" customHeight="1" thickBot="1">
      <c r="A5" s="184" t="s">
        <v>6</v>
      </c>
      <c r="B5" s="185"/>
      <c r="C5" s="106" t="s">
        <v>7</v>
      </c>
      <c r="D5" s="106" t="s">
        <v>8</v>
      </c>
      <c r="E5" s="106" t="s">
        <v>9</v>
      </c>
      <c r="F5" s="106" t="s">
        <v>10</v>
      </c>
      <c r="G5" s="106" t="s">
        <v>11</v>
      </c>
    </row>
    <row r="6" spans="1:7" s="149" customFormat="1" ht="25.5" customHeight="1">
      <c r="A6" s="177" t="s">
        <v>12</v>
      </c>
      <c r="B6" s="107" t="s">
        <v>13</v>
      </c>
      <c r="C6" s="142"/>
      <c r="D6" s="108"/>
      <c r="E6" s="108"/>
      <c r="F6" s="108"/>
      <c r="G6" s="109"/>
    </row>
    <row r="7" spans="1:7" s="149" customFormat="1" ht="45" customHeight="1">
      <c r="A7" s="178"/>
      <c r="B7" s="143" t="s">
        <v>14</v>
      </c>
      <c r="C7" s="144"/>
      <c r="D7" s="110"/>
      <c r="E7" s="110"/>
      <c r="F7" s="110"/>
      <c r="G7" s="111"/>
    </row>
    <row r="8" spans="1:7" s="149" customFormat="1" ht="39.75" customHeight="1">
      <c r="A8" s="178"/>
      <c r="B8" s="112" t="s">
        <v>15</v>
      </c>
      <c r="D8" s="110"/>
      <c r="E8" s="110"/>
      <c r="F8" s="110"/>
      <c r="G8" s="111"/>
    </row>
    <row r="9" spans="1:7" s="149" customFormat="1" ht="25.5" customHeight="1">
      <c r="A9" s="178"/>
      <c r="B9" s="139" t="s">
        <v>16</v>
      </c>
      <c r="C9" s="144"/>
      <c r="D9" s="110"/>
      <c r="E9" s="110"/>
      <c r="F9" s="110"/>
      <c r="G9" s="111"/>
    </row>
    <row r="10" spans="1:7" s="149" customFormat="1" ht="25.5" customHeight="1">
      <c r="A10" s="178"/>
      <c r="B10" s="139" t="s">
        <v>17</v>
      </c>
      <c r="C10" s="144"/>
      <c r="D10" s="110"/>
      <c r="E10" s="110"/>
      <c r="F10" s="110"/>
      <c r="G10" s="111"/>
    </row>
    <row r="11" spans="1:7" s="149" customFormat="1" ht="25.5" customHeight="1">
      <c r="A11" s="178"/>
      <c r="B11" s="145" t="s">
        <v>18</v>
      </c>
      <c r="C11" s="144"/>
      <c r="D11" s="110"/>
      <c r="E11" s="110"/>
      <c r="F11" s="110"/>
      <c r="G11" s="111"/>
    </row>
    <row r="12" spans="1:7" s="149" customFormat="1" ht="25.5" customHeight="1">
      <c r="A12" s="178"/>
      <c r="B12" s="138" t="s">
        <v>19</v>
      </c>
      <c r="C12" s="144"/>
      <c r="D12" s="110"/>
      <c r="E12" s="110"/>
      <c r="F12" s="110"/>
      <c r="G12" s="111"/>
    </row>
    <row r="13" spans="1:7" s="149" customFormat="1" ht="30" customHeight="1">
      <c r="A13" s="178"/>
      <c r="B13" s="138" t="s">
        <v>20</v>
      </c>
      <c r="C13" s="146"/>
      <c r="D13" s="113"/>
      <c r="E13" s="113"/>
      <c r="F13" s="113"/>
      <c r="G13" s="114"/>
    </row>
    <row r="14" spans="1:7" s="149" customFormat="1" ht="25.5" customHeight="1">
      <c r="A14" s="178"/>
      <c r="B14" s="147" t="s">
        <v>21</v>
      </c>
      <c r="C14" s="146"/>
      <c r="D14" s="113"/>
      <c r="E14" s="113"/>
      <c r="F14" s="113"/>
      <c r="G14" s="114"/>
    </row>
    <row r="15" spans="1:7" s="149" customFormat="1" ht="25.5" customHeight="1">
      <c r="A15" s="178"/>
      <c r="B15" s="147" t="s">
        <v>22</v>
      </c>
      <c r="C15" s="148"/>
      <c r="D15" s="115"/>
      <c r="E15" s="115"/>
      <c r="F15" s="115"/>
      <c r="G15" s="116"/>
    </row>
    <row r="16" spans="1:7" s="149" customFormat="1" ht="25.5" customHeight="1">
      <c r="A16" s="179" t="s">
        <v>23</v>
      </c>
      <c r="B16" s="107" t="s">
        <v>24</v>
      </c>
      <c r="C16" s="108"/>
      <c r="D16" s="108"/>
      <c r="E16" s="108"/>
      <c r="F16" s="108"/>
      <c r="G16" s="109"/>
    </row>
    <row r="17" spans="1:7" s="149" customFormat="1" ht="25.5" customHeight="1">
      <c r="A17" s="180"/>
      <c r="B17" s="112" t="s">
        <v>25</v>
      </c>
      <c r="C17" s="113"/>
      <c r="D17" s="113"/>
      <c r="E17" s="113"/>
      <c r="F17" s="113"/>
      <c r="G17" s="114"/>
    </row>
    <row r="18" spans="1:7" s="149" customFormat="1" ht="34.5" customHeight="1">
      <c r="A18" s="180"/>
      <c r="B18" s="112" t="s">
        <v>26</v>
      </c>
      <c r="C18" s="113"/>
      <c r="D18" s="113"/>
      <c r="E18" s="113"/>
      <c r="F18" s="113"/>
      <c r="G18" s="114"/>
    </row>
    <row r="19" spans="1:7" s="149" customFormat="1" ht="25.5" customHeight="1">
      <c r="A19" s="180"/>
      <c r="B19" s="112" t="s">
        <v>27</v>
      </c>
      <c r="C19" s="113"/>
      <c r="D19" s="113"/>
      <c r="E19" s="113"/>
      <c r="F19" s="113"/>
      <c r="G19" s="114"/>
    </row>
    <row r="20" spans="1:7" s="149" customFormat="1" ht="25.5" customHeight="1">
      <c r="A20" s="180"/>
      <c r="B20" s="112" t="s">
        <v>28</v>
      </c>
      <c r="C20" s="113"/>
      <c r="D20" s="113"/>
      <c r="E20" s="113"/>
      <c r="F20" s="113"/>
      <c r="G20" s="114"/>
    </row>
    <row r="21" spans="1:7" s="149" customFormat="1" ht="25.5" customHeight="1">
      <c r="A21" s="180"/>
      <c r="B21" s="112" t="s">
        <v>29</v>
      </c>
      <c r="C21" s="113"/>
      <c r="D21" s="113"/>
      <c r="E21" s="113"/>
      <c r="F21" s="113"/>
      <c r="G21" s="114"/>
    </row>
    <row r="22" spans="1:7" s="149" customFormat="1" ht="25.5" customHeight="1">
      <c r="A22" s="180"/>
      <c r="B22" s="112" t="s">
        <v>30</v>
      </c>
      <c r="C22" s="113"/>
      <c r="D22" s="113"/>
      <c r="E22" s="113"/>
      <c r="F22" s="113"/>
      <c r="G22" s="114"/>
    </row>
    <row r="23" spans="1:7" s="149" customFormat="1" ht="32.450000000000003" customHeight="1">
      <c r="A23" s="180"/>
      <c r="B23" s="112" t="s">
        <v>31</v>
      </c>
      <c r="C23" s="113"/>
      <c r="D23" s="113"/>
      <c r="E23" s="113"/>
      <c r="F23" s="113"/>
      <c r="G23" s="114"/>
    </row>
    <row r="24" spans="1:7" s="149" customFormat="1" ht="25.5" customHeight="1">
      <c r="A24" s="180"/>
      <c r="B24" s="112" t="s">
        <v>32</v>
      </c>
      <c r="C24" s="113"/>
      <c r="D24" s="113"/>
      <c r="E24" s="113"/>
      <c r="F24" s="113"/>
      <c r="G24" s="114"/>
    </row>
    <row r="25" spans="1:7" s="149" customFormat="1" ht="25.5" customHeight="1">
      <c r="A25" s="180"/>
      <c r="B25" s="112" t="s">
        <v>33</v>
      </c>
      <c r="C25" s="113"/>
      <c r="D25" s="113"/>
      <c r="E25" s="113"/>
      <c r="F25" s="113"/>
      <c r="G25" s="114"/>
    </row>
    <row r="26" spans="1:7" s="149" customFormat="1" ht="33.75" customHeight="1">
      <c r="A26" s="180"/>
      <c r="B26" s="112" t="s">
        <v>34</v>
      </c>
      <c r="C26" s="113"/>
      <c r="D26" s="113"/>
      <c r="E26" s="113"/>
      <c r="F26" s="113"/>
      <c r="G26" s="114"/>
    </row>
    <row r="27" spans="1:7" s="149" customFormat="1" ht="25.5" customHeight="1">
      <c r="A27" s="180"/>
      <c r="B27" s="112" t="s">
        <v>35</v>
      </c>
      <c r="C27" s="113"/>
      <c r="D27" s="113"/>
      <c r="E27" s="113"/>
      <c r="F27" s="113"/>
      <c r="G27" s="114"/>
    </row>
    <row r="28" spans="1:7" s="149" customFormat="1" ht="25.5" customHeight="1">
      <c r="A28" s="180"/>
      <c r="B28" s="112" t="s">
        <v>36</v>
      </c>
      <c r="C28" s="113"/>
      <c r="D28" s="113"/>
      <c r="E28" s="113"/>
      <c r="F28" s="113"/>
      <c r="G28" s="114"/>
    </row>
    <row r="29" spans="1:7" s="149" customFormat="1" ht="25.5" customHeight="1">
      <c r="A29" s="180"/>
      <c r="B29" s="112" t="s">
        <v>37</v>
      </c>
      <c r="C29" s="113"/>
      <c r="D29" s="113"/>
      <c r="E29" s="113"/>
      <c r="F29" s="113"/>
      <c r="G29" s="114"/>
    </row>
    <row r="30" spans="1:7" s="149" customFormat="1" ht="25.5" customHeight="1" thickBot="1">
      <c r="A30" s="186"/>
      <c r="B30" s="117" t="s">
        <v>38</v>
      </c>
      <c r="C30" s="118"/>
      <c r="D30" s="118"/>
      <c r="E30" s="118"/>
      <c r="F30" s="118"/>
      <c r="G30" s="119"/>
    </row>
    <row r="31" spans="1:7" s="149" customFormat="1" ht="27.95" customHeight="1" thickBot="1">
      <c r="A31" s="177" t="s">
        <v>39</v>
      </c>
      <c r="B31" s="120" t="s">
        <v>40</v>
      </c>
      <c r="C31" s="121"/>
      <c r="D31" s="121"/>
      <c r="E31" s="121"/>
      <c r="F31" s="121"/>
      <c r="G31" s="122"/>
    </row>
    <row r="32" spans="1:7" s="149" customFormat="1" ht="27.95" customHeight="1" thickBot="1">
      <c r="A32" s="178"/>
      <c r="B32" s="120" t="s">
        <v>41</v>
      </c>
      <c r="C32" s="136"/>
      <c r="D32" s="136"/>
      <c r="E32" s="136"/>
      <c r="F32" s="136"/>
      <c r="G32" s="137"/>
    </row>
    <row r="33" spans="1:7" s="149" customFormat="1" ht="27.95" customHeight="1" thickBot="1">
      <c r="A33" s="178"/>
      <c r="B33" s="120" t="s">
        <v>42</v>
      </c>
      <c r="C33" s="136"/>
      <c r="D33" s="136"/>
      <c r="E33" s="136"/>
      <c r="F33" s="136"/>
      <c r="G33" s="137"/>
    </row>
    <row r="34" spans="1:7" s="149" customFormat="1" ht="27.95" customHeight="1" thickBot="1">
      <c r="A34" s="178"/>
      <c r="B34" s="120" t="s">
        <v>43</v>
      </c>
      <c r="C34" s="136"/>
      <c r="D34" s="136"/>
      <c r="E34" s="136"/>
      <c r="F34" s="136"/>
      <c r="G34" s="137"/>
    </row>
    <row r="35" spans="1:7" s="149" customFormat="1" ht="27.95" customHeight="1">
      <c r="A35" s="178"/>
      <c r="B35" s="120" t="s">
        <v>44</v>
      </c>
      <c r="C35" s="136"/>
      <c r="D35" s="136"/>
      <c r="E35" s="136"/>
      <c r="F35" s="136"/>
      <c r="G35" s="137"/>
    </row>
    <row r="36" spans="1:7" s="149" customFormat="1" ht="27.95" customHeight="1">
      <c r="A36" s="178"/>
      <c r="B36" s="135" t="s">
        <v>45</v>
      </c>
      <c r="C36" s="136"/>
      <c r="D36" s="136"/>
      <c r="E36" s="136"/>
      <c r="F36" s="136"/>
      <c r="G36" s="137"/>
    </row>
    <row r="37" spans="1:7" s="149" customFormat="1" ht="27.95" customHeight="1">
      <c r="A37" s="178"/>
      <c r="B37" s="123" t="s">
        <v>46</v>
      </c>
      <c r="C37" s="124"/>
      <c r="D37" s="124"/>
      <c r="E37" s="124"/>
      <c r="F37" s="124"/>
      <c r="G37" s="125"/>
    </row>
    <row r="38" spans="1:7" s="149" customFormat="1" ht="27.95" customHeight="1">
      <c r="A38" s="178"/>
      <c r="B38" s="123" t="s">
        <v>47</v>
      </c>
      <c r="C38" s="124"/>
      <c r="D38" s="124"/>
      <c r="E38" s="124"/>
      <c r="F38" s="124"/>
      <c r="G38" s="125"/>
    </row>
    <row r="39" spans="1:7" s="149" customFormat="1" ht="27.95" customHeight="1">
      <c r="A39" s="178"/>
      <c r="B39" s="123" t="s">
        <v>48</v>
      </c>
      <c r="C39" s="124"/>
      <c r="D39" s="124"/>
      <c r="E39" s="124"/>
      <c r="F39" s="124"/>
      <c r="G39" s="125"/>
    </row>
    <row r="40" spans="1:7" s="149" customFormat="1" ht="33.950000000000003" customHeight="1">
      <c r="A40" s="178"/>
      <c r="B40" s="123" t="s">
        <v>49</v>
      </c>
      <c r="C40" s="124"/>
      <c r="D40" s="124"/>
      <c r="E40" s="124"/>
      <c r="F40" s="124"/>
      <c r="G40" s="125"/>
    </row>
    <row r="41" spans="1:7" s="149" customFormat="1" ht="27.95" customHeight="1">
      <c r="A41" s="178"/>
      <c r="B41" s="123" t="s">
        <v>50</v>
      </c>
      <c r="C41" s="124"/>
      <c r="D41" s="124"/>
      <c r="E41" s="124"/>
      <c r="F41" s="124"/>
      <c r="G41" s="125"/>
    </row>
    <row r="42" spans="1:7" s="149" customFormat="1" ht="27.95" customHeight="1">
      <c r="A42" s="178"/>
      <c r="B42" s="123" t="s">
        <v>51</v>
      </c>
      <c r="C42" s="124"/>
      <c r="D42" s="124"/>
      <c r="E42" s="124"/>
      <c r="F42" s="124"/>
      <c r="G42" s="125"/>
    </row>
    <row r="43" spans="1:7" s="149" customFormat="1" ht="27.95" customHeight="1">
      <c r="A43" s="178"/>
      <c r="B43" s="126" t="s">
        <v>52</v>
      </c>
      <c r="C43" s="124"/>
      <c r="D43" s="124"/>
      <c r="E43" s="124"/>
      <c r="F43" s="124"/>
      <c r="G43" s="125"/>
    </row>
    <row r="44" spans="1:7" s="149" customFormat="1" ht="27.95" customHeight="1">
      <c r="A44" s="178"/>
      <c r="B44" s="126" t="s">
        <v>53</v>
      </c>
      <c r="C44" s="124"/>
      <c r="D44" s="124"/>
      <c r="E44" s="124"/>
      <c r="F44" s="124"/>
      <c r="G44" s="125"/>
    </row>
    <row r="45" spans="1:7" s="149" customFormat="1" ht="27.95" customHeight="1">
      <c r="A45" s="178"/>
      <c r="B45" s="126" t="s">
        <v>54</v>
      </c>
      <c r="C45" s="124"/>
      <c r="D45" s="124"/>
      <c r="E45" s="124"/>
      <c r="F45" s="124"/>
      <c r="G45" s="125"/>
    </row>
    <row r="46" spans="1:7" s="149" customFormat="1" ht="27.95" customHeight="1">
      <c r="A46" s="178"/>
      <c r="B46" s="126" t="s">
        <v>55</v>
      </c>
      <c r="C46" s="124"/>
      <c r="D46" s="124"/>
      <c r="E46" s="124"/>
      <c r="F46" s="124"/>
      <c r="G46" s="125"/>
    </row>
    <row r="47" spans="1:7" s="149" customFormat="1" ht="27.95" customHeight="1">
      <c r="A47" s="178"/>
      <c r="B47" s="123" t="s">
        <v>56</v>
      </c>
      <c r="C47" s="124"/>
      <c r="D47" s="124"/>
      <c r="E47" s="124"/>
      <c r="F47" s="124"/>
      <c r="G47" s="125"/>
    </row>
    <row r="48" spans="1:7" s="149" customFormat="1" ht="27.95" customHeight="1" thickBot="1">
      <c r="A48" s="178"/>
      <c r="B48" s="123" t="s">
        <v>57</v>
      </c>
      <c r="C48" s="124"/>
      <c r="D48" s="124"/>
      <c r="E48" s="124"/>
      <c r="F48" s="124"/>
      <c r="G48" s="125"/>
    </row>
    <row r="49" spans="1:7" s="149" customFormat="1" ht="27.95" customHeight="1">
      <c r="A49" s="179" t="s">
        <v>58</v>
      </c>
      <c r="B49" s="120" t="s">
        <v>59</v>
      </c>
      <c r="C49" s="121"/>
      <c r="D49" s="121"/>
      <c r="E49" s="121"/>
      <c r="F49" s="121"/>
      <c r="G49" s="122"/>
    </row>
    <row r="50" spans="1:7" s="149" customFormat="1" ht="27.95" customHeight="1">
      <c r="A50" s="180"/>
      <c r="B50" s="123" t="s">
        <v>60</v>
      </c>
      <c r="C50" s="124"/>
      <c r="D50" s="124"/>
      <c r="E50" s="124"/>
      <c r="F50" s="124"/>
      <c r="G50" s="125"/>
    </row>
    <row r="51" spans="1:7" s="149" customFormat="1" ht="27.95" customHeight="1">
      <c r="A51" s="180"/>
      <c r="B51" s="139" t="s">
        <v>61</v>
      </c>
      <c r="C51" s="124"/>
      <c r="D51" s="124"/>
      <c r="E51" s="124"/>
      <c r="F51" s="124"/>
      <c r="G51" s="125"/>
    </row>
    <row r="52" spans="1:7" s="149" customFormat="1" ht="27.95" customHeight="1" thickBot="1">
      <c r="A52" s="181"/>
      <c r="B52" s="138" t="s">
        <v>62</v>
      </c>
      <c r="C52" s="127"/>
      <c r="D52" s="127"/>
      <c r="E52" s="127"/>
      <c r="F52" s="127"/>
      <c r="G52" s="128"/>
    </row>
    <row r="53" spans="1:7" s="149" customFormat="1" ht="27.95" customHeight="1">
      <c r="A53" s="179" t="s">
        <v>63</v>
      </c>
      <c r="B53" s="140" t="s">
        <v>64</v>
      </c>
      <c r="C53" s="121"/>
      <c r="D53" s="121"/>
      <c r="E53" s="121"/>
      <c r="F53" s="121"/>
      <c r="G53" s="122"/>
    </row>
    <row r="54" spans="1:7" s="149" customFormat="1" ht="27.95" customHeight="1">
      <c r="A54" s="180"/>
      <c r="B54" s="139" t="s">
        <v>65</v>
      </c>
      <c r="C54" s="124"/>
      <c r="D54" s="124"/>
      <c r="E54" s="124"/>
      <c r="F54" s="124"/>
      <c r="G54" s="125"/>
    </row>
    <row r="55" spans="1:7" s="149" customFormat="1" ht="27.95" customHeight="1">
      <c r="A55" s="180"/>
      <c r="B55" s="123" t="s">
        <v>66</v>
      </c>
      <c r="C55" s="124"/>
      <c r="D55" s="124"/>
      <c r="E55" s="124"/>
      <c r="F55" s="124"/>
      <c r="G55" s="125"/>
    </row>
    <row r="56" spans="1:7" s="149" customFormat="1" ht="27.95" customHeight="1" thickBot="1">
      <c r="A56" s="181"/>
      <c r="B56" s="126" t="s">
        <v>67</v>
      </c>
      <c r="C56" s="127"/>
      <c r="D56" s="127"/>
      <c r="E56" s="127"/>
      <c r="F56" s="127"/>
      <c r="G56" s="128"/>
    </row>
    <row r="57" spans="1:7" s="149" customFormat="1" ht="27.95" customHeight="1">
      <c r="A57" s="179" t="s">
        <v>68</v>
      </c>
      <c r="B57" s="120" t="s">
        <v>69</v>
      </c>
      <c r="C57" s="121"/>
      <c r="D57" s="121"/>
      <c r="E57" s="121"/>
      <c r="F57" s="121"/>
      <c r="G57" s="122"/>
    </row>
    <row r="58" spans="1:7" s="149" customFormat="1" ht="27.95" customHeight="1">
      <c r="A58" s="180"/>
      <c r="B58" s="123" t="s">
        <v>70</v>
      </c>
      <c r="C58" s="124"/>
      <c r="D58" s="124"/>
      <c r="E58" s="124"/>
      <c r="F58" s="124"/>
      <c r="G58" s="125"/>
    </row>
    <row r="59" spans="1:7" s="149" customFormat="1" ht="27.95" customHeight="1" thickBot="1">
      <c r="A59" s="181"/>
      <c r="B59" s="126" t="s">
        <v>71</v>
      </c>
      <c r="C59" s="127"/>
      <c r="D59" s="127"/>
      <c r="E59" s="127"/>
      <c r="F59" s="127"/>
      <c r="G59" s="128"/>
    </row>
    <row r="60" spans="1:7" s="149" customFormat="1" ht="27.95" customHeight="1">
      <c r="A60" s="177" t="s">
        <v>72</v>
      </c>
      <c r="B60" s="120" t="s">
        <v>73</v>
      </c>
      <c r="C60" s="121"/>
      <c r="D60" s="121"/>
      <c r="E60" s="121"/>
      <c r="F60" s="121"/>
      <c r="G60" s="122"/>
    </row>
    <row r="61" spans="1:7" s="149" customFormat="1" ht="27.95" customHeight="1">
      <c r="A61" s="178"/>
      <c r="B61" s="123" t="s">
        <v>74</v>
      </c>
      <c r="C61" s="124"/>
      <c r="D61" s="124"/>
      <c r="E61" s="124"/>
      <c r="F61" s="124"/>
      <c r="G61" s="125"/>
    </row>
    <row r="62" spans="1:7" s="149" customFormat="1" ht="27.95" customHeight="1" thickBot="1">
      <c r="A62" s="183"/>
      <c r="B62" s="129" t="s">
        <v>75</v>
      </c>
      <c r="C62" s="130"/>
      <c r="D62" s="130"/>
      <c r="E62" s="130"/>
      <c r="F62" s="130"/>
      <c r="G62" s="131"/>
    </row>
    <row r="63" spans="1:7" s="149" customFormat="1" ht="27.95" customHeight="1">
      <c r="A63" s="179" t="s">
        <v>76</v>
      </c>
      <c r="B63" s="123" t="s">
        <v>77</v>
      </c>
      <c r="C63" s="121"/>
      <c r="D63" s="121" t="s">
        <v>78</v>
      </c>
      <c r="E63" s="121"/>
      <c r="F63" s="121"/>
      <c r="G63" s="122"/>
    </row>
    <row r="64" spans="1:7" s="149" customFormat="1" ht="27.95" customHeight="1">
      <c r="A64" s="180"/>
      <c r="B64" s="123" t="s">
        <v>79</v>
      </c>
      <c r="C64" s="124"/>
      <c r="D64" s="124" t="s">
        <v>78</v>
      </c>
      <c r="E64" s="124"/>
      <c r="F64" s="124"/>
      <c r="G64" s="125"/>
    </row>
    <row r="65" spans="1:7" s="149" customFormat="1" ht="27.95" customHeight="1">
      <c r="A65" s="180"/>
      <c r="B65" s="123" t="s">
        <v>80</v>
      </c>
      <c r="C65" s="124"/>
      <c r="D65" s="124" t="s">
        <v>78</v>
      </c>
      <c r="E65" s="124"/>
      <c r="F65" s="124"/>
      <c r="G65" s="125"/>
    </row>
    <row r="66" spans="1:7" s="149" customFormat="1" ht="27.95" customHeight="1">
      <c r="A66" s="180"/>
      <c r="B66" s="123" t="s">
        <v>81</v>
      </c>
      <c r="C66" s="124"/>
      <c r="D66" s="124" t="s">
        <v>78</v>
      </c>
      <c r="E66" s="124"/>
      <c r="F66" s="124"/>
      <c r="G66" s="125"/>
    </row>
    <row r="67" spans="1:7" s="149" customFormat="1" ht="27.95" customHeight="1">
      <c r="A67" s="180"/>
      <c r="B67" s="129" t="s">
        <v>82</v>
      </c>
      <c r="C67" s="124"/>
      <c r="D67" s="124" t="s">
        <v>78</v>
      </c>
      <c r="E67" s="124"/>
      <c r="F67" s="124"/>
      <c r="G67" s="125"/>
    </row>
    <row r="68" spans="1:7" ht="27.95" customHeight="1" thickBot="1">
      <c r="A68" s="132" t="s">
        <v>83</v>
      </c>
      <c r="B68" s="167" t="s">
        <v>84</v>
      </c>
      <c r="C68" s="133"/>
      <c r="D68" s="133"/>
      <c r="E68" s="133"/>
      <c r="F68" s="133"/>
      <c r="G68" s="134"/>
    </row>
    <row r="69" spans="1:7" ht="27.95" customHeight="1">
      <c r="A69" s="132" t="s">
        <v>85</v>
      </c>
      <c r="B69" s="141" t="s">
        <v>86</v>
      </c>
      <c r="C69" s="133"/>
      <c r="D69" s="133"/>
      <c r="E69" s="133"/>
      <c r="F69" s="133"/>
      <c r="G69" s="134"/>
    </row>
    <row r="70" spans="1:7" s="149" customFormat="1" ht="27.95" customHeight="1">
      <c r="A70" s="179" t="s">
        <v>87</v>
      </c>
      <c r="B70" s="123"/>
      <c r="C70" s="121"/>
      <c r="D70" s="121"/>
      <c r="E70" s="121"/>
      <c r="F70" s="121"/>
      <c r="G70" s="122"/>
    </row>
    <row r="71" spans="1:7" s="149" customFormat="1" ht="27.95" customHeight="1">
      <c r="A71" s="180"/>
      <c r="B71" s="123"/>
      <c r="C71" s="124"/>
      <c r="D71" s="124"/>
      <c r="E71" s="124"/>
      <c r="F71" s="124"/>
      <c r="G71" s="125"/>
    </row>
    <row r="72" spans="1:7" s="149" customFormat="1" ht="27.95" customHeight="1">
      <c r="A72" s="180"/>
      <c r="B72" s="123"/>
      <c r="C72" s="124"/>
      <c r="D72" s="124"/>
      <c r="E72" s="124"/>
      <c r="F72" s="124"/>
      <c r="G72" s="125"/>
    </row>
    <row r="73" spans="1:7" s="149" customFormat="1" ht="27.95" customHeight="1">
      <c r="A73" s="180"/>
      <c r="B73" s="123"/>
      <c r="C73" s="124"/>
      <c r="D73" s="124"/>
      <c r="E73" s="124"/>
      <c r="F73" s="124"/>
      <c r="G73" s="125"/>
    </row>
    <row r="74" spans="1:7" s="149" customFormat="1" ht="27.95" customHeight="1" thickBot="1">
      <c r="A74" s="180"/>
      <c r="B74" s="129"/>
      <c r="C74" s="124"/>
      <c r="D74" s="124"/>
      <c r="E74" s="124"/>
      <c r="F74" s="124"/>
      <c r="G74" s="125"/>
    </row>
  </sheetData>
  <mergeCells count="16">
    <mergeCell ref="A31:A48"/>
    <mergeCell ref="A49:A52"/>
    <mergeCell ref="A53:A56"/>
    <mergeCell ref="A70:A74"/>
    <mergeCell ref="A4:G4"/>
    <mergeCell ref="A57:A59"/>
    <mergeCell ref="A60:A62"/>
    <mergeCell ref="A63:A67"/>
    <mergeCell ref="A5:B5"/>
    <mergeCell ref="A6:A15"/>
    <mergeCell ref="A16:A30"/>
    <mergeCell ref="A1:G1"/>
    <mergeCell ref="A2:B2"/>
    <mergeCell ref="C2:G2"/>
    <mergeCell ref="A3:B3"/>
    <mergeCell ref="C3:G3"/>
  </mergeCells>
  <hyperlinks>
    <hyperlink ref="B12" r:id="rId1" display="End of service Checklist" xr:uid="{2F11906F-D04A-402B-B1D7-393F353BB186}"/>
    <hyperlink ref="B13" r:id="rId2" xr:uid="{24C765BD-8851-4D99-9CEB-76440286C27D}"/>
    <hyperlink ref="B52" r:id="rId3" xr:uid="{0DE07368-BA10-4B1E-8118-D23AE70DA89A}"/>
    <hyperlink ref="B51" r:id="rId4" xr:uid="{903ABEEF-1857-48A8-A012-54126FBF7400}"/>
    <hyperlink ref="B54" r:id="rId5" xr:uid="{DB6BFBAB-8D23-4A2E-BEBD-BFA90E083F7B}"/>
    <hyperlink ref="B53" r:id="rId6" xr:uid="{C0C6617B-5CBC-4074-B784-6D04EAEE37A9}"/>
    <hyperlink ref="B69" r:id="rId7" xr:uid="{5155B947-0C8C-4652-97E8-61E4AE67121F}"/>
    <hyperlink ref="B10" r:id="rId8" xr:uid="{C67810F4-6032-41F7-96BE-C6ED6ED46940}"/>
    <hyperlink ref="B9" r:id="rId9" xr:uid="{3A516F92-B6D1-4DA2-8D06-D1BFF75EC6E1}"/>
  </hyperlinks>
  <pageMargins left="0.7" right="0.7" top="0.75" bottom="0.75" header="0.3" footer="0.3"/>
  <pageSetup orientation="portrait" horizontalDpi="4294967295" verticalDpi="4294967295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DFD2-27BD-4B63-9805-DDAFC256717C}">
  <dimension ref="A1:G15"/>
  <sheetViews>
    <sheetView zoomScale="85" zoomScaleNormal="85" workbookViewId="0">
      <selection activeCell="E22" sqref="E22"/>
    </sheetView>
  </sheetViews>
  <sheetFormatPr defaultRowHeight="14.45"/>
  <cols>
    <col min="1" max="1" width="23.85546875" customWidth="1"/>
    <col min="2" max="2" width="20.5703125" customWidth="1"/>
    <col min="3" max="3" width="29.28515625" customWidth="1"/>
    <col min="4" max="4" width="21.140625" bestFit="1" customWidth="1"/>
    <col min="5" max="5" width="19.85546875" customWidth="1"/>
    <col min="6" max="6" width="27.5703125" customWidth="1"/>
    <col min="7" max="7" width="31.5703125" customWidth="1"/>
  </cols>
  <sheetData>
    <row r="1" spans="1:7" s="67" customFormat="1" ht="22.9" customHeight="1">
      <c r="A1" s="187" t="s">
        <v>88</v>
      </c>
      <c r="B1" s="188"/>
      <c r="C1" s="188"/>
      <c r="D1" s="188"/>
      <c r="E1" s="188"/>
      <c r="F1" s="188"/>
      <c r="G1" s="189"/>
    </row>
    <row r="2" spans="1:7" s="68" customFormat="1" ht="21" customHeight="1" thickBot="1">
      <c r="A2" s="154" t="s">
        <v>89</v>
      </c>
      <c r="B2" s="106" t="s">
        <v>90</v>
      </c>
      <c r="C2" s="106" t="s">
        <v>91</v>
      </c>
      <c r="D2" s="106" t="s">
        <v>92</v>
      </c>
      <c r="E2" s="106" t="s">
        <v>93</v>
      </c>
      <c r="F2" s="163" t="s">
        <v>94</v>
      </c>
      <c r="G2" s="155" t="s">
        <v>95</v>
      </c>
    </row>
    <row r="3" spans="1:7" s="149" customFormat="1" ht="15.6">
      <c r="A3" s="156"/>
      <c r="B3" s="142"/>
      <c r="C3" s="150"/>
      <c r="D3" s="142"/>
      <c r="E3" s="142"/>
      <c r="F3" s="164"/>
      <c r="G3" s="151"/>
    </row>
    <row r="4" spans="1:7" s="149" customFormat="1" ht="15.6">
      <c r="A4" s="157"/>
      <c r="B4" s="144"/>
      <c r="C4" s="152"/>
      <c r="D4" s="144"/>
      <c r="E4" s="152"/>
      <c r="F4" s="165"/>
      <c r="G4" s="153"/>
    </row>
    <row r="5" spans="1:7" s="149" customFormat="1" ht="15.6">
      <c r="A5" s="157"/>
      <c r="B5" s="144"/>
      <c r="C5" s="152"/>
      <c r="D5" s="144"/>
      <c r="E5" s="152"/>
      <c r="F5" s="165"/>
      <c r="G5" s="153"/>
    </row>
    <row r="6" spans="1:7" s="149" customFormat="1" ht="15.6">
      <c r="A6" s="157"/>
      <c r="B6" s="144"/>
      <c r="C6" s="152"/>
      <c r="D6" s="144"/>
      <c r="E6" s="152"/>
      <c r="F6" s="165"/>
      <c r="G6" s="153"/>
    </row>
    <row r="7" spans="1:7" s="149" customFormat="1" ht="15.6">
      <c r="A7" s="157"/>
      <c r="B7" s="144"/>
      <c r="C7" s="152"/>
      <c r="D7" s="144"/>
      <c r="E7" s="152"/>
      <c r="F7" s="165"/>
      <c r="G7" s="153"/>
    </row>
    <row r="8" spans="1:7" s="149" customFormat="1" ht="15.6">
      <c r="A8" s="157"/>
      <c r="B8" s="144"/>
      <c r="C8" s="152"/>
      <c r="D8" s="144"/>
      <c r="E8" s="152"/>
      <c r="F8" s="165"/>
      <c r="G8" s="153"/>
    </row>
    <row r="9" spans="1:7" s="149" customFormat="1" ht="15.6">
      <c r="A9" s="157"/>
      <c r="B9" s="144"/>
      <c r="C9" s="152"/>
      <c r="D9" s="144"/>
      <c r="E9" s="152"/>
      <c r="F9" s="165"/>
      <c r="G9" s="153"/>
    </row>
    <row r="10" spans="1:7" s="149" customFormat="1" ht="15.6">
      <c r="A10" s="157"/>
      <c r="B10" s="144"/>
      <c r="C10" s="152"/>
      <c r="D10" s="144"/>
      <c r="E10" s="152"/>
      <c r="F10" s="165"/>
      <c r="G10" s="153"/>
    </row>
    <row r="11" spans="1:7" s="149" customFormat="1" ht="15.6">
      <c r="A11" s="157"/>
      <c r="B11" s="144"/>
      <c r="C11" s="152"/>
      <c r="D11" s="144"/>
      <c r="E11" s="152"/>
      <c r="F11" s="165"/>
      <c r="G11" s="153"/>
    </row>
    <row r="12" spans="1:7" s="149" customFormat="1" ht="15.6">
      <c r="A12" s="157"/>
      <c r="B12" s="144"/>
      <c r="C12" s="152"/>
      <c r="D12" s="144"/>
      <c r="E12" s="152"/>
      <c r="F12" s="165"/>
      <c r="G12" s="153"/>
    </row>
    <row r="13" spans="1:7" s="149" customFormat="1" ht="15.6">
      <c r="A13" s="157"/>
      <c r="B13" s="144"/>
      <c r="C13" s="152"/>
      <c r="D13" s="144"/>
      <c r="E13" s="152"/>
      <c r="F13" s="165"/>
      <c r="G13" s="153"/>
    </row>
    <row r="14" spans="1:7" s="149" customFormat="1" ht="15.6">
      <c r="A14" s="158"/>
      <c r="B14" s="144"/>
      <c r="C14" s="152"/>
      <c r="D14" s="144"/>
      <c r="E14" s="152"/>
      <c r="F14" s="165"/>
      <c r="G14" s="153"/>
    </row>
    <row r="15" spans="1:7" s="149" customFormat="1" ht="16.149999999999999" thickBot="1">
      <c r="A15" s="159"/>
      <c r="B15" s="160"/>
      <c r="C15" s="161"/>
      <c r="D15" s="160"/>
      <c r="E15" s="160"/>
      <c r="F15" s="166"/>
      <c r="G15" s="16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BF58-12C1-4D1B-BD9B-8A80F51B0376}">
  <dimension ref="A1:M33"/>
  <sheetViews>
    <sheetView tabSelected="1" view="pageBreakPreview" zoomScaleNormal="85" zoomScaleSheetLayoutView="100" workbookViewId="0">
      <selection activeCell="A2" sqref="A2:J2"/>
    </sheetView>
  </sheetViews>
  <sheetFormatPr defaultColWidth="8.7109375" defaultRowHeight="10.15"/>
  <cols>
    <col min="1" max="1" width="21.7109375" style="69" bestFit="1" customWidth="1"/>
    <col min="2" max="2" width="31.42578125" style="69" customWidth="1"/>
    <col min="3" max="3" width="18.7109375" style="69" customWidth="1"/>
    <col min="4" max="4" width="20.85546875" style="69" customWidth="1"/>
    <col min="5" max="5" width="22.85546875" style="69" customWidth="1"/>
    <col min="6" max="6" width="15" style="69" customWidth="1"/>
    <col min="7" max="7" width="15.140625" style="69" customWidth="1"/>
    <col min="8" max="8" width="16.42578125" style="69" bestFit="1" customWidth="1"/>
    <col min="9" max="9" width="11" style="69" bestFit="1" customWidth="1"/>
    <col min="10" max="10" width="28.140625" style="69" bestFit="1" customWidth="1"/>
    <col min="11" max="256" width="8.7109375" style="69"/>
    <col min="257" max="257" width="26.28515625" style="69" customWidth="1"/>
    <col min="258" max="258" width="26.5703125" style="69" customWidth="1"/>
    <col min="259" max="259" width="9.85546875" style="69" customWidth="1"/>
    <col min="260" max="260" width="11.140625" style="69" bestFit="1" customWidth="1"/>
    <col min="261" max="261" width="11.5703125" style="69" customWidth="1"/>
    <col min="262" max="262" width="10" style="69" customWidth="1"/>
    <col min="263" max="263" width="11.5703125" style="69" customWidth="1"/>
    <col min="264" max="264" width="18" style="69" customWidth="1"/>
    <col min="265" max="265" width="11.85546875" style="69" customWidth="1"/>
    <col min="266" max="266" width="27.28515625" style="69" customWidth="1"/>
    <col min="267" max="512" width="8.7109375" style="69"/>
    <col min="513" max="513" width="26.28515625" style="69" customWidth="1"/>
    <col min="514" max="514" width="26.5703125" style="69" customWidth="1"/>
    <col min="515" max="515" width="9.85546875" style="69" customWidth="1"/>
    <col min="516" max="516" width="11.140625" style="69" bestFit="1" customWidth="1"/>
    <col min="517" max="517" width="11.5703125" style="69" customWidth="1"/>
    <col min="518" max="518" width="10" style="69" customWidth="1"/>
    <col min="519" max="519" width="11.5703125" style="69" customWidth="1"/>
    <col min="520" max="520" width="18" style="69" customWidth="1"/>
    <col min="521" max="521" width="11.85546875" style="69" customWidth="1"/>
    <col min="522" max="522" width="27.28515625" style="69" customWidth="1"/>
    <col min="523" max="768" width="8.7109375" style="69"/>
    <col min="769" max="769" width="26.28515625" style="69" customWidth="1"/>
    <col min="770" max="770" width="26.5703125" style="69" customWidth="1"/>
    <col min="771" max="771" width="9.85546875" style="69" customWidth="1"/>
    <col min="772" max="772" width="11.140625" style="69" bestFit="1" customWidth="1"/>
    <col min="773" max="773" width="11.5703125" style="69" customWidth="1"/>
    <col min="774" max="774" width="10" style="69" customWidth="1"/>
    <col min="775" max="775" width="11.5703125" style="69" customWidth="1"/>
    <col min="776" max="776" width="18" style="69" customWidth="1"/>
    <col min="777" max="777" width="11.85546875" style="69" customWidth="1"/>
    <col min="778" max="778" width="27.28515625" style="69" customWidth="1"/>
    <col min="779" max="1024" width="8.7109375" style="69"/>
    <col min="1025" max="1025" width="26.28515625" style="69" customWidth="1"/>
    <col min="1026" max="1026" width="26.5703125" style="69" customWidth="1"/>
    <col min="1027" max="1027" width="9.85546875" style="69" customWidth="1"/>
    <col min="1028" max="1028" width="11.140625" style="69" bestFit="1" customWidth="1"/>
    <col min="1029" max="1029" width="11.5703125" style="69" customWidth="1"/>
    <col min="1030" max="1030" width="10" style="69" customWidth="1"/>
    <col min="1031" max="1031" width="11.5703125" style="69" customWidth="1"/>
    <col min="1032" max="1032" width="18" style="69" customWidth="1"/>
    <col min="1033" max="1033" width="11.85546875" style="69" customWidth="1"/>
    <col min="1034" max="1034" width="27.28515625" style="69" customWidth="1"/>
    <col min="1035" max="1280" width="8.7109375" style="69"/>
    <col min="1281" max="1281" width="26.28515625" style="69" customWidth="1"/>
    <col min="1282" max="1282" width="26.5703125" style="69" customWidth="1"/>
    <col min="1283" max="1283" width="9.85546875" style="69" customWidth="1"/>
    <col min="1284" max="1284" width="11.140625" style="69" bestFit="1" customWidth="1"/>
    <col min="1285" max="1285" width="11.5703125" style="69" customWidth="1"/>
    <col min="1286" max="1286" width="10" style="69" customWidth="1"/>
    <col min="1287" max="1287" width="11.5703125" style="69" customWidth="1"/>
    <col min="1288" max="1288" width="18" style="69" customWidth="1"/>
    <col min="1289" max="1289" width="11.85546875" style="69" customWidth="1"/>
    <col min="1290" max="1290" width="27.28515625" style="69" customWidth="1"/>
    <col min="1291" max="1536" width="8.7109375" style="69"/>
    <col min="1537" max="1537" width="26.28515625" style="69" customWidth="1"/>
    <col min="1538" max="1538" width="26.5703125" style="69" customWidth="1"/>
    <col min="1539" max="1539" width="9.85546875" style="69" customWidth="1"/>
    <col min="1540" max="1540" width="11.140625" style="69" bestFit="1" customWidth="1"/>
    <col min="1541" max="1541" width="11.5703125" style="69" customWidth="1"/>
    <col min="1542" max="1542" width="10" style="69" customWidth="1"/>
    <col min="1543" max="1543" width="11.5703125" style="69" customWidth="1"/>
    <col min="1544" max="1544" width="18" style="69" customWidth="1"/>
    <col min="1545" max="1545" width="11.85546875" style="69" customWidth="1"/>
    <col min="1546" max="1546" width="27.28515625" style="69" customWidth="1"/>
    <col min="1547" max="1792" width="8.7109375" style="69"/>
    <col min="1793" max="1793" width="26.28515625" style="69" customWidth="1"/>
    <col min="1794" max="1794" width="26.5703125" style="69" customWidth="1"/>
    <col min="1795" max="1795" width="9.85546875" style="69" customWidth="1"/>
    <col min="1796" max="1796" width="11.140625" style="69" bestFit="1" customWidth="1"/>
    <col min="1797" max="1797" width="11.5703125" style="69" customWidth="1"/>
    <col min="1798" max="1798" width="10" style="69" customWidth="1"/>
    <col min="1799" max="1799" width="11.5703125" style="69" customWidth="1"/>
    <col min="1800" max="1800" width="18" style="69" customWidth="1"/>
    <col min="1801" max="1801" width="11.85546875" style="69" customWidth="1"/>
    <col min="1802" max="1802" width="27.28515625" style="69" customWidth="1"/>
    <col min="1803" max="2048" width="8.7109375" style="69"/>
    <col min="2049" max="2049" width="26.28515625" style="69" customWidth="1"/>
    <col min="2050" max="2050" width="26.5703125" style="69" customWidth="1"/>
    <col min="2051" max="2051" width="9.85546875" style="69" customWidth="1"/>
    <col min="2052" max="2052" width="11.140625" style="69" bestFit="1" customWidth="1"/>
    <col min="2053" max="2053" width="11.5703125" style="69" customWidth="1"/>
    <col min="2054" max="2054" width="10" style="69" customWidth="1"/>
    <col min="2055" max="2055" width="11.5703125" style="69" customWidth="1"/>
    <col min="2056" max="2056" width="18" style="69" customWidth="1"/>
    <col min="2057" max="2057" width="11.85546875" style="69" customWidth="1"/>
    <col min="2058" max="2058" width="27.28515625" style="69" customWidth="1"/>
    <col min="2059" max="2304" width="8.7109375" style="69"/>
    <col min="2305" max="2305" width="26.28515625" style="69" customWidth="1"/>
    <col min="2306" max="2306" width="26.5703125" style="69" customWidth="1"/>
    <col min="2307" max="2307" width="9.85546875" style="69" customWidth="1"/>
    <col min="2308" max="2308" width="11.140625" style="69" bestFit="1" customWidth="1"/>
    <col min="2309" max="2309" width="11.5703125" style="69" customWidth="1"/>
    <col min="2310" max="2310" width="10" style="69" customWidth="1"/>
    <col min="2311" max="2311" width="11.5703125" style="69" customWidth="1"/>
    <col min="2312" max="2312" width="18" style="69" customWidth="1"/>
    <col min="2313" max="2313" width="11.85546875" style="69" customWidth="1"/>
    <col min="2314" max="2314" width="27.28515625" style="69" customWidth="1"/>
    <col min="2315" max="2560" width="8.7109375" style="69"/>
    <col min="2561" max="2561" width="26.28515625" style="69" customWidth="1"/>
    <col min="2562" max="2562" width="26.5703125" style="69" customWidth="1"/>
    <col min="2563" max="2563" width="9.85546875" style="69" customWidth="1"/>
    <col min="2564" max="2564" width="11.140625" style="69" bestFit="1" customWidth="1"/>
    <col min="2565" max="2565" width="11.5703125" style="69" customWidth="1"/>
    <col min="2566" max="2566" width="10" style="69" customWidth="1"/>
    <col min="2567" max="2567" width="11.5703125" style="69" customWidth="1"/>
    <col min="2568" max="2568" width="18" style="69" customWidth="1"/>
    <col min="2569" max="2569" width="11.85546875" style="69" customWidth="1"/>
    <col min="2570" max="2570" width="27.28515625" style="69" customWidth="1"/>
    <col min="2571" max="2816" width="8.7109375" style="69"/>
    <col min="2817" max="2817" width="26.28515625" style="69" customWidth="1"/>
    <col min="2818" max="2818" width="26.5703125" style="69" customWidth="1"/>
    <col min="2819" max="2819" width="9.85546875" style="69" customWidth="1"/>
    <col min="2820" max="2820" width="11.140625" style="69" bestFit="1" customWidth="1"/>
    <col min="2821" max="2821" width="11.5703125" style="69" customWidth="1"/>
    <col min="2822" max="2822" width="10" style="69" customWidth="1"/>
    <col min="2823" max="2823" width="11.5703125" style="69" customWidth="1"/>
    <col min="2824" max="2824" width="18" style="69" customWidth="1"/>
    <col min="2825" max="2825" width="11.85546875" style="69" customWidth="1"/>
    <col min="2826" max="2826" width="27.28515625" style="69" customWidth="1"/>
    <col min="2827" max="3072" width="8.7109375" style="69"/>
    <col min="3073" max="3073" width="26.28515625" style="69" customWidth="1"/>
    <col min="3074" max="3074" width="26.5703125" style="69" customWidth="1"/>
    <col min="3075" max="3075" width="9.85546875" style="69" customWidth="1"/>
    <col min="3076" max="3076" width="11.140625" style="69" bestFit="1" customWidth="1"/>
    <col min="3077" max="3077" width="11.5703125" style="69" customWidth="1"/>
    <col min="3078" max="3078" width="10" style="69" customWidth="1"/>
    <col min="3079" max="3079" width="11.5703125" style="69" customWidth="1"/>
    <col min="3080" max="3080" width="18" style="69" customWidth="1"/>
    <col min="3081" max="3081" width="11.85546875" style="69" customWidth="1"/>
    <col min="3082" max="3082" width="27.28515625" style="69" customWidth="1"/>
    <col min="3083" max="3328" width="8.7109375" style="69"/>
    <col min="3329" max="3329" width="26.28515625" style="69" customWidth="1"/>
    <col min="3330" max="3330" width="26.5703125" style="69" customWidth="1"/>
    <col min="3331" max="3331" width="9.85546875" style="69" customWidth="1"/>
    <col min="3332" max="3332" width="11.140625" style="69" bestFit="1" customWidth="1"/>
    <col min="3333" max="3333" width="11.5703125" style="69" customWidth="1"/>
    <col min="3334" max="3334" width="10" style="69" customWidth="1"/>
    <col min="3335" max="3335" width="11.5703125" style="69" customWidth="1"/>
    <col min="3336" max="3336" width="18" style="69" customWidth="1"/>
    <col min="3337" max="3337" width="11.85546875" style="69" customWidth="1"/>
    <col min="3338" max="3338" width="27.28515625" style="69" customWidth="1"/>
    <col min="3339" max="3584" width="8.7109375" style="69"/>
    <col min="3585" max="3585" width="26.28515625" style="69" customWidth="1"/>
    <col min="3586" max="3586" width="26.5703125" style="69" customWidth="1"/>
    <col min="3587" max="3587" width="9.85546875" style="69" customWidth="1"/>
    <col min="3588" max="3588" width="11.140625" style="69" bestFit="1" customWidth="1"/>
    <col min="3589" max="3589" width="11.5703125" style="69" customWidth="1"/>
    <col min="3590" max="3590" width="10" style="69" customWidth="1"/>
    <col min="3591" max="3591" width="11.5703125" style="69" customWidth="1"/>
    <col min="3592" max="3592" width="18" style="69" customWidth="1"/>
    <col min="3593" max="3593" width="11.85546875" style="69" customWidth="1"/>
    <col min="3594" max="3594" width="27.28515625" style="69" customWidth="1"/>
    <col min="3595" max="3840" width="8.7109375" style="69"/>
    <col min="3841" max="3841" width="26.28515625" style="69" customWidth="1"/>
    <col min="3842" max="3842" width="26.5703125" style="69" customWidth="1"/>
    <col min="3843" max="3843" width="9.85546875" style="69" customWidth="1"/>
    <col min="3844" max="3844" width="11.140625" style="69" bestFit="1" customWidth="1"/>
    <col min="3845" max="3845" width="11.5703125" style="69" customWidth="1"/>
    <col min="3846" max="3846" width="10" style="69" customWidth="1"/>
    <col min="3847" max="3847" width="11.5703125" style="69" customWidth="1"/>
    <col min="3848" max="3848" width="18" style="69" customWidth="1"/>
    <col min="3849" max="3849" width="11.85546875" style="69" customWidth="1"/>
    <col min="3850" max="3850" width="27.28515625" style="69" customWidth="1"/>
    <col min="3851" max="4096" width="8.7109375" style="69"/>
    <col min="4097" max="4097" width="26.28515625" style="69" customWidth="1"/>
    <col min="4098" max="4098" width="26.5703125" style="69" customWidth="1"/>
    <col min="4099" max="4099" width="9.85546875" style="69" customWidth="1"/>
    <col min="4100" max="4100" width="11.140625" style="69" bestFit="1" customWidth="1"/>
    <col min="4101" max="4101" width="11.5703125" style="69" customWidth="1"/>
    <col min="4102" max="4102" width="10" style="69" customWidth="1"/>
    <col min="4103" max="4103" width="11.5703125" style="69" customWidth="1"/>
    <col min="4104" max="4104" width="18" style="69" customWidth="1"/>
    <col min="4105" max="4105" width="11.85546875" style="69" customWidth="1"/>
    <col min="4106" max="4106" width="27.28515625" style="69" customWidth="1"/>
    <col min="4107" max="4352" width="8.7109375" style="69"/>
    <col min="4353" max="4353" width="26.28515625" style="69" customWidth="1"/>
    <col min="4354" max="4354" width="26.5703125" style="69" customWidth="1"/>
    <col min="4355" max="4355" width="9.85546875" style="69" customWidth="1"/>
    <col min="4356" max="4356" width="11.140625" style="69" bestFit="1" customWidth="1"/>
    <col min="4357" max="4357" width="11.5703125" style="69" customWidth="1"/>
    <col min="4358" max="4358" width="10" style="69" customWidth="1"/>
    <col min="4359" max="4359" width="11.5703125" style="69" customWidth="1"/>
    <col min="4360" max="4360" width="18" style="69" customWidth="1"/>
    <col min="4361" max="4361" width="11.85546875" style="69" customWidth="1"/>
    <col min="4362" max="4362" width="27.28515625" style="69" customWidth="1"/>
    <col min="4363" max="4608" width="8.7109375" style="69"/>
    <col min="4609" max="4609" width="26.28515625" style="69" customWidth="1"/>
    <col min="4610" max="4610" width="26.5703125" style="69" customWidth="1"/>
    <col min="4611" max="4611" width="9.85546875" style="69" customWidth="1"/>
    <col min="4612" max="4612" width="11.140625" style="69" bestFit="1" customWidth="1"/>
    <col min="4613" max="4613" width="11.5703125" style="69" customWidth="1"/>
    <col min="4614" max="4614" width="10" style="69" customWidth="1"/>
    <col min="4615" max="4615" width="11.5703125" style="69" customWidth="1"/>
    <col min="4616" max="4616" width="18" style="69" customWidth="1"/>
    <col min="4617" max="4617" width="11.85546875" style="69" customWidth="1"/>
    <col min="4618" max="4618" width="27.28515625" style="69" customWidth="1"/>
    <col min="4619" max="4864" width="8.7109375" style="69"/>
    <col min="4865" max="4865" width="26.28515625" style="69" customWidth="1"/>
    <col min="4866" max="4866" width="26.5703125" style="69" customWidth="1"/>
    <col min="4867" max="4867" width="9.85546875" style="69" customWidth="1"/>
    <col min="4868" max="4868" width="11.140625" style="69" bestFit="1" customWidth="1"/>
    <col min="4869" max="4869" width="11.5703125" style="69" customWidth="1"/>
    <col min="4870" max="4870" width="10" style="69" customWidth="1"/>
    <col min="4871" max="4871" width="11.5703125" style="69" customWidth="1"/>
    <col min="4872" max="4872" width="18" style="69" customWidth="1"/>
    <col min="4873" max="4873" width="11.85546875" style="69" customWidth="1"/>
    <col min="4874" max="4874" width="27.28515625" style="69" customWidth="1"/>
    <col min="4875" max="5120" width="8.7109375" style="69"/>
    <col min="5121" max="5121" width="26.28515625" style="69" customWidth="1"/>
    <col min="5122" max="5122" width="26.5703125" style="69" customWidth="1"/>
    <col min="5123" max="5123" width="9.85546875" style="69" customWidth="1"/>
    <col min="5124" max="5124" width="11.140625" style="69" bestFit="1" customWidth="1"/>
    <col min="5125" max="5125" width="11.5703125" style="69" customWidth="1"/>
    <col min="5126" max="5126" width="10" style="69" customWidth="1"/>
    <col min="5127" max="5127" width="11.5703125" style="69" customWidth="1"/>
    <col min="5128" max="5128" width="18" style="69" customWidth="1"/>
    <col min="5129" max="5129" width="11.85546875" style="69" customWidth="1"/>
    <col min="5130" max="5130" width="27.28515625" style="69" customWidth="1"/>
    <col min="5131" max="5376" width="8.7109375" style="69"/>
    <col min="5377" max="5377" width="26.28515625" style="69" customWidth="1"/>
    <col min="5378" max="5378" width="26.5703125" style="69" customWidth="1"/>
    <col min="5379" max="5379" width="9.85546875" style="69" customWidth="1"/>
    <col min="5380" max="5380" width="11.140625" style="69" bestFit="1" customWidth="1"/>
    <col min="5381" max="5381" width="11.5703125" style="69" customWidth="1"/>
    <col min="5382" max="5382" width="10" style="69" customWidth="1"/>
    <col min="5383" max="5383" width="11.5703125" style="69" customWidth="1"/>
    <col min="5384" max="5384" width="18" style="69" customWidth="1"/>
    <col min="5385" max="5385" width="11.85546875" style="69" customWidth="1"/>
    <col min="5386" max="5386" width="27.28515625" style="69" customWidth="1"/>
    <col min="5387" max="5632" width="8.7109375" style="69"/>
    <col min="5633" max="5633" width="26.28515625" style="69" customWidth="1"/>
    <col min="5634" max="5634" width="26.5703125" style="69" customWidth="1"/>
    <col min="5635" max="5635" width="9.85546875" style="69" customWidth="1"/>
    <col min="5636" max="5636" width="11.140625" style="69" bestFit="1" customWidth="1"/>
    <col min="5637" max="5637" width="11.5703125" style="69" customWidth="1"/>
    <col min="5638" max="5638" width="10" style="69" customWidth="1"/>
    <col min="5639" max="5639" width="11.5703125" style="69" customWidth="1"/>
    <col min="5640" max="5640" width="18" style="69" customWidth="1"/>
    <col min="5641" max="5641" width="11.85546875" style="69" customWidth="1"/>
    <col min="5642" max="5642" width="27.28515625" style="69" customWidth="1"/>
    <col min="5643" max="5888" width="8.7109375" style="69"/>
    <col min="5889" max="5889" width="26.28515625" style="69" customWidth="1"/>
    <col min="5890" max="5890" width="26.5703125" style="69" customWidth="1"/>
    <col min="5891" max="5891" width="9.85546875" style="69" customWidth="1"/>
    <col min="5892" max="5892" width="11.140625" style="69" bestFit="1" customWidth="1"/>
    <col min="5893" max="5893" width="11.5703125" style="69" customWidth="1"/>
    <col min="5894" max="5894" width="10" style="69" customWidth="1"/>
    <col min="5895" max="5895" width="11.5703125" style="69" customWidth="1"/>
    <col min="5896" max="5896" width="18" style="69" customWidth="1"/>
    <col min="5897" max="5897" width="11.85546875" style="69" customWidth="1"/>
    <col min="5898" max="5898" width="27.28515625" style="69" customWidth="1"/>
    <col min="5899" max="6144" width="8.7109375" style="69"/>
    <col min="6145" max="6145" width="26.28515625" style="69" customWidth="1"/>
    <col min="6146" max="6146" width="26.5703125" style="69" customWidth="1"/>
    <col min="6147" max="6147" width="9.85546875" style="69" customWidth="1"/>
    <col min="6148" max="6148" width="11.140625" style="69" bestFit="1" customWidth="1"/>
    <col min="6149" max="6149" width="11.5703125" style="69" customWidth="1"/>
    <col min="6150" max="6150" width="10" style="69" customWidth="1"/>
    <col min="6151" max="6151" width="11.5703125" style="69" customWidth="1"/>
    <col min="6152" max="6152" width="18" style="69" customWidth="1"/>
    <col min="6153" max="6153" width="11.85546875" style="69" customWidth="1"/>
    <col min="6154" max="6154" width="27.28515625" style="69" customWidth="1"/>
    <col min="6155" max="6400" width="8.7109375" style="69"/>
    <col min="6401" max="6401" width="26.28515625" style="69" customWidth="1"/>
    <col min="6402" max="6402" width="26.5703125" style="69" customWidth="1"/>
    <col min="6403" max="6403" width="9.85546875" style="69" customWidth="1"/>
    <col min="6404" max="6404" width="11.140625" style="69" bestFit="1" customWidth="1"/>
    <col min="6405" max="6405" width="11.5703125" style="69" customWidth="1"/>
    <col min="6406" max="6406" width="10" style="69" customWidth="1"/>
    <col min="6407" max="6407" width="11.5703125" style="69" customWidth="1"/>
    <col min="6408" max="6408" width="18" style="69" customWidth="1"/>
    <col min="6409" max="6409" width="11.85546875" style="69" customWidth="1"/>
    <col min="6410" max="6410" width="27.28515625" style="69" customWidth="1"/>
    <col min="6411" max="6656" width="8.7109375" style="69"/>
    <col min="6657" max="6657" width="26.28515625" style="69" customWidth="1"/>
    <col min="6658" max="6658" width="26.5703125" style="69" customWidth="1"/>
    <col min="6659" max="6659" width="9.85546875" style="69" customWidth="1"/>
    <col min="6660" max="6660" width="11.140625" style="69" bestFit="1" customWidth="1"/>
    <col min="6661" max="6661" width="11.5703125" style="69" customWidth="1"/>
    <col min="6662" max="6662" width="10" style="69" customWidth="1"/>
    <col min="6663" max="6663" width="11.5703125" style="69" customWidth="1"/>
    <col min="6664" max="6664" width="18" style="69" customWidth="1"/>
    <col min="6665" max="6665" width="11.85546875" style="69" customWidth="1"/>
    <col min="6666" max="6666" width="27.28515625" style="69" customWidth="1"/>
    <col min="6667" max="6912" width="8.7109375" style="69"/>
    <col min="6913" max="6913" width="26.28515625" style="69" customWidth="1"/>
    <col min="6914" max="6914" width="26.5703125" style="69" customWidth="1"/>
    <col min="6915" max="6915" width="9.85546875" style="69" customWidth="1"/>
    <col min="6916" max="6916" width="11.140625" style="69" bestFit="1" customWidth="1"/>
    <col min="6917" max="6917" width="11.5703125" style="69" customWidth="1"/>
    <col min="6918" max="6918" width="10" style="69" customWidth="1"/>
    <col min="6919" max="6919" width="11.5703125" style="69" customWidth="1"/>
    <col min="6920" max="6920" width="18" style="69" customWidth="1"/>
    <col min="6921" max="6921" width="11.85546875" style="69" customWidth="1"/>
    <col min="6922" max="6922" width="27.28515625" style="69" customWidth="1"/>
    <col min="6923" max="7168" width="8.7109375" style="69"/>
    <col min="7169" max="7169" width="26.28515625" style="69" customWidth="1"/>
    <col min="7170" max="7170" width="26.5703125" style="69" customWidth="1"/>
    <col min="7171" max="7171" width="9.85546875" style="69" customWidth="1"/>
    <col min="7172" max="7172" width="11.140625" style="69" bestFit="1" customWidth="1"/>
    <col min="7173" max="7173" width="11.5703125" style="69" customWidth="1"/>
    <col min="7174" max="7174" width="10" style="69" customWidth="1"/>
    <col min="7175" max="7175" width="11.5703125" style="69" customWidth="1"/>
    <col min="7176" max="7176" width="18" style="69" customWidth="1"/>
    <col min="7177" max="7177" width="11.85546875" style="69" customWidth="1"/>
    <col min="7178" max="7178" width="27.28515625" style="69" customWidth="1"/>
    <col min="7179" max="7424" width="8.7109375" style="69"/>
    <col min="7425" max="7425" width="26.28515625" style="69" customWidth="1"/>
    <col min="7426" max="7426" width="26.5703125" style="69" customWidth="1"/>
    <col min="7427" max="7427" width="9.85546875" style="69" customWidth="1"/>
    <col min="7428" max="7428" width="11.140625" style="69" bestFit="1" customWidth="1"/>
    <col min="7429" max="7429" width="11.5703125" style="69" customWidth="1"/>
    <col min="7430" max="7430" width="10" style="69" customWidth="1"/>
    <col min="7431" max="7431" width="11.5703125" style="69" customWidth="1"/>
    <col min="7432" max="7432" width="18" style="69" customWidth="1"/>
    <col min="7433" max="7433" width="11.85546875" style="69" customWidth="1"/>
    <col min="7434" max="7434" width="27.28515625" style="69" customWidth="1"/>
    <col min="7435" max="7680" width="8.7109375" style="69"/>
    <col min="7681" max="7681" width="26.28515625" style="69" customWidth="1"/>
    <col min="7682" max="7682" width="26.5703125" style="69" customWidth="1"/>
    <col min="7683" max="7683" width="9.85546875" style="69" customWidth="1"/>
    <col min="7684" max="7684" width="11.140625" style="69" bestFit="1" customWidth="1"/>
    <col min="7685" max="7685" width="11.5703125" style="69" customWidth="1"/>
    <col min="7686" max="7686" width="10" style="69" customWidth="1"/>
    <col min="7687" max="7687" width="11.5703125" style="69" customWidth="1"/>
    <col min="7688" max="7688" width="18" style="69" customWidth="1"/>
    <col min="7689" max="7689" width="11.85546875" style="69" customWidth="1"/>
    <col min="7690" max="7690" width="27.28515625" style="69" customWidth="1"/>
    <col min="7691" max="7936" width="8.7109375" style="69"/>
    <col min="7937" max="7937" width="26.28515625" style="69" customWidth="1"/>
    <col min="7938" max="7938" width="26.5703125" style="69" customWidth="1"/>
    <col min="7939" max="7939" width="9.85546875" style="69" customWidth="1"/>
    <col min="7940" max="7940" width="11.140625" style="69" bestFit="1" customWidth="1"/>
    <col min="7941" max="7941" width="11.5703125" style="69" customWidth="1"/>
    <col min="7942" max="7942" width="10" style="69" customWidth="1"/>
    <col min="7943" max="7943" width="11.5703125" style="69" customWidth="1"/>
    <col min="7944" max="7944" width="18" style="69" customWidth="1"/>
    <col min="7945" max="7945" width="11.85546875" style="69" customWidth="1"/>
    <col min="7946" max="7946" width="27.28515625" style="69" customWidth="1"/>
    <col min="7947" max="8192" width="8.7109375" style="69"/>
    <col min="8193" max="8193" width="26.28515625" style="69" customWidth="1"/>
    <col min="8194" max="8194" width="26.5703125" style="69" customWidth="1"/>
    <col min="8195" max="8195" width="9.85546875" style="69" customWidth="1"/>
    <col min="8196" max="8196" width="11.140625" style="69" bestFit="1" customWidth="1"/>
    <col min="8197" max="8197" width="11.5703125" style="69" customWidth="1"/>
    <col min="8198" max="8198" width="10" style="69" customWidth="1"/>
    <col min="8199" max="8199" width="11.5703125" style="69" customWidth="1"/>
    <col min="8200" max="8200" width="18" style="69" customWidth="1"/>
    <col min="8201" max="8201" width="11.85546875" style="69" customWidth="1"/>
    <col min="8202" max="8202" width="27.28515625" style="69" customWidth="1"/>
    <col min="8203" max="8448" width="8.7109375" style="69"/>
    <col min="8449" max="8449" width="26.28515625" style="69" customWidth="1"/>
    <col min="8450" max="8450" width="26.5703125" style="69" customWidth="1"/>
    <col min="8451" max="8451" width="9.85546875" style="69" customWidth="1"/>
    <col min="8452" max="8452" width="11.140625" style="69" bestFit="1" customWidth="1"/>
    <col min="8453" max="8453" width="11.5703125" style="69" customWidth="1"/>
    <col min="8454" max="8454" width="10" style="69" customWidth="1"/>
    <col min="8455" max="8455" width="11.5703125" style="69" customWidth="1"/>
    <col min="8456" max="8456" width="18" style="69" customWidth="1"/>
    <col min="8457" max="8457" width="11.85546875" style="69" customWidth="1"/>
    <col min="8458" max="8458" width="27.28515625" style="69" customWidth="1"/>
    <col min="8459" max="8704" width="8.7109375" style="69"/>
    <col min="8705" max="8705" width="26.28515625" style="69" customWidth="1"/>
    <col min="8706" max="8706" width="26.5703125" style="69" customWidth="1"/>
    <col min="8707" max="8707" width="9.85546875" style="69" customWidth="1"/>
    <col min="8708" max="8708" width="11.140625" style="69" bestFit="1" customWidth="1"/>
    <col min="8709" max="8709" width="11.5703125" style="69" customWidth="1"/>
    <col min="8710" max="8710" width="10" style="69" customWidth="1"/>
    <col min="8711" max="8711" width="11.5703125" style="69" customWidth="1"/>
    <col min="8712" max="8712" width="18" style="69" customWidth="1"/>
    <col min="8713" max="8713" width="11.85546875" style="69" customWidth="1"/>
    <col min="8714" max="8714" width="27.28515625" style="69" customWidth="1"/>
    <col min="8715" max="8960" width="8.7109375" style="69"/>
    <col min="8961" max="8961" width="26.28515625" style="69" customWidth="1"/>
    <col min="8962" max="8962" width="26.5703125" style="69" customWidth="1"/>
    <col min="8963" max="8963" width="9.85546875" style="69" customWidth="1"/>
    <col min="8964" max="8964" width="11.140625" style="69" bestFit="1" customWidth="1"/>
    <col min="8965" max="8965" width="11.5703125" style="69" customWidth="1"/>
    <col min="8966" max="8966" width="10" style="69" customWidth="1"/>
    <col min="8967" max="8967" width="11.5703125" style="69" customWidth="1"/>
    <col min="8968" max="8968" width="18" style="69" customWidth="1"/>
    <col min="8969" max="8969" width="11.85546875" style="69" customWidth="1"/>
    <col min="8970" max="8970" width="27.28515625" style="69" customWidth="1"/>
    <col min="8971" max="9216" width="8.7109375" style="69"/>
    <col min="9217" max="9217" width="26.28515625" style="69" customWidth="1"/>
    <col min="9218" max="9218" width="26.5703125" style="69" customWidth="1"/>
    <col min="9219" max="9219" width="9.85546875" style="69" customWidth="1"/>
    <col min="9220" max="9220" width="11.140625" style="69" bestFit="1" customWidth="1"/>
    <col min="9221" max="9221" width="11.5703125" style="69" customWidth="1"/>
    <col min="9222" max="9222" width="10" style="69" customWidth="1"/>
    <col min="9223" max="9223" width="11.5703125" style="69" customWidth="1"/>
    <col min="9224" max="9224" width="18" style="69" customWidth="1"/>
    <col min="9225" max="9225" width="11.85546875" style="69" customWidth="1"/>
    <col min="9226" max="9226" width="27.28515625" style="69" customWidth="1"/>
    <col min="9227" max="9472" width="8.7109375" style="69"/>
    <col min="9473" max="9473" width="26.28515625" style="69" customWidth="1"/>
    <col min="9474" max="9474" width="26.5703125" style="69" customWidth="1"/>
    <col min="9475" max="9475" width="9.85546875" style="69" customWidth="1"/>
    <col min="9476" max="9476" width="11.140625" style="69" bestFit="1" customWidth="1"/>
    <col min="9477" max="9477" width="11.5703125" style="69" customWidth="1"/>
    <col min="9478" max="9478" width="10" style="69" customWidth="1"/>
    <col min="9479" max="9479" width="11.5703125" style="69" customWidth="1"/>
    <col min="9480" max="9480" width="18" style="69" customWidth="1"/>
    <col min="9481" max="9481" width="11.85546875" style="69" customWidth="1"/>
    <col min="9482" max="9482" width="27.28515625" style="69" customWidth="1"/>
    <col min="9483" max="9728" width="8.7109375" style="69"/>
    <col min="9729" max="9729" width="26.28515625" style="69" customWidth="1"/>
    <col min="9730" max="9730" width="26.5703125" style="69" customWidth="1"/>
    <col min="9731" max="9731" width="9.85546875" style="69" customWidth="1"/>
    <col min="9732" max="9732" width="11.140625" style="69" bestFit="1" customWidth="1"/>
    <col min="9733" max="9733" width="11.5703125" style="69" customWidth="1"/>
    <col min="9734" max="9734" width="10" style="69" customWidth="1"/>
    <col min="9735" max="9735" width="11.5703125" style="69" customWidth="1"/>
    <col min="9736" max="9736" width="18" style="69" customWidth="1"/>
    <col min="9737" max="9737" width="11.85546875" style="69" customWidth="1"/>
    <col min="9738" max="9738" width="27.28515625" style="69" customWidth="1"/>
    <col min="9739" max="9984" width="8.7109375" style="69"/>
    <col min="9985" max="9985" width="26.28515625" style="69" customWidth="1"/>
    <col min="9986" max="9986" width="26.5703125" style="69" customWidth="1"/>
    <col min="9987" max="9987" width="9.85546875" style="69" customWidth="1"/>
    <col min="9988" max="9988" width="11.140625" style="69" bestFit="1" customWidth="1"/>
    <col min="9989" max="9989" width="11.5703125" style="69" customWidth="1"/>
    <col min="9990" max="9990" width="10" style="69" customWidth="1"/>
    <col min="9991" max="9991" width="11.5703125" style="69" customWidth="1"/>
    <col min="9992" max="9992" width="18" style="69" customWidth="1"/>
    <col min="9993" max="9993" width="11.85546875" style="69" customWidth="1"/>
    <col min="9994" max="9994" width="27.28515625" style="69" customWidth="1"/>
    <col min="9995" max="10240" width="8.7109375" style="69"/>
    <col min="10241" max="10241" width="26.28515625" style="69" customWidth="1"/>
    <col min="10242" max="10242" width="26.5703125" style="69" customWidth="1"/>
    <col min="10243" max="10243" width="9.85546875" style="69" customWidth="1"/>
    <col min="10244" max="10244" width="11.140625" style="69" bestFit="1" customWidth="1"/>
    <col min="10245" max="10245" width="11.5703125" style="69" customWidth="1"/>
    <col min="10246" max="10246" width="10" style="69" customWidth="1"/>
    <col min="10247" max="10247" width="11.5703125" style="69" customWidth="1"/>
    <col min="10248" max="10248" width="18" style="69" customWidth="1"/>
    <col min="10249" max="10249" width="11.85546875" style="69" customWidth="1"/>
    <col min="10250" max="10250" width="27.28515625" style="69" customWidth="1"/>
    <col min="10251" max="10496" width="8.7109375" style="69"/>
    <col min="10497" max="10497" width="26.28515625" style="69" customWidth="1"/>
    <col min="10498" max="10498" width="26.5703125" style="69" customWidth="1"/>
    <col min="10499" max="10499" width="9.85546875" style="69" customWidth="1"/>
    <col min="10500" max="10500" width="11.140625" style="69" bestFit="1" customWidth="1"/>
    <col min="10501" max="10501" width="11.5703125" style="69" customWidth="1"/>
    <col min="10502" max="10502" width="10" style="69" customWidth="1"/>
    <col min="10503" max="10503" width="11.5703125" style="69" customWidth="1"/>
    <col min="10504" max="10504" width="18" style="69" customWidth="1"/>
    <col min="10505" max="10505" width="11.85546875" style="69" customWidth="1"/>
    <col min="10506" max="10506" width="27.28515625" style="69" customWidth="1"/>
    <col min="10507" max="10752" width="8.7109375" style="69"/>
    <col min="10753" max="10753" width="26.28515625" style="69" customWidth="1"/>
    <col min="10754" max="10754" width="26.5703125" style="69" customWidth="1"/>
    <col min="10755" max="10755" width="9.85546875" style="69" customWidth="1"/>
    <col min="10756" max="10756" width="11.140625" style="69" bestFit="1" customWidth="1"/>
    <col min="10757" max="10757" width="11.5703125" style="69" customWidth="1"/>
    <col min="10758" max="10758" width="10" style="69" customWidth="1"/>
    <col min="10759" max="10759" width="11.5703125" style="69" customWidth="1"/>
    <col min="10760" max="10760" width="18" style="69" customWidth="1"/>
    <col min="10761" max="10761" width="11.85546875" style="69" customWidth="1"/>
    <col min="10762" max="10762" width="27.28515625" style="69" customWidth="1"/>
    <col min="10763" max="11008" width="8.7109375" style="69"/>
    <col min="11009" max="11009" width="26.28515625" style="69" customWidth="1"/>
    <col min="11010" max="11010" width="26.5703125" style="69" customWidth="1"/>
    <col min="11011" max="11011" width="9.85546875" style="69" customWidth="1"/>
    <col min="11012" max="11012" width="11.140625" style="69" bestFit="1" customWidth="1"/>
    <col min="11013" max="11013" width="11.5703125" style="69" customWidth="1"/>
    <col min="11014" max="11014" width="10" style="69" customWidth="1"/>
    <col min="11015" max="11015" width="11.5703125" style="69" customWidth="1"/>
    <col min="11016" max="11016" width="18" style="69" customWidth="1"/>
    <col min="11017" max="11017" width="11.85546875" style="69" customWidth="1"/>
    <col min="11018" max="11018" width="27.28515625" style="69" customWidth="1"/>
    <col min="11019" max="11264" width="8.7109375" style="69"/>
    <col min="11265" max="11265" width="26.28515625" style="69" customWidth="1"/>
    <col min="11266" max="11266" width="26.5703125" style="69" customWidth="1"/>
    <col min="11267" max="11267" width="9.85546875" style="69" customWidth="1"/>
    <col min="11268" max="11268" width="11.140625" style="69" bestFit="1" customWidth="1"/>
    <col min="11269" max="11269" width="11.5703125" style="69" customWidth="1"/>
    <col min="11270" max="11270" width="10" style="69" customWidth="1"/>
    <col min="11271" max="11271" width="11.5703125" style="69" customWidth="1"/>
    <col min="11272" max="11272" width="18" style="69" customWidth="1"/>
    <col min="11273" max="11273" width="11.85546875" style="69" customWidth="1"/>
    <col min="11274" max="11274" width="27.28515625" style="69" customWidth="1"/>
    <col min="11275" max="11520" width="8.7109375" style="69"/>
    <col min="11521" max="11521" width="26.28515625" style="69" customWidth="1"/>
    <col min="11522" max="11522" width="26.5703125" style="69" customWidth="1"/>
    <col min="11523" max="11523" width="9.85546875" style="69" customWidth="1"/>
    <col min="11524" max="11524" width="11.140625" style="69" bestFit="1" customWidth="1"/>
    <col min="11525" max="11525" width="11.5703125" style="69" customWidth="1"/>
    <col min="11526" max="11526" width="10" style="69" customWidth="1"/>
    <col min="11527" max="11527" width="11.5703125" style="69" customWidth="1"/>
    <col min="11528" max="11528" width="18" style="69" customWidth="1"/>
    <col min="11529" max="11529" width="11.85546875" style="69" customWidth="1"/>
    <col min="11530" max="11530" width="27.28515625" style="69" customWidth="1"/>
    <col min="11531" max="11776" width="8.7109375" style="69"/>
    <col min="11777" max="11777" width="26.28515625" style="69" customWidth="1"/>
    <col min="11778" max="11778" width="26.5703125" style="69" customWidth="1"/>
    <col min="11779" max="11779" width="9.85546875" style="69" customWidth="1"/>
    <col min="11780" max="11780" width="11.140625" style="69" bestFit="1" customWidth="1"/>
    <col min="11781" max="11781" width="11.5703125" style="69" customWidth="1"/>
    <col min="11782" max="11782" width="10" style="69" customWidth="1"/>
    <col min="11783" max="11783" width="11.5703125" style="69" customWidth="1"/>
    <col min="11784" max="11784" width="18" style="69" customWidth="1"/>
    <col min="11785" max="11785" width="11.85546875" style="69" customWidth="1"/>
    <col min="11786" max="11786" width="27.28515625" style="69" customWidth="1"/>
    <col min="11787" max="12032" width="8.7109375" style="69"/>
    <col min="12033" max="12033" width="26.28515625" style="69" customWidth="1"/>
    <col min="12034" max="12034" width="26.5703125" style="69" customWidth="1"/>
    <col min="12035" max="12035" width="9.85546875" style="69" customWidth="1"/>
    <col min="12036" max="12036" width="11.140625" style="69" bestFit="1" customWidth="1"/>
    <col min="12037" max="12037" width="11.5703125" style="69" customWidth="1"/>
    <col min="12038" max="12038" width="10" style="69" customWidth="1"/>
    <col min="12039" max="12039" width="11.5703125" style="69" customWidth="1"/>
    <col min="12040" max="12040" width="18" style="69" customWidth="1"/>
    <col min="12041" max="12041" width="11.85546875" style="69" customWidth="1"/>
    <col min="12042" max="12042" width="27.28515625" style="69" customWidth="1"/>
    <col min="12043" max="12288" width="8.7109375" style="69"/>
    <col min="12289" max="12289" width="26.28515625" style="69" customWidth="1"/>
    <col min="12290" max="12290" width="26.5703125" style="69" customWidth="1"/>
    <col min="12291" max="12291" width="9.85546875" style="69" customWidth="1"/>
    <col min="12292" max="12292" width="11.140625" style="69" bestFit="1" customWidth="1"/>
    <col min="12293" max="12293" width="11.5703125" style="69" customWidth="1"/>
    <col min="12294" max="12294" width="10" style="69" customWidth="1"/>
    <col min="12295" max="12295" width="11.5703125" style="69" customWidth="1"/>
    <col min="12296" max="12296" width="18" style="69" customWidth="1"/>
    <col min="12297" max="12297" width="11.85546875" style="69" customWidth="1"/>
    <col min="12298" max="12298" width="27.28515625" style="69" customWidth="1"/>
    <col min="12299" max="12544" width="8.7109375" style="69"/>
    <col min="12545" max="12545" width="26.28515625" style="69" customWidth="1"/>
    <col min="12546" max="12546" width="26.5703125" style="69" customWidth="1"/>
    <col min="12547" max="12547" width="9.85546875" style="69" customWidth="1"/>
    <col min="12548" max="12548" width="11.140625" style="69" bestFit="1" customWidth="1"/>
    <col min="12549" max="12549" width="11.5703125" style="69" customWidth="1"/>
    <col min="12550" max="12550" width="10" style="69" customWidth="1"/>
    <col min="12551" max="12551" width="11.5703125" style="69" customWidth="1"/>
    <col min="12552" max="12552" width="18" style="69" customWidth="1"/>
    <col min="12553" max="12553" width="11.85546875" style="69" customWidth="1"/>
    <col min="12554" max="12554" width="27.28515625" style="69" customWidth="1"/>
    <col min="12555" max="12800" width="8.7109375" style="69"/>
    <col min="12801" max="12801" width="26.28515625" style="69" customWidth="1"/>
    <col min="12802" max="12802" width="26.5703125" style="69" customWidth="1"/>
    <col min="12803" max="12803" width="9.85546875" style="69" customWidth="1"/>
    <col min="12804" max="12804" width="11.140625" style="69" bestFit="1" customWidth="1"/>
    <col min="12805" max="12805" width="11.5703125" style="69" customWidth="1"/>
    <col min="12806" max="12806" width="10" style="69" customWidth="1"/>
    <col min="12807" max="12807" width="11.5703125" style="69" customWidth="1"/>
    <col min="12808" max="12808" width="18" style="69" customWidth="1"/>
    <col min="12809" max="12809" width="11.85546875" style="69" customWidth="1"/>
    <col min="12810" max="12810" width="27.28515625" style="69" customWidth="1"/>
    <col min="12811" max="13056" width="8.7109375" style="69"/>
    <col min="13057" max="13057" width="26.28515625" style="69" customWidth="1"/>
    <col min="13058" max="13058" width="26.5703125" style="69" customWidth="1"/>
    <col min="13059" max="13059" width="9.85546875" style="69" customWidth="1"/>
    <col min="13060" max="13060" width="11.140625" style="69" bestFit="1" customWidth="1"/>
    <col min="13061" max="13061" width="11.5703125" style="69" customWidth="1"/>
    <col min="13062" max="13062" width="10" style="69" customWidth="1"/>
    <col min="13063" max="13063" width="11.5703125" style="69" customWidth="1"/>
    <col min="13064" max="13064" width="18" style="69" customWidth="1"/>
    <col min="13065" max="13065" width="11.85546875" style="69" customWidth="1"/>
    <col min="13066" max="13066" width="27.28515625" style="69" customWidth="1"/>
    <col min="13067" max="13312" width="8.7109375" style="69"/>
    <col min="13313" max="13313" width="26.28515625" style="69" customWidth="1"/>
    <col min="13314" max="13314" width="26.5703125" style="69" customWidth="1"/>
    <col min="13315" max="13315" width="9.85546875" style="69" customWidth="1"/>
    <col min="13316" max="13316" width="11.140625" style="69" bestFit="1" customWidth="1"/>
    <col min="13317" max="13317" width="11.5703125" style="69" customWidth="1"/>
    <col min="13318" max="13318" width="10" style="69" customWidth="1"/>
    <col min="13319" max="13319" width="11.5703125" style="69" customWidth="1"/>
    <col min="13320" max="13320" width="18" style="69" customWidth="1"/>
    <col min="13321" max="13321" width="11.85546875" style="69" customWidth="1"/>
    <col min="13322" max="13322" width="27.28515625" style="69" customWidth="1"/>
    <col min="13323" max="13568" width="8.7109375" style="69"/>
    <col min="13569" max="13569" width="26.28515625" style="69" customWidth="1"/>
    <col min="13570" max="13570" width="26.5703125" style="69" customWidth="1"/>
    <col min="13571" max="13571" width="9.85546875" style="69" customWidth="1"/>
    <col min="13572" max="13572" width="11.140625" style="69" bestFit="1" customWidth="1"/>
    <col min="13573" max="13573" width="11.5703125" style="69" customWidth="1"/>
    <col min="13574" max="13574" width="10" style="69" customWidth="1"/>
    <col min="13575" max="13575" width="11.5703125" style="69" customWidth="1"/>
    <col min="13576" max="13576" width="18" style="69" customWidth="1"/>
    <col min="13577" max="13577" width="11.85546875" style="69" customWidth="1"/>
    <col min="13578" max="13578" width="27.28515625" style="69" customWidth="1"/>
    <col min="13579" max="13824" width="8.7109375" style="69"/>
    <col min="13825" max="13825" width="26.28515625" style="69" customWidth="1"/>
    <col min="13826" max="13826" width="26.5703125" style="69" customWidth="1"/>
    <col min="13827" max="13827" width="9.85546875" style="69" customWidth="1"/>
    <col min="13828" max="13828" width="11.140625" style="69" bestFit="1" customWidth="1"/>
    <col min="13829" max="13829" width="11.5703125" style="69" customWidth="1"/>
    <col min="13830" max="13830" width="10" style="69" customWidth="1"/>
    <col min="13831" max="13831" width="11.5703125" style="69" customWidth="1"/>
    <col min="13832" max="13832" width="18" style="69" customWidth="1"/>
    <col min="13833" max="13833" width="11.85546875" style="69" customWidth="1"/>
    <col min="13834" max="13834" width="27.28515625" style="69" customWidth="1"/>
    <col min="13835" max="14080" width="8.7109375" style="69"/>
    <col min="14081" max="14081" width="26.28515625" style="69" customWidth="1"/>
    <col min="14082" max="14082" width="26.5703125" style="69" customWidth="1"/>
    <col min="14083" max="14083" width="9.85546875" style="69" customWidth="1"/>
    <col min="14084" max="14084" width="11.140625" style="69" bestFit="1" customWidth="1"/>
    <col min="14085" max="14085" width="11.5703125" style="69" customWidth="1"/>
    <col min="14086" max="14086" width="10" style="69" customWidth="1"/>
    <col min="14087" max="14087" width="11.5703125" style="69" customWidth="1"/>
    <col min="14088" max="14088" width="18" style="69" customWidth="1"/>
    <col min="14089" max="14089" width="11.85546875" style="69" customWidth="1"/>
    <col min="14090" max="14090" width="27.28515625" style="69" customWidth="1"/>
    <col min="14091" max="14336" width="8.7109375" style="69"/>
    <col min="14337" max="14337" width="26.28515625" style="69" customWidth="1"/>
    <col min="14338" max="14338" width="26.5703125" style="69" customWidth="1"/>
    <col min="14339" max="14339" width="9.85546875" style="69" customWidth="1"/>
    <col min="14340" max="14340" width="11.140625" style="69" bestFit="1" customWidth="1"/>
    <col min="14341" max="14341" width="11.5703125" style="69" customWidth="1"/>
    <col min="14342" max="14342" width="10" style="69" customWidth="1"/>
    <col min="14343" max="14343" width="11.5703125" style="69" customWidth="1"/>
    <col min="14344" max="14344" width="18" style="69" customWidth="1"/>
    <col min="14345" max="14345" width="11.85546875" style="69" customWidth="1"/>
    <col min="14346" max="14346" width="27.28515625" style="69" customWidth="1"/>
    <col min="14347" max="14592" width="8.7109375" style="69"/>
    <col min="14593" max="14593" width="26.28515625" style="69" customWidth="1"/>
    <col min="14594" max="14594" width="26.5703125" style="69" customWidth="1"/>
    <col min="14595" max="14595" width="9.85546875" style="69" customWidth="1"/>
    <col min="14596" max="14596" width="11.140625" style="69" bestFit="1" customWidth="1"/>
    <col min="14597" max="14597" width="11.5703125" style="69" customWidth="1"/>
    <col min="14598" max="14598" width="10" style="69" customWidth="1"/>
    <col min="14599" max="14599" width="11.5703125" style="69" customWidth="1"/>
    <col min="14600" max="14600" width="18" style="69" customWidth="1"/>
    <col min="14601" max="14601" width="11.85546875" style="69" customWidth="1"/>
    <col min="14602" max="14602" width="27.28515625" style="69" customWidth="1"/>
    <col min="14603" max="14848" width="8.7109375" style="69"/>
    <col min="14849" max="14849" width="26.28515625" style="69" customWidth="1"/>
    <col min="14850" max="14850" width="26.5703125" style="69" customWidth="1"/>
    <col min="14851" max="14851" width="9.85546875" style="69" customWidth="1"/>
    <col min="14852" max="14852" width="11.140625" style="69" bestFit="1" customWidth="1"/>
    <col min="14853" max="14853" width="11.5703125" style="69" customWidth="1"/>
    <col min="14854" max="14854" width="10" style="69" customWidth="1"/>
    <col min="14855" max="14855" width="11.5703125" style="69" customWidth="1"/>
    <col min="14856" max="14856" width="18" style="69" customWidth="1"/>
    <col min="14857" max="14857" width="11.85546875" style="69" customWidth="1"/>
    <col min="14858" max="14858" width="27.28515625" style="69" customWidth="1"/>
    <col min="14859" max="15104" width="8.7109375" style="69"/>
    <col min="15105" max="15105" width="26.28515625" style="69" customWidth="1"/>
    <col min="15106" max="15106" width="26.5703125" style="69" customWidth="1"/>
    <col min="15107" max="15107" width="9.85546875" style="69" customWidth="1"/>
    <col min="15108" max="15108" width="11.140625" style="69" bestFit="1" customWidth="1"/>
    <col min="15109" max="15109" width="11.5703125" style="69" customWidth="1"/>
    <col min="15110" max="15110" width="10" style="69" customWidth="1"/>
    <col min="15111" max="15111" width="11.5703125" style="69" customWidth="1"/>
    <col min="15112" max="15112" width="18" style="69" customWidth="1"/>
    <col min="15113" max="15113" width="11.85546875" style="69" customWidth="1"/>
    <col min="15114" max="15114" width="27.28515625" style="69" customWidth="1"/>
    <col min="15115" max="15360" width="8.7109375" style="69"/>
    <col min="15361" max="15361" width="26.28515625" style="69" customWidth="1"/>
    <col min="15362" max="15362" width="26.5703125" style="69" customWidth="1"/>
    <col min="15363" max="15363" width="9.85546875" style="69" customWidth="1"/>
    <col min="15364" max="15364" width="11.140625" style="69" bestFit="1" customWidth="1"/>
    <col min="15365" max="15365" width="11.5703125" style="69" customWidth="1"/>
    <col min="15366" max="15366" width="10" style="69" customWidth="1"/>
    <col min="15367" max="15367" width="11.5703125" style="69" customWidth="1"/>
    <col min="15368" max="15368" width="18" style="69" customWidth="1"/>
    <col min="15369" max="15369" width="11.85546875" style="69" customWidth="1"/>
    <col min="15370" max="15370" width="27.28515625" style="69" customWidth="1"/>
    <col min="15371" max="15616" width="8.7109375" style="69"/>
    <col min="15617" max="15617" width="26.28515625" style="69" customWidth="1"/>
    <col min="15618" max="15618" width="26.5703125" style="69" customWidth="1"/>
    <col min="15619" max="15619" width="9.85546875" style="69" customWidth="1"/>
    <col min="15620" max="15620" width="11.140625" style="69" bestFit="1" customWidth="1"/>
    <col min="15621" max="15621" width="11.5703125" style="69" customWidth="1"/>
    <col min="15622" max="15622" width="10" style="69" customWidth="1"/>
    <col min="15623" max="15623" width="11.5703125" style="69" customWidth="1"/>
    <col min="15624" max="15624" width="18" style="69" customWidth="1"/>
    <col min="15625" max="15625" width="11.85546875" style="69" customWidth="1"/>
    <col min="15626" max="15626" width="27.28515625" style="69" customWidth="1"/>
    <col min="15627" max="15872" width="8.7109375" style="69"/>
    <col min="15873" max="15873" width="26.28515625" style="69" customWidth="1"/>
    <col min="15874" max="15874" width="26.5703125" style="69" customWidth="1"/>
    <col min="15875" max="15875" width="9.85546875" style="69" customWidth="1"/>
    <col min="15876" max="15876" width="11.140625" style="69" bestFit="1" customWidth="1"/>
    <col min="15877" max="15877" width="11.5703125" style="69" customWidth="1"/>
    <col min="15878" max="15878" width="10" style="69" customWidth="1"/>
    <col min="15879" max="15879" width="11.5703125" style="69" customWidth="1"/>
    <col min="15880" max="15880" width="18" style="69" customWidth="1"/>
    <col min="15881" max="15881" width="11.85546875" style="69" customWidth="1"/>
    <col min="15882" max="15882" width="27.28515625" style="69" customWidth="1"/>
    <col min="15883" max="16128" width="8.7109375" style="69"/>
    <col min="16129" max="16129" width="26.28515625" style="69" customWidth="1"/>
    <col min="16130" max="16130" width="26.5703125" style="69" customWidth="1"/>
    <col min="16131" max="16131" width="9.85546875" style="69" customWidth="1"/>
    <col min="16132" max="16132" width="11.140625" style="69" bestFit="1" customWidth="1"/>
    <col min="16133" max="16133" width="11.5703125" style="69" customWidth="1"/>
    <col min="16134" max="16134" width="10" style="69" customWidth="1"/>
    <col min="16135" max="16135" width="11.5703125" style="69" customWidth="1"/>
    <col min="16136" max="16136" width="18" style="69" customWidth="1"/>
    <col min="16137" max="16137" width="11.85546875" style="69" customWidth="1"/>
    <col min="16138" max="16138" width="27.28515625" style="69" customWidth="1"/>
    <col min="16139" max="16384" width="8.7109375" style="69"/>
  </cols>
  <sheetData>
    <row r="1" spans="1:13" s="67" customFormat="1" ht="23.45" thickBot="1">
      <c r="A1" s="190" t="s">
        <v>96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3" s="68" customFormat="1" ht="16.149999999999999" thickBot="1">
      <c r="A2" s="191" t="s">
        <v>97</v>
      </c>
      <c r="B2" s="192"/>
      <c r="C2" s="192"/>
      <c r="D2" s="192"/>
      <c r="E2" s="192"/>
      <c r="F2" s="192"/>
      <c r="G2" s="192"/>
      <c r="H2" s="192"/>
      <c r="I2" s="192"/>
      <c r="J2" s="193"/>
    </row>
    <row r="3" spans="1:13" s="68" customFormat="1" ht="16.149999999999999" thickBot="1">
      <c r="A3" s="191" t="s">
        <v>3</v>
      </c>
      <c r="B3" s="192"/>
      <c r="C3" s="192"/>
      <c r="D3" s="192"/>
      <c r="E3" s="192"/>
      <c r="F3" s="192"/>
      <c r="G3" s="192"/>
      <c r="H3" s="192"/>
      <c r="I3" s="192"/>
      <c r="J3" s="193"/>
    </row>
    <row r="4" spans="1:13" ht="15.75">
      <c r="A4" s="191" t="s">
        <v>98</v>
      </c>
      <c r="B4" s="192"/>
      <c r="C4" s="192"/>
      <c r="D4" s="192"/>
      <c r="E4" s="192"/>
      <c r="F4" s="192"/>
      <c r="G4" s="192"/>
      <c r="H4" s="192"/>
      <c r="I4" s="192"/>
      <c r="J4" s="193"/>
    </row>
    <row r="5" spans="1:13" s="72" customFormat="1" ht="16.149999999999999" thickBot="1">
      <c r="A5" s="70"/>
      <c r="B5" s="70"/>
      <c r="C5" s="70"/>
      <c r="D5" s="70"/>
      <c r="E5" s="70"/>
      <c r="F5" s="70"/>
      <c r="G5" s="70"/>
      <c r="H5" s="70"/>
      <c r="I5" s="70"/>
      <c r="J5" s="70"/>
      <c r="K5" s="71"/>
      <c r="L5" s="71"/>
      <c r="M5" s="71"/>
    </row>
    <row r="6" spans="1:13" s="76" customFormat="1" ht="31.15">
      <c r="A6" s="194" t="s">
        <v>99</v>
      </c>
      <c r="B6" s="196" t="s">
        <v>100</v>
      </c>
      <c r="C6" s="73" t="s">
        <v>101</v>
      </c>
      <c r="D6" s="74" t="s">
        <v>102</v>
      </c>
      <c r="E6" s="196" t="s">
        <v>103</v>
      </c>
      <c r="F6" s="198" t="s">
        <v>104</v>
      </c>
      <c r="G6" s="74" t="s">
        <v>105</v>
      </c>
      <c r="H6" s="75" t="s">
        <v>106</v>
      </c>
      <c r="I6" s="73" t="s">
        <v>107</v>
      </c>
      <c r="J6" s="200" t="s">
        <v>108</v>
      </c>
    </row>
    <row r="7" spans="1:13" s="76" customFormat="1" ht="16.149999999999999" thickBot="1">
      <c r="A7" s="195"/>
      <c r="B7" s="197"/>
      <c r="C7" s="77" t="s">
        <v>109</v>
      </c>
      <c r="D7" s="78" t="s">
        <v>110</v>
      </c>
      <c r="E7" s="197"/>
      <c r="F7" s="199"/>
      <c r="G7" s="78" t="s">
        <v>111</v>
      </c>
      <c r="H7" s="79" t="s">
        <v>112</v>
      </c>
      <c r="I7" s="77" t="s">
        <v>113</v>
      </c>
      <c r="J7" s="201"/>
    </row>
    <row r="8" spans="1:13" s="84" customFormat="1" ht="16.149999999999999">
      <c r="A8" s="80" t="s">
        <v>114</v>
      </c>
      <c r="B8" s="81" t="s">
        <v>115</v>
      </c>
      <c r="C8" s="82" t="s">
        <v>116</v>
      </c>
      <c r="D8" s="81" t="s">
        <v>117</v>
      </c>
      <c r="E8" s="81" t="s">
        <v>118</v>
      </c>
      <c r="F8" s="82" t="s">
        <v>119</v>
      </c>
      <c r="G8" s="81" t="s">
        <v>120</v>
      </c>
      <c r="H8" s="81" t="s">
        <v>120</v>
      </c>
      <c r="I8" s="82" t="s">
        <v>121</v>
      </c>
      <c r="J8" s="83" t="s">
        <v>122</v>
      </c>
    </row>
    <row r="9" spans="1:13" s="88" customFormat="1" ht="15.6">
      <c r="A9" s="85" t="s">
        <v>123</v>
      </c>
      <c r="B9" s="86" t="s">
        <v>124</v>
      </c>
      <c r="C9" s="168">
        <v>45199</v>
      </c>
      <c r="D9" s="168">
        <v>45199</v>
      </c>
      <c r="E9" s="86"/>
      <c r="F9" s="86"/>
      <c r="G9" s="86"/>
      <c r="H9" s="86"/>
      <c r="I9" s="86"/>
      <c r="J9" s="87"/>
    </row>
    <row r="10" spans="1:13" s="88" customFormat="1" ht="15" customHeight="1">
      <c r="A10" s="85" t="s">
        <v>125</v>
      </c>
      <c r="B10" s="86" t="s">
        <v>126</v>
      </c>
      <c r="C10" s="168">
        <v>45199</v>
      </c>
      <c r="D10" s="168">
        <v>45199</v>
      </c>
      <c r="E10" s="86"/>
      <c r="F10" s="86"/>
      <c r="G10" s="86"/>
      <c r="H10" s="86"/>
      <c r="I10" s="86"/>
      <c r="J10" s="87"/>
    </row>
    <row r="11" spans="1:13" s="88" customFormat="1" ht="15" customHeight="1">
      <c r="A11" s="85" t="s">
        <v>127</v>
      </c>
      <c r="B11" s="86" t="s">
        <v>128</v>
      </c>
      <c r="C11" s="170" t="s">
        <v>128</v>
      </c>
      <c r="D11" s="86" t="s">
        <v>128</v>
      </c>
      <c r="E11" s="86"/>
      <c r="F11" s="86"/>
      <c r="G11" s="86"/>
      <c r="H11" s="86"/>
      <c r="I11" s="86"/>
      <c r="J11" s="87"/>
    </row>
    <row r="12" spans="1:13" s="88" customFormat="1" ht="15" customHeight="1">
      <c r="A12" s="85" t="s">
        <v>129</v>
      </c>
      <c r="B12" s="86" t="s">
        <v>130</v>
      </c>
      <c r="C12" s="168">
        <v>45199</v>
      </c>
      <c r="D12" s="168">
        <v>45230</v>
      </c>
      <c r="E12" s="86"/>
      <c r="F12" s="86"/>
      <c r="G12" s="86"/>
      <c r="H12" s="86"/>
      <c r="I12" s="86"/>
      <c r="J12" s="87"/>
    </row>
    <row r="13" spans="1:13" s="88" customFormat="1" ht="15" customHeight="1" thickBot="1">
      <c r="A13" s="89" t="s">
        <v>131</v>
      </c>
      <c r="B13" s="90" t="s">
        <v>130</v>
      </c>
      <c r="C13" s="168">
        <v>45199</v>
      </c>
      <c r="D13" s="168">
        <v>45230</v>
      </c>
      <c r="E13" s="86"/>
      <c r="F13" s="90"/>
      <c r="G13" s="90"/>
      <c r="H13" s="90"/>
      <c r="I13" s="90"/>
      <c r="J13" s="91"/>
    </row>
    <row r="14" spans="1:13" s="88" customFormat="1" ht="15" customHeight="1">
      <c r="A14" s="92" t="s">
        <v>132</v>
      </c>
      <c r="B14" s="93"/>
      <c r="C14" s="168">
        <v>45169</v>
      </c>
      <c r="D14" s="168">
        <v>45170</v>
      </c>
      <c r="E14" s="86"/>
      <c r="F14" s="93"/>
      <c r="G14" s="93"/>
      <c r="H14" s="93"/>
      <c r="I14" s="93"/>
      <c r="J14" s="94"/>
    </row>
    <row r="15" spans="1:13" s="88" customFormat="1" ht="15" customHeight="1" thickBot="1">
      <c r="A15" s="89" t="s">
        <v>133</v>
      </c>
      <c r="B15" s="90"/>
      <c r="C15" s="170" t="s">
        <v>128</v>
      </c>
      <c r="D15" s="170" t="s">
        <v>128</v>
      </c>
      <c r="E15" s="86"/>
      <c r="F15" s="90"/>
      <c r="G15" s="90"/>
      <c r="H15" s="90"/>
      <c r="I15" s="90"/>
      <c r="J15" s="91"/>
    </row>
    <row r="16" spans="1:13" s="88" customFormat="1" ht="15" customHeight="1">
      <c r="A16" s="92" t="s">
        <v>134</v>
      </c>
      <c r="B16" s="93" t="s">
        <v>135</v>
      </c>
      <c r="C16" s="168">
        <v>45199</v>
      </c>
      <c r="D16" s="168">
        <v>45206</v>
      </c>
      <c r="E16" s="86"/>
      <c r="F16" s="93"/>
      <c r="G16" s="93"/>
      <c r="H16" s="93"/>
      <c r="I16" s="93"/>
      <c r="J16" s="94"/>
    </row>
    <row r="17" spans="1:10" s="88" customFormat="1" ht="15" customHeight="1" thickBot="1">
      <c r="A17" s="89" t="s">
        <v>136</v>
      </c>
      <c r="B17" s="90" t="s">
        <v>128</v>
      </c>
      <c r="C17" s="170" t="s">
        <v>128</v>
      </c>
      <c r="D17" s="86" t="s">
        <v>128</v>
      </c>
      <c r="E17" s="86"/>
      <c r="F17" s="90"/>
      <c r="G17" s="90"/>
      <c r="H17" s="90"/>
      <c r="I17" s="90"/>
      <c r="J17" s="91"/>
    </row>
    <row r="18" spans="1:10" s="88" customFormat="1" ht="15" customHeight="1">
      <c r="A18" s="92" t="s">
        <v>137</v>
      </c>
      <c r="B18" s="93" t="s">
        <v>138</v>
      </c>
      <c r="C18" s="168">
        <v>45169</v>
      </c>
      <c r="D18" s="168">
        <v>45184</v>
      </c>
      <c r="E18" s="86"/>
      <c r="F18" s="93"/>
      <c r="G18" s="93"/>
      <c r="H18" s="93"/>
      <c r="I18" s="93"/>
      <c r="J18" s="94"/>
    </row>
    <row r="19" spans="1:10" s="88" customFormat="1" ht="15" customHeight="1">
      <c r="A19" s="85" t="s">
        <v>139</v>
      </c>
      <c r="B19" s="86" t="s">
        <v>128</v>
      </c>
      <c r="C19" s="170" t="s">
        <v>128</v>
      </c>
      <c r="D19" s="86" t="s">
        <v>128</v>
      </c>
      <c r="E19" s="86"/>
      <c r="F19" s="86"/>
      <c r="G19" s="86"/>
      <c r="H19" s="86"/>
      <c r="I19" s="86"/>
      <c r="J19" s="87"/>
    </row>
    <row r="20" spans="1:10" s="88" customFormat="1" ht="15" customHeight="1">
      <c r="A20" s="92" t="s">
        <v>140</v>
      </c>
      <c r="B20" s="93" t="s">
        <v>141</v>
      </c>
      <c r="C20" s="169">
        <v>45169</v>
      </c>
      <c r="D20" s="169">
        <v>45169</v>
      </c>
      <c r="E20" s="93"/>
      <c r="F20" s="93"/>
      <c r="G20" s="93"/>
      <c r="H20" s="93"/>
      <c r="I20" s="93"/>
      <c r="J20" s="94"/>
    </row>
    <row r="21" spans="1:10" s="88" customFormat="1" ht="15" customHeight="1">
      <c r="A21" s="85" t="s">
        <v>142</v>
      </c>
      <c r="B21" s="86"/>
      <c r="C21" s="170" t="s">
        <v>128</v>
      </c>
      <c r="D21" s="86"/>
      <c r="E21" s="86"/>
      <c r="F21" s="86"/>
      <c r="G21" s="86"/>
      <c r="H21" s="86"/>
      <c r="I21" s="86"/>
      <c r="J21" s="87"/>
    </row>
    <row r="22" spans="1:10" s="88" customFormat="1" ht="15" customHeight="1">
      <c r="A22" s="85" t="s">
        <v>143</v>
      </c>
      <c r="B22" s="86" t="s">
        <v>144</v>
      </c>
      <c r="C22" s="168">
        <v>45199</v>
      </c>
      <c r="D22" s="86"/>
      <c r="E22" s="86"/>
      <c r="F22" s="86"/>
      <c r="G22" s="86"/>
      <c r="H22" s="86"/>
      <c r="I22" s="86"/>
      <c r="J22" s="87"/>
    </row>
    <row r="23" spans="1:10" s="88" customFormat="1" ht="15" customHeight="1">
      <c r="A23" s="85" t="s">
        <v>145</v>
      </c>
      <c r="B23" s="86"/>
      <c r="C23" s="168">
        <v>45169</v>
      </c>
      <c r="D23" s="86"/>
      <c r="E23" s="86"/>
      <c r="F23" s="86"/>
      <c r="G23" s="86"/>
      <c r="H23" s="86"/>
      <c r="I23" s="86"/>
      <c r="J23" s="87"/>
    </row>
    <row r="24" spans="1:10" s="88" customFormat="1" ht="15" customHeight="1">
      <c r="A24" s="92" t="s">
        <v>146</v>
      </c>
      <c r="B24" s="93"/>
      <c r="C24" s="171" t="s">
        <v>147</v>
      </c>
      <c r="D24" s="93"/>
      <c r="E24" s="93"/>
      <c r="F24" s="93"/>
      <c r="G24" s="93"/>
      <c r="H24" s="93"/>
      <c r="I24" s="93"/>
      <c r="J24" s="94"/>
    </row>
    <row r="25" spans="1:10" s="88" customFormat="1" ht="15" customHeight="1">
      <c r="A25" s="85" t="s">
        <v>148</v>
      </c>
      <c r="B25" s="86" t="s">
        <v>149</v>
      </c>
      <c r="C25" s="168">
        <v>45199</v>
      </c>
      <c r="D25" s="86"/>
      <c r="E25" s="86"/>
      <c r="F25" s="86"/>
      <c r="G25" s="86"/>
      <c r="H25" s="86"/>
      <c r="I25" s="86"/>
      <c r="J25" s="87"/>
    </row>
    <row r="26" spans="1:10" s="88" customFormat="1" ht="15" customHeight="1">
      <c r="A26" s="85" t="s">
        <v>150</v>
      </c>
      <c r="B26" s="86"/>
      <c r="C26" s="170" t="s">
        <v>128</v>
      </c>
      <c r="D26" s="86"/>
      <c r="E26" s="86"/>
      <c r="F26" s="86"/>
      <c r="G26" s="86"/>
      <c r="H26" s="86"/>
      <c r="I26" s="86"/>
      <c r="J26" s="87"/>
    </row>
    <row r="27" spans="1:10" s="88" customFormat="1" ht="15" customHeight="1">
      <c r="A27" s="85" t="s">
        <v>151</v>
      </c>
      <c r="B27" s="86" t="s">
        <v>152</v>
      </c>
      <c r="C27" s="168">
        <v>45199</v>
      </c>
      <c r="D27" s="168">
        <v>45200</v>
      </c>
      <c r="E27" s="86"/>
      <c r="F27" s="86"/>
      <c r="G27" s="86"/>
      <c r="H27" s="86"/>
      <c r="I27" s="86"/>
      <c r="J27" s="87"/>
    </row>
    <row r="28" spans="1:10" s="88" customFormat="1" ht="15" customHeight="1">
      <c r="A28" s="95"/>
      <c r="B28" s="96"/>
      <c r="C28" s="96"/>
      <c r="D28" s="96"/>
      <c r="E28" s="96"/>
      <c r="F28" s="96"/>
      <c r="G28" s="96"/>
      <c r="H28" s="96"/>
      <c r="I28" s="96"/>
      <c r="J28" s="97"/>
    </row>
    <row r="29" spans="1:10" s="88" customFormat="1" ht="15" customHeight="1">
      <c r="A29" s="98"/>
      <c r="B29" s="99"/>
      <c r="C29" s="99"/>
      <c r="D29" s="99"/>
      <c r="E29" s="99"/>
      <c r="F29" s="99"/>
      <c r="G29" s="99"/>
      <c r="H29" s="99"/>
      <c r="I29" s="99"/>
      <c r="J29" s="100"/>
    </row>
    <row r="30" spans="1:10" s="88" customFormat="1" ht="15" customHeight="1">
      <c r="A30" s="98"/>
      <c r="B30" s="99"/>
      <c r="C30" s="99"/>
      <c r="D30" s="99"/>
      <c r="E30" s="99"/>
      <c r="F30" s="99"/>
      <c r="G30" s="99"/>
      <c r="H30" s="99"/>
      <c r="I30" s="99"/>
      <c r="J30" s="100"/>
    </row>
    <row r="31" spans="1:10" s="88" customFormat="1" ht="15" customHeight="1">
      <c r="A31" s="98"/>
      <c r="B31" s="99"/>
      <c r="C31" s="99"/>
      <c r="D31" s="99"/>
      <c r="E31" s="99"/>
      <c r="F31" s="99"/>
      <c r="G31" s="99"/>
      <c r="H31" s="99"/>
      <c r="I31" s="99"/>
      <c r="J31" s="100"/>
    </row>
    <row r="32" spans="1:10" s="88" customFormat="1" ht="15" customHeight="1">
      <c r="A32" s="98"/>
      <c r="B32" s="99"/>
      <c r="C32" s="99"/>
      <c r="D32" s="99"/>
      <c r="E32" s="99"/>
      <c r="F32" s="99"/>
      <c r="G32" s="99"/>
      <c r="H32" s="99"/>
      <c r="I32" s="99"/>
      <c r="J32" s="100"/>
    </row>
    <row r="33" spans="1:10" s="88" customFormat="1" ht="15" customHeight="1" thickBot="1">
      <c r="A33" s="89"/>
      <c r="B33" s="90"/>
      <c r="C33" s="90"/>
      <c r="D33" s="90"/>
      <c r="E33" s="90"/>
      <c r="F33" s="90"/>
      <c r="G33" s="90"/>
      <c r="H33" s="90"/>
      <c r="I33" s="90"/>
      <c r="J33" s="91"/>
    </row>
  </sheetData>
  <mergeCells count="9">
    <mergeCell ref="A1:J1"/>
    <mergeCell ref="A2:J2"/>
    <mergeCell ref="A3:J3"/>
    <mergeCell ref="A4:J4"/>
    <mergeCell ref="A6:A7"/>
    <mergeCell ref="B6:B7"/>
    <mergeCell ref="E6:E7"/>
    <mergeCell ref="F6:F7"/>
    <mergeCell ref="J6:J7"/>
  </mergeCells>
  <printOptions horizontalCentered="1"/>
  <pageMargins left="0.25" right="0.25" top="0.25" bottom="0.5" header="0.5" footer="0.5"/>
  <pageSetup paperSize="9" scale="84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A61A-90F3-44E3-98F9-2B6E0671A1F2}">
  <sheetPr codeName="Sheet1"/>
  <dimension ref="A1:V45"/>
  <sheetViews>
    <sheetView zoomScale="55" zoomScaleNormal="55" workbookViewId="0">
      <selection activeCell="G14" sqref="G14"/>
    </sheetView>
  </sheetViews>
  <sheetFormatPr defaultRowHeight="14.45"/>
  <cols>
    <col min="1" max="10" width="16.7109375" customWidth="1"/>
    <col min="11" max="11" width="16.7109375" style="34" customWidth="1"/>
    <col min="12" max="16" width="16.7109375" customWidth="1"/>
    <col min="17" max="17" width="19.140625" bestFit="1" customWidth="1"/>
    <col min="18" max="21" width="16.7109375" customWidth="1"/>
    <col min="22" max="22" width="9.5703125" bestFit="1" customWidth="1"/>
  </cols>
  <sheetData>
    <row r="1" spans="1:22">
      <c r="A1" s="202" t="s">
        <v>153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4"/>
    </row>
    <row r="2" spans="1:22" ht="15" thickBot="1">
      <c r="A2" s="205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7"/>
    </row>
    <row r="3" spans="1:22" ht="18">
      <c r="A3" s="214" t="s">
        <v>154</v>
      </c>
      <c r="B3" s="215"/>
      <c r="C3" s="216">
        <v>44865</v>
      </c>
      <c r="D3" s="217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2"/>
    </row>
    <row r="4" spans="1:22" s="1" customFormat="1" ht="47.45" thickBot="1">
      <c r="A4" s="103" t="s">
        <v>155</v>
      </c>
      <c r="B4" s="103" t="s">
        <v>156</v>
      </c>
      <c r="C4" s="103" t="s">
        <v>157</v>
      </c>
      <c r="D4" s="103" t="s">
        <v>158</v>
      </c>
      <c r="E4" s="103" t="s">
        <v>159</v>
      </c>
      <c r="F4" s="104" t="s">
        <v>160</v>
      </c>
      <c r="G4" s="104" t="s">
        <v>161</v>
      </c>
      <c r="H4" s="104" t="s">
        <v>162</v>
      </c>
      <c r="I4" s="104" t="s">
        <v>163</v>
      </c>
      <c r="J4" s="104" t="s">
        <v>164</v>
      </c>
      <c r="K4" s="105" t="s">
        <v>165</v>
      </c>
      <c r="L4" s="104" t="s">
        <v>166</v>
      </c>
      <c r="M4" s="104" t="s">
        <v>167</v>
      </c>
      <c r="N4" s="104" t="s">
        <v>168</v>
      </c>
      <c r="O4" s="104" t="s">
        <v>169</v>
      </c>
      <c r="P4" s="104" t="s">
        <v>170</v>
      </c>
      <c r="Q4" s="104" t="s">
        <v>171</v>
      </c>
      <c r="R4" s="104" t="s">
        <v>172</v>
      </c>
      <c r="S4" s="104" t="s">
        <v>173</v>
      </c>
      <c r="T4" s="104" t="s">
        <v>174</v>
      </c>
      <c r="U4" s="104" t="s">
        <v>175</v>
      </c>
    </row>
    <row r="5" spans="1:22" s="2" customFormat="1" ht="18">
      <c r="A5" s="208" t="s">
        <v>176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10"/>
    </row>
    <row r="6" spans="1:22">
      <c r="A6" s="3">
        <v>1</v>
      </c>
      <c r="B6" s="4"/>
      <c r="C6" s="5"/>
      <c r="D6" s="6"/>
      <c r="E6" s="7"/>
      <c r="F6" s="8"/>
      <c r="G6" s="9"/>
      <c r="H6" s="6"/>
      <c r="I6" s="39"/>
      <c r="J6" s="11"/>
      <c r="K6" s="29"/>
      <c r="L6" s="10" t="str">
        <f>IF(J6="","",(K6*J6))</f>
        <v/>
      </c>
      <c r="M6" s="10" t="str">
        <f t="shared" ref="M6:M15" si="0">IF(J6="","",((_xlfn.DAYS($C$3,I6))/N6)*J6)</f>
        <v/>
      </c>
      <c r="N6" s="64" t="str">
        <f>(IF(J6="","",((VLOOKUP(R6,Sheet1!$B$9:$C$15,2)))*365))</f>
        <v/>
      </c>
      <c r="O6" s="10" t="str">
        <f>IF(J6="","",(K6*M6))</f>
        <v/>
      </c>
      <c r="P6" s="11"/>
      <c r="Q6" s="11"/>
      <c r="R6" s="11" t="str">
        <f>IF(Q6="","",(VLOOKUP(Q6,Sheet1!$A$9:$B$15,2)))</f>
        <v/>
      </c>
      <c r="S6" s="6"/>
      <c r="T6" s="7"/>
      <c r="U6" s="12"/>
      <c r="V6" s="51"/>
    </row>
    <row r="7" spans="1:22">
      <c r="A7" s="3">
        <v>2</v>
      </c>
      <c r="B7" s="4"/>
      <c r="C7" s="5"/>
      <c r="D7" s="6"/>
      <c r="E7" s="9"/>
      <c r="F7" s="8"/>
      <c r="G7" s="13"/>
      <c r="H7" s="6"/>
      <c r="I7" s="13"/>
      <c r="J7" s="10"/>
      <c r="K7" s="30"/>
      <c r="L7" s="10" t="str">
        <f t="shared" ref="L7:L15" si="1">IF(J7="","",(K7*J7))</f>
        <v/>
      </c>
      <c r="M7" s="10" t="str">
        <f t="shared" si="0"/>
        <v/>
      </c>
      <c r="N7" s="64" t="str">
        <f>(IF(J7="","",((VLOOKUP(R7,Sheet1!$B$9:$C$15,2)))*365))</f>
        <v/>
      </c>
      <c r="O7" s="10" t="str">
        <f t="shared" ref="O7:O15" si="2">IF(J7="","",(K7*M7))</f>
        <v/>
      </c>
      <c r="P7" s="10"/>
      <c r="Q7" s="11"/>
      <c r="R7" s="11" t="str">
        <f>IF(Q7="","",(VLOOKUP(Q7,Sheet1!$A$9:$B$15,2)))</f>
        <v/>
      </c>
      <c r="S7" s="6"/>
      <c r="T7" s="7"/>
      <c r="U7" s="12"/>
    </row>
    <row r="8" spans="1:22" ht="15">
      <c r="A8" s="3">
        <v>3</v>
      </c>
      <c r="B8" s="4"/>
      <c r="C8" s="14"/>
      <c r="D8" s="6"/>
      <c r="E8" s="9"/>
      <c r="F8" s="15"/>
      <c r="G8" s="16"/>
      <c r="H8" s="6"/>
      <c r="I8" s="13"/>
      <c r="J8" s="10"/>
      <c r="K8" s="30"/>
      <c r="L8" s="10" t="str">
        <f t="shared" si="1"/>
        <v/>
      </c>
      <c r="M8" s="10" t="str">
        <f t="shared" si="0"/>
        <v/>
      </c>
      <c r="N8" s="64" t="str">
        <f>(IF(J8="","",((VLOOKUP(R8,Sheet1!$B$9:$C$15,2)))*365))</f>
        <v/>
      </c>
      <c r="O8" s="10" t="str">
        <f t="shared" si="2"/>
        <v/>
      </c>
      <c r="P8" s="10"/>
      <c r="Q8" s="11"/>
      <c r="R8" s="11" t="str">
        <f>IF(Q8="","",(VLOOKUP(Q8,Sheet1!$A$9:$B$15,2)))</f>
        <v/>
      </c>
      <c r="S8" s="6"/>
      <c r="T8" s="6"/>
      <c r="U8" s="17"/>
    </row>
    <row r="9" spans="1:22">
      <c r="A9" s="3">
        <v>4</v>
      </c>
      <c r="B9" s="4"/>
      <c r="C9" s="18"/>
      <c r="D9" s="6"/>
      <c r="E9" s="9"/>
      <c r="F9" s="8"/>
      <c r="G9" s="16"/>
      <c r="H9" s="6"/>
      <c r="I9" s="13"/>
      <c r="J9" s="10"/>
      <c r="K9" s="30"/>
      <c r="L9" s="10" t="str">
        <f t="shared" si="1"/>
        <v/>
      </c>
      <c r="M9" s="10" t="str">
        <f t="shared" si="0"/>
        <v/>
      </c>
      <c r="N9" s="64" t="str">
        <f>(IF(J9="","",((VLOOKUP(R9,Sheet1!$B$9:$C$15,2)))*365))</f>
        <v/>
      </c>
      <c r="O9" s="10" t="str">
        <f t="shared" si="2"/>
        <v/>
      </c>
      <c r="P9" s="10"/>
      <c r="Q9" s="11"/>
      <c r="R9" s="11" t="str">
        <f>IF(Q9="","",(VLOOKUP(Q9,Sheet1!$A$9:$B$15,2)))</f>
        <v/>
      </c>
      <c r="S9" s="6"/>
      <c r="T9" s="6"/>
      <c r="U9" s="17"/>
    </row>
    <row r="10" spans="1:22">
      <c r="A10" s="3">
        <v>5</v>
      </c>
      <c r="B10" s="4"/>
      <c r="C10" s="18"/>
      <c r="D10" s="6"/>
      <c r="E10" s="9"/>
      <c r="F10" s="19"/>
      <c r="G10" s="16"/>
      <c r="H10" s="6"/>
      <c r="I10" s="16"/>
      <c r="J10" s="10"/>
      <c r="K10" s="30"/>
      <c r="L10" s="10" t="str">
        <f t="shared" si="1"/>
        <v/>
      </c>
      <c r="M10" s="10" t="str">
        <f t="shared" si="0"/>
        <v/>
      </c>
      <c r="N10" s="64" t="str">
        <f>(IF(J10="","",((VLOOKUP(R10,Sheet1!$B$9:$C$15,2)))*365))</f>
        <v/>
      </c>
      <c r="O10" s="10" t="str">
        <f t="shared" si="2"/>
        <v/>
      </c>
      <c r="P10" s="10"/>
      <c r="Q10" s="11"/>
      <c r="R10" s="11" t="str">
        <f>IF(Q10="","",(VLOOKUP(Q10,Sheet1!$A$9:$B$15,2)))</f>
        <v/>
      </c>
      <c r="S10" s="6"/>
      <c r="T10" s="6"/>
      <c r="U10" s="17"/>
    </row>
    <row r="11" spans="1:22">
      <c r="A11" s="3">
        <v>6</v>
      </c>
      <c r="B11" s="4"/>
      <c r="C11" s="18"/>
      <c r="D11" s="6"/>
      <c r="E11" s="9"/>
      <c r="F11" s="9"/>
      <c r="G11" s="13"/>
      <c r="H11" s="6"/>
      <c r="I11" s="16"/>
      <c r="J11" s="10"/>
      <c r="K11" s="30"/>
      <c r="L11" s="10" t="str">
        <f t="shared" si="1"/>
        <v/>
      </c>
      <c r="M11" s="10" t="str">
        <f t="shared" si="0"/>
        <v/>
      </c>
      <c r="N11" s="64" t="str">
        <f>(IF(J11="","",((VLOOKUP(R11,Sheet1!$B$9:$C$15,2)))*365))</f>
        <v/>
      </c>
      <c r="O11" s="10" t="str">
        <f t="shared" si="2"/>
        <v/>
      </c>
      <c r="P11" s="10"/>
      <c r="Q11" s="11"/>
      <c r="R11" s="11" t="str">
        <f>IF(Q11="","",(VLOOKUP(Q11,Sheet1!$A$9:$B$15,2)))</f>
        <v/>
      </c>
      <c r="S11" s="6"/>
      <c r="T11" s="6"/>
      <c r="U11" s="17"/>
    </row>
    <row r="12" spans="1:22">
      <c r="A12" s="3">
        <v>7</v>
      </c>
      <c r="B12" s="4"/>
      <c r="C12" s="18"/>
      <c r="D12" s="6"/>
      <c r="E12" s="9"/>
      <c r="F12" s="9"/>
      <c r="G12" s="13"/>
      <c r="H12" s="6"/>
      <c r="I12" s="16"/>
      <c r="J12" s="10"/>
      <c r="K12" s="30"/>
      <c r="L12" s="10" t="str">
        <f t="shared" si="1"/>
        <v/>
      </c>
      <c r="M12" s="10" t="str">
        <f t="shared" si="0"/>
        <v/>
      </c>
      <c r="N12" s="64" t="str">
        <f>(IF(J12="","",((VLOOKUP(R12,Sheet1!$B$9:$C$15,2)))*365))</f>
        <v/>
      </c>
      <c r="O12" s="10" t="str">
        <f t="shared" si="2"/>
        <v/>
      </c>
      <c r="P12" s="10"/>
      <c r="Q12" s="11"/>
      <c r="R12" s="11" t="str">
        <f>IF(Q12="","",(VLOOKUP(Q12,Sheet1!$A$9:$B$15,2)))</f>
        <v/>
      </c>
      <c r="S12" s="9"/>
      <c r="T12" s="9"/>
      <c r="U12" s="20"/>
    </row>
    <row r="13" spans="1:22">
      <c r="A13" s="3">
        <v>8</v>
      </c>
      <c r="B13" s="4"/>
      <c r="C13" s="18"/>
      <c r="D13" s="6"/>
      <c r="E13" s="9"/>
      <c r="F13" s="19"/>
      <c r="G13" s="16"/>
      <c r="H13" s="6"/>
      <c r="I13" s="13"/>
      <c r="J13" s="10"/>
      <c r="K13" s="30"/>
      <c r="L13" s="10" t="str">
        <f t="shared" si="1"/>
        <v/>
      </c>
      <c r="M13" s="10" t="str">
        <f t="shared" si="0"/>
        <v/>
      </c>
      <c r="N13" s="64" t="str">
        <f>(IF(J13="","",((VLOOKUP(R13,Sheet1!$B$9:$C$15,2)))*365))</f>
        <v/>
      </c>
      <c r="O13" s="10" t="str">
        <f t="shared" si="2"/>
        <v/>
      </c>
      <c r="P13" s="10"/>
      <c r="Q13" s="11"/>
      <c r="R13" s="11" t="str">
        <f>IF(Q13="","",(VLOOKUP(Q13,Sheet1!$A$9:$B$15,2)))</f>
        <v/>
      </c>
      <c r="S13" s="9"/>
      <c r="T13" s="9"/>
      <c r="U13" s="20"/>
    </row>
    <row r="14" spans="1:22">
      <c r="A14" s="3">
        <v>9</v>
      </c>
      <c r="B14" s="4"/>
      <c r="C14" s="18"/>
      <c r="D14" s="6"/>
      <c r="E14" s="9"/>
      <c r="F14" s="21"/>
      <c r="G14" s="16"/>
      <c r="H14" s="6"/>
      <c r="I14" s="13"/>
      <c r="J14" s="10"/>
      <c r="K14" s="30"/>
      <c r="L14" s="10" t="str">
        <f t="shared" si="1"/>
        <v/>
      </c>
      <c r="M14" s="10" t="str">
        <f t="shared" si="0"/>
        <v/>
      </c>
      <c r="N14" s="64" t="str">
        <f>(IF(J14="","",((VLOOKUP(R14,Sheet1!$B$9:$C$15,2)))*365))</f>
        <v/>
      </c>
      <c r="O14" s="10" t="str">
        <f t="shared" si="2"/>
        <v/>
      </c>
      <c r="P14" s="10"/>
      <c r="Q14" s="11"/>
      <c r="R14" s="11" t="str">
        <f>IF(Q14="","",(VLOOKUP(Q14,Sheet1!$A$9:$B$15,2)))</f>
        <v/>
      </c>
      <c r="S14" s="9"/>
      <c r="T14" s="9"/>
      <c r="U14" s="20"/>
    </row>
    <row r="15" spans="1:22">
      <c r="A15" s="3">
        <v>10</v>
      </c>
      <c r="B15" s="4"/>
      <c r="C15" s="18"/>
      <c r="D15" s="6"/>
      <c r="E15" s="9"/>
      <c r="F15" s="21"/>
      <c r="G15" s="16"/>
      <c r="H15" s="6"/>
      <c r="I15" s="13"/>
      <c r="J15" s="10"/>
      <c r="K15" s="30"/>
      <c r="L15" s="10" t="str">
        <f t="shared" si="1"/>
        <v/>
      </c>
      <c r="M15" s="10" t="str">
        <f t="shared" si="0"/>
        <v/>
      </c>
      <c r="N15" s="64" t="str">
        <f>(IF(J15="","",((VLOOKUP(R15,Sheet1!$B$9:$C$15,2)))*365))</f>
        <v/>
      </c>
      <c r="O15" s="10" t="str">
        <f t="shared" si="2"/>
        <v/>
      </c>
      <c r="P15" s="10"/>
      <c r="Q15" s="11"/>
      <c r="R15" s="11" t="str">
        <f>IF(Q15="","",(VLOOKUP(Q15,Sheet1!$A$9:$B$15,2)))</f>
        <v/>
      </c>
      <c r="S15" s="9"/>
      <c r="T15" s="9"/>
      <c r="U15" s="20"/>
    </row>
    <row r="16" spans="1:22" s="2" customFormat="1" ht="18">
      <c r="A16" s="211" t="s">
        <v>177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3"/>
    </row>
    <row r="17" spans="1:21">
      <c r="A17" s="3">
        <v>1</v>
      </c>
      <c r="B17" s="37"/>
      <c r="C17" s="38"/>
      <c r="D17" s="6"/>
      <c r="E17" s="7"/>
      <c r="F17" s="36"/>
      <c r="G17" s="36"/>
      <c r="H17" s="6"/>
      <c r="I17" s="39"/>
      <c r="J17" s="11"/>
      <c r="K17" s="29"/>
      <c r="L17" s="10" t="str">
        <f>IF(J17="","",(K17*J17))</f>
        <v/>
      </c>
      <c r="M17" s="10" t="str">
        <f>IF(J17="","",((_xlfn.DAYS($C$3,I17))/N17)*J17)</f>
        <v/>
      </c>
      <c r="N17" s="64" t="str">
        <f>(IF(J17="","",((VLOOKUP(R17,Sheet1!$B$9:$C$15,2)))*365))</f>
        <v/>
      </c>
      <c r="O17" s="10" t="str">
        <f>IF(J17="","",(K17*M17))</f>
        <v/>
      </c>
      <c r="P17" s="11"/>
      <c r="Q17" s="11"/>
      <c r="R17" s="11" t="str">
        <f>IF(Q17="","",(VLOOKUP(Q17,Sheet1!$A$9:$B$15,2)))</f>
        <v/>
      </c>
      <c r="S17" s="6"/>
      <c r="T17" s="6"/>
      <c r="U17" s="17"/>
    </row>
    <row r="18" spans="1:21">
      <c r="A18" s="3">
        <v>2</v>
      </c>
      <c r="B18" s="4"/>
      <c r="C18" s="5"/>
      <c r="D18" s="6"/>
      <c r="E18" s="19"/>
      <c r="F18" s="16"/>
      <c r="G18" s="16"/>
      <c r="H18" s="6"/>
      <c r="I18" s="39"/>
      <c r="J18" s="11"/>
      <c r="K18" s="29"/>
      <c r="L18" s="10" t="str">
        <f t="shared" ref="L18:L35" si="3">IF(J18="","",(K18*J18))</f>
        <v/>
      </c>
      <c r="M18" s="10" t="str">
        <f>IF(J18="","",((_xlfn.DAYS($C$3,I18))/N18)*J18)</f>
        <v/>
      </c>
      <c r="N18" s="64" t="str">
        <f>(IF(J18="","",((VLOOKUP(R18,Sheet1!$B$9:$C$15,2)))*365))</f>
        <v/>
      </c>
      <c r="O18" s="10" t="str">
        <f t="shared" ref="O18:O36" si="4">IF(J18="","",(K18*M18))</f>
        <v/>
      </c>
      <c r="P18" s="23"/>
      <c r="Q18" s="11"/>
      <c r="R18" s="11" t="str">
        <f>IF(Q18="","",(VLOOKUP(Q18,Sheet1!$A$9:$B$15,2)))</f>
        <v/>
      </c>
      <c r="S18" s="9"/>
      <c r="T18" s="9"/>
      <c r="U18" s="20"/>
    </row>
    <row r="19" spans="1:21">
      <c r="A19" s="3">
        <v>3</v>
      </c>
      <c r="B19" s="4"/>
      <c r="C19" s="5"/>
      <c r="D19" s="6"/>
      <c r="E19" s="19"/>
      <c r="F19" s="16"/>
      <c r="G19" s="16"/>
      <c r="H19" s="6"/>
      <c r="I19" s="22"/>
      <c r="J19" s="23"/>
      <c r="K19" s="31"/>
      <c r="L19" s="10" t="str">
        <f t="shared" si="3"/>
        <v/>
      </c>
      <c r="M19" s="10" t="str">
        <f t="shared" ref="M19:M36" si="5">IF(J19="","",((_xlfn.DAYS($C$3,I19))/N19)*J19)</f>
        <v/>
      </c>
      <c r="N19" s="64" t="str">
        <f>(IF(J19="","",((VLOOKUP(R19,Sheet1!$B$9:$C$15,2)))*365))</f>
        <v/>
      </c>
      <c r="O19" s="10" t="str">
        <f t="shared" si="4"/>
        <v/>
      </c>
      <c r="P19" s="23"/>
      <c r="Q19" s="11"/>
      <c r="R19" s="11" t="str">
        <f>IF(Q19="","",(VLOOKUP(Q19,Sheet1!$A$9:$B$15,2)))</f>
        <v/>
      </c>
      <c r="S19" s="9"/>
      <c r="T19" s="9"/>
      <c r="U19" s="20"/>
    </row>
    <row r="20" spans="1:21">
      <c r="A20" s="3">
        <v>4</v>
      </c>
      <c r="B20" s="4"/>
      <c r="C20" s="5"/>
      <c r="D20" s="6"/>
      <c r="E20" s="19"/>
      <c r="F20" s="16"/>
      <c r="G20" s="16"/>
      <c r="H20" s="6"/>
      <c r="I20" s="22"/>
      <c r="J20" s="23"/>
      <c r="K20" s="31"/>
      <c r="L20" s="10" t="str">
        <f t="shared" si="3"/>
        <v/>
      </c>
      <c r="M20" s="10" t="str">
        <f t="shared" si="5"/>
        <v/>
      </c>
      <c r="N20" s="64" t="str">
        <f>(IF(J20="","",((VLOOKUP(R20,Sheet1!$B$9:$C$15,2)))*365))</f>
        <v/>
      </c>
      <c r="O20" s="10" t="str">
        <f t="shared" si="4"/>
        <v/>
      </c>
      <c r="P20" s="23"/>
      <c r="Q20" s="11"/>
      <c r="R20" s="11" t="str">
        <f>IF(Q20="","",(VLOOKUP(Q20,Sheet1!$A$9:$B$15,2)))</f>
        <v/>
      </c>
      <c r="S20" s="9"/>
      <c r="T20" s="9"/>
      <c r="U20" s="20"/>
    </row>
    <row r="21" spans="1:21">
      <c r="A21" s="3">
        <v>5</v>
      </c>
      <c r="B21" s="4"/>
      <c r="C21" s="5"/>
      <c r="D21" s="6"/>
      <c r="E21" s="19"/>
      <c r="F21" s="16"/>
      <c r="G21" s="16"/>
      <c r="H21" s="6"/>
      <c r="I21" s="22"/>
      <c r="J21" s="23"/>
      <c r="K21" s="31"/>
      <c r="L21" s="10" t="str">
        <f t="shared" si="3"/>
        <v/>
      </c>
      <c r="M21" s="10" t="str">
        <f t="shared" si="5"/>
        <v/>
      </c>
      <c r="N21" s="64" t="str">
        <f>(IF(J21="","",((VLOOKUP(R21,Sheet1!$B$9:$C$15,2)))*365))</f>
        <v/>
      </c>
      <c r="O21" s="10" t="str">
        <f t="shared" si="4"/>
        <v/>
      </c>
      <c r="P21" s="23"/>
      <c r="Q21" s="11"/>
      <c r="R21" s="11" t="str">
        <f>IF(Q21="","",(VLOOKUP(Q21,Sheet1!$A$9:$B$15,2)))</f>
        <v/>
      </c>
      <c r="S21" s="9"/>
      <c r="T21" s="9"/>
      <c r="U21" s="20"/>
    </row>
    <row r="22" spans="1:21">
      <c r="A22" s="3">
        <v>6</v>
      </c>
      <c r="B22" s="4"/>
      <c r="C22" s="5"/>
      <c r="D22" s="6"/>
      <c r="E22" s="19"/>
      <c r="F22" s="16"/>
      <c r="G22" s="16"/>
      <c r="H22" s="6"/>
      <c r="I22" s="16"/>
      <c r="J22" s="23"/>
      <c r="K22" s="31"/>
      <c r="L22" s="10" t="str">
        <f t="shared" si="3"/>
        <v/>
      </c>
      <c r="M22" s="10" t="str">
        <f t="shared" si="5"/>
        <v/>
      </c>
      <c r="N22" s="64" t="str">
        <f>(IF(J22="","",((VLOOKUP(R22,Sheet1!$B$9:$C$15,2)))*365))</f>
        <v/>
      </c>
      <c r="O22" s="10" t="str">
        <f t="shared" si="4"/>
        <v/>
      </c>
      <c r="P22" s="23"/>
      <c r="Q22" s="11"/>
      <c r="R22" s="11" t="str">
        <f>IF(Q22="","",(VLOOKUP(Q22,Sheet1!$A$9:$B$15,2)))</f>
        <v/>
      </c>
      <c r="S22" s="9"/>
      <c r="T22" s="9"/>
      <c r="U22" s="20"/>
    </row>
    <row r="23" spans="1:21">
      <c r="A23" s="3">
        <v>7</v>
      </c>
      <c r="B23" s="4"/>
      <c r="C23" s="14"/>
      <c r="D23" s="6"/>
      <c r="E23" s="19"/>
      <c r="F23" s="16"/>
      <c r="G23" s="16"/>
      <c r="H23" s="6"/>
      <c r="I23" s="16"/>
      <c r="J23" s="23"/>
      <c r="K23" s="31"/>
      <c r="L23" s="10" t="str">
        <f t="shared" si="3"/>
        <v/>
      </c>
      <c r="M23" s="10" t="str">
        <f t="shared" si="5"/>
        <v/>
      </c>
      <c r="N23" s="64" t="str">
        <f>(IF(J23="","",((VLOOKUP(R23,Sheet1!$B$9:$C$15,2)))*365))</f>
        <v/>
      </c>
      <c r="O23" s="10" t="str">
        <f t="shared" si="4"/>
        <v/>
      </c>
      <c r="P23" s="23"/>
      <c r="Q23" s="11"/>
      <c r="R23" s="11" t="str">
        <f>IF(Q23="","",(VLOOKUP(Q23,Sheet1!$A$9:$B$15,2)))</f>
        <v/>
      </c>
      <c r="S23" s="9"/>
      <c r="T23" s="9"/>
      <c r="U23" s="20"/>
    </row>
    <row r="24" spans="1:21">
      <c r="A24" s="3">
        <v>8</v>
      </c>
      <c r="B24" s="4"/>
      <c r="C24" s="5"/>
      <c r="D24" s="6"/>
      <c r="E24" s="19"/>
      <c r="F24" s="16"/>
      <c r="G24" s="16"/>
      <c r="H24" s="6"/>
      <c r="I24" s="16"/>
      <c r="J24" s="23"/>
      <c r="K24" s="31"/>
      <c r="L24" s="10" t="str">
        <f t="shared" si="3"/>
        <v/>
      </c>
      <c r="M24" s="10" t="str">
        <f t="shared" si="5"/>
        <v/>
      </c>
      <c r="N24" s="64" t="str">
        <f>(IF(J24="","",((VLOOKUP(R24,Sheet1!$B$9:$C$15,2)))*365))</f>
        <v/>
      </c>
      <c r="O24" s="10" t="str">
        <f t="shared" si="4"/>
        <v/>
      </c>
      <c r="P24" s="23"/>
      <c r="Q24" s="11"/>
      <c r="R24" s="11" t="str">
        <f>IF(Q24="","",(VLOOKUP(Q24,Sheet1!$A$9:$B$15,2)))</f>
        <v/>
      </c>
      <c r="S24" s="9"/>
      <c r="T24" s="9"/>
      <c r="U24" s="20"/>
    </row>
    <row r="25" spans="1:21">
      <c r="A25" s="3">
        <v>9</v>
      </c>
      <c r="B25" s="4"/>
      <c r="C25" s="5"/>
      <c r="D25" s="6"/>
      <c r="E25" s="9"/>
      <c r="F25" s="16"/>
      <c r="G25" s="16"/>
      <c r="H25" s="6"/>
      <c r="I25" s="22"/>
      <c r="J25" s="23"/>
      <c r="K25" s="31"/>
      <c r="L25" s="10" t="str">
        <f t="shared" si="3"/>
        <v/>
      </c>
      <c r="M25" s="10" t="str">
        <f t="shared" si="5"/>
        <v/>
      </c>
      <c r="N25" s="64" t="str">
        <f>(IF(J25="","",((VLOOKUP(R25,Sheet1!$B$9:$C$15,2)))*365))</f>
        <v/>
      </c>
      <c r="O25" s="10" t="str">
        <f t="shared" si="4"/>
        <v/>
      </c>
      <c r="P25" s="23"/>
      <c r="Q25" s="11"/>
      <c r="R25" s="11" t="str">
        <f>IF(Q25="","",(VLOOKUP(Q25,Sheet1!$A$9:$B$15,2)))</f>
        <v/>
      </c>
      <c r="S25" s="9"/>
      <c r="T25" s="9"/>
      <c r="U25" s="20"/>
    </row>
    <row r="26" spans="1:21">
      <c r="A26" s="3">
        <v>10</v>
      </c>
      <c r="B26" s="4"/>
      <c r="C26" s="5"/>
      <c r="D26" s="6"/>
      <c r="E26" s="19"/>
      <c r="F26" s="16"/>
      <c r="G26" s="16"/>
      <c r="H26" s="6"/>
      <c r="I26" s="22"/>
      <c r="J26" s="23"/>
      <c r="K26" s="31"/>
      <c r="L26" s="10" t="str">
        <f t="shared" si="3"/>
        <v/>
      </c>
      <c r="M26" s="10" t="str">
        <f t="shared" si="5"/>
        <v/>
      </c>
      <c r="N26" s="64" t="str">
        <f>(IF(J26="","",((VLOOKUP(R26,Sheet1!$B$9:$C$15,2)))*365))</f>
        <v/>
      </c>
      <c r="O26" s="10" t="str">
        <f t="shared" si="4"/>
        <v/>
      </c>
      <c r="P26" s="23"/>
      <c r="Q26" s="11"/>
      <c r="R26" s="11" t="str">
        <f>IF(Q26="","",(VLOOKUP(Q26,Sheet1!$A$9:$B$15,2)))</f>
        <v/>
      </c>
      <c r="S26" s="9"/>
      <c r="T26" s="9"/>
      <c r="U26" s="20"/>
    </row>
    <row r="27" spans="1:21">
      <c r="A27" s="3">
        <v>11</v>
      </c>
      <c r="B27" s="4"/>
      <c r="C27" s="5"/>
      <c r="D27" s="6"/>
      <c r="E27" s="19"/>
      <c r="F27" s="16"/>
      <c r="G27" s="16"/>
      <c r="H27" s="6"/>
      <c r="I27" s="22"/>
      <c r="J27" s="23"/>
      <c r="K27" s="31"/>
      <c r="L27" s="10" t="str">
        <f>IF(J27="","",(K27*J27))</f>
        <v/>
      </c>
      <c r="M27" s="10" t="str">
        <f t="shared" si="5"/>
        <v/>
      </c>
      <c r="N27" s="64" t="str">
        <f>(IF(J27="","",((VLOOKUP(R27,Sheet1!$B$9:$C$15,2)))*365))</f>
        <v/>
      </c>
      <c r="O27" s="10" t="str">
        <f>IF(J27="","",(K27*M27))</f>
        <v/>
      </c>
      <c r="P27" s="23"/>
      <c r="Q27" s="11"/>
      <c r="R27" s="11" t="str">
        <f>IF(Q27="","",(VLOOKUP(Q27,Sheet1!$A$9:$B$15,2)))</f>
        <v/>
      </c>
      <c r="S27" s="9"/>
      <c r="T27" s="9"/>
      <c r="U27" s="20"/>
    </row>
    <row r="28" spans="1:21">
      <c r="A28" s="3">
        <v>12</v>
      </c>
      <c r="B28" s="4"/>
      <c r="C28" s="5"/>
      <c r="D28" s="6"/>
      <c r="E28" s="19"/>
      <c r="F28" s="16"/>
      <c r="G28" s="16"/>
      <c r="H28" s="6"/>
      <c r="I28" s="22"/>
      <c r="J28" s="23"/>
      <c r="K28" s="31"/>
      <c r="L28" s="10" t="str">
        <f t="shared" si="3"/>
        <v/>
      </c>
      <c r="M28" s="10" t="str">
        <f t="shared" si="5"/>
        <v/>
      </c>
      <c r="N28" s="64" t="str">
        <f>(IF(J28="","",((VLOOKUP(R28,Sheet1!$B$9:$C$15,2)))*365))</f>
        <v/>
      </c>
      <c r="O28" s="10" t="str">
        <f t="shared" si="4"/>
        <v/>
      </c>
      <c r="P28" s="23"/>
      <c r="Q28" s="11"/>
      <c r="R28" s="11" t="str">
        <f>IF(Q28="","",(VLOOKUP(Q28,Sheet1!$A$9:$B$15,2)))</f>
        <v/>
      </c>
      <c r="S28" s="9"/>
      <c r="T28" s="9"/>
      <c r="U28" s="20"/>
    </row>
    <row r="29" spans="1:21">
      <c r="A29" s="3">
        <v>13</v>
      </c>
      <c r="B29" s="4"/>
      <c r="C29" s="5"/>
      <c r="D29" s="6"/>
      <c r="E29" s="19"/>
      <c r="F29" s="16"/>
      <c r="G29" s="16"/>
      <c r="H29" s="6"/>
      <c r="I29" s="22"/>
      <c r="J29" s="23"/>
      <c r="K29" s="31"/>
      <c r="L29" s="10" t="str">
        <f t="shared" si="3"/>
        <v/>
      </c>
      <c r="M29" s="10" t="str">
        <f t="shared" si="5"/>
        <v/>
      </c>
      <c r="N29" s="64" t="str">
        <f>(IF(J29="","",((VLOOKUP(R29,Sheet1!$B$9:$C$15,2)))*365))</f>
        <v/>
      </c>
      <c r="O29" s="10" t="str">
        <f t="shared" si="4"/>
        <v/>
      </c>
      <c r="P29" s="23"/>
      <c r="Q29" s="11"/>
      <c r="R29" s="11" t="str">
        <f>IF(Q29="","",(VLOOKUP(Q29,Sheet1!$A$9:$B$15,2)))</f>
        <v/>
      </c>
      <c r="S29" s="9"/>
      <c r="T29" s="9"/>
      <c r="U29" s="20"/>
    </row>
    <row r="30" spans="1:21">
      <c r="A30" s="3">
        <v>14</v>
      </c>
      <c r="B30" s="4"/>
      <c r="C30" s="5"/>
      <c r="D30" s="6"/>
      <c r="E30" s="19"/>
      <c r="F30" s="16"/>
      <c r="G30" s="16"/>
      <c r="H30" s="6"/>
      <c r="I30" s="22"/>
      <c r="J30" s="23"/>
      <c r="K30" s="31"/>
      <c r="L30" s="10" t="str">
        <f t="shared" si="3"/>
        <v/>
      </c>
      <c r="M30" s="10" t="str">
        <f t="shared" si="5"/>
        <v/>
      </c>
      <c r="N30" s="64" t="str">
        <f>(IF(J30="","",((VLOOKUP(R30,Sheet1!$B$9:$C$15,2)))*365))</f>
        <v/>
      </c>
      <c r="O30" s="10" t="str">
        <f t="shared" si="4"/>
        <v/>
      </c>
      <c r="P30" s="23"/>
      <c r="Q30" s="11"/>
      <c r="R30" s="11" t="str">
        <f>IF(Q30="","",(VLOOKUP(Q30,Sheet1!$A$9:$B$15,2)))</f>
        <v/>
      </c>
      <c r="S30" s="9"/>
      <c r="T30" s="9"/>
      <c r="U30" s="20"/>
    </row>
    <row r="31" spans="1:21">
      <c r="A31" s="3">
        <v>15</v>
      </c>
      <c r="B31" s="4"/>
      <c r="C31" s="5"/>
      <c r="D31" s="6"/>
      <c r="E31" s="19"/>
      <c r="F31" s="16"/>
      <c r="G31" s="16"/>
      <c r="H31" s="6"/>
      <c r="I31" s="16"/>
      <c r="J31" s="23"/>
      <c r="K31" s="31"/>
      <c r="L31" s="10" t="str">
        <f t="shared" si="3"/>
        <v/>
      </c>
      <c r="M31" s="10" t="str">
        <f t="shared" si="5"/>
        <v/>
      </c>
      <c r="N31" s="64" t="str">
        <f>(IF(J31="","",((VLOOKUP(R31,Sheet1!$B$9:$C$15,2)))*365))</f>
        <v/>
      </c>
      <c r="O31" s="10" t="str">
        <f t="shared" si="4"/>
        <v/>
      </c>
      <c r="P31" s="23"/>
      <c r="Q31" s="11"/>
      <c r="R31" s="11" t="str">
        <f>IF(Q31="","",(VLOOKUP(Q31,Sheet1!$A$9:$B$15,2)))</f>
        <v/>
      </c>
      <c r="S31" s="9"/>
      <c r="T31" s="9"/>
      <c r="U31" s="20"/>
    </row>
    <row r="32" spans="1:21">
      <c r="A32" s="3">
        <v>16</v>
      </c>
      <c r="B32" s="4"/>
      <c r="C32" s="14"/>
      <c r="D32" s="6"/>
      <c r="E32" s="19"/>
      <c r="F32" s="16"/>
      <c r="G32" s="16"/>
      <c r="H32" s="6"/>
      <c r="I32" s="16"/>
      <c r="J32" s="23"/>
      <c r="K32" s="31"/>
      <c r="L32" s="10" t="str">
        <f t="shared" si="3"/>
        <v/>
      </c>
      <c r="M32" s="10" t="str">
        <f t="shared" si="5"/>
        <v/>
      </c>
      <c r="N32" s="64" t="str">
        <f>(IF(J32="","",((VLOOKUP(R32,Sheet1!$B$9:$C$15,2)))*365))</f>
        <v/>
      </c>
      <c r="O32" s="10" t="str">
        <f t="shared" si="4"/>
        <v/>
      </c>
      <c r="P32" s="23"/>
      <c r="Q32" s="11"/>
      <c r="R32" s="11" t="str">
        <f>IF(Q32="","",(VLOOKUP(Q32,Sheet1!$A$9:$B$15,2)))</f>
        <v/>
      </c>
      <c r="S32" s="9"/>
      <c r="T32" s="9"/>
      <c r="U32" s="20"/>
    </row>
    <row r="33" spans="1:21">
      <c r="A33" s="3">
        <v>17</v>
      </c>
      <c r="B33" s="4"/>
      <c r="C33" s="5"/>
      <c r="D33" s="6"/>
      <c r="E33" s="19"/>
      <c r="F33" s="16"/>
      <c r="G33" s="16"/>
      <c r="H33" s="6"/>
      <c r="I33" s="22"/>
      <c r="J33" s="23"/>
      <c r="K33" s="31"/>
      <c r="L33" s="10" t="str">
        <f t="shared" si="3"/>
        <v/>
      </c>
      <c r="M33" s="10" t="str">
        <f t="shared" si="5"/>
        <v/>
      </c>
      <c r="N33" s="64" t="str">
        <f>(IF(J33="","",((VLOOKUP(R33,Sheet1!$B$9:$C$15,2)))*365))</f>
        <v/>
      </c>
      <c r="O33" s="10" t="str">
        <f t="shared" si="4"/>
        <v/>
      </c>
      <c r="P33" s="23"/>
      <c r="Q33" s="11"/>
      <c r="R33" s="11" t="str">
        <f>IF(Q33="","",(VLOOKUP(Q33,Sheet1!$A$9:$B$15,2)))</f>
        <v/>
      </c>
      <c r="S33" s="9"/>
      <c r="T33" s="9"/>
      <c r="U33" s="20"/>
    </row>
    <row r="34" spans="1:21">
      <c r="A34" s="3">
        <v>18</v>
      </c>
      <c r="B34" s="4"/>
      <c r="C34" s="5"/>
      <c r="D34" s="6"/>
      <c r="E34" s="19"/>
      <c r="F34" s="16"/>
      <c r="G34" s="16"/>
      <c r="H34" s="6"/>
      <c r="I34" s="22"/>
      <c r="J34" s="23"/>
      <c r="K34" s="31"/>
      <c r="L34" s="10" t="str">
        <f t="shared" si="3"/>
        <v/>
      </c>
      <c r="M34" s="10" t="str">
        <f t="shared" si="5"/>
        <v/>
      </c>
      <c r="N34" s="64" t="str">
        <f>(IF(J34="","",((VLOOKUP(R34,Sheet1!$B$9:$C$15,2)))*365))</f>
        <v/>
      </c>
      <c r="O34" s="10" t="str">
        <f t="shared" si="4"/>
        <v/>
      </c>
      <c r="P34" s="23"/>
      <c r="Q34" s="11"/>
      <c r="R34" s="11" t="str">
        <f>IF(Q34="","",(VLOOKUP(Q34,Sheet1!$A$9:$B$15,2)))</f>
        <v/>
      </c>
      <c r="S34" s="9"/>
      <c r="T34" s="9"/>
      <c r="U34" s="20"/>
    </row>
    <row r="35" spans="1:21">
      <c r="A35" s="3">
        <v>19</v>
      </c>
      <c r="B35" s="4"/>
      <c r="C35" s="5"/>
      <c r="D35" s="6"/>
      <c r="E35" s="19"/>
      <c r="F35" s="16"/>
      <c r="G35" s="16"/>
      <c r="H35" s="6"/>
      <c r="I35" s="16"/>
      <c r="J35" s="23"/>
      <c r="K35" s="31"/>
      <c r="L35" s="10" t="str">
        <f t="shared" si="3"/>
        <v/>
      </c>
      <c r="M35" s="10" t="str">
        <f t="shared" si="5"/>
        <v/>
      </c>
      <c r="N35" s="64" t="str">
        <f>(IF(J35="","",((VLOOKUP(R35,Sheet1!$B$9:$C$15,2)))*365))</f>
        <v/>
      </c>
      <c r="O35" s="10" t="str">
        <f t="shared" si="4"/>
        <v/>
      </c>
      <c r="P35" s="23"/>
      <c r="Q35" s="11"/>
      <c r="R35" s="11" t="str">
        <f>IF(Q35="","",(VLOOKUP(Q35,Sheet1!$A$9:$B$15,2)))</f>
        <v/>
      </c>
      <c r="S35" s="9"/>
      <c r="T35" s="9"/>
      <c r="U35" s="20"/>
    </row>
    <row r="36" spans="1:21">
      <c r="A36" s="40">
        <v>20</v>
      </c>
      <c r="B36" s="41"/>
      <c r="C36" s="62"/>
      <c r="D36" s="42"/>
      <c r="E36" s="43"/>
      <c r="F36" s="44"/>
      <c r="G36" s="44"/>
      <c r="H36" s="44"/>
      <c r="I36" s="44"/>
      <c r="J36" s="45"/>
      <c r="K36" s="46"/>
      <c r="L36" s="52" t="str">
        <f t="shared" ref="L36" si="6">IF(J36="","",(K36*J36))</f>
        <v/>
      </c>
      <c r="M36" s="10" t="str">
        <f t="shared" si="5"/>
        <v/>
      </c>
      <c r="N36" s="64" t="str">
        <f>(IF(J36="","",((VLOOKUP(R36,Sheet1!$B$9:$C$15,2)))*365))</f>
        <v/>
      </c>
      <c r="O36" s="52" t="str">
        <f t="shared" si="4"/>
        <v/>
      </c>
      <c r="P36" s="45"/>
      <c r="Q36" s="47"/>
      <c r="R36" s="48" t="str">
        <f>IF(Q36="","",(VLOOKUP(Q36,Sheet1!$A$9:$B$15,2)))</f>
        <v/>
      </c>
      <c r="S36" s="48"/>
      <c r="T36" s="48"/>
      <c r="U36" s="49"/>
    </row>
    <row r="37" spans="1:21" s="61" customFormat="1" ht="15" thickBot="1">
      <c r="A37" s="63" t="s">
        <v>178</v>
      </c>
      <c r="B37" s="53"/>
      <c r="C37" s="54"/>
      <c r="D37" s="59"/>
      <c r="E37" s="55"/>
      <c r="F37" s="56"/>
      <c r="G37" s="56"/>
      <c r="H37" s="56"/>
      <c r="I37" s="56"/>
      <c r="J37" s="57">
        <f>SUM(J6:J15,J17:J36)</f>
        <v>0</v>
      </c>
      <c r="K37" s="58"/>
      <c r="L37" s="57">
        <f>SUM(L6:L15,L17:L36)</f>
        <v>0</v>
      </c>
      <c r="M37" s="57">
        <f>SUM(M6:M15,M17:M36)</f>
        <v>0</v>
      </c>
      <c r="N37" s="57"/>
      <c r="O37" s="57">
        <f>SUM(O6:O15,O17:O36)</f>
        <v>0</v>
      </c>
      <c r="P37" s="57"/>
      <c r="Q37" s="57"/>
      <c r="R37" s="59" t="str">
        <f>IF(Q37="","",(VLOOKUP(Q37,Sheet1!$A$9:$B$15,2)))</f>
        <v/>
      </c>
      <c r="S37" s="59"/>
      <c r="T37" s="59"/>
      <c r="U37" s="60"/>
    </row>
    <row r="38" spans="1:21">
      <c r="B38" s="24"/>
      <c r="C38" s="24"/>
      <c r="D38" s="24"/>
      <c r="E38" s="24"/>
      <c r="F38" s="24"/>
      <c r="G38" s="24"/>
      <c r="H38" s="24"/>
      <c r="I38" s="24"/>
      <c r="J38" s="24"/>
      <c r="K38" s="32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>
      <c r="B39" s="24"/>
      <c r="C39" s="24"/>
      <c r="D39" s="24"/>
      <c r="E39" s="24"/>
      <c r="F39" s="24"/>
      <c r="G39" s="24"/>
      <c r="H39" s="24"/>
      <c r="I39" s="24"/>
      <c r="J39" s="24"/>
      <c r="K39" s="32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s="25" customFormat="1" ht="13.15">
      <c r="A40" s="25" t="s">
        <v>179</v>
      </c>
      <c r="B40" s="26"/>
      <c r="C40" s="27"/>
      <c r="D40" s="26" t="s">
        <v>180</v>
      </c>
      <c r="E40" s="28"/>
      <c r="F40" s="26"/>
      <c r="G40" s="26"/>
      <c r="H40" s="26"/>
      <c r="I40" s="26"/>
      <c r="J40" s="26"/>
      <c r="K40" s="33"/>
      <c r="L40" s="26"/>
      <c r="M40" s="26"/>
      <c r="N40" s="26"/>
      <c r="O40" s="26"/>
      <c r="P40" s="26"/>
      <c r="Q40" s="26"/>
      <c r="R40" s="26"/>
      <c r="S40" s="26"/>
      <c r="T40" s="26"/>
      <c r="U40" s="26"/>
    </row>
    <row r="41" spans="1:21" s="25" customFormat="1" ht="13.15">
      <c r="B41" s="26"/>
      <c r="C41" s="26"/>
      <c r="D41" s="26"/>
      <c r="E41" s="26"/>
      <c r="F41" s="26"/>
      <c r="G41" s="26"/>
      <c r="H41" s="26"/>
      <c r="I41" s="26"/>
      <c r="J41" s="26"/>
      <c r="K41" s="33"/>
      <c r="L41" s="26"/>
      <c r="M41" s="65"/>
      <c r="N41" s="26"/>
      <c r="O41" s="26"/>
      <c r="P41" s="26"/>
      <c r="Q41" s="26"/>
      <c r="R41" s="26"/>
      <c r="S41" s="26"/>
      <c r="T41" s="26"/>
      <c r="U41" s="26"/>
    </row>
    <row r="42" spans="1:21" s="25" customFormat="1" ht="13.15">
      <c r="B42" s="26"/>
      <c r="C42" s="26"/>
      <c r="D42" s="26"/>
      <c r="E42" s="26"/>
      <c r="F42" s="26"/>
      <c r="G42" s="26"/>
      <c r="H42" s="26"/>
      <c r="I42" s="26"/>
      <c r="J42" s="26"/>
      <c r="K42" s="33"/>
      <c r="L42" s="26"/>
      <c r="M42" s="66"/>
      <c r="N42" s="26"/>
      <c r="O42" s="26"/>
      <c r="P42" s="26"/>
      <c r="Q42" s="26"/>
      <c r="R42" s="26"/>
      <c r="S42" s="26"/>
      <c r="T42" s="26"/>
      <c r="U42" s="26"/>
    </row>
    <row r="43" spans="1:21" s="25" customFormat="1" ht="13.15">
      <c r="A43" s="25" t="s">
        <v>181</v>
      </c>
      <c r="B43" s="26"/>
      <c r="C43" s="27"/>
      <c r="D43" s="26"/>
      <c r="E43" s="26"/>
      <c r="F43" s="26"/>
      <c r="G43" s="26"/>
      <c r="H43" s="26"/>
      <c r="I43" s="26"/>
      <c r="J43" s="26"/>
      <c r="K43" s="33"/>
      <c r="L43" s="26"/>
      <c r="M43" s="26"/>
      <c r="N43" s="26"/>
      <c r="O43" s="26"/>
      <c r="P43" s="26"/>
      <c r="Q43" s="26"/>
      <c r="R43" s="26"/>
      <c r="S43" s="26"/>
      <c r="T43" s="26"/>
      <c r="U43" s="26"/>
    </row>
    <row r="44" spans="1:21" s="25" customFormat="1" ht="13.15">
      <c r="B44" s="26"/>
      <c r="C44" s="26"/>
      <c r="D44" s="26"/>
      <c r="E44" s="26"/>
      <c r="F44" s="26"/>
      <c r="G44" s="26"/>
      <c r="H44" s="26"/>
      <c r="I44" s="26"/>
      <c r="J44" s="26"/>
      <c r="K44" s="33"/>
      <c r="L44" s="26"/>
      <c r="M44" s="26"/>
      <c r="N44" s="26"/>
      <c r="O44" s="26"/>
      <c r="P44" s="26"/>
      <c r="Q44" s="26"/>
      <c r="R44" s="26"/>
      <c r="S44" s="26"/>
      <c r="T44" s="26"/>
      <c r="U44" s="26"/>
    </row>
    <row r="45" spans="1:21" s="25" customFormat="1" ht="13.15">
      <c r="B45" s="26"/>
      <c r="C45" s="26"/>
      <c r="D45" s="26"/>
      <c r="E45" s="26"/>
      <c r="F45" s="26"/>
      <c r="G45" s="26"/>
      <c r="H45" s="26"/>
      <c r="I45" s="26"/>
      <c r="J45" s="26"/>
      <c r="K45" s="33"/>
      <c r="L45" s="26"/>
      <c r="M45" s="26"/>
      <c r="N45" s="26"/>
      <c r="O45" s="26"/>
      <c r="P45" s="26"/>
      <c r="Q45" s="26"/>
      <c r="R45" s="26"/>
      <c r="S45" s="26"/>
      <c r="T45" s="26"/>
      <c r="U45" s="26"/>
    </row>
  </sheetData>
  <mergeCells count="5">
    <mergeCell ref="A1:U2"/>
    <mergeCell ref="A5:U5"/>
    <mergeCell ref="A16:U16"/>
    <mergeCell ref="A3:B3"/>
    <mergeCell ref="C3:D3"/>
  </mergeCell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D67A702-5B3F-485E-934B-1EB4AF941C44}">
          <x14:formula1>
            <xm:f>Sheet1!$A$2:$A$6</xm:f>
          </x14:formula1>
          <xm:sqref>D6:D15 D17:D37</xm:sqref>
        </x14:dataValidation>
        <x14:dataValidation type="list" allowBlank="1" showInputMessage="1" showErrorMessage="1" xr:uid="{7A588674-8389-4A74-9EA0-F947AD4E090F}">
          <x14:formula1>
            <xm:f>Sheet1!$A$8:$A$14</xm:f>
          </x14:formula1>
          <xm:sqref>Q18:Q37</xm:sqref>
        </x14:dataValidation>
        <x14:dataValidation type="list" allowBlank="1" showInputMessage="1" showErrorMessage="1" xr:uid="{7FD2FD7A-FBD2-40E0-A978-13A31FA7F34F}">
          <x14:formula1>
            <xm:f>Sheet1!$A$18:$A$19</xm:f>
          </x14:formula1>
          <xm:sqref>H6:H15 H17:H37</xm:sqref>
        </x14:dataValidation>
        <x14:dataValidation type="list" allowBlank="1" showInputMessage="1" showErrorMessage="1" xr:uid="{19B883A4-18ED-4BD2-A195-BED73789E005}">
          <x14:formula1>
            <xm:f>Sheet1!$A$9:$A$15</xm:f>
          </x14:formula1>
          <xm:sqref>Q17 Q6:Q15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E409-B514-4587-B242-8616E005B97D}">
  <dimension ref="A2:C19"/>
  <sheetViews>
    <sheetView workbookViewId="0">
      <selection activeCell="D14" sqref="D14"/>
    </sheetView>
  </sheetViews>
  <sheetFormatPr defaultRowHeight="14.45"/>
  <cols>
    <col min="1" max="1" width="23.85546875" bestFit="1" customWidth="1"/>
  </cols>
  <sheetData>
    <row r="2" spans="1:3">
      <c r="A2" t="s">
        <v>182</v>
      </c>
    </row>
    <row r="3" spans="1:3">
      <c r="A3" t="s">
        <v>183</v>
      </c>
    </row>
    <row r="4" spans="1:3">
      <c r="A4" t="s">
        <v>184</v>
      </c>
    </row>
    <row r="5" spans="1:3">
      <c r="A5" t="s">
        <v>185</v>
      </c>
    </row>
    <row r="6" spans="1:3">
      <c r="A6" t="s">
        <v>186</v>
      </c>
    </row>
    <row r="8" spans="1:3">
      <c r="A8" s="35"/>
      <c r="C8" s="35"/>
    </row>
    <row r="9" spans="1:3">
      <c r="A9" s="35" t="s">
        <v>187</v>
      </c>
      <c r="B9" t="s">
        <v>188</v>
      </c>
      <c r="C9" s="50" t="s">
        <v>189</v>
      </c>
    </row>
    <row r="10" spans="1:3">
      <c r="A10" s="35" t="s">
        <v>190</v>
      </c>
      <c r="B10" t="s">
        <v>191</v>
      </c>
      <c r="C10" s="50" t="s">
        <v>192</v>
      </c>
    </row>
    <row r="11" spans="1:3">
      <c r="A11" s="35" t="s">
        <v>193</v>
      </c>
      <c r="B11" t="s">
        <v>194</v>
      </c>
      <c r="C11" s="50" t="s">
        <v>195</v>
      </c>
    </row>
    <row r="12" spans="1:3">
      <c r="A12" s="35" t="s">
        <v>196</v>
      </c>
      <c r="B12" t="s">
        <v>197</v>
      </c>
      <c r="C12" s="50" t="s">
        <v>198</v>
      </c>
    </row>
    <row r="13" spans="1:3">
      <c r="A13" s="35" t="s">
        <v>199</v>
      </c>
      <c r="B13" t="s">
        <v>188</v>
      </c>
      <c r="C13" s="50" t="s">
        <v>189</v>
      </c>
    </row>
    <row r="14" spans="1:3">
      <c r="A14" s="35" t="s">
        <v>200</v>
      </c>
      <c r="B14" t="s">
        <v>188</v>
      </c>
      <c r="C14" s="50" t="s">
        <v>189</v>
      </c>
    </row>
    <row r="15" spans="1:3">
      <c r="A15" s="35" t="s">
        <v>201</v>
      </c>
      <c r="B15" t="s">
        <v>202</v>
      </c>
      <c r="C15" s="50" t="s">
        <v>203</v>
      </c>
    </row>
    <row r="18" spans="1:1">
      <c r="A18" t="s">
        <v>204</v>
      </c>
    </row>
    <row r="19" spans="1:1">
      <c r="A19" t="s">
        <v>205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  <SharedWithUsers xmlns="dc808d36-874f-4b27-aec2-2fd649817929">
      <UserInfo>
        <DisplayName/>
        <AccountId xsi:nil="true"/>
        <AccountType/>
      </UserInfo>
    </SharedWithUsers>
    <MediaLengthInSeconds xmlns="f2466082-b6bf-4153-98c3-3c41e85fda1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8B647D-7A07-4CC3-8334-FF52469AC817}"/>
</file>

<file path=customXml/itemProps2.xml><?xml version="1.0" encoding="utf-8"?>
<ds:datastoreItem xmlns:ds="http://schemas.openxmlformats.org/officeDocument/2006/customXml" ds:itemID="{A4399B34-D4A9-4232-AE49-1EB05B9B8D9A}"/>
</file>

<file path=customXml/itemProps3.xml><?xml version="1.0" encoding="utf-8"?>
<ds:datastoreItem xmlns:ds="http://schemas.openxmlformats.org/officeDocument/2006/customXml" ds:itemID="{DB41630D-A6A6-4718-8C78-4231A7CBC1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Shirlene Croal</cp:lastModifiedBy>
  <cp:revision/>
  <dcterms:created xsi:type="dcterms:W3CDTF">2021-09-14T06:49:40Z</dcterms:created>
  <dcterms:modified xsi:type="dcterms:W3CDTF">2023-04-28T14:08:22Z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  <property fmtid="{D5CDD505-2E9C-101B-9397-08002B2CF9AE}" pid="4" name="Order">
    <vt:r8>53138300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