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mart\Downloads\"/>
    </mc:Choice>
  </mc:AlternateContent>
  <xr:revisionPtr revIDLastSave="0" documentId="13_ncr:1_{2DEC172B-4CAD-4DC9-8CE2-5DA857D0B038}" xr6:coauthVersionLast="47" xr6:coauthVersionMax="47" xr10:uidLastSave="{00000000-0000-0000-0000-000000000000}"/>
  <bookViews>
    <workbookView xWindow="1098" yWindow="1098" windowWidth="10968" windowHeight="3774" tabRatio="895" xr2:uid="{00000000-000D-0000-FFFF-FFFF00000000}"/>
  </bookViews>
  <sheets>
    <sheet name="Budget Summary" sheetId="19" r:id="rId1"/>
    <sheet name="Budget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</externalReferences>
  <definedNames>
    <definedName name="\a">'[1]CUADRO No 4'!#REF!</definedName>
    <definedName name="\c">#REF!</definedName>
    <definedName name="\i">#REF!</definedName>
    <definedName name="\P">#REF!</definedName>
    <definedName name="\r">#REF!</definedName>
    <definedName name="__pd1">[2]Rates!$J$24</definedName>
    <definedName name="__pd6">[2]Rates!$J$30</definedName>
    <definedName name="__tix1">[2]Rates!$J$40</definedName>
    <definedName name="__tix2">[2]Rates!$J$41</definedName>
    <definedName name="__tix6">[2]Rates!$J$47</definedName>
    <definedName name="_1">#REF!</definedName>
    <definedName name="_1998">#REF!</definedName>
    <definedName name="_1999">#REF!</definedName>
    <definedName name="_2">#REF!</definedName>
    <definedName name="_2000">#REF!</definedName>
    <definedName name="_2001">#REF!</definedName>
    <definedName name="_2002">#REF!</definedName>
    <definedName name="_3">#REF!</definedName>
    <definedName name="_4">#REF!</definedName>
    <definedName name="_5">#REF!</definedName>
    <definedName name="_6">#REF!</definedName>
    <definedName name="_7">#REF!</definedName>
    <definedName name="_8">#REF!</definedName>
    <definedName name="_fmi1">[3]PAGOFMI!$A$1:$L$51</definedName>
    <definedName name="_fmi2">[3]PAGOFMI!$P$1:$AA$51</definedName>
    <definedName name="_fmi3">[3]PAGORES!$AC$1:$AN$43</definedName>
    <definedName name="_fmi4">[3]PAGORES!$AP$1:$BA$44</definedName>
    <definedName name="_Order1" hidden="1">255</definedName>
    <definedName name="_Order2" hidden="1">255</definedName>
    <definedName name="_PIB01">[4]SUPUESTOS!#REF!</definedName>
    <definedName name="_PIB02">[5]SUPUESTOS!#REF!</definedName>
    <definedName name="_PIB95">[4]SUPUESTOS!$J$47</definedName>
    <definedName name="_PIB96">[4]SUPUESTOS!$K$47</definedName>
    <definedName name="_PIB97">[6]SUPUESTOS!$L$47</definedName>
    <definedName name="_PIB98">[6]SUPUESTOS!$M$47</definedName>
    <definedName name="_PIB99">[6]SUPUESTOS!$N$47</definedName>
    <definedName name="_RES9397">#REF!</definedName>
    <definedName name="_rez2">'[3]PAGOS VIGENCIA t'!$A$57:$AH$108</definedName>
    <definedName name="_rez3">[3]PAGORES!$A$1:$M$37</definedName>
    <definedName name="_rez4">[3]PAGORES!$O$1:$AN$43</definedName>
    <definedName name="_Table1_Out" hidden="1">[7]CARBOCOL!#REF!</definedName>
    <definedName name="_Table2_In2" hidden="1">[8]ANUAL1!#REF!</definedName>
    <definedName name="_Table2_Out" hidden="1">[7]CARBOCOL!#REF!</definedName>
    <definedName name="a">#REF!</definedName>
    <definedName name="A_2002">#REF!</definedName>
    <definedName name="A_CAPITAL">[9]Hoja4!$B$3:$O$34</definedName>
    <definedName name="A_DEPTOS">[9]Hoja4!$B$76:$N$108</definedName>
    <definedName name="A_impresión_IM">#REF!</definedName>
    <definedName name="A_MUNPIOS">[9]Hoja4!$B$39:$N$71</definedName>
    <definedName name="AAA">[10]proyecINGRESOS99!$L$1:$T$97</definedName>
    <definedName name="AEFormar">[11]Variables!$C$5</definedName>
    <definedName name="Ajustado">#REF!</definedName>
    <definedName name="almuerzo">[11]Variables!$C$18</definedName>
    <definedName name="alquilertableta">[11]Variables!$C$21</definedName>
    <definedName name="ANEXO_No.">#REF!</definedName>
    <definedName name="ANEXO_No._5">#REF!</definedName>
    <definedName name="ANP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ANPDH">'[12]Salary &amp; PR Tax'!#REF!</definedName>
    <definedName name="aprnac">[13]GASTOS!#REF!</definedName>
    <definedName name="APROPIACIONES_PAC_Y_REZAGO_1999___2000">#REF!</definedName>
    <definedName name="aprprp">[13]GASTOS!#REF!</definedName>
    <definedName name="asigbas">#REF!</definedName>
    <definedName name="asigbasempu">#REF!</definedName>
    <definedName name="asigbasisten">#REF!</definedName>
    <definedName name="asigmen">#REF!</definedName>
    <definedName name="auxalm">#REF!</definedName>
    <definedName name="B">[14]LOTERIAS!$B$54:$P$54</definedName>
    <definedName name="BASE" hidden="1">'[15]BD Julio 2018'!$E$5:$DA$440</definedName>
    <definedName name="basnac">[13]GASTOS!#REF!</definedName>
    <definedName name="basprp">[13]GASTOS!#REF!</definedName>
    <definedName name="Board">'[16]Schedule E - Other'!$F$102</definedName>
    <definedName name="bonser">#REF!</definedName>
    <definedName name="cantidadtabletamatricula">[11]Variables!$C$8</definedName>
    <definedName name="CARBOCRECIM">#REF!</definedName>
    <definedName name="CARBOPESOS">#REF!</definedName>
    <definedName name="CARBOPIB">#REF!</definedName>
    <definedName name="castigocuadro2">'[17]CUA1-3'!$Y$1:$AD$93</definedName>
    <definedName name="CAT_00">'[18]94-03 Mil Corr '!#REF!</definedName>
    <definedName name="CAT_01">'[18]94-03 Mil Corr '!#REF!</definedName>
    <definedName name="CAT_02">'[18]94-03 Mil Corr '!#REF!</definedName>
    <definedName name="CAT_94">'[18]94-03 Mil Corr '!#REF!</definedName>
    <definedName name="CAT_95">'[18]94-03 Mil Corr '!#REF!</definedName>
    <definedName name="CAT_96">'[18]94-03 Mil Corr '!#REF!</definedName>
    <definedName name="CAT_97">'[18]94-03 Mil Corr '!#REF!</definedName>
    <definedName name="CAT_98">'[18]94-03 Mil Corr '!#REF!</definedName>
    <definedName name="CAT_99">'[18]94-03 Mil Corr '!#REF!</definedName>
    <definedName name="CEE_Consult">#REF!</definedName>
    <definedName name="CENIDH">#REF!</definedName>
    <definedName name="CENSO1964">#REF!</definedName>
    <definedName name="CENSO1973">#REF!</definedName>
    <definedName name="CENSO1985">#REF!</definedName>
    <definedName name="CENTROGESTOR">#REF!</definedName>
    <definedName name="CENTROGESTORDEPENDENCIA">#REF!</definedName>
    <definedName name="centrogestornuevo">#REF!</definedName>
    <definedName name="COD_DEP">#REF!</definedName>
    <definedName name="COD_DEPARTAMENTO">#REF!</definedName>
    <definedName name="COD_MUN">#REF!</definedName>
    <definedName name="CODIGO_DIVIPOLA">#REF!</definedName>
    <definedName name="COL_MENU">[19]RESUMEN!#REF!</definedName>
    <definedName name="COLUM00PESOS">#REF!</definedName>
    <definedName name="COLUM00PIB">#REF!</definedName>
    <definedName name="COLUM01PESOS">#REF!</definedName>
    <definedName name="COLUM01PIB">#REF!</definedName>
    <definedName name="COLUM02PESOS">#REF!</definedName>
    <definedName name="COLUM02PIB">#REF!</definedName>
    <definedName name="COLUM03PESOS">#REF!</definedName>
    <definedName name="COLUM03PIB">#REF!</definedName>
    <definedName name="COLUM04PESOS">#REF!</definedName>
    <definedName name="COLUM04PIB">#REF!</definedName>
    <definedName name="COLUM05PESOS">#REF!</definedName>
    <definedName name="COLUM05PIB">#REF!</definedName>
    <definedName name="COLUM06PESOS">#REF!</definedName>
    <definedName name="COLUM06PIB">#REF!</definedName>
    <definedName name="COLUM07PESOS">#REF!</definedName>
    <definedName name="COLUM07PIB">#REF!</definedName>
    <definedName name="COLUM98PESOS">#REF!</definedName>
    <definedName name="COLUM98PIB">#REF!</definedName>
    <definedName name="COLUM99PESOS">#REF!</definedName>
    <definedName name="COLUM99PIB">#REF!</definedName>
    <definedName name="COMPOSICION_DEL_PRESUPUESTO_DE_RENTAS_DE_LA_NACION">'[10]proyecINGRESOS99 (det)'!$V$98:$AH$145</definedName>
    <definedName name="Confis">#REF!</definedName>
    <definedName name="Consultants">#REF!</definedName>
    <definedName name="CPDH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CRBLO00_">#REF!</definedName>
    <definedName name="CRBLO93_">#REF!</definedName>
    <definedName name="CRBLO94_">#REF!</definedName>
    <definedName name="CRBLO95_">#REF!</definedName>
    <definedName name="CRBLO96_">#REF!</definedName>
    <definedName name="CRBLO97_">#REF!</definedName>
    <definedName name="CRBLO98_">#REF!</definedName>
    <definedName name="CRBLO99_">#REF!</definedName>
    <definedName name="CRCOMB00_">#REF!</definedName>
    <definedName name="CRCOMB93_">#REF!</definedName>
    <definedName name="CRCOMB94_">#REF!</definedName>
    <definedName name="CRCOMB95_">#REF!</definedName>
    <definedName name="CRCOMB96_">#REF!</definedName>
    <definedName name="CRCOMB97_">#REF!</definedName>
    <definedName name="CRCOMB98_">#REF!</definedName>
    <definedName name="CRCOMB99_">#REF!</definedName>
    <definedName name="CRDEM00_">#REF!</definedName>
    <definedName name="CRDEM93_">#REF!</definedName>
    <definedName name="CRDEM94_">#REF!</definedName>
    <definedName name="CRDEM95_">#REF!</definedName>
    <definedName name="CRDEM96_">#REF!</definedName>
    <definedName name="CRDEM97_">#REF!</definedName>
    <definedName name="CRDEM98_">#REF!</definedName>
    <definedName name="CRDEM99_">#REF!</definedName>
    <definedName name="CREUF00_">#REF!</definedName>
    <definedName name="CREUF93_">#REF!</definedName>
    <definedName name="CREUF94_">#REF!</definedName>
    <definedName name="CREUF95_">#REF!</definedName>
    <definedName name="CREUF96_">#REF!</definedName>
    <definedName name="CREUF97_">#REF!</definedName>
    <definedName name="CREUF98_">#REF!</definedName>
    <definedName name="CREUF99_">#REF!</definedName>
    <definedName name="cruce">#REF!</definedName>
    <definedName name="CRUCE2">#REF!</definedName>
    <definedName name="CRUCE3">#REF!</definedName>
    <definedName name="Cuadro_2b1">[20]RESUOPE!$AE$150:$BB$224</definedName>
    <definedName name="CUADRO_No._1">#REF!</definedName>
    <definedName name="CUADRO_No._10">#REF!</definedName>
    <definedName name="CUADRO_No._12">#REF!</definedName>
    <definedName name="CUADRO_No._13">#REF!</definedName>
    <definedName name="Cuadro_No._1a">[21]Hoja1!$B$3:$E$38</definedName>
    <definedName name="Cuadro_No._1b">[21]Hoja2!$L$3:$O$23</definedName>
    <definedName name="Cuadro_No._1C">[21]Hoja1!$B$50:$E$88</definedName>
    <definedName name="CUADRO_No._2">#REF!</definedName>
    <definedName name="CUADRO_No._3">#REF!</definedName>
    <definedName name="CUADRO_No._4">#REF!</definedName>
    <definedName name="CUADRO_No._5">#REF!</definedName>
    <definedName name="CUADRO_No._6">#REF!</definedName>
    <definedName name="CUADRO_No._6A">#REF!</definedName>
    <definedName name="CUADRO_No._7">#REF!</definedName>
    <definedName name="CUADRO_No._8">#REF!</definedName>
    <definedName name="CUADRO_No._9">#REF!</definedName>
    <definedName name="Cuadro2b">[20]RESUOPE!$B$9:$AB$83</definedName>
    <definedName name="CUAINGRE">#REF!</definedName>
    <definedName name="Cwvu.ComparEneMar9697." hidden="1">'[22]Seguimiento CSF'!#REF!,'[22]Seguimiento CSF'!$A$30:$IV$34,'[22]Seguimiento CSF'!$A$104:$IV$104,'[22]Seguimiento CSF'!#REF!,'[22]Seguimiento CSF'!#REF!,'[22]Seguimiento CSF'!$A$124:$IV$125</definedName>
    <definedName name="Cwvu.EneFeb." hidden="1">'[22]Seguimiento CSF'!#REF!,'[22]Seguimiento CSF'!#REF!</definedName>
    <definedName name="Cwvu.EneMar." hidden="1">'[22]Seguimiento CSF'!#REF!,'[22]Seguimiento CSF'!$A$67:$IV$67,'[22]Seguimiento CSF'!#REF!,'[22]Seguimiento CSF'!#REF!</definedName>
    <definedName name="Cwvu.Formato._.Corto." hidden="1">'[22]Seguimiento CSF'!$A$11:$IV$12,'[22]Seguimiento CSF'!#REF!,'[22]Seguimiento CSF'!$A$45:$IV$46,'[22]Seguimiento CSF'!$A$48:$IV$57,'[22]Seguimiento CSF'!$A$61:$IV$63,'[22]Seguimiento CSF'!$A$65:$IV$66,'[22]Seguimiento CSF'!$A$72:$IV$82,'[22]Seguimiento CSF'!$A$89:$IV$92,'[22]Seguimiento CSF'!$A$114:$IV$116,'[22]Seguimiento CSF'!$A$118:$IV$122,'[22]Seguimiento CSF'!$A$129:$IV$132,'[22]Seguimiento CSF'!$A$134:$IV$135</definedName>
    <definedName name="Cwvu.Formato._.Total." hidden="1">'[22]Seguimiento CSF'!#REF!,'[22]Seguimiento CSF'!#REF!,'[22]Seguimiento CSF'!#REF!</definedName>
    <definedName name="d">'[23]Dolares ingresos'!$C$2:$U$48</definedName>
    <definedName name="dasdasd">'[1]CUADRO No 4'!#REF!</definedName>
    <definedName name="_xlnm.Database">#REF!</definedName>
    <definedName name="DBALANCEFMI2">#REF!</definedName>
    <definedName name="DboREGISTRO_LEY_617">#REF!</definedName>
    <definedName name="DDD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debajo98">#REF!</definedName>
    <definedName name="DEPAR_CA">[9]Hoja4!$B$3:$B$34</definedName>
    <definedName name="DEPAR_DEP">[9]Hoja4!$B$76:$B$108</definedName>
    <definedName name="DEPAR_MUN">[9]Hoja4!$B$39:$B$71</definedName>
    <definedName name="DEPENDENCIA">#REF!</definedName>
    <definedName name="DEPTO">#REF!</definedName>
    <definedName name="DEPTO_2002">#REF!</definedName>
    <definedName name="DETALLE_DE_LA_COMPOSICION_DEL_PRESUPUESTO_DE_RENTAS_DE_LA_NACION">[10]proyecINGRESOS99!$A$1:$I$97</definedName>
    <definedName name="DETALLE1996">#REF!</definedName>
    <definedName name="DETALLE1997">#REF!</definedName>
    <definedName name="deuda">#REF!</definedName>
    <definedName name="DEUDA_FLOTANTE_1990_1998">#REF!</definedName>
    <definedName name="diames">[11]Variables!$C$30</definedName>
    <definedName name="DIFERCOLUM00">#REF!</definedName>
    <definedName name="DIFERCOLUM01">#REF!</definedName>
    <definedName name="DIFERCOLUM02">#REF!</definedName>
    <definedName name="DIFERCOLUM99">#REF!</definedName>
    <definedName name="digitador">[11]Variables!$E$33</definedName>
    <definedName name="dos">#REF!</definedName>
    <definedName name="DPTOS">#REF!</definedName>
    <definedName name="ECOPETROLCRECIM">#REF!</definedName>
    <definedName name="ECOPETROLPESOS">#REF!</definedName>
    <definedName name="ECOPETROLPIB">#REF!</definedName>
    <definedName name="EDUCA_00">#REF!</definedName>
    <definedName name="EDUCA_01">#REF!</definedName>
    <definedName name="EDUCA_94">#REF!</definedName>
    <definedName name="EDUCA_95">#REF!</definedName>
    <definedName name="EDUCA_96">#REF!</definedName>
    <definedName name="EDUCA_97">#REF!</definedName>
    <definedName name="EDUCA_98">#REF!</definedName>
    <definedName name="EDUCA_99">#REF!</definedName>
    <definedName name="EGRAFICOS1">#REF!</definedName>
    <definedName name="EGRAFICOS2">#REF!</definedName>
    <definedName name="EGRAFICOS3">#REF!</definedName>
    <definedName name="ejcprp">[13]GASTOS!#REF!</definedName>
    <definedName name="eje">[13]GASTOS!#REF!</definedName>
    <definedName name="ELASTICIDAD_RECAUDO_IVA">#REF!</definedName>
    <definedName name="ELECTRICOCRECIM">#REF!</definedName>
    <definedName name="ELECTRICOPESOS">#REF!</definedName>
    <definedName name="ELECTRICOPIB">#REF!</definedName>
    <definedName name="emppln">#REF!</definedName>
    <definedName name="encima98">#REF!</definedName>
    <definedName name="ENEROP">#REF!</definedName>
    <definedName name="ENERORN">#REF!</definedName>
    <definedName name="ENERORP">#REF!</definedName>
    <definedName name="Equipment">'[24]Schedule D - Equipment'!$E$26</definedName>
    <definedName name="ESCENARIO__0">#REF!</definedName>
    <definedName name="ESCENARIO__1">#REF!</definedName>
    <definedName name="ESCENARIO_1__Ajustado">#REF!</definedName>
    <definedName name="ESCENARIO_2">#REF!</definedName>
    <definedName name="ESCENARIO_3">#REF!</definedName>
    <definedName name="ESCENARIO_NUEVO">#REF!</definedName>
    <definedName name="estimaciones">#REF!</definedName>
    <definedName name="FEBRERON">[25]VIGN!#REF!</definedName>
    <definedName name="FEBREROP">#REF!</definedName>
    <definedName name="FEBRERORN">#REF!</definedName>
    <definedName name="FEBRERORP">#REF!</definedName>
    <definedName name="ffff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FFPPT">#REF!</definedName>
    <definedName name="fg">#REF!</definedName>
    <definedName name="FNCCRECIM">#REF!</definedName>
    <definedName name="FNCPESOS">#REF!</definedName>
    <definedName name="FNCPIB">#REF!</definedName>
    <definedName name="FONDO">#REF!</definedName>
    <definedName name="FONDOS">[26]MYLIST!$C$2:$C$126</definedName>
    <definedName name="FONPET2000">#REF!</definedName>
    <definedName name="FONPET2001">#REF!</definedName>
    <definedName name="FONPET2002">#REF!</definedName>
    <definedName name="FONPET2003">#REF!</definedName>
    <definedName name="FONPET2004">#REF!</definedName>
    <definedName name="FONPET2005">#REF!</definedName>
    <definedName name="FONPETOTAL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FOPEA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FORZ_00">'[18]94-03 Mil Corr '!#REF!</definedName>
    <definedName name="FORZ_01_RESERVA">'[18]94-03 Mil Corr '!#REF!</definedName>
    <definedName name="FORZ_94">'[18]94-03 Mil Corr '!#REF!</definedName>
    <definedName name="FORZ_95">'[18]94-03 Mil Corr '!#REF!</definedName>
    <definedName name="FORZ_96">'[18]94-03 Mil Corr '!#REF!</definedName>
    <definedName name="FORZ_97">'[18]94-03 Mil Corr '!#REF!</definedName>
    <definedName name="FORZ_98">'[18]94-03 Mil Corr '!#REF!</definedName>
    <definedName name="FORZ_99">'[18]94-03 Mil Corr '!#REF!</definedName>
    <definedName name="FORZ_PG_02">'[18]94-03 Mil Corr '!#REF!</definedName>
    <definedName name="fsfsf">[25]VIGN!#REF!</definedName>
    <definedName name="fun">[13]GASTOS!#REF!</definedName>
    <definedName name="Fundamedios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FUT">#REF!</definedName>
    <definedName name="futnac">[13]GASTOS!#REF!</definedName>
    <definedName name="futprp">[13]GASTOS!#REF!</definedName>
    <definedName name="GASOLINA_REGULAR">'[27]MODELO DE GASOLINA'!$A$8:$P$25</definedName>
    <definedName name="gasrep">#REF!</definedName>
    <definedName name="Gastos_generales">#REF!</definedName>
    <definedName name="GOBIERNOCRECIM">#REF!</definedName>
    <definedName name="GOBIERNOPESOS">#REF!</definedName>
    <definedName name="GOBIERNOPIB">#REF!</definedName>
    <definedName name="GREFORMASRESUM1">#REF!</definedName>
    <definedName name="GREFORMASRESUM2">#REF!</definedName>
    <definedName name="GREFORMASRESUM3">#REF!</definedName>
    <definedName name="horaasistente">[11]Variables!$C$32</definedName>
    <definedName name="horext">#REF!</definedName>
    <definedName name="Housing">'[12]Salary &amp; PR Tax'!#REF!</definedName>
    <definedName name="i">#REF!</definedName>
    <definedName name="IN00_">#REF!</definedName>
    <definedName name="IN93_">#REF!</definedName>
    <definedName name="IN94_">#REF!</definedName>
    <definedName name="IN95_">#REF!</definedName>
    <definedName name="IN96_">#REF!</definedName>
    <definedName name="IN97_">#REF!</definedName>
    <definedName name="IN98_">#REF!</definedName>
    <definedName name="IN99_">#REF!</definedName>
    <definedName name="INCGG00_">#REF!</definedName>
    <definedName name="INCGG93_">#REF!</definedName>
    <definedName name="INCGG94_">#REF!</definedName>
    <definedName name="INCGG95_">#REF!</definedName>
    <definedName name="INCGG96_">#REF!</definedName>
    <definedName name="INCGG97_">#REF!</definedName>
    <definedName name="INCGG98_">#REF!</definedName>
    <definedName name="INCGG99_">#REF!</definedName>
    <definedName name="INCSP00_">#REF!</definedName>
    <definedName name="INCSP93_">#REF!</definedName>
    <definedName name="INCSP94_">#REF!</definedName>
    <definedName name="INCSP95_">#REF!</definedName>
    <definedName name="INCSP96_">#REF!</definedName>
    <definedName name="INCSP97_">#REF!</definedName>
    <definedName name="INCSP98_">#REF!</definedName>
    <definedName name="INCSP99_">#REF!</definedName>
    <definedName name="INCTRAN00_">#REF!</definedName>
    <definedName name="INCTRAN93_">#REF!</definedName>
    <definedName name="INCTRAN94_">#REF!</definedName>
    <definedName name="INCTRAN95_">#REF!</definedName>
    <definedName name="INCTRAN96_">#REF!</definedName>
    <definedName name="INCTRAN97_">#REF!</definedName>
    <definedName name="INCTRAN98_">#REF!</definedName>
    <definedName name="INCTRAN99_">#REF!</definedName>
    <definedName name="inf">[28]Assumptions!$C$75</definedName>
    <definedName name="Inflation">'[29]Detail-1'!$J$2</definedName>
    <definedName name="ingapr">#REF!</definedName>
    <definedName name="ingbas">#REF!</definedName>
    <definedName name="ingest">#REF!</definedName>
    <definedName name="ingprg">#REF!</definedName>
    <definedName name="ingresos">#REF!</definedName>
    <definedName name="INGRESOS_DE_LA_NACION__1996_REAL__1997_ESTIMACION_Y_1998_PROYECCION">#REF!</definedName>
    <definedName name="ingresos97">#REF!</definedName>
    <definedName name="ingsol">#REF!</definedName>
    <definedName name="Interns">#REF!</definedName>
    <definedName name="INTYCOM00_">[14]SUPUESTOS!$O$70</definedName>
    <definedName name="INTYCOM94_">[14]SUPUESTOS!$I$70</definedName>
    <definedName name="INTYCOM95_">[14]SUPUESTOS!$J$70</definedName>
    <definedName name="INTYCOM96_">[14]SUPUESTOS!$K$70</definedName>
    <definedName name="INTYCOM97_">[14]SUPUESTOS!$L$70</definedName>
    <definedName name="INTYCOM98_">[14]SUPUESTOS!$M$70</definedName>
    <definedName name="INTYCOM99_">[14]SUPUESTOS!$N$70</definedName>
    <definedName name="ipys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IVAN">#REF!</definedName>
    <definedName name="jenn">#REF!</definedName>
    <definedName name="KBALANCEVSFMI">#REF!</definedName>
    <definedName name="kkkk">'[30]CUADRO No 4'!#REF!</definedName>
    <definedName name="LIBRE_00">#REF!</definedName>
    <definedName name="LIBRE_01_RESERVA">#REF!</definedName>
    <definedName name="LIBRE_02">#REF!</definedName>
    <definedName name="LIBRE_94">#REF!</definedName>
    <definedName name="LIBRE_95">#REF!</definedName>
    <definedName name="LIBRE_96">#REF!</definedName>
    <definedName name="LIBRE_97">#REF!</definedName>
    <definedName name="LIBRE_98">#REF!</definedName>
    <definedName name="LIBRE_99">#REF!</definedName>
    <definedName name="LIFER">'[31]Causación LFSB'!$D$2:$E$1343</definedName>
    <definedName name="LIN">[32]Hoja2!$A$1:$L$1501</definedName>
    <definedName name="liqui">#REF!</definedName>
    <definedName name="liquidacion97">'[33]LIQUI-TRANSF'!#REF!</definedName>
    <definedName name="llamadasdiarias">[11]Variables!$C$10</definedName>
    <definedName name="Local_Hire">#REF!</definedName>
    <definedName name="Local_Hires">#REF!</definedName>
    <definedName name="LPORTADASECTOR">#REF!</definedName>
    <definedName name="M">[34]Datos!$F$34</definedName>
    <definedName name="MACRO">#REF!</definedName>
    <definedName name="MARZON">[25]VIGN!#REF!</definedName>
    <definedName name="MARZOP">#REF!</definedName>
    <definedName name="MARZORN">#REF!</definedName>
    <definedName name="MARZORP">#REF!</definedName>
    <definedName name="Merit">'[29]Detail-1'!$J$1</definedName>
    <definedName name="METAAFPDCC">#REF!</definedName>
    <definedName name="METAPDCC">#REF!</definedName>
    <definedName name="METASAFPDCC">#REF!</definedName>
    <definedName name="METASAFPDM">#REF!</definedName>
    <definedName name="METASPDCC">#REF!</definedName>
    <definedName name="METASPDM">'[35]LISTA MPD'!$A$2:$A$616</definedName>
    <definedName name="METROCRECIM">#REF!</definedName>
    <definedName name="METROPESOS">#REF!</definedName>
    <definedName name="METROPIB">#REF!</definedName>
    <definedName name="mincelular">[11]Variables!$C$20</definedName>
    <definedName name="MINISTRO">'[36]CUA1-3'!#REF!</definedName>
    <definedName name="MUNICIPIO">#REF!</definedName>
    <definedName name="NACION">#REF!</definedName>
    <definedName name="nivel">#REF!</definedName>
    <definedName name="NOINCLUIDCRECIM">#REF!</definedName>
    <definedName name="NOINCLUIPESOS">#REF!</definedName>
    <definedName name="nomniv">#REF!</definedName>
    <definedName name="NOVDEUDAFLOTANTE">#REF!</definedName>
    <definedName name="NOVEVOLREZAGO">#REF!</definedName>
    <definedName name="OE97B">#REF!</definedName>
    <definedName name="OEPROY97">#REF!</definedName>
    <definedName name="OPEN">'[37]OPENT 11-abr'!$E$2:$BQ$1737</definedName>
    <definedName name="opetesore00">#REF!</definedName>
    <definedName name="opetesore98">#REF!</definedName>
    <definedName name="opetesore99">#REF!</definedName>
    <definedName name="P">'[23]Pesos ingresos'!$C$2:$U$111</definedName>
    <definedName name="padf01">'[38]Level of Effort'!$C$14</definedName>
    <definedName name="padf02">'[38]Level of Effort'!$C$15</definedName>
    <definedName name="padf03">'[38]Level of Effort'!$C$16</definedName>
    <definedName name="padf04">'[38]Level of Effort'!$C$17</definedName>
    <definedName name="padf05">[38]Rates!$J$23</definedName>
    <definedName name="PAGOPROM00_">#REF!</definedName>
    <definedName name="PAGOPROM93_">#REF!</definedName>
    <definedName name="PAGOPROM94_">#REF!</definedName>
    <definedName name="PAGOPROM95_">#REF!</definedName>
    <definedName name="PAGOPROM96_">#REF!</definedName>
    <definedName name="PAGOPROM97_">#REF!</definedName>
    <definedName name="PAGOPROM98_">#REF!</definedName>
    <definedName name="PAGOPROM99_">#REF!</definedName>
    <definedName name="PARTICIPACIONES_1997___2000">'[36]CUA1-3'!#REF!</definedName>
    <definedName name="PARTMUN00_">[14]SUPUESTOS!$O$6</definedName>
    <definedName name="PARTMUN93_">[14]SUPUESTOS!$H$6</definedName>
    <definedName name="PARTMUN94_">[14]SUPUESTOS!$I$6</definedName>
    <definedName name="PARTMUN95_">[14]SUPUESTOS!$J$6</definedName>
    <definedName name="PARTMUN96_">[14]SUPUESTOS!$K$6</definedName>
    <definedName name="PARTMUN97_">[14]SUPUESTOS!$L$6</definedName>
    <definedName name="PARTMUN98_">[14]SUPUESTOS!$M$6</definedName>
    <definedName name="PARTMUN99_">[14]SUPUESTOS!$N$6</definedName>
    <definedName name="Pcpta_00">[39]Pob!#REF!</definedName>
    <definedName name="Pcpta_01">[39]Pob!#REF!</definedName>
    <definedName name="Pcpta_02">[39]Pob!#REF!</definedName>
    <definedName name="Pcpta_99">[39]Pob!#REF!</definedName>
    <definedName name="PERNOTEC00_">#REF!</definedName>
    <definedName name="PERNOTEC93_">#REF!</definedName>
    <definedName name="PERNOTEC94_">#REF!</definedName>
    <definedName name="PERNOTEC95_">#REF!</definedName>
    <definedName name="PERNOTEC96_">#REF!</definedName>
    <definedName name="PERNOTEC97_">#REF!</definedName>
    <definedName name="PERNOTEC98_">#REF!</definedName>
    <definedName name="PERNOTEC99_">#REF!</definedName>
    <definedName name="PEROTRA00_">#REF!</definedName>
    <definedName name="PEROTRA93_">#REF!</definedName>
    <definedName name="PEROTRA94_">#REF!</definedName>
    <definedName name="PEROTRA95_">#REF!</definedName>
    <definedName name="PEROTRA96_">#REF!</definedName>
    <definedName name="PEROTRA97_">#REF!</definedName>
    <definedName name="PEROTRA98_">#REF!</definedName>
    <definedName name="PEROTRA99_">#REF!</definedName>
    <definedName name="PERTRANS00_">#REF!</definedName>
    <definedName name="PERTRANS93_">#REF!</definedName>
    <definedName name="PERTRANS94_">#REF!</definedName>
    <definedName name="PERTRANS95_">#REF!</definedName>
    <definedName name="PERTRANS96_">#REF!</definedName>
    <definedName name="PERTRANS97_">#REF!</definedName>
    <definedName name="PERTRANS98_">#REF!</definedName>
    <definedName name="PERTRANS99_">#REF!</definedName>
    <definedName name="PIB">#REF!</definedName>
    <definedName name="PIB00">[5]SUPUESTOS!$O$47</definedName>
    <definedName name="PIB00_">[14]SUPUESTOS!$O$19</definedName>
    <definedName name="PIB93_">[14]SUPUESTOS!$H$19</definedName>
    <definedName name="PIB94_">[14]SUPUESTOS!$I$19</definedName>
    <definedName name="PIB95_">[14]SUPUESTOS!$J$19</definedName>
    <definedName name="PIB96_">[14]SUPUESTOS!$K$19</definedName>
    <definedName name="PIB97_">[14]SUPUESTOS!$L$19</definedName>
    <definedName name="PIB98_">[14]SUPUESTOS!$M$19</definedName>
    <definedName name="PIB99_">[14]SUPUESTOS!$N$19</definedName>
    <definedName name="PICN_00_REAF_98">#REF!</definedName>
    <definedName name="PICN_01_RESERVA">#REF!</definedName>
    <definedName name="PICN_94">#REF!</definedName>
    <definedName name="PICN_95">#REF!</definedName>
    <definedName name="PICN_96">#REF!</definedName>
    <definedName name="PICN_97">#REF!</definedName>
    <definedName name="PICN_98">#REF!</definedName>
    <definedName name="PICN_99_REF_97">#REF!</definedName>
    <definedName name="PLANNER">'[40]Planner 21-nov-19'!$B$5:$R$134</definedName>
    <definedName name="PORC_LIBRE_00">'[18]94-03 Mil Corr '!#REF!</definedName>
    <definedName name="PORC_LIBRE_01">'[18]94-03 Mil Corr '!#REF!</definedName>
    <definedName name="PORC_LIBRE_02">'[18]94-03 Mil Corr '!#REF!</definedName>
    <definedName name="PORC_LIBRE_94">'[18]94-03 Mil Corr '!#REF!</definedName>
    <definedName name="PORC_LIBRE_95">'[18]94-03 Mil Corr '!#REF!</definedName>
    <definedName name="PORC_LIBRE_96">'[18]94-03 Mil Corr '!#REF!</definedName>
    <definedName name="PORC_LIBRE_97">'[18]94-03 Mil Corr '!#REF!</definedName>
    <definedName name="PORC_LIBRE_98">'[18]94-03 Mil Corr '!#REF!</definedName>
    <definedName name="PORC_LIBRE_99">'[18]94-03 Mil Corr '!#REF!</definedName>
    <definedName name="POSPRE">#REF!</definedName>
    <definedName name="post.difo3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post05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postdif01">[38]Rates!$J$34</definedName>
    <definedName name="postdif02">[38]Rates!$J$65</definedName>
    <definedName name="PPTO97">#REF!</definedName>
    <definedName name="PRESUPUESTO__1998">#REF!</definedName>
    <definedName name="prgnac">[13]GASTOS!#REF!</definedName>
    <definedName name="prgprp">[13]GASTOS!#REF!</definedName>
    <definedName name="primant">#REF!</definedName>
    <definedName name="primnav">#REF!</definedName>
    <definedName name="primser">#REF!</definedName>
    <definedName name="primtec">#REF!</definedName>
    <definedName name="primvac">#REF!</definedName>
    <definedName name="_xlnm.Print_Area" localSheetId="1">Budget!$A$9:$AC$136</definedName>
    <definedName name="_xlnm.Print_Area" localSheetId="0">'Budget Summary'!$A$1:$P$23</definedName>
    <definedName name="Print_Titles_MI">#REF!</definedName>
    <definedName name="PRIO">#REF!</definedName>
    <definedName name="PROPIOS">#REF!</definedName>
    <definedName name="prynac">[13]GASTOS!#REF!</definedName>
    <definedName name="pryprp">[13]GASTOS!#REF!</definedName>
    <definedName name="pyd">'[23]P+D ingresos'!$C$1:$U$111</definedName>
    <definedName name="rango1">#REF!</definedName>
    <definedName name="RDPTO">#REF!</definedName>
    <definedName name="re">#REF!</definedName>
    <definedName name="RECALCULO">[19]RESUMEN!#REF!</definedName>
    <definedName name="RECAPRO00_">#REF!</definedName>
    <definedName name="RECAPRO93_">#REF!</definedName>
    <definedName name="RECAPRO94_">#REF!</definedName>
    <definedName name="RECAPRO95_">#REF!</definedName>
    <definedName name="RECAPRO96_">#REF!</definedName>
    <definedName name="RECAPRO97_">#REF!</definedName>
    <definedName name="RECAPRO98_">#REF!</definedName>
    <definedName name="RECAPRO99_">#REF!</definedName>
    <definedName name="recing">#REF!</definedName>
    <definedName name="recnac">[13]GASTOS!#REF!</definedName>
    <definedName name="recprp">[13]GASTOS!#REF!</definedName>
    <definedName name="refrigerio">[11]Variables!$C$17</definedName>
    <definedName name="reg">[13]GASTOS!#REF!</definedName>
    <definedName name="REGALIAS00_">[14]SUPUESTOS!$O$74</definedName>
    <definedName name="REGALIAS93_">[14]SUPUESTOS!$H$74</definedName>
    <definedName name="REGALIAS94_">[14]SUPUESTOS!$I$74</definedName>
    <definedName name="REGALIAS95_">[14]SUPUESTOS!$J$74</definedName>
    <definedName name="REGALIAS96_">[14]SUPUESTOS!$K$74</definedName>
    <definedName name="REGALIAS97_">[14]SUPUESTOS!$L$74</definedName>
    <definedName name="REGALIAS98_">[14]SUPUESTOS!$M$74</definedName>
    <definedName name="REGALIAS99_">[14]SUPUESTOS!$N$74</definedName>
    <definedName name="REGIONALCRECIM">#REF!</definedName>
    <definedName name="REGIONALPESOS">#REF!</definedName>
    <definedName name="REGIONALPIB">#REF!</definedName>
    <definedName name="Rep_ing_02">[39]Pob!#REF!</definedName>
    <definedName name="REQUERIDOS">'[33]LIQUI-TRANSF'!#REF!</definedName>
    <definedName name="reservasalon">[11]Variables!$C$19</definedName>
    <definedName name="RESTO">#REF!</definedName>
    <definedName name="RESTOCRECIM">#REF!</definedName>
    <definedName name="RESTOPESOS">#REF!</definedName>
    <definedName name="RESTOPIB">#REF!</definedName>
    <definedName name="RESUMIDO">#REF!</definedName>
    <definedName name="rezago">#REF!</definedName>
    <definedName name="Rwvu.ComparEneMar9697." hidden="1">'[22]Seguimiento CSF'!$L$1:$N$65536,'[22]Seguimiento CSF'!$R$1:$BU$65536</definedName>
    <definedName name="Rwvu.EneFeb." hidden="1">'[22]Seguimiento CSF'!$L$1:$N$65536,'[22]Seguimiento CSF'!$Q$1:$AD$65536</definedName>
    <definedName name="Rwvu.Formato._.Corto." hidden="1">'[22]Seguimiento CSF'!$L$1:$N$65536,'[22]Seguimiento CSF'!$R$1:$AD$65536,'[22]Seguimiento CSF'!$AH$1:$AY$65536,'[22]Seguimiento CSF'!$BA$1:$BH$65536,'[22]Seguimiento CSF'!$BJ$1:$BQ$65536,'[22]Seguimiento CSF'!$BS$1:$CF$65536</definedName>
    <definedName name="Rwvu.OPEF._.96." hidden="1">'[22]Resumen OPEF'!$E$1:$J$65536,'[22]Resumen OPEF'!$M$1:$Q$65536</definedName>
    <definedName name="Rwvu.OPEF._.97." hidden="1">'[22]Resumen OPEF'!$C$1:$C$65536,'[22]Resumen OPEF'!#REF!,'[22]Resumen OPEF'!$K$1:$Q$65536</definedName>
    <definedName name="SALIR">[19]RESUMEN!#REF!</definedName>
    <definedName name="sdf">#REF!</definedName>
    <definedName name="secing">#REF!</definedName>
    <definedName name="SEGSOCIALCRECIM">#REF!</definedName>
    <definedName name="SEGSOCIALPESOS">#REF!</definedName>
    <definedName name="SEGSOCIALPIB">#REF!</definedName>
    <definedName name="SENDEMANDA00_">#REF!</definedName>
    <definedName name="SENDEMANDA93_">#REF!</definedName>
    <definedName name="SENDEMANDA94_">#REF!</definedName>
    <definedName name="SENDEMANDA95_">#REF!</definedName>
    <definedName name="SENDEMANDA96_">#REF!</definedName>
    <definedName name="SENDEMANDA97_">#REF!</definedName>
    <definedName name="SENDEMANDA98_">#REF!</definedName>
    <definedName name="SENDEMANDA99_">#REF!</definedName>
    <definedName name="SENPERDIDAS00_">#REF!</definedName>
    <definedName name="SENPERDIDAS93_">#REF!</definedName>
    <definedName name="SENPERDIDAS94_">#REF!</definedName>
    <definedName name="SENPERDIDAS95_">#REF!</definedName>
    <definedName name="SENPERDIDAS96_">#REF!</definedName>
    <definedName name="SENPERDIDAS97_">#REF!</definedName>
    <definedName name="SENPERDIDAS98_">#REF!</definedName>
    <definedName name="SENPERDIDAS99_">#REF!</definedName>
    <definedName name="SENRECAUDO00_">#REF!</definedName>
    <definedName name="SENRECAUDO93_">#REF!</definedName>
    <definedName name="SENRECAUDO94_">#REF!</definedName>
    <definedName name="SENRECAUDO95_">#REF!</definedName>
    <definedName name="SENRECAUDO96_">#REF!</definedName>
    <definedName name="SENRECAUDO97_">#REF!</definedName>
    <definedName name="SENRECAUDO98_">#REF!</definedName>
    <definedName name="SENRECAUDO99_">#REF!</definedName>
    <definedName name="SENSUPERAVIT00_">#REF!</definedName>
    <definedName name="SENSUPERAVIT93_">#REF!</definedName>
    <definedName name="SENSUPERAVIT94_">#REF!</definedName>
    <definedName name="SENSUPERAVIT95_">#REF!</definedName>
    <definedName name="SENSUPERAVIT96_">#REF!</definedName>
    <definedName name="SENSUPERAVIT97_">#REF!</definedName>
    <definedName name="SENSUPERAVIT98_">#REF!</definedName>
    <definedName name="SENSUPERAVIT99_">#REF!</definedName>
    <definedName name="SENTARIFA00_">#REF!</definedName>
    <definedName name="SENTARIFA93_">#REF!</definedName>
    <definedName name="SENTARIFA94_">#REF!</definedName>
    <definedName name="SENTARIFA95_">#REF!</definedName>
    <definedName name="SENTARIFA96_">#REF!</definedName>
    <definedName name="SENTARIFA97_">#REF!</definedName>
    <definedName name="SENTARIFA98_">#REF!</definedName>
    <definedName name="SENTARIFA99_">#REF!</definedName>
    <definedName name="SENVARDEM00_">#REF!</definedName>
    <definedName name="SENVARDEM93_">#REF!</definedName>
    <definedName name="SENVARDEM94_">#REF!</definedName>
    <definedName name="SENVARDEM95_">#REF!</definedName>
    <definedName name="SENVARDEM96_">#REF!</definedName>
    <definedName name="SENVARDEM97_">#REF!</definedName>
    <definedName name="SENVARDEM98_">#REF!</definedName>
    <definedName name="SENVARDEM99_">#REF!</definedName>
    <definedName name="SENVENTAS00_">#REF!</definedName>
    <definedName name="SENVENTAS93_">#REF!</definedName>
    <definedName name="SENVENTAS94_">#REF!</definedName>
    <definedName name="SENVENTAS95_">#REF!</definedName>
    <definedName name="SENVENTAS96_">#REF!</definedName>
    <definedName name="SENVENTAS97_">#REF!</definedName>
    <definedName name="SENVENTAS98_">#REF!</definedName>
    <definedName name="SENVENTAS99_">#REF!</definedName>
    <definedName name="SERVICIODEUDANACION">'[41]DETALLE-DEUDA'!#REF!</definedName>
    <definedName name="Servicios_personales">#REF!</definedName>
    <definedName name="SGP_PG_02">#REF!</definedName>
    <definedName name="SITFID95_">[14]SUPUESTOS!$J$7</definedName>
    <definedName name="SITFIS00_">[14]SUPUESTOS!$O$7</definedName>
    <definedName name="SITFIS93_">[14]SUPUESTOS!$H$7</definedName>
    <definedName name="SITFIS94_">[14]SUPUESTOS!$I$7</definedName>
    <definedName name="SITFIS95_">[14]SUPUESTOS!$J$7</definedName>
    <definedName name="SITFIS96_">[14]SUPUESTOS!$K$7</definedName>
    <definedName name="SITFIS97_">[14]SUPUESTOS!$L$7</definedName>
    <definedName name="SITFIS98_">[14]SUPUESTOS!$M$7</definedName>
    <definedName name="SITFIS99_">[14]SUPUESTOS!$N$7</definedName>
    <definedName name="solnac">[13]GASTOS!#REF!</definedName>
    <definedName name="solprp">[13]GASTOS!#REF!</definedName>
    <definedName name="SORTEADO">#REF!</definedName>
    <definedName name="subtrn">#REF!</definedName>
    <definedName name="talleristas">[11]Variables!$C$7</definedName>
    <definedName name="TCP00_">#REF!</definedName>
    <definedName name="TCP93_">#REF!</definedName>
    <definedName name="TCP94_">#REF!</definedName>
    <definedName name="TCP95_">#REF!</definedName>
    <definedName name="TCP96_">#REF!</definedName>
    <definedName name="TCP97_">#REF!</definedName>
    <definedName name="TCP98_">#REF!</definedName>
    <definedName name="TCP99_">#REF!</definedName>
    <definedName name="TELECOMCRECIM">#REF!</definedName>
    <definedName name="TELECOMPESOS">#REF!</definedName>
    <definedName name="TELECOMPIB">#REF!</definedName>
    <definedName name="Títulos_a_imprimir_IM">#REF!</definedName>
    <definedName name="TODO">#REF!</definedName>
    <definedName name="TOTAL">#REF!</definedName>
    <definedName name="tothorext">#REF!</definedName>
    <definedName name="totindemvac">#REF!</definedName>
    <definedName name="tranferencias">#REF!</definedName>
    <definedName name="transporte1">[11]Variables!$C$15</definedName>
    <definedName name="TRANSTOT00_">[14]SUPUESTOS!$O$5</definedName>
    <definedName name="TRANSTOT93_">[14]SUPUESTOS!$H$5</definedName>
    <definedName name="TRANSTOT94_">[14]SUPUESTOS!$I$5</definedName>
    <definedName name="TRANSTOT95_">[14]SUPUESTOS!$J$5</definedName>
    <definedName name="TRANSTOT96_">[14]SUPUESTOS!$K$5</definedName>
    <definedName name="TRANSTOT97_">[14]SUPUESTOS!$L$5</definedName>
    <definedName name="TRANSTOT98_">[14]SUPUESTOS!$M$5</definedName>
    <definedName name="TRANSTOT99_">[14]SUPUESTOS!$N$5</definedName>
    <definedName name="Travel_Regional">#REF!</definedName>
    <definedName name="Travel_WDC">#REF!</definedName>
    <definedName name="uno">#REF!</definedName>
    <definedName name="v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valor">#REF!</definedName>
    <definedName name="valorimpreso">[11]Variables!$C$16</definedName>
    <definedName name="valorpuntoIng">#REF!</definedName>
    <definedName name="VARIACIONES">#REF!</definedName>
    <definedName name="VARPIB00_">[14]SUPUESTOS!$O$20</definedName>
    <definedName name="VARPIB93_">[14]SUPUESTOS!$H$20</definedName>
    <definedName name="VARPIB94_">[14]SUPUESTOS!$I$20</definedName>
    <definedName name="VARPIB95_">[14]SUPUESTOS!$J$20</definedName>
    <definedName name="VARPIB96_">[14]SUPUESTOS!$K$20</definedName>
    <definedName name="VARPIB97_">[14]SUPUESTOS!$L$20</definedName>
    <definedName name="VARPIB98_">[14]SUPUESTOS!$M$20</definedName>
    <definedName name="VARPIB99_">[14]SUPUESTOS!$N$20</definedName>
    <definedName name="VIGENCIA">'[3]PAGOS VIGENCIA t'!$A$2:$AS$55</definedName>
    <definedName name="Vigencia_1999">#REF!</definedName>
    <definedName name="Vigencia_2000">#REF!</definedName>
    <definedName name="Vigencia_2001">#REF!</definedName>
    <definedName name="Vigencia_2002">#REF!</definedName>
    <definedName name="warm.mali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wrn.mali.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wvu.ComparEneMar9697." hidden="1">{TRUE,TRUE,-2.75,-17.75,483,255,FALSE,TRUE,TRUE,TRUE,0,43,#N/A,1,#N/A,9.08333333333333,25.6923076923077,1,FALSE,FALSE,3,TRUE,1,FALSE,75,"Swvu.ComparEneMar9697.","ACwvu.ComparEneMar9697.",#N/A,FALSE,FALSE,1.78,0.787401575,0.74,0.984251969,2,"","",FALSE,FALSE,FALSE,FALSE,1,#N/A,1,1,"=R3C3:R96C47",FALSE,"Rwvu.ComparEneMar9697.","Cwvu.ComparEneMar9697.",FALSE,FALSE,FALSE,1,300,300,FALSE,FALSE,TRUE,TRUE,TRUE}</definedName>
    <definedName name="wvu.EneFeb.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wvu.Formato._.Corto.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wvu.Formato._.Total." hidden="1">{TRUE,TRUE,-2.75,-17,483,276.75,FALSE,TRUE,TRUE,TRUE,0,2,#N/A,1,#N/A,12.5875,23.9230769230769,1,FALSE,FALSE,3,TRUE,1,FALSE,75,"Swvu.Formato._.Total.","ACwvu.Formato._.Total.",#N/A,FALSE,FALSE,1.78,0.787401575,0.74,0.984251969,1,"","",FALSE,FALSE,FALSE,FALSE,1,#N/A,1,1,"=R3C3:R149C30",FALSE,"Rwvu.Formato._.Total.","Cwvu.Formato._.Total.",FALSE,FALSE,FALSE,5,300,300,FALSE,FALSE,TRUE,TRUE,TRUE}</definedName>
    <definedName name="wvu.OPEF._.96." hidden="1">{TRUE,TRUE,-2.75,-17.75,483,276.75,FALSE,TRUE,TRUE,TRUE,0,1,#N/A,4,#N/A,8.57142857142857,19.625,1,FALSE,FALSE,3,TRUE,1,FALSE,75,"Swvu.OPEF._.96.","ACwvu.OPEF._.96.",#N/A,FALSE,FALSE,1.88,0.787401575,0.39,0.6,1,"","",FALSE,FALSE,FALSE,FALSE,1,#N/A,1,1,"=R4C2:R117C13",FALSE,"Rwvu.OPEF._.96.",#N/A,FALSE,FALSE,FALSE,5,300,300,FALSE,FALSE,TRUE,TRUE,TRUE}</definedName>
    <definedName name="wvu.OPEF._.97." hidden="1">{TRUE,TRUE,-2.75,-17.75,483,276.75,FALSE,TRUE,TRUE,TRUE,0,2,#N/A,1,#N/A,6.24489795918367,20,1,FALSE,FALSE,3,TRUE,1,FALSE,75,"Swvu.OPEF._.97.","ACwvu.OPEF._.97.",#N/A,FALSE,FALSE,1.88,0.787401575,0.39,1.56,1,"","",FALSE,FALSE,FALSE,FALSE,1,#N/A,1,1,"=R4C2:R117C9",FALSE,"Rwvu.OPEF._.97.",#N/A,FALSE,FALSE,FALSE,5,300,300,FALSE,FALSE,TRUE,TRUE,TRUE}</definedName>
    <definedName name="xxx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Z">'[42]CUA1-3'!#REF!</definedName>
    <definedName name="Z_91E95AE5_DCC2_11D0_8DF1_00805F2A002D_.wvu.Cols" hidden="1">'[22]Seguimiento CSF'!$L$1:$N$65536,'[22]Seguimiento CSF'!$R$1:$BU$65536</definedName>
    <definedName name="Z_91E95AE6_DCC2_11D0_8DF1_00805F2A002D_.wvu.Cols" hidden="1">'[22]Seguimiento CSF'!$L$1:$N$65536,'[22]Seguimiento CSF'!$Q$1:$AD$65536</definedName>
    <definedName name="Z_91E95AE6_DCC2_11D0_8DF1_00805F2A002D_.wvu.Rows" hidden="1">'[22]Seguimiento CSF'!#REF!,'[22]Seguimiento CSF'!#REF!</definedName>
    <definedName name="Z_91E95AE7_DCC2_11D0_8DF1_00805F2A002D_.wvu.Cols" hidden="1">'[22]Resumen MES OPEF'!$C$1:$C$65536,'[22]Resumen MES OPEF'!$N$1:$N$65536,'[22]Resumen MES OPEF'!$Y$1:$Y$65536,'[22]Resumen MES OPEF'!$AL$1:$AL$65536,'[22]Resumen MES OPEF'!$AV$1:$AV$65536,'[22]Resumen MES OPEF'!$BG$1:$BG$65536,'[22]Resumen MES OPEF'!$BR$1:$BR$65536,'[22]Resumen MES OPEF'!$CC$1:$CC$65536</definedName>
    <definedName name="Z_91E95AE8_DCC2_11D0_8DF1_00805F2A002D_.wvu.Cols" hidden="1">'[22]Seguimiento CSF'!$L$1:$N$65536,'[22]Seguimiento CSF'!$R$1:$AD$65536,'[22]Seguimiento CSF'!$AY$1:$AY$65536,'[22]Seguimiento CSF'!$BH$1:$BH$65536,'[22]Seguimiento CSF'!$BQ$1:$BQ$65536</definedName>
    <definedName name="Z_91E95AE9_DCC2_11D0_8DF1_00805F2A002D_.wvu.Cols" hidden="1">'[22]Seguimiento CSF'!$L$1:$N$65536,'[22]Seguimiento CSF'!$R$1:$AD$65536,'[22]Seguimiento CSF'!$AH$1:$AY$65536,'[22]Seguimiento CSF'!$BA$1:$BH$65536,'[22]Seguimiento CSF'!$BJ$1:$BQ$65536,'[22]Seguimiento CSF'!$BS$1:$CF$65536</definedName>
    <definedName name="Z_91E95AEB_DCC2_11D0_8DF1_00805F2A002D_.wvu.Cols" hidden="1">'[22]Resumen OPEF'!$E$1:$J$65536,'[22]Resumen OPEF'!$M$1:$Q$65536</definedName>
    <definedName name="Z_91E95AEC_DCC2_11D0_8DF1_00805F2A002D_.wvu.Cols" hidden="1">'[22]Resumen OPEF'!$C$1:$C$65536,'[22]Resumen OPEF'!$E$1:$E$65536,'[22]Resumen OPEF'!$H$1:$I$65536,'[22]Resumen OPEF'!$K$1:$L$65536,'[22]Resumen OPEF'!$O$1:$O$65536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Y94" i="1" l="1"/>
  <c r="S94" i="1"/>
  <c r="M94" i="1"/>
  <c r="G94" i="1"/>
  <c r="Y18" i="1" l="1"/>
  <c r="S18" i="1"/>
  <c r="M18" i="1"/>
  <c r="G18" i="1"/>
  <c r="F127" i="1" l="1"/>
  <c r="H127" i="1" s="1"/>
  <c r="J127" i="1"/>
  <c r="L127" i="1" s="1"/>
  <c r="N127" i="1" s="1"/>
  <c r="P127" i="1"/>
  <c r="R127" i="1" s="1"/>
  <c r="T127" i="1" s="1"/>
  <c r="V127" i="1"/>
  <c r="X127" i="1" s="1"/>
  <c r="Z127" i="1" s="1"/>
  <c r="AB127" i="1"/>
  <c r="G116" i="1"/>
  <c r="M116" i="1"/>
  <c r="J99" i="1"/>
  <c r="F90" i="1"/>
  <c r="AA127" i="1" l="1"/>
  <c r="AC127" i="1" s="1"/>
  <c r="L90" i="1"/>
  <c r="P90" i="1"/>
  <c r="S116" i="1"/>
  <c r="AA119" i="1"/>
  <c r="V119" i="1"/>
  <c r="Y119" i="1" s="1"/>
  <c r="Z119" i="1" s="1"/>
  <c r="P119" i="1"/>
  <c r="S119" i="1" s="1"/>
  <c r="T119" i="1" s="1"/>
  <c r="J119" i="1"/>
  <c r="M119" i="1" s="1"/>
  <c r="N119" i="1" s="1"/>
  <c r="G119" i="1"/>
  <c r="AB92" i="1"/>
  <c r="V92" i="1"/>
  <c r="X92" i="1" s="1"/>
  <c r="Z92" i="1" s="1"/>
  <c r="P92" i="1"/>
  <c r="R92" i="1" s="1"/>
  <c r="T92" i="1" s="1"/>
  <c r="J92" i="1"/>
  <c r="L92" i="1" s="1"/>
  <c r="N92" i="1" s="1"/>
  <c r="F92" i="1"/>
  <c r="AB118" i="1"/>
  <c r="V118" i="1"/>
  <c r="X118" i="1" s="1"/>
  <c r="Z118" i="1" s="1"/>
  <c r="P118" i="1"/>
  <c r="R118" i="1" s="1"/>
  <c r="T118" i="1" s="1"/>
  <c r="J118" i="1"/>
  <c r="L118" i="1" s="1"/>
  <c r="N118" i="1" s="1"/>
  <c r="F118" i="1"/>
  <c r="Y34" i="1"/>
  <c r="S34" i="1"/>
  <c r="M34" i="1"/>
  <c r="G34" i="1"/>
  <c r="AB119" i="1" l="1"/>
  <c r="AC119" i="1" s="1"/>
  <c r="H119" i="1"/>
  <c r="AA92" i="1"/>
  <c r="AC92" i="1" s="1"/>
  <c r="H92" i="1"/>
  <c r="AA118" i="1"/>
  <c r="AC118" i="1" s="1"/>
  <c r="H118" i="1"/>
  <c r="C16" i="1" l="1"/>
  <c r="AB116" i="1"/>
  <c r="I56" i="1"/>
  <c r="B56" i="1"/>
  <c r="C24" i="1"/>
  <c r="C21" i="1"/>
  <c r="C17" i="1"/>
  <c r="AB120" i="1"/>
  <c r="V120" i="1"/>
  <c r="X120" i="1" s="1"/>
  <c r="Z120" i="1" s="1"/>
  <c r="P120" i="1"/>
  <c r="R120" i="1" s="1"/>
  <c r="T120" i="1" s="1"/>
  <c r="J120" i="1"/>
  <c r="L120" i="1" s="1"/>
  <c r="N120" i="1" s="1"/>
  <c r="F120" i="1"/>
  <c r="V116" i="1"/>
  <c r="X116" i="1" s="1"/>
  <c r="Z116" i="1" s="1"/>
  <c r="P116" i="1"/>
  <c r="J116" i="1"/>
  <c r="L116" i="1" s="1"/>
  <c r="N116" i="1" s="1"/>
  <c r="F116" i="1"/>
  <c r="C25" i="1"/>
  <c r="C22" i="1"/>
  <c r="AA115" i="1"/>
  <c r="V115" i="1"/>
  <c r="Y115" i="1" s="1"/>
  <c r="Z115" i="1" s="1"/>
  <c r="P115" i="1"/>
  <c r="S115" i="1" s="1"/>
  <c r="T115" i="1" s="1"/>
  <c r="J115" i="1"/>
  <c r="M115" i="1" s="1"/>
  <c r="N115" i="1" s="1"/>
  <c r="G115" i="1"/>
  <c r="AB91" i="1"/>
  <c r="V91" i="1"/>
  <c r="X91" i="1" s="1"/>
  <c r="Z91" i="1" s="1"/>
  <c r="P91" i="1"/>
  <c r="R91" i="1" s="1"/>
  <c r="T91" i="1" s="1"/>
  <c r="J91" i="1"/>
  <c r="L91" i="1" s="1"/>
  <c r="F91" i="1"/>
  <c r="C26" i="1"/>
  <c r="C23" i="1"/>
  <c r="F23" i="1" s="1"/>
  <c r="N91" i="1" l="1"/>
  <c r="L94" i="1"/>
  <c r="H91" i="1"/>
  <c r="F94" i="1"/>
  <c r="R116" i="1"/>
  <c r="T116" i="1" s="1"/>
  <c r="AA120" i="1"/>
  <c r="AC120" i="1" s="1"/>
  <c r="H120" i="1"/>
  <c r="H116" i="1"/>
  <c r="AB115" i="1"/>
  <c r="AC115" i="1" s="1"/>
  <c r="H115" i="1"/>
  <c r="AA91" i="1"/>
  <c r="AC91" i="1" s="1"/>
  <c r="AA116" i="1" l="1"/>
  <c r="AC116" i="1" s="1"/>
  <c r="J16" i="1" l="1"/>
  <c r="G117" i="1"/>
  <c r="H117" i="1" s="1"/>
  <c r="J117" i="1"/>
  <c r="L117" i="1" s="1"/>
  <c r="N117" i="1" s="1"/>
  <c r="P117" i="1"/>
  <c r="R117" i="1" s="1"/>
  <c r="V117" i="1"/>
  <c r="X117" i="1" s="1"/>
  <c r="Z117" i="1" s="1"/>
  <c r="U21" i="1"/>
  <c r="U22" i="1"/>
  <c r="U23" i="1"/>
  <c r="U24" i="1"/>
  <c r="U25" i="1"/>
  <c r="U26" i="1"/>
  <c r="O21" i="1"/>
  <c r="O22" i="1"/>
  <c r="O23" i="1"/>
  <c r="O24" i="1"/>
  <c r="O25" i="1"/>
  <c r="O26" i="1"/>
  <c r="I21" i="1"/>
  <c r="I22" i="1"/>
  <c r="I23" i="1"/>
  <c r="I24" i="1"/>
  <c r="I25" i="1"/>
  <c r="I26" i="1"/>
  <c r="AB135" i="1"/>
  <c r="AB126" i="1"/>
  <c r="AB128" i="1"/>
  <c r="AB129" i="1"/>
  <c r="AB125" i="1"/>
  <c r="AB121" i="1"/>
  <c r="AB122" i="1"/>
  <c r="AB104" i="1"/>
  <c r="AB105" i="1"/>
  <c r="AB106" i="1"/>
  <c r="AB107" i="1"/>
  <c r="AB108" i="1"/>
  <c r="AB109" i="1"/>
  <c r="AB110" i="1"/>
  <c r="AB111" i="1"/>
  <c r="AB112" i="1"/>
  <c r="AB99" i="1"/>
  <c r="AB100" i="1"/>
  <c r="AB90" i="1"/>
  <c r="AB94" i="1" s="1"/>
  <c r="AB81" i="1"/>
  <c r="AB82" i="1"/>
  <c r="AB80" i="1"/>
  <c r="AB76" i="1"/>
  <c r="AB75" i="1"/>
  <c r="AB68" i="1"/>
  <c r="AB57" i="1"/>
  <c r="AB58" i="1"/>
  <c r="AB59" i="1"/>
  <c r="AB56" i="1"/>
  <c r="AB48" i="1"/>
  <c r="AB49" i="1"/>
  <c r="AB50" i="1"/>
  <c r="AB51" i="1"/>
  <c r="AB47" i="1"/>
  <c r="AB38" i="1"/>
  <c r="AB37" i="1"/>
  <c r="AB33" i="1"/>
  <c r="AB34" i="1" s="1"/>
  <c r="AB21" i="1"/>
  <c r="AB22" i="1"/>
  <c r="AB23" i="1"/>
  <c r="AB24" i="1"/>
  <c r="AB25" i="1"/>
  <c r="AB26" i="1"/>
  <c r="AB17" i="1"/>
  <c r="AB16" i="1"/>
  <c r="X90" i="1"/>
  <c r="R90" i="1"/>
  <c r="N90" i="1"/>
  <c r="N94" i="1" s="1"/>
  <c r="T90" i="1" l="1"/>
  <c r="T94" i="1" s="1"/>
  <c r="R94" i="1"/>
  <c r="Z90" i="1"/>
  <c r="Z94" i="1" s="1"/>
  <c r="X94" i="1"/>
  <c r="AB18" i="1"/>
  <c r="AB117" i="1"/>
  <c r="T117" i="1"/>
  <c r="AA117" i="1"/>
  <c r="AA90" i="1"/>
  <c r="AA94" i="1" s="1"/>
  <c r="AB27" i="1"/>
  <c r="AB77" i="1"/>
  <c r="H90" i="1"/>
  <c r="H94" i="1" s="1"/>
  <c r="B48" i="1"/>
  <c r="F48" i="1" s="1"/>
  <c r="J56" i="1"/>
  <c r="J47" i="1"/>
  <c r="L47" i="1" s="1"/>
  <c r="N47" i="1" s="1"/>
  <c r="L99" i="1"/>
  <c r="N99" i="1" s="1"/>
  <c r="V26" i="1"/>
  <c r="X26" i="1" s="1"/>
  <c r="Z26" i="1" s="1"/>
  <c r="F24" i="1"/>
  <c r="J23" i="1"/>
  <c r="L23" i="1" s="1"/>
  <c r="N23" i="1" s="1"/>
  <c r="F25" i="1"/>
  <c r="P22" i="1"/>
  <c r="R22" i="1" s="1"/>
  <c r="T22" i="1" s="1"/>
  <c r="U57" i="1"/>
  <c r="O59" i="1"/>
  <c r="B58" i="1"/>
  <c r="F58" i="1" s="1"/>
  <c r="V81" i="1"/>
  <c r="V82" i="1"/>
  <c r="X82" i="1" s="1"/>
  <c r="Z82" i="1" s="1"/>
  <c r="P81" i="1"/>
  <c r="P82" i="1"/>
  <c r="R82" i="1" s="1"/>
  <c r="T82" i="1" s="1"/>
  <c r="J81" i="1"/>
  <c r="L81" i="1" s="1"/>
  <c r="N81" i="1" s="1"/>
  <c r="O81" i="1" s="1"/>
  <c r="J82" i="1"/>
  <c r="L82" i="1" s="1"/>
  <c r="V76" i="1"/>
  <c r="X76" i="1" s="1"/>
  <c r="Z76" i="1" s="1"/>
  <c r="P76" i="1"/>
  <c r="R76" i="1" s="1"/>
  <c r="J76" i="1"/>
  <c r="L76" i="1" s="1"/>
  <c r="N76" i="1" s="1"/>
  <c r="F82" i="1"/>
  <c r="J26" i="1"/>
  <c r="L26" i="1" s="1"/>
  <c r="N26" i="1" s="1"/>
  <c r="F26" i="1"/>
  <c r="V23" i="1"/>
  <c r="X23" i="1" s="1"/>
  <c r="F47" i="1"/>
  <c r="B49" i="1"/>
  <c r="F49" i="1" s="1"/>
  <c r="B50" i="1"/>
  <c r="F50" i="1" s="1"/>
  <c r="B51" i="1"/>
  <c r="F51" i="1" s="1"/>
  <c r="F104" i="1"/>
  <c r="F105" i="1"/>
  <c r="F106" i="1"/>
  <c r="F107" i="1"/>
  <c r="F108" i="1"/>
  <c r="F109" i="1"/>
  <c r="F110" i="1"/>
  <c r="F111" i="1"/>
  <c r="F112" i="1"/>
  <c r="F121" i="1"/>
  <c r="F122" i="1"/>
  <c r="F125" i="1"/>
  <c r="F126" i="1"/>
  <c r="F128" i="1"/>
  <c r="F129" i="1"/>
  <c r="F99" i="1"/>
  <c r="F100" i="1"/>
  <c r="F81" i="1"/>
  <c r="F76" i="1"/>
  <c r="F68" i="1"/>
  <c r="J21" i="1"/>
  <c r="L21" i="1" s="1"/>
  <c r="F16" i="1"/>
  <c r="P17" i="1"/>
  <c r="I16" i="1"/>
  <c r="I17" i="1"/>
  <c r="O17" i="1" s="1"/>
  <c r="U17" i="1" s="1"/>
  <c r="O16" i="1"/>
  <c r="U16" i="1" s="1"/>
  <c r="Y39" i="1"/>
  <c r="S39" i="1"/>
  <c r="M39" i="1"/>
  <c r="G39" i="1"/>
  <c r="V126" i="1"/>
  <c r="X126" i="1" s="1"/>
  <c r="Z126" i="1" s="1"/>
  <c r="V128" i="1"/>
  <c r="X128" i="1" s="1"/>
  <c r="Z128" i="1" s="1"/>
  <c r="V129" i="1"/>
  <c r="X129" i="1" s="1"/>
  <c r="Z129" i="1" s="1"/>
  <c r="P126" i="1"/>
  <c r="R126" i="1" s="1"/>
  <c r="T126" i="1" s="1"/>
  <c r="P128" i="1"/>
  <c r="R128" i="1" s="1"/>
  <c r="T128" i="1" s="1"/>
  <c r="P129" i="1"/>
  <c r="R129" i="1" s="1"/>
  <c r="T129" i="1" s="1"/>
  <c r="J126" i="1"/>
  <c r="L126" i="1" s="1"/>
  <c r="J128" i="1"/>
  <c r="L128" i="1" s="1"/>
  <c r="J129" i="1"/>
  <c r="L129" i="1" s="1"/>
  <c r="N129" i="1" s="1"/>
  <c r="V57" i="1"/>
  <c r="V58" i="1"/>
  <c r="V59" i="1"/>
  <c r="V56" i="1"/>
  <c r="P99" i="1"/>
  <c r="R99" i="1" s="1"/>
  <c r="T99" i="1" s="1"/>
  <c r="V99" i="1"/>
  <c r="X99" i="1" s="1"/>
  <c r="Z99" i="1" s="1"/>
  <c r="V100" i="1"/>
  <c r="X100" i="1" s="1"/>
  <c r="Z100" i="1" s="1"/>
  <c r="P100" i="1"/>
  <c r="R100" i="1" s="1"/>
  <c r="T100" i="1" s="1"/>
  <c r="J100" i="1"/>
  <c r="L100" i="1" s="1"/>
  <c r="AB101" i="1"/>
  <c r="Y101" i="1"/>
  <c r="S101" i="1"/>
  <c r="M101" i="1"/>
  <c r="G101" i="1"/>
  <c r="J104" i="1"/>
  <c r="L104" i="1" s="1"/>
  <c r="P104" i="1"/>
  <c r="R104" i="1" s="1"/>
  <c r="T104" i="1" s="1"/>
  <c r="V104" i="1"/>
  <c r="X104" i="1" s="1"/>
  <c r="Z104" i="1" s="1"/>
  <c r="J105" i="1"/>
  <c r="L105" i="1" s="1"/>
  <c r="N105" i="1" s="1"/>
  <c r="P105" i="1"/>
  <c r="R105" i="1" s="1"/>
  <c r="T105" i="1" s="1"/>
  <c r="V105" i="1"/>
  <c r="X105" i="1" s="1"/>
  <c r="Z105" i="1" s="1"/>
  <c r="J106" i="1"/>
  <c r="L106" i="1" s="1"/>
  <c r="N106" i="1" s="1"/>
  <c r="P106" i="1"/>
  <c r="R106" i="1" s="1"/>
  <c r="V106" i="1"/>
  <c r="X106" i="1" s="1"/>
  <c r="Z106" i="1" s="1"/>
  <c r="J107" i="1"/>
  <c r="L107" i="1" s="1"/>
  <c r="N107" i="1" s="1"/>
  <c r="P107" i="1"/>
  <c r="R107" i="1" s="1"/>
  <c r="V107" i="1"/>
  <c r="X107" i="1" s="1"/>
  <c r="Z107" i="1" s="1"/>
  <c r="J108" i="1"/>
  <c r="L108" i="1" s="1"/>
  <c r="N108" i="1" s="1"/>
  <c r="P108" i="1"/>
  <c r="R108" i="1" s="1"/>
  <c r="V108" i="1"/>
  <c r="X108" i="1" s="1"/>
  <c r="Z108" i="1" s="1"/>
  <c r="J109" i="1"/>
  <c r="L109" i="1" s="1"/>
  <c r="P109" i="1"/>
  <c r="R109" i="1" s="1"/>
  <c r="T109" i="1" s="1"/>
  <c r="V109" i="1"/>
  <c r="X109" i="1" s="1"/>
  <c r="Z109" i="1" s="1"/>
  <c r="J110" i="1"/>
  <c r="L110" i="1" s="1"/>
  <c r="P110" i="1"/>
  <c r="R110" i="1" s="1"/>
  <c r="T110" i="1" s="1"/>
  <c r="V110" i="1"/>
  <c r="X110" i="1" s="1"/>
  <c r="Z110" i="1" s="1"/>
  <c r="J111" i="1"/>
  <c r="L111" i="1" s="1"/>
  <c r="N111" i="1" s="1"/>
  <c r="P111" i="1"/>
  <c r="R111" i="1" s="1"/>
  <c r="T111" i="1" s="1"/>
  <c r="V111" i="1"/>
  <c r="X111" i="1" s="1"/>
  <c r="Z111" i="1" s="1"/>
  <c r="J112" i="1"/>
  <c r="L112" i="1" s="1"/>
  <c r="P112" i="1"/>
  <c r="R112" i="1" s="1"/>
  <c r="T112" i="1" s="1"/>
  <c r="V112" i="1"/>
  <c r="X112" i="1" s="1"/>
  <c r="Z112" i="1" s="1"/>
  <c r="J121" i="1"/>
  <c r="L121" i="1" s="1"/>
  <c r="N121" i="1" s="1"/>
  <c r="P121" i="1"/>
  <c r="R121" i="1" s="1"/>
  <c r="T121" i="1" s="1"/>
  <c r="V121" i="1"/>
  <c r="X121" i="1" s="1"/>
  <c r="Z121" i="1" s="1"/>
  <c r="J122" i="1"/>
  <c r="L122" i="1" s="1"/>
  <c r="P122" i="1"/>
  <c r="R122" i="1" s="1"/>
  <c r="T122" i="1" s="1"/>
  <c r="V122" i="1"/>
  <c r="X122" i="1" s="1"/>
  <c r="Z122" i="1" s="1"/>
  <c r="J125" i="1"/>
  <c r="L125" i="1" s="1"/>
  <c r="N125" i="1" s="1"/>
  <c r="P125" i="1"/>
  <c r="R125" i="1" s="1"/>
  <c r="T125" i="1" s="1"/>
  <c r="V125" i="1"/>
  <c r="X125" i="1" s="1"/>
  <c r="Z125" i="1" s="1"/>
  <c r="Y130" i="1"/>
  <c r="S130" i="1"/>
  <c r="G130" i="1"/>
  <c r="G62" i="1"/>
  <c r="G52" i="1"/>
  <c r="P56" i="1"/>
  <c r="J57" i="1"/>
  <c r="P57" i="1"/>
  <c r="J58" i="1"/>
  <c r="P58" i="1"/>
  <c r="J59" i="1"/>
  <c r="P59" i="1"/>
  <c r="Y62" i="1"/>
  <c r="S62" i="1"/>
  <c r="M62" i="1"/>
  <c r="U51" i="1"/>
  <c r="U50" i="1"/>
  <c r="U49" i="1"/>
  <c r="U48" i="1"/>
  <c r="O51" i="1"/>
  <c r="O50" i="1"/>
  <c r="O49" i="1"/>
  <c r="O48" i="1"/>
  <c r="I51" i="1"/>
  <c r="I50" i="1"/>
  <c r="I49" i="1"/>
  <c r="I48" i="1"/>
  <c r="V48" i="1"/>
  <c r="V49" i="1"/>
  <c r="V50" i="1"/>
  <c r="V51" i="1"/>
  <c r="V47" i="1"/>
  <c r="X47" i="1" s="1"/>
  <c r="Z47" i="1" s="1"/>
  <c r="P48" i="1"/>
  <c r="P49" i="1"/>
  <c r="P50" i="1"/>
  <c r="P51" i="1"/>
  <c r="P47" i="1"/>
  <c r="R47" i="1" s="1"/>
  <c r="J48" i="1"/>
  <c r="J49" i="1"/>
  <c r="J50" i="1"/>
  <c r="J51" i="1"/>
  <c r="Y52" i="1"/>
  <c r="S52" i="1"/>
  <c r="M52" i="1"/>
  <c r="M27" i="1"/>
  <c r="S27" i="1"/>
  <c r="S83" i="1"/>
  <c r="S77" i="1"/>
  <c r="S70" i="1"/>
  <c r="I13" i="19" s="1"/>
  <c r="G27" i="1"/>
  <c r="Y27" i="1"/>
  <c r="Y70" i="1"/>
  <c r="L13" i="19" s="1"/>
  <c r="M70" i="1"/>
  <c r="F13" i="19" s="1"/>
  <c r="G70" i="1"/>
  <c r="C13" i="19" s="1"/>
  <c r="V68" i="1"/>
  <c r="X68" i="1" s="1"/>
  <c r="P68" i="1"/>
  <c r="R68" i="1" s="1"/>
  <c r="J68" i="1"/>
  <c r="L68" i="1" s="1"/>
  <c r="Y83" i="1"/>
  <c r="M83" i="1"/>
  <c r="G83" i="1"/>
  <c r="Y77" i="1"/>
  <c r="M77" i="1"/>
  <c r="G77" i="1"/>
  <c r="O22" i="19"/>
  <c r="L22" i="19"/>
  <c r="I22" i="19"/>
  <c r="F22" i="19"/>
  <c r="C22" i="19"/>
  <c r="AB70" i="1"/>
  <c r="O13" i="19" s="1"/>
  <c r="F38" i="1" l="1"/>
  <c r="F101" i="1"/>
  <c r="F130" i="1"/>
  <c r="AC90" i="1"/>
  <c r="AC94" i="1" s="1"/>
  <c r="Z23" i="1"/>
  <c r="AC117" i="1"/>
  <c r="M130" i="1"/>
  <c r="M132" i="1" s="1"/>
  <c r="F19" i="19" s="1"/>
  <c r="J80" i="1"/>
  <c r="L80" i="1" s="1"/>
  <c r="N80" i="1" s="1"/>
  <c r="O80" i="1" s="1"/>
  <c r="P75" i="1"/>
  <c r="V22" i="1"/>
  <c r="X22" i="1" s="1"/>
  <c r="Z22" i="1" s="1"/>
  <c r="V16" i="1"/>
  <c r="X16" i="1" s="1"/>
  <c r="R51" i="1"/>
  <c r="T51" i="1" s="1"/>
  <c r="P16" i="1"/>
  <c r="R16" i="1" s="1"/>
  <c r="O58" i="1"/>
  <c r="R58" i="1" s="1"/>
  <c r="T58" i="1" s="1"/>
  <c r="O57" i="1"/>
  <c r="R57" i="1" s="1"/>
  <c r="T57" i="1" s="1"/>
  <c r="R56" i="1"/>
  <c r="T56" i="1" s="1"/>
  <c r="B57" i="1"/>
  <c r="F57" i="1" s="1"/>
  <c r="H57" i="1" s="1"/>
  <c r="I59" i="1"/>
  <c r="L59" i="1" s="1"/>
  <c r="N59" i="1" s="1"/>
  <c r="I58" i="1"/>
  <c r="L58" i="1" s="1"/>
  <c r="N58" i="1" s="1"/>
  <c r="S41" i="1"/>
  <c r="I9" i="19" s="1"/>
  <c r="M41" i="1"/>
  <c r="F9" i="19" s="1"/>
  <c r="AA104" i="1"/>
  <c r="AC104" i="1" s="1"/>
  <c r="AA68" i="1"/>
  <c r="AA109" i="1"/>
  <c r="AC109" i="1" s="1"/>
  <c r="L16" i="1"/>
  <c r="L51" i="1"/>
  <c r="N51" i="1" s="1"/>
  <c r="J25" i="1"/>
  <c r="L25" i="1" s="1"/>
  <c r="N25" i="1" s="1"/>
  <c r="H47" i="1"/>
  <c r="AA47" i="1"/>
  <c r="H48" i="1"/>
  <c r="P25" i="1"/>
  <c r="R25" i="1" s="1"/>
  <c r="T25" i="1" s="1"/>
  <c r="I57" i="1"/>
  <c r="L57" i="1" s="1"/>
  <c r="M29" i="1"/>
  <c r="F7" i="19" s="1"/>
  <c r="H109" i="1"/>
  <c r="H128" i="1"/>
  <c r="AA128" i="1"/>
  <c r="AC128" i="1" s="1"/>
  <c r="H108" i="1"/>
  <c r="AA108" i="1"/>
  <c r="AC108" i="1" s="1"/>
  <c r="H58" i="1"/>
  <c r="H121" i="1"/>
  <c r="AA121" i="1"/>
  <c r="AC121" i="1" s="1"/>
  <c r="H76" i="1"/>
  <c r="AA76" i="1"/>
  <c r="AC76" i="1" s="1"/>
  <c r="H105" i="1"/>
  <c r="AA105" i="1"/>
  <c r="AC105" i="1" s="1"/>
  <c r="V25" i="1"/>
  <c r="X25" i="1" s="1"/>
  <c r="Z25" i="1" s="1"/>
  <c r="J17" i="1"/>
  <c r="L17" i="1" s="1"/>
  <c r="N17" i="1" s="1"/>
  <c r="F70" i="1"/>
  <c r="B13" i="19" s="1"/>
  <c r="F17" i="1"/>
  <c r="F18" i="1" s="1"/>
  <c r="F33" i="1" s="1"/>
  <c r="H100" i="1"/>
  <c r="AA100" i="1"/>
  <c r="AC100" i="1" s="1"/>
  <c r="H126" i="1"/>
  <c r="AA126" i="1"/>
  <c r="AC126" i="1" s="1"/>
  <c r="R81" i="1"/>
  <c r="T81" i="1" s="1"/>
  <c r="U81" i="1" s="1"/>
  <c r="X81" i="1" s="1"/>
  <c r="Z81" i="1" s="1"/>
  <c r="H24" i="1"/>
  <c r="V17" i="1"/>
  <c r="X17" i="1" s="1"/>
  <c r="S132" i="1"/>
  <c r="I19" i="19" s="1"/>
  <c r="H99" i="1"/>
  <c r="AA99" i="1"/>
  <c r="AC99" i="1" s="1"/>
  <c r="H125" i="1"/>
  <c r="AA125" i="1"/>
  <c r="AC125" i="1" s="1"/>
  <c r="H112" i="1"/>
  <c r="AA112" i="1"/>
  <c r="AC112" i="1" s="1"/>
  <c r="H107" i="1"/>
  <c r="AA107" i="1"/>
  <c r="AC107" i="1" s="1"/>
  <c r="H51" i="1"/>
  <c r="H82" i="1"/>
  <c r="AA82" i="1"/>
  <c r="AC82" i="1" s="1"/>
  <c r="H110" i="1"/>
  <c r="AA110" i="1"/>
  <c r="AC110" i="1" s="1"/>
  <c r="H129" i="1"/>
  <c r="AA129" i="1"/>
  <c r="AC129" i="1" s="1"/>
  <c r="H104" i="1"/>
  <c r="H81" i="1"/>
  <c r="H68" i="1"/>
  <c r="H70" i="1" s="1"/>
  <c r="D13" i="19" s="1"/>
  <c r="H122" i="1"/>
  <c r="AA122" i="1"/>
  <c r="AC122" i="1" s="1"/>
  <c r="H111" i="1"/>
  <c r="AA111" i="1"/>
  <c r="AC111" i="1" s="1"/>
  <c r="H106" i="1"/>
  <c r="AA106" i="1"/>
  <c r="AC106" i="1" s="1"/>
  <c r="H50" i="1"/>
  <c r="H26" i="1"/>
  <c r="H25" i="1"/>
  <c r="H16" i="1"/>
  <c r="F56" i="1"/>
  <c r="B59" i="1"/>
  <c r="F59" i="1" s="1"/>
  <c r="L50" i="1"/>
  <c r="N50" i="1" s="1"/>
  <c r="G132" i="1"/>
  <c r="C19" i="19" s="1"/>
  <c r="Y41" i="1"/>
  <c r="L9" i="19" s="1"/>
  <c r="S29" i="1"/>
  <c r="I7" i="19" s="1"/>
  <c r="Y64" i="1"/>
  <c r="L11" i="19" s="1"/>
  <c r="X51" i="1"/>
  <c r="Z51" i="1" s="1"/>
  <c r="X57" i="1"/>
  <c r="Z57" i="1" s="1"/>
  <c r="G41" i="1"/>
  <c r="C9" i="19" s="1"/>
  <c r="R50" i="1"/>
  <c r="T50" i="1" s="1"/>
  <c r="U58" i="1"/>
  <c r="X58" i="1" s="1"/>
  <c r="Z58" i="1" s="1"/>
  <c r="S85" i="1"/>
  <c r="I15" i="19" s="1"/>
  <c r="X50" i="1"/>
  <c r="Z50" i="1" s="1"/>
  <c r="L48" i="1"/>
  <c r="N48" i="1" s="1"/>
  <c r="AB52" i="1"/>
  <c r="X56" i="1"/>
  <c r="Z56" i="1" s="1"/>
  <c r="Y85" i="1"/>
  <c r="L15" i="19" s="1"/>
  <c r="M64" i="1"/>
  <c r="F11" i="19" s="1"/>
  <c r="G29" i="1"/>
  <c r="C7" i="19" s="1"/>
  <c r="P23" i="1"/>
  <c r="R23" i="1" s="1"/>
  <c r="U59" i="1"/>
  <c r="X59" i="1" s="1"/>
  <c r="Z59" i="1" s="1"/>
  <c r="G85" i="1"/>
  <c r="C15" i="19" s="1"/>
  <c r="P26" i="1"/>
  <c r="R26" i="1" s="1"/>
  <c r="T26" i="1" s="1"/>
  <c r="M85" i="1"/>
  <c r="F15" i="19" s="1"/>
  <c r="L56" i="1"/>
  <c r="N56" i="1" s="1"/>
  <c r="AB29" i="1"/>
  <c r="O7" i="19" s="1"/>
  <c r="R49" i="1"/>
  <c r="T49" i="1" s="1"/>
  <c r="G64" i="1"/>
  <c r="C11" i="19" s="1"/>
  <c r="Y132" i="1"/>
  <c r="L19" i="19" s="1"/>
  <c r="R17" i="1"/>
  <c r="T17" i="1" s="1"/>
  <c r="T68" i="1"/>
  <c r="T70" i="1" s="1"/>
  <c r="J13" i="19" s="1"/>
  <c r="R70" i="1"/>
  <c r="H13" i="19" s="1"/>
  <c r="AB83" i="1"/>
  <c r="AB85" i="1" s="1"/>
  <c r="AB130" i="1"/>
  <c r="AB132" i="1" s="1"/>
  <c r="O19" i="19" s="1"/>
  <c r="J22" i="1"/>
  <c r="L22" i="1" s="1"/>
  <c r="N22" i="1" s="1"/>
  <c r="F22" i="1"/>
  <c r="H22" i="1" s="1"/>
  <c r="S64" i="1"/>
  <c r="I11" i="19" s="1"/>
  <c r="P24" i="1"/>
  <c r="R24" i="1" s="1"/>
  <c r="F21" i="1"/>
  <c r="X48" i="1"/>
  <c r="Z48" i="1" s="1"/>
  <c r="J24" i="1"/>
  <c r="L24" i="1" s="1"/>
  <c r="L38" i="1" s="1"/>
  <c r="V24" i="1"/>
  <c r="X24" i="1" s="1"/>
  <c r="X38" i="1" s="1"/>
  <c r="P21" i="1"/>
  <c r="R21" i="1" s="1"/>
  <c r="R59" i="1"/>
  <c r="T59" i="1" s="1"/>
  <c r="V21" i="1"/>
  <c r="X21" i="1" s="1"/>
  <c r="AB39" i="1"/>
  <c r="AB41" i="1" s="1"/>
  <c r="O9" i="19" s="1"/>
  <c r="R48" i="1"/>
  <c r="T48" i="1" s="1"/>
  <c r="AB62" i="1"/>
  <c r="Y29" i="1"/>
  <c r="L7" i="19" s="1"/>
  <c r="N68" i="1"/>
  <c r="N70" i="1" s="1"/>
  <c r="G13" i="19" s="1"/>
  <c r="L70" i="1"/>
  <c r="E13" i="19" s="1"/>
  <c r="Z68" i="1"/>
  <c r="Z70" i="1" s="1"/>
  <c r="M13" i="19" s="1"/>
  <c r="X70" i="1"/>
  <c r="K13" i="19" s="1"/>
  <c r="H49" i="1"/>
  <c r="F52" i="1"/>
  <c r="N122" i="1"/>
  <c r="L49" i="1"/>
  <c r="N49" i="1" s="1"/>
  <c r="X49" i="1"/>
  <c r="Z49" i="1" s="1"/>
  <c r="T47" i="1"/>
  <c r="N21" i="1"/>
  <c r="T107" i="1"/>
  <c r="N110" i="1"/>
  <c r="N82" i="1"/>
  <c r="N126" i="1"/>
  <c r="T108" i="1"/>
  <c r="N104" i="1"/>
  <c r="N100" i="1"/>
  <c r="T76" i="1"/>
  <c r="N112" i="1"/>
  <c r="X101" i="1"/>
  <c r="Z101" i="1"/>
  <c r="N128" i="1"/>
  <c r="T101" i="1"/>
  <c r="R101" i="1"/>
  <c r="N109" i="1"/>
  <c r="T106" i="1"/>
  <c r="L101" i="1"/>
  <c r="R37" i="1" l="1"/>
  <c r="R38" i="1"/>
  <c r="T38" i="1" s="1"/>
  <c r="F37" i="1"/>
  <c r="X37" i="1"/>
  <c r="Z37" i="1" s="1"/>
  <c r="L37" i="1"/>
  <c r="N37" i="1" s="1"/>
  <c r="H38" i="1"/>
  <c r="T37" i="1"/>
  <c r="F132" i="1"/>
  <c r="B19" i="19" s="1"/>
  <c r="Z38" i="1"/>
  <c r="F34" i="1"/>
  <c r="N16" i="1"/>
  <c r="N18" i="1" s="1"/>
  <c r="L18" i="1"/>
  <c r="L33" i="1" s="1"/>
  <c r="T16" i="1"/>
  <c r="T18" i="1" s="1"/>
  <c r="R18" i="1"/>
  <c r="R33" i="1" s="1"/>
  <c r="Z16" i="1"/>
  <c r="X18" i="1"/>
  <c r="X33" i="1" s="1"/>
  <c r="T21" i="1"/>
  <c r="Z21" i="1"/>
  <c r="F27" i="1"/>
  <c r="F29" i="1" s="1"/>
  <c r="B7" i="19" s="1"/>
  <c r="D7" i="19" s="1"/>
  <c r="N83" i="1"/>
  <c r="V80" i="1"/>
  <c r="F80" i="1"/>
  <c r="F83" i="1" s="1"/>
  <c r="P80" i="1"/>
  <c r="R80" i="1" s="1"/>
  <c r="T80" i="1" s="1"/>
  <c r="U80" i="1" s="1"/>
  <c r="F75" i="1"/>
  <c r="H75" i="1" s="1"/>
  <c r="J75" i="1"/>
  <c r="L75" i="1" s="1"/>
  <c r="N75" i="1" s="1"/>
  <c r="O75" i="1" s="1"/>
  <c r="R75" i="1" s="1"/>
  <c r="T75" i="1" s="1"/>
  <c r="U75" i="1" s="1"/>
  <c r="T130" i="1"/>
  <c r="T132" i="1" s="1"/>
  <c r="J19" i="19" s="1"/>
  <c r="V75" i="1"/>
  <c r="Z24" i="1"/>
  <c r="T24" i="1"/>
  <c r="N24" i="1"/>
  <c r="H101" i="1"/>
  <c r="L130" i="1"/>
  <c r="L132" i="1" s="1"/>
  <c r="X130" i="1"/>
  <c r="X132" i="1" s="1"/>
  <c r="K19" i="19" s="1"/>
  <c r="Z130" i="1"/>
  <c r="Z132" i="1" s="1"/>
  <c r="M19" i="19" s="1"/>
  <c r="AA50" i="1"/>
  <c r="AC50" i="1" s="1"/>
  <c r="AC130" i="1"/>
  <c r="AA25" i="1"/>
  <c r="AC25" i="1" s="1"/>
  <c r="N57" i="1"/>
  <c r="N62" i="1" s="1"/>
  <c r="AA57" i="1"/>
  <c r="AC57" i="1" s="1"/>
  <c r="H52" i="1"/>
  <c r="AA48" i="1"/>
  <c r="AC48" i="1" s="1"/>
  <c r="AA58" i="1"/>
  <c r="AC58" i="1" s="1"/>
  <c r="AA81" i="1"/>
  <c r="AC81" i="1" s="1"/>
  <c r="H59" i="1"/>
  <c r="AA59" i="1"/>
  <c r="AC59" i="1" s="1"/>
  <c r="AA24" i="1"/>
  <c r="AC24" i="1" s="1"/>
  <c r="AA22" i="1"/>
  <c r="AC22" i="1" s="1"/>
  <c r="H56" i="1"/>
  <c r="AA56" i="1"/>
  <c r="AC56" i="1" s="1"/>
  <c r="AA51" i="1"/>
  <c r="AC51" i="1" s="1"/>
  <c r="H130" i="1"/>
  <c r="H17" i="1"/>
  <c r="H18" i="1" s="1"/>
  <c r="AA17" i="1"/>
  <c r="AC17" i="1" s="1"/>
  <c r="AA49" i="1"/>
  <c r="AC49" i="1" s="1"/>
  <c r="AA26" i="1"/>
  <c r="AC26" i="1" s="1"/>
  <c r="H23" i="1"/>
  <c r="AA23" i="1"/>
  <c r="AC23" i="1" s="1"/>
  <c r="H21" i="1"/>
  <c r="AA21" i="1"/>
  <c r="AA16" i="1"/>
  <c r="AB64" i="1"/>
  <c r="O11" i="19" s="1"/>
  <c r="R27" i="1"/>
  <c r="T23" i="1"/>
  <c r="L52" i="1"/>
  <c r="N52" i="1"/>
  <c r="O15" i="19"/>
  <c r="Z62" i="1"/>
  <c r="L27" i="1"/>
  <c r="R130" i="1"/>
  <c r="R132" i="1" s="1"/>
  <c r="H19" i="19" s="1"/>
  <c r="X62" i="1"/>
  <c r="X27" i="1"/>
  <c r="Z17" i="1"/>
  <c r="R52" i="1"/>
  <c r="X52" i="1"/>
  <c r="T52" i="1"/>
  <c r="Z52" i="1"/>
  <c r="R62" i="1"/>
  <c r="L62" i="1"/>
  <c r="F62" i="1"/>
  <c r="F64" i="1" s="1"/>
  <c r="B11" i="19" s="1"/>
  <c r="AC68" i="1"/>
  <c r="AA70" i="1"/>
  <c r="AC47" i="1"/>
  <c r="N130" i="1"/>
  <c r="N101" i="1"/>
  <c r="AA101" i="1"/>
  <c r="AC101" i="1"/>
  <c r="H132" i="1" l="1"/>
  <c r="D19" i="19" s="1"/>
  <c r="Z18" i="1"/>
  <c r="AC16" i="1"/>
  <c r="AC18" i="1" s="1"/>
  <c r="AA18" i="1"/>
  <c r="H80" i="1"/>
  <c r="H83" i="1" s="1"/>
  <c r="L83" i="1"/>
  <c r="R34" i="1"/>
  <c r="X34" i="1"/>
  <c r="X80" i="1"/>
  <c r="Z80" i="1" s="1"/>
  <c r="F77" i="1"/>
  <c r="X75" i="1"/>
  <c r="AA75" i="1" s="1"/>
  <c r="L77" i="1"/>
  <c r="H77" i="1"/>
  <c r="L64" i="1"/>
  <c r="E11" i="19" s="1"/>
  <c r="T27" i="1"/>
  <c r="T29" i="1" s="1"/>
  <c r="Z27" i="1"/>
  <c r="Z29" i="1" s="1"/>
  <c r="AA38" i="1"/>
  <c r="AC38" i="1" s="1"/>
  <c r="H62" i="1"/>
  <c r="H64" i="1" s="1"/>
  <c r="D11" i="19" s="1"/>
  <c r="T62" i="1"/>
  <c r="T64" i="1" s="1"/>
  <c r="J11" i="19" s="1"/>
  <c r="Z64" i="1"/>
  <c r="M11" i="19" s="1"/>
  <c r="R77" i="1"/>
  <c r="N77" i="1"/>
  <c r="N85" i="1" s="1"/>
  <c r="G15" i="19" s="1"/>
  <c r="R29" i="1"/>
  <c r="H7" i="19" s="1"/>
  <c r="J7" i="19" s="1"/>
  <c r="L29" i="1"/>
  <c r="E7" i="19" s="1"/>
  <c r="G7" i="19" s="1"/>
  <c r="AA27" i="1"/>
  <c r="AA37" i="1"/>
  <c r="AC37" i="1" s="1"/>
  <c r="AC21" i="1"/>
  <c r="N38" i="1"/>
  <c r="N39" i="1" s="1"/>
  <c r="L39" i="1"/>
  <c r="R64" i="1"/>
  <c r="H11" i="19" s="1"/>
  <c r="AC52" i="1"/>
  <c r="X39" i="1"/>
  <c r="Z39" i="1"/>
  <c r="N64" i="1"/>
  <c r="G11" i="19" s="1"/>
  <c r="AA52" i="1"/>
  <c r="N27" i="1"/>
  <c r="N29" i="1" s="1"/>
  <c r="X64" i="1"/>
  <c r="K11" i="19" s="1"/>
  <c r="AC62" i="1"/>
  <c r="AC132" i="1"/>
  <c r="P19" i="19" s="1"/>
  <c r="R39" i="1"/>
  <c r="H27" i="1"/>
  <c r="H29" i="1" s="1"/>
  <c r="AA130" i="1"/>
  <c r="AA132" i="1" s="1"/>
  <c r="N19" i="19" s="1"/>
  <c r="X29" i="1"/>
  <c r="K7" i="19" s="1"/>
  <c r="M7" i="19" s="1"/>
  <c r="H37" i="1"/>
  <c r="F39" i="1"/>
  <c r="AA62" i="1"/>
  <c r="H33" i="1"/>
  <c r="H34" i="1" s="1"/>
  <c r="AC70" i="1"/>
  <c r="P13" i="19" s="1"/>
  <c r="N13" i="19"/>
  <c r="N132" i="1"/>
  <c r="G19" i="19" s="1"/>
  <c r="T39" i="1"/>
  <c r="E19" i="19"/>
  <c r="N33" i="1" l="1"/>
  <c r="N34" i="1" s="1"/>
  <c r="N41" i="1" s="1"/>
  <c r="G9" i="19" s="1"/>
  <c r="L34" i="1"/>
  <c r="L41" i="1" s="1"/>
  <c r="E9" i="19" s="1"/>
  <c r="T33" i="1"/>
  <c r="R83" i="1"/>
  <c r="R85" i="1" s="1"/>
  <c r="H15" i="19" s="1"/>
  <c r="T83" i="1"/>
  <c r="L85" i="1"/>
  <c r="E15" i="19" s="1"/>
  <c r="AA33" i="1"/>
  <c r="R41" i="1"/>
  <c r="H9" i="19" s="1"/>
  <c r="X41" i="1"/>
  <c r="K9" i="19" s="1"/>
  <c r="Z33" i="1"/>
  <c r="F85" i="1"/>
  <c r="AA80" i="1"/>
  <c r="Z75" i="1"/>
  <c r="Z77" i="1" s="1"/>
  <c r="H85" i="1"/>
  <c r="D15" i="19" s="1"/>
  <c r="X77" i="1"/>
  <c r="T77" i="1"/>
  <c r="AA77" i="1"/>
  <c r="AC77" i="1" s="1"/>
  <c r="AA29" i="1"/>
  <c r="N7" i="19" s="1"/>
  <c r="X83" i="1"/>
  <c r="AC27" i="1"/>
  <c r="AC29" i="1" s="1"/>
  <c r="P7" i="19" s="1"/>
  <c r="AA39" i="1"/>
  <c r="H39" i="1"/>
  <c r="H41" i="1" s="1"/>
  <c r="D9" i="19" s="1"/>
  <c r="AC39" i="1"/>
  <c r="AC64" i="1"/>
  <c r="P11" i="19" s="1"/>
  <c r="AA64" i="1"/>
  <c r="N11" i="19" s="1"/>
  <c r="F41" i="1"/>
  <c r="B9" i="19" s="1"/>
  <c r="AC75" i="1"/>
  <c r="B15" i="19" l="1"/>
  <c r="F134" i="1"/>
  <c r="Z34" i="1"/>
  <c r="Z41" i="1" s="1"/>
  <c r="M9" i="19" s="1"/>
  <c r="AC33" i="1"/>
  <c r="AC34" i="1" s="1"/>
  <c r="AC41" i="1" s="1"/>
  <c r="P9" i="19" s="1"/>
  <c r="AA34" i="1"/>
  <c r="AA41" i="1" s="1"/>
  <c r="N9" i="19" s="1"/>
  <c r="T34" i="1"/>
  <c r="T41" i="1" s="1"/>
  <c r="J9" i="19" s="1"/>
  <c r="T85" i="1"/>
  <c r="J15" i="19" s="1"/>
  <c r="AA83" i="1"/>
  <c r="AA85" i="1" s="1"/>
  <c r="AC85" i="1" s="1"/>
  <c r="X85" i="1"/>
  <c r="K15" i="19" s="1"/>
  <c r="Z83" i="1"/>
  <c r="Z85" i="1" s="1"/>
  <c r="AC80" i="1"/>
  <c r="M15" i="19" l="1"/>
  <c r="Y134" i="1" l="1"/>
  <c r="B17" i="19"/>
  <c r="N15" i="19"/>
  <c r="P15" i="19"/>
  <c r="E17" i="19"/>
  <c r="L134" i="1"/>
  <c r="L135" i="1" s="1"/>
  <c r="G134" i="1"/>
  <c r="C17" i="19"/>
  <c r="AC83" i="1"/>
  <c r="L17" i="19" l="1"/>
  <c r="L21" i="19"/>
  <c r="Y136" i="1"/>
  <c r="L23" i="19" s="1"/>
  <c r="M134" i="1"/>
  <c r="F21" i="19" s="1"/>
  <c r="I17" i="19"/>
  <c r="B21" i="19"/>
  <c r="G17" i="19"/>
  <c r="D17" i="19"/>
  <c r="E21" i="19"/>
  <c r="L136" i="1"/>
  <c r="E23" i="19" s="1"/>
  <c r="E22" i="19"/>
  <c r="N135" i="1"/>
  <c r="G22" i="19" s="1"/>
  <c r="C21" i="19"/>
  <c r="G136" i="1"/>
  <c r="C23" i="19" s="1"/>
  <c r="S134" i="1" l="1"/>
  <c r="S136" i="1" s="1"/>
  <c r="H134" i="1"/>
  <c r="D21" i="19" s="1"/>
  <c r="O17" i="19"/>
  <c r="F17" i="19"/>
  <c r="F135" i="1"/>
  <c r="H135" i="1" s="1"/>
  <c r="D22" i="19" s="1"/>
  <c r="X134" i="1"/>
  <c r="M17" i="19"/>
  <c r="N134" i="1"/>
  <c r="G21" i="19" s="1"/>
  <c r="M136" i="1"/>
  <c r="F23" i="19" s="1"/>
  <c r="AB134" i="1" l="1"/>
  <c r="O21" i="19" s="1"/>
  <c r="I21" i="19"/>
  <c r="K17" i="19"/>
  <c r="H136" i="1"/>
  <c r="D23" i="19" s="1"/>
  <c r="B22" i="19"/>
  <c r="Z134" i="1"/>
  <c r="M21" i="19" s="1"/>
  <c r="F136" i="1"/>
  <c r="B23" i="19" s="1"/>
  <c r="X135" i="1"/>
  <c r="X136" i="1" s="1"/>
  <c r="K21" i="19"/>
  <c r="J17" i="19"/>
  <c r="R134" i="1"/>
  <c r="I23" i="19"/>
  <c r="AB136" i="1"/>
  <c r="O23" i="19" s="1"/>
  <c r="N136" i="1"/>
  <c r="G23" i="19" s="1"/>
  <c r="Z135" i="1" l="1"/>
  <c r="Z136" i="1" s="1"/>
  <c r="M23" i="19" s="1"/>
  <c r="K22" i="19"/>
  <c r="H17" i="19"/>
  <c r="T134" i="1"/>
  <c r="J21" i="19" s="1"/>
  <c r="AA134" i="1"/>
  <c r="H21" i="19"/>
  <c r="R135" i="1"/>
  <c r="AA135" i="1" s="1"/>
  <c r="K23" i="19"/>
  <c r="M22" i="19" l="1"/>
  <c r="H22" i="19"/>
  <c r="T135" i="1"/>
  <c r="T136" i="1" s="1"/>
  <c r="J23" i="19" s="1"/>
  <c r="R136" i="1"/>
  <c r="H23" i="19" s="1"/>
  <c r="N17" i="19"/>
  <c r="P17" i="19"/>
  <c r="AC134" i="1"/>
  <c r="P21" i="19" s="1"/>
  <c r="N21" i="19"/>
  <c r="J22" i="19" l="1"/>
  <c r="AA136" i="1"/>
  <c r="AC135" i="1"/>
  <c r="P22" i="19" s="1"/>
  <c r="N22" i="19"/>
  <c r="AC136" i="1" l="1"/>
  <c r="P23" i="19" s="1"/>
  <c r="N23" i="19"/>
</calcChain>
</file>

<file path=xl/sharedStrings.xml><?xml version="1.0" encoding="utf-8"?>
<sst xmlns="http://schemas.openxmlformats.org/spreadsheetml/2006/main" count="227" uniqueCount="132">
  <si>
    <t>Partners of the Americas Fertilize Right Colombia Budget 2023</t>
  </si>
  <si>
    <t>USDA-FAS-10960-0700-10-23-0012   CFDA: 10.960 Technical Agricultural Assistance</t>
  </si>
  <si>
    <t>Line Items</t>
  </si>
  <si>
    <t>Year 1</t>
  </si>
  <si>
    <t>Year 2</t>
  </si>
  <si>
    <t>Year 3</t>
  </si>
  <si>
    <t>Year 4</t>
  </si>
  <si>
    <t>Total</t>
  </si>
  <si>
    <t xml:space="preserve">Total </t>
  </si>
  <si>
    <t xml:space="preserve">Grand </t>
  </si>
  <si>
    <t>USDA</t>
  </si>
  <si>
    <t>Cost Share</t>
  </si>
  <si>
    <t>Personnel</t>
  </si>
  <si>
    <t>Fringe Benefits</t>
  </si>
  <si>
    <t>Travel</t>
  </si>
  <si>
    <t>Equipment</t>
  </si>
  <si>
    <t>Supplies</t>
  </si>
  <si>
    <t>Contractual</t>
  </si>
  <si>
    <t>Other Direct Costs</t>
  </si>
  <si>
    <t>Total Direct Costs</t>
  </si>
  <si>
    <t>Indirect Costs</t>
  </si>
  <si>
    <t>Duration: 3 Years, 7.5 months</t>
  </si>
  <si>
    <t>Country: Colombia</t>
  </si>
  <si>
    <t>Budget Assumptions</t>
  </si>
  <si>
    <t>Inflation - US Based Goods/Services - 2%</t>
  </si>
  <si>
    <t>Inflation - Locally Purchased Goods/Services - 3%</t>
  </si>
  <si>
    <t>Merit Based Increases for HQ &amp; Field Staff - 5%</t>
  </si>
  <si>
    <t>*Key Personnel</t>
  </si>
  <si>
    <t>Unit</t>
  </si>
  <si>
    <t>Cost</t>
  </si>
  <si>
    <t>Duration</t>
  </si>
  <si>
    <t>Type</t>
  </si>
  <si>
    <t>Headquarters Personnel</t>
  </si>
  <si>
    <t>LOE</t>
  </si>
  <si>
    <t>/months</t>
  </si>
  <si>
    <t>Program Director</t>
  </si>
  <si>
    <t>Technical Advisor - Senior Program Officer</t>
  </si>
  <si>
    <t>Subtotal HQ Personnel</t>
  </si>
  <si>
    <t>Field Personnel</t>
  </si>
  <si>
    <t>Deputy Director*</t>
  </si>
  <si>
    <t>Finance &amp; Administration Director</t>
  </si>
  <si>
    <t>Communications Officer</t>
  </si>
  <si>
    <t>Accountant</t>
  </si>
  <si>
    <t>M&amp;E Director</t>
  </si>
  <si>
    <t xml:space="preserve">M&amp;E Assistant </t>
  </si>
  <si>
    <t>Subtotal Field Personnel</t>
  </si>
  <si>
    <t>Personnel Total</t>
  </si>
  <si>
    <t>HQ Fringe Benefits</t>
  </si>
  <si>
    <t>Fringe Benefits - Headquarters</t>
  </si>
  <si>
    <t>/month</t>
  </si>
  <si>
    <t>Subtotal HQ Fringe Benefits</t>
  </si>
  <si>
    <t>Field Fringe Benefits</t>
  </si>
  <si>
    <t>Fringe Benefits CCN - Colombia (above $3,100 monthly)</t>
  </si>
  <si>
    <t>Fringe Benefits CCN - Colombia (below $3,100 monthly)</t>
  </si>
  <si>
    <t>Subtotal Field Fringe Benefits</t>
  </si>
  <si>
    <t>Fringe Benefits Total</t>
  </si>
  <si>
    <t xml:space="preserve">Travel </t>
  </si>
  <si>
    <t>HQ Travel</t>
  </si>
  <si>
    <t>T.1 Project Management Travel to Field</t>
  </si>
  <si>
    <t xml:space="preserve">International Airfare to Colombia </t>
  </si>
  <si>
    <t>/trip</t>
  </si>
  <si>
    <t xml:space="preserve">Meals and Incidentals </t>
  </si>
  <si>
    <t>/day</t>
  </si>
  <si>
    <t xml:space="preserve">Lodging </t>
  </si>
  <si>
    <t>/night</t>
  </si>
  <si>
    <t>Local Transportation</t>
  </si>
  <si>
    <t>Other Travel Related Expenses</t>
  </si>
  <si>
    <t>Subtotal HQ Travel</t>
  </si>
  <si>
    <t>Field Travel</t>
  </si>
  <si>
    <t>Local Travel for M&amp;E, Training, and Capacity Building</t>
  </si>
  <si>
    <t>Transportation (Airfare, Taxis, &amp; Rental Car/Driver)</t>
  </si>
  <si>
    <t>Meals and Incidentals</t>
  </si>
  <si>
    <t>Lodging</t>
  </si>
  <si>
    <t xml:space="preserve">Other Travel Related Expenses </t>
  </si>
  <si>
    <t>Subtotal Field Travel</t>
  </si>
  <si>
    <t>Travel Total</t>
  </si>
  <si>
    <t xml:space="preserve">Equipment </t>
  </si>
  <si>
    <t>None</t>
  </si>
  <si>
    <t>Equipment Total</t>
  </si>
  <si>
    <t>HQ Office Supplies</t>
  </si>
  <si>
    <t>Laptop, Bag, Accessories</t>
  </si>
  <si>
    <t>/unit</t>
  </si>
  <si>
    <t>Program Specific Office Supplies and Stationary for HQ</t>
  </si>
  <si>
    <t>Subtotal HQ Office Supplies</t>
  </si>
  <si>
    <t>Field Office Supplies</t>
  </si>
  <si>
    <t xml:space="preserve">Laptop, Bag, &amp; Accessories </t>
  </si>
  <si>
    <t>Office Furniture (Includes Desk, Chairs, Table, Shelves, &amp; Filing Cabinet) - Main Office &amp; 2 Satellite Offices</t>
  </si>
  <si>
    <t xml:space="preserve">General Office Supplies, PPE, and Stationary for Field Office </t>
  </si>
  <si>
    <t>/year</t>
  </si>
  <si>
    <t>Subtotal Field Office Supplies</t>
  </si>
  <si>
    <t>Supplies Total</t>
  </si>
  <si>
    <t>Contracts</t>
  </si>
  <si>
    <t>Contract for Application (PaLaTierra) Development</t>
  </si>
  <si>
    <t>Contract for Website Development</t>
  </si>
  <si>
    <t>Contractual Total</t>
  </si>
  <si>
    <t>HQ - Other Direct Costs</t>
  </si>
  <si>
    <t>Dues, Licenses &amp; Subscriptions</t>
  </si>
  <si>
    <t>Meetings/Events - HQ</t>
  </si>
  <si>
    <t>Subtotal HQ Other Direct Costs</t>
  </si>
  <si>
    <t>Field Office (FO) - Other Direct Costs</t>
  </si>
  <si>
    <t xml:space="preserve">Dues, Licenses, &amp; Subscriptions </t>
  </si>
  <si>
    <t xml:space="preserve">Courier Fees/ Postage Services </t>
  </si>
  <si>
    <t xml:space="preserve">Banking &amp; Cash Handling Fees </t>
  </si>
  <si>
    <t xml:space="preserve">Procurement/Advertising/Recruitment Fees </t>
  </si>
  <si>
    <t xml:space="preserve">Meetings and Events </t>
  </si>
  <si>
    <t>Office Communications (Ex. Phone, Internet, Email)</t>
  </si>
  <si>
    <t>Office Rent &amp; Office Maintenance &amp; Utilities</t>
  </si>
  <si>
    <t xml:space="preserve">Payroll and Accounting Costs </t>
  </si>
  <si>
    <t xml:space="preserve">Legal Fees </t>
  </si>
  <si>
    <t>Activities</t>
  </si>
  <si>
    <t>Soil Tests</t>
  </si>
  <si>
    <t>/test</t>
  </si>
  <si>
    <t>Demonstration Plots (includes land, labor, seeds, tools, &amp; maintenance)</t>
  </si>
  <si>
    <t>/plot</t>
  </si>
  <si>
    <t>License and Use of Existing PaLaTierra App</t>
  </si>
  <si>
    <t>Printing of Educational Materials &amp; Resources</t>
  </si>
  <si>
    <t xml:space="preserve">Dissemination of Extension Materials </t>
  </si>
  <si>
    <t>Community of Practice Roundtables</t>
  </si>
  <si>
    <t>/meeting</t>
  </si>
  <si>
    <t>Registration for Conferences on Climate and Fertilizer</t>
  </si>
  <si>
    <t>Annual Community of Practice Summit</t>
  </si>
  <si>
    <t>/workshop</t>
  </si>
  <si>
    <t>Monitoring, Evaluation, and Collection of Reliable Data</t>
  </si>
  <si>
    <t>M&amp;E Database Set-up and Subscription</t>
  </si>
  <si>
    <t>Data Collection Tools</t>
  </si>
  <si>
    <t>On-going M&amp;E Training Workshops</t>
  </si>
  <si>
    <t>Monitoring Guidelines Creation, Translation &amp; Printing</t>
  </si>
  <si>
    <t>/document</t>
  </si>
  <si>
    <t xml:space="preserve">Monitoring Guidelines Staff Training Workshop </t>
  </si>
  <si>
    <t>Subtotal Field Office Other Direct Costs</t>
  </si>
  <si>
    <t>Other Direct Costs Total</t>
  </si>
  <si>
    <t>Subrecipient to Agrosavia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</si>
</sst>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"/>
    <numFmt numFmtId="166" formatCode="_(&quot;$&quot;* #,##0_);_(&quot;$&quot;* \(#,##0\);_(&quot;$&quot;* &quot;-&quot;??_);_(@_)"/>
    <numFmt numFmtId="167" formatCode="_-* #,##0\ _B_s_-;\-* #,##0\ _B_s_-;_-* &quot;-&quot;??\ _B_s_-;_-@_-"/>
    <numFmt numFmtId="168" formatCode="0.000%"/>
    <numFmt numFmtId="169" formatCode="_-* #,##0.00_-;\-* #,##0.00_-;_-* &quot;-&quot;??_-;_-@_-"/>
    <numFmt numFmtId="170" formatCode="_-* #,##0.00\ &quot;Bs&quot;_-;\-* #,##0.00\ &quot;Bs&quot;_-;_-* &quot;-&quot;??\ &quot;Bs&quot;_-;_-@_-"/>
    <numFmt numFmtId="171" formatCode="_-* #,##0.00\ _B_s_-;\-* #,##0.00\ _B_s_-;_-* &quot;-&quot;??\ _B_s_-;_-@_-"/>
    <numFmt numFmtId="172" formatCode="&quot;On&quot;;&quot;On&quot;;&quot;Off&quot;"/>
    <numFmt numFmtId="173" formatCode="0_)"/>
    <numFmt numFmtId="174" formatCode="_([$€-2]* #,##0.00_);_([$€-2]* \(#,##0.00\);_([$€-2]* &quot;-&quot;??_)"/>
    <numFmt numFmtId="175" formatCode="00\-0000\-00\-0000\-000"/>
    <numFmt numFmtId="176" formatCode="#,##0."/>
    <numFmt numFmtId="177" formatCode="#,###,##0.00;\(#,###,##0.00\)"/>
    <numFmt numFmtId="178" formatCode="&quot;$&quot;#,###,##0.00;\(&quot;$&quot;#,###,##0.00\)"/>
    <numFmt numFmtId="179" formatCode="#,##0.00%;\(#,##0.00%\)"/>
    <numFmt numFmtId="180" formatCode="mm/dd/yy"/>
    <numFmt numFmtId="181" formatCode="#,##0;#,##0;;"/>
    <numFmt numFmtId="182" formatCode="0.00_)"/>
    <numFmt numFmtId="183" formatCode="General_)"/>
    <numFmt numFmtId="184" formatCode="#,##0.000_);[Red]\(#,##0.000\)"/>
    <numFmt numFmtId="185" formatCode="&quot;FY94P&quot;#"/>
    <numFmt numFmtId="186" formatCode="00\-0000\-00\-0000"/>
    <numFmt numFmtId="187" formatCode="_(* #,##0,_);_(* \(#,##0,\);_(@_)"/>
    <numFmt numFmtId="188" formatCode="_(* #,##0.00_);[Red]_(* \(#,##0.00\);_(* &quot;-&quot;??_);_(@_)"/>
    <numFmt numFmtId="189" formatCode="_(* #,##0.0_);_(* \(#,##0.0\);_(* &quot;-&quot;??_);_(@_)"/>
  </numFmts>
  <fonts count="9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0"/>
      <name val="Times New Roman"/>
      <family val="1"/>
    </font>
    <font>
      <b/>
      <i/>
      <sz val="12"/>
      <name val="Times New Roman"/>
      <family val="1"/>
    </font>
    <font>
      <i/>
      <sz val="10"/>
      <name val="Times New Roman"/>
      <family val="1"/>
    </font>
    <font>
      <b/>
      <i/>
      <sz val="10"/>
      <color theme="0"/>
      <name val="Times New Roman"/>
      <family val="1"/>
    </font>
    <font>
      <b/>
      <sz val="10"/>
      <color theme="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color theme="0"/>
      <name val="Times New Roman"/>
      <family val="1"/>
    </font>
    <font>
      <b/>
      <sz val="12"/>
      <color theme="0"/>
      <name val="Times New Roman"/>
      <family val="1"/>
    </font>
    <font>
      <sz val="10"/>
      <color rgb="FF0070C0"/>
      <name val="Times New Roman"/>
      <family val="1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Times New Roman"/>
      <family val="1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7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2"/>
      <color indexed="8"/>
      <name val="Times New Roman"/>
      <family val="1"/>
    </font>
    <font>
      <sz val="12"/>
      <name val="Arial"/>
      <family val="2"/>
    </font>
    <font>
      <sz val="9"/>
      <name val="Arial"/>
      <family val="2"/>
    </font>
    <font>
      <sz val="12"/>
      <color indexed="8"/>
      <name val="Arial"/>
      <family val="2"/>
    </font>
    <font>
      <b/>
      <sz val="12"/>
      <name val="Arial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4"/>
      <color indexed="8"/>
      <name val="Arial"/>
      <family val="2"/>
    </font>
    <font>
      <sz val="11"/>
      <name val="Arial"/>
      <family val="2"/>
    </font>
    <font>
      <sz val="10"/>
      <name val="Arial"/>
      <family val="2"/>
      <charset val="204"/>
    </font>
    <font>
      <sz val="11"/>
      <name val="Arial"/>
      <family val="2"/>
      <charset val="204"/>
    </font>
    <font>
      <sz val="10"/>
      <name val="Helv"/>
    </font>
    <font>
      <sz val="1"/>
      <color indexed="8"/>
      <name val="Courier"/>
      <family val="3"/>
    </font>
    <font>
      <i/>
      <sz val="9"/>
      <name val="Helv"/>
    </font>
    <font>
      <sz val="10"/>
      <name val="MS Sans Serif"/>
      <family val="2"/>
    </font>
    <font>
      <sz val="12"/>
      <color indexed="24"/>
      <name val="Arial"/>
      <family val="2"/>
    </font>
    <font>
      <sz val="10"/>
      <color indexed="0"/>
      <name val="Arial"/>
      <family val="2"/>
    </font>
    <font>
      <sz val="9"/>
      <name val="Tms Rmn"/>
    </font>
    <font>
      <sz val="12"/>
      <name val="Tms Rmn"/>
    </font>
    <font>
      <u/>
      <sz val="6"/>
      <color indexed="12"/>
      <name val="Helv"/>
    </font>
    <font>
      <u/>
      <sz val="7"/>
      <color indexed="12"/>
      <name val="Helv"/>
    </font>
    <font>
      <sz val="12"/>
      <name val="Helv"/>
    </font>
    <font>
      <sz val="9"/>
      <name val="Helv"/>
    </font>
    <font>
      <b/>
      <i/>
      <sz val="16"/>
      <name val="Helv"/>
    </font>
    <font>
      <b/>
      <sz val="10"/>
      <name val="MS Sans Serif"/>
      <family val="2"/>
    </font>
    <font>
      <sz val="10"/>
      <name val="Arial MT"/>
    </font>
    <font>
      <b/>
      <i/>
      <sz val="10"/>
      <color indexed="8"/>
      <name val="Times New Roman"/>
      <family val="1"/>
    </font>
    <font>
      <sz val="10"/>
      <color indexed="12"/>
      <name val="Times New Roman"/>
      <family val="1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2"/>
      <name val="Calibri"/>
      <family val="2"/>
    </font>
    <font>
      <sz val="8"/>
      <name val="Times New Roman"/>
      <family val="1"/>
    </font>
    <font>
      <u/>
      <sz val="11"/>
      <color theme="10"/>
      <name val="Calibri"/>
      <family val="2"/>
      <scheme val="minor"/>
    </font>
    <font>
      <u/>
      <sz val="10"/>
      <color theme="10"/>
      <name val="Helv"/>
    </font>
    <font>
      <u/>
      <sz val="11"/>
      <color theme="10"/>
      <name val="Calibri"/>
      <family val="2"/>
    </font>
    <font>
      <sz val="11"/>
      <color rgb="FF9C650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8"/>
      <color theme="3"/>
      <name val="Cambria"/>
      <family val="2"/>
      <scheme val="major"/>
    </font>
    <font>
      <b/>
      <i/>
      <sz val="10"/>
      <color rgb="FFFF0000"/>
      <name val="Times New Roman"/>
      <family val="1"/>
    </font>
  </fonts>
  <fills count="6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D7E5F5"/>
        <bgColor indexed="64"/>
      </patternFill>
    </fill>
    <fill>
      <patternFill patternType="solid">
        <fgColor rgb="FFE7F0F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1"/>
        <bgColor indexed="64"/>
      </patternFill>
    </fill>
    <fill>
      <patternFill patternType="mediumGray">
        <fgColor indexed="22"/>
      </patternFill>
    </fill>
    <fill>
      <patternFill patternType="solid">
        <fgColor indexed="62"/>
      </patternFill>
    </fill>
    <fill>
      <patternFill patternType="solid">
        <fgColor indexed="57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2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7" fillId="0" borderId="0"/>
    <xf numFmtId="0" fontId="8" fillId="0" borderId="0"/>
    <xf numFmtId="43" fontId="5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0" fontId="3" fillId="0" borderId="0"/>
    <xf numFmtId="4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7" fillId="0" borderId="0"/>
    <xf numFmtId="0" fontId="2" fillId="0" borderId="0"/>
    <xf numFmtId="4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174" fontId="1" fillId="15" borderId="0" applyNumberFormat="0" applyBorder="0" applyAlignment="0" applyProtection="0"/>
    <xf numFmtId="174" fontId="1" fillId="19" borderId="0" applyNumberFormat="0" applyBorder="0" applyAlignment="0" applyProtection="0"/>
    <xf numFmtId="174" fontId="1" fillId="23" borderId="0" applyNumberFormat="0" applyBorder="0" applyAlignment="0" applyProtection="0"/>
    <xf numFmtId="174" fontId="9" fillId="40" borderId="0" applyNumberFormat="0" applyBorder="0" applyAlignment="0" applyProtection="0"/>
    <xf numFmtId="174" fontId="1" fillId="27" borderId="0" applyNumberFormat="0" applyBorder="0" applyAlignment="0" applyProtection="0"/>
    <xf numFmtId="174" fontId="1" fillId="31" borderId="0" applyNumberFormat="0" applyBorder="0" applyAlignment="0" applyProtection="0"/>
    <xf numFmtId="174" fontId="1" fillId="35" borderId="0" applyNumberFormat="0" applyBorder="0" applyAlignment="0" applyProtection="0"/>
    <xf numFmtId="174" fontId="49" fillId="42" borderId="0" applyNumberFormat="0" applyBorder="0" applyAlignment="0" applyProtection="0">
      <alignment vertical="center"/>
    </xf>
    <xf numFmtId="174" fontId="49" fillId="43" borderId="0" applyNumberFormat="0" applyBorder="0" applyAlignment="0" applyProtection="0">
      <alignment vertical="center"/>
    </xf>
    <xf numFmtId="174" fontId="49" fillId="44" borderId="0" applyNumberFormat="0" applyBorder="0" applyAlignment="0" applyProtection="0">
      <alignment vertical="center"/>
    </xf>
    <xf numFmtId="174" fontId="49" fillId="40" borderId="0" applyNumberFormat="0" applyBorder="0" applyAlignment="0" applyProtection="0">
      <alignment vertical="center"/>
    </xf>
    <xf numFmtId="174" fontId="49" fillId="41" borderId="0" applyNumberFormat="0" applyBorder="0" applyAlignment="0" applyProtection="0">
      <alignment vertical="center"/>
    </xf>
    <xf numFmtId="174" fontId="49" fillId="38" borderId="0" applyNumberFormat="0" applyBorder="0" applyAlignment="0" applyProtection="0">
      <alignment vertical="center"/>
    </xf>
    <xf numFmtId="174" fontId="1" fillId="16" borderId="0" applyNumberFormat="0" applyBorder="0" applyAlignment="0" applyProtection="0"/>
    <xf numFmtId="174" fontId="1" fillId="20" borderId="0" applyNumberFormat="0" applyBorder="0" applyAlignment="0" applyProtection="0"/>
    <xf numFmtId="174" fontId="1" fillId="24" borderId="0" applyNumberFormat="0" applyBorder="0" applyAlignment="0" applyProtection="0"/>
    <xf numFmtId="174" fontId="1" fillId="28" borderId="0" applyNumberFormat="0" applyBorder="0" applyAlignment="0" applyProtection="0"/>
    <xf numFmtId="174" fontId="1" fillId="32" borderId="0" applyNumberFormat="0" applyBorder="0" applyAlignment="0" applyProtection="0"/>
    <xf numFmtId="174" fontId="1" fillId="36" borderId="0" applyNumberFormat="0" applyBorder="0" applyAlignment="0" applyProtection="0"/>
    <xf numFmtId="174" fontId="49" fillId="48" borderId="0" applyNumberFormat="0" applyBorder="0" applyAlignment="0" applyProtection="0">
      <alignment vertical="center"/>
    </xf>
    <xf numFmtId="174" fontId="49" fillId="46" borderId="0" applyNumberFormat="0" applyBorder="0" applyAlignment="0" applyProtection="0">
      <alignment vertical="center"/>
    </xf>
    <xf numFmtId="174" fontId="49" fillId="49" borderId="0" applyNumberFormat="0" applyBorder="0" applyAlignment="0" applyProtection="0">
      <alignment vertical="center"/>
    </xf>
    <xf numFmtId="174" fontId="49" fillId="40" borderId="0" applyNumberFormat="0" applyBorder="0" applyAlignment="0" applyProtection="0">
      <alignment vertical="center"/>
    </xf>
    <xf numFmtId="174" fontId="49" fillId="48" borderId="0" applyNumberFormat="0" applyBorder="0" applyAlignment="0" applyProtection="0">
      <alignment vertical="center"/>
    </xf>
    <xf numFmtId="174" fontId="49" fillId="50" borderId="0" applyNumberFormat="0" applyBorder="0" applyAlignment="0" applyProtection="0">
      <alignment vertical="center"/>
    </xf>
    <xf numFmtId="174" fontId="35" fillId="17" borderId="0" applyNumberFormat="0" applyBorder="0" applyAlignment="0" applyProtection="0"/>
    <xf numFmtId="174" fontId="35" fillId="21" borderId="0" applyNumberFormat="0" applyBorder="0" applyAlignment="0" applyProtection="0"/>
    <xf numFmtId="174" fontId="35" fillId="25" borderId="0" applyNumberFormat="0" applyBorder="0" applyAlignment="0" applyProtection="0"/>
    <xf numFmtId="174" fontId="35" fillId="29" borderId="0" applyNumberFormat="0" applyBorder="0" applyAlignment="0" applyProtection="0"/>
    <xf numFmtId="174" fontId="35" fillId="33" borderId="0" applyNumberFormat="0" applyBorder="0" applyAlignment="0" applyProtection="0"/>
    <xf numFmtId="174" fontId="35" fillId="37" borderId="0" applyNumberFormat="0" applyBorder="0" applyAlignment="0" applyProtection="0"/>
    <xf numFmtId="174" fontId="50" fillId="52" borderId="0" applyNumberFormat="0" applyBorder="0" applyAlignment="0" applyProtection="0">
      <alignment vertical="center"/>
    </xf>
    <xf numFmtId="174" fontId="50" fillId="46" borderId="0" applyNumberFormat="0" applyBorder="0" applyAlignment="0" applyProtection="0">
      <alignment vertical="center"/>
    </xf>
    <xf numFmtId="174" fontId="50" fillId="49" borderId="0" applyNumberFormat="0" applyBorder="0" applyAlignment="0" applyProtection="0">
      <alignment vertical="center"/>
    </xf>
    <xf numFmtId="174" fontId="50" fillId="53" borderId="0" applyNumberFormat="0" applyBorder="0" applyAlignment="0" applyProtection="0">
      <alignment vertical="center"/>
    </xf>
    <xf numFmtId="174" fontId="50" fillId="51" borderId="0" applyNumberFormat="0" applyBorder="0" applyAlignment="0" applyProtection="0">
      <alignment vertical="center"/>
    </xf>
    <xf numFmtId="174" fontId="50" fillId="54" borderId="0" applyNumberFormat="0" applyBorder="0" applyAlignment="0" applyProtection="0">
      <alignment vertical="center"/>
    </xf>
    <xf numFmtId="174" fontId="35" fillId="14" borderId="0" applyNumberFormat="0" applyBorder="0" applyAlignment="0" applyProtection="0"/>
    <xf numFmtId="174" fontId="39" fillId="55" borderId="0" applyNumberFormat="0" applyBorder="0" applyAlignment="0" applyProtection="0"/>
    <xf numFmtId="174" fontId="35" fillId="18" borderId="0" applyNumberFormat="0" applyBorder="0" applyAlignment="0" applyProtection="0"/>
    <xf numFmtId="174" fontId="35" fillId="22" borderId="0" applyNumberFormat="0" applyBorder="0" applyAlignment="0" applyProtection="0"/>
    <xf numFmtId="174" fontId="35" fillId="26" borderId="0" applyNumberFormat="0" applyBorder="0" applyAlignment="0" applyProtection="0"/>
    <xf numFmtId="174" fontId="35" fillId="30" borderId="0" applyNumberFormat="0" applyBorder="0" applyAlignment="0" applyProtection="0"/>
    <xf numFmtId="174" fontId="35" fillId="34" borderId="0" applyNumberFormat="0" applyBorder="0" applyAlignment="0" applyProtection="0"/>
    <xf numFmtId="3" fontId="47" fillId="0" borderId="0" applyNumberFormat="0" applyFill="0" applyBorder="0" applyAlignment="0" applyProtection="0"/>
    <xf numFmtId="3" fontId="51" fillId="0" borderId="0" applyNumberFormat="0" applyFill="0" applyBorder="0" applyAlignment="0" applyProtection="0"/>
    <xf numFmtId="175" fontId="6" fillId="0" borderId="0" applyFont="0" applyFill="0" applyBorder="0" applyAlignment="0" applyProtection="0"/>
    <xf numFmtId="174" fontId="26" fillId="8" borderId="0" applyNumberFormat="0" applyBorder="0" applyAlignment="0" applyProtection="0"/>
    <xf numFmtId="174" fontId="29" fillId="11" borderId="45" applyNumberFormat="0" applyAlignment="0" applyProtection="0"/>
    <xf numFmtId="174" fontId="40" fillId="57" borderId="52" applyNumberFormat="0" applyAlignment="0" applyProtection="0"/>
    <xf numFmtId="174" fontId="31" fillId="12" borderId="48" applyNumberFormat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174" fontId="55" fillId="0" borderId="0"/>
    <xf numFmtId="174" fontId="55" fillId="0" borderId="0"/>
    <xf numFmtId="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176" fontId="56" fillId="0" borderId="0">
      <protection locked="0"/>
    </xf>
    <xf numFmtId="174" fontId="55" fillId="0" borderId="0"/>
    <xf numFmtId="174" fontId="55" fillId="0" borderId="0"/>
    <xf numFmtId="174" fontId="55" fillId="0" borderId="0"/>
    <xf numFmtId="174" fontId="55" fillId="0" borderId="0"/>
    <xf numFmtId="174" fontId="55" fillId="0" borderId="0"/>
    <xf numFmtId="174" fontId="55" fillId="0" borderId="0"/>
    <xf numFmtId="170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53" fillId="0" borderId="0" applyFont="0" applyFill="0" applyBorder="0" applyAlignment="0" applyProtection="0"/>
    <xf numFmtId="4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53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87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5" fontId="5" fillId="0" borderId="0" applyFont="0" applyFill="0" applyBorder="0" applyAlignment="0" applyProtection="0"/>
    <xf numFmtId="1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22" fontId="5" fillId="0" borderId="0" applyFont="0" applyFill="0" applyBorder="0" applyAlignment="0" applyProtection="0"/>
    <xf numFmtId="174" fontId="57" fillId="0" borderId="0">
      <alignment horizontal="left" vertical="top" wrapText="1"/>
    </xf>
    <xf numFmtId="7" fontId="58" fillId="0" borderId="0" applyFont="0" applyFill="0" applyBorder="0" applyAlignment="0" applyProtection="0"/>
    <xf numFmtId="174" fontId="45" fillId="0" borderId="0" applyFont="0" applyFill="0" applyBorder="0" applyAlignment="0" applyProtection="0"/>
    <xf numFmtId="174" fontId="33" fillId="0" borderId="0" applyNumberFormat="0" applyFill="0" applyBorder="0" applyAlignment="0" applyProtection="0"/>
    <xf numFmtId="174" fontId="59" fillId="0" borderId="0" applyProtection="0"/>
    <xf numFmtId="174" fontId="59" fillId="0" borderId="0" applyProtection="0"/>
    <xf numFmtId="174" fontId="59" fillId="0" borderId="0" applyProtection="0"/>
    <xf numFmtId="174" fontId="59" fillId="0" borderId="0" applyProtection="0"/>
    <xf numFmtId="174" fontId="59" fillId="0" borderId="0" applyProtection="0"/>
    <xf numFmtId="174" fontId="59" fillId="0" borderId="0" applyProtection="0"/>
    <xf numFmtId="174" fontId="59" fillId="0" borderId="0" applyProtection="0"/>
    <xf numFmtId="2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177" fontId="60" fillId="0" borderId="0"/>
    <xf numFmtId="178" fontId="60" fillId="0" borderId="0"/>
    <xf numFmtId="179" fontId="60" fillId="0" borderId="0"/>
    <xf numFmtId="174" fontId="41" fillId="44" borderId="0" applyNumberFormat="0" applyBorder="0" applyAlignment="0" applyProtection="0"/>
    <xf numFmtId="0" fontId="25" fillId="7" borderId="0" applyNumberFormat="0" applyBorder="0" applyAlignment="0" applyProtection="0"/>
    <xf numFmtId="174" fontId="25" fillId="7" borderId="0" applyNumberFormat="0" applyBorder="0" applyAlignment="0" applyProtection="0"/>
    <xf numFmtId="174" fontId="61" fillId="58" borderId="1"/>
    <xf numFmtId="174" fontId="61" fillId="58" borderId="1"/>
    <xf numFmtId="174" fontId="61" fillId="58" borderId="1"/>
    <xf numFmtId="174" fontId="61" fillId="58" borderId="1"/>
    <xf numFmtId="174" fontId="61" fillId="58" borderId="1"/>
    <xf numFmtId="174" fontId="61" fillId="58" borderId="1"/>
    <xf numFmtId="174" fontId="61" fillId="58" borderId="1"/>
    <xf numFmtId="174" fontId="61" fillId="58" borderId="1"/>
    <xf numFmtId="174" fontId="61" fillId="58" borderId="1"/>
    <xf numFmtId="174" fontId="61" fillId="58" borderId="1"/>
    <xf numFmtId="174" fontId="61" fillId="58" borderId="1"/>
    <xf numFmtId="174" fontId="61" fillId="58" borderId="1"/>
    <xf numFmtId="174" fontId="61" fillId="58" borderId="1"/>
    <xf numFmtId="174" fontId="61" fillId="58" borderId="1"/>
    <xf numFmtId="174" fontId="61" fillId="58" borderId="1"/>
    <xf numFmtId="38" fontId="6" fillId="59" borderId="0" applyNumberFormat="0" applyBorder="0" applyAlignment="0" applyProtection="0"/>
    <xf numFmtId="1" fontId="62" fillId="0" borderId="5" applyBorder="0">
      <protection locked="0"/>
    </xf>
    <xf numFmtId="174" fontId="48" fillId="0" borderId="53" applyNumberFormat="0" applyAlignment="0" applyProtection="0">
      <alignment horizontal="left" vertical="center"/>
    </xf>
    <xf numFmtId="174" fontId="48" fillId="0" borderId="13">
      <alignment horizontal="left" vertical="center"/>
    </xf>
    <xf numFmtId="174" fontId="48" fillId="0" borderId="13">
      <alignment horizontal="left" vertical="center"/>
    </xf>
    <xf numFmtId="174" fontId="48" fillId="0" borderId="13">
      <alignment horizontal="left" vertical="center"/>
    </xf>
    <xf numFmtId="174" fontId="48" fillId="0" borderId="13">
      <alignment horizontal="left" vertical="center"/>
    </xf>
    <xf numFmtId="174" fontId="48" fillId="0" borderId="13">
      <alignment horizontal="left" vertical="center"/>
    </xf>
    <xf numFmtId="174" fontId="48" fillId="0" borderId="13">
      <alignment horizontal="left" vertical="center"/>
    </xf>
    <xf numFmtId="174" fontId="48" fillId="0" borderId="13">
      <alignment horizontal="left" vertical="center"/>
    </xf>
    <xf numFmtId="174" fontId="48" fillId="0" borderId="13">
      <alignment horizontal="left" vertical="center"/>
    </xf>
    <xf numFmtId="174" fontId="48" fillId="0" borderId="13">
      <alignment horizontal="left" vertical="center"/>
    </xf>
    <xf numFmtId="174" fontId="48" fillId="0" borderId="13">
      <alignment horizontal="left" vertical="center"/>
    </xf>
    <xf numFmtId="174" fontId="48" fillId="0" borderId="13">
      <alignment horizontal="left" vertical="center"/>
    </xf>
    <xf numFmtId="174" fontId="22" fillId="0" borderId="42" applyNumberFormat="0" applyFill="0" applyAlignment="0" applyProtection="0"/>
    <xf numFmtId="174" fontId="23" fillId="0" borderId="43" applyNumberFormat="0" applyFill="0" applyAlignment="0" applyProtection="0"/>
    <xf numFmtId="174" fontId="24" fillId="0" borderId="44" applyNumberFormat="0" applyFill="0" applyAlignment="0" applyProtection="0"/>
    <xf numFmtId="174" fontId="24" fillId="0" borderId="0" applyNumberFormat="0" applyFill="0" applyBorder="0" applyAlignment="0" applyProtection="0"/>
    <xf numFmtId="174" fontId="59" fillId="0" borderId="0" applyProtection="0"/>
    <xf numFmtId="174" fontId="59" fillId="0" borderId="0" applyProtection="0"/>
    <xf numFmtId="174" fontId="89" fillId="0" borderId="0" applyNumberFormat="0" applyFill="0" applyBorder="0" applyAlignment="0" applyProtection="0"/>
    <xf numFmtId="174" fontId="63" fillId="0" borderId="0" applyNumberFormat="0" applyFill="0" applyBorder="0" applyAlignment="0" applyProtection="0">
      <alignment vertical="top"/>
      <protection locked="0"/>
    </xf>
    <xf numFmtId="174" fontId="63" fillId="0" borderId="0" applyNumberFormat="0" applyFill="0" applyBorder="0" applyAlignment="0" applyProtection="0">
      <alignment vertical="top"/>
      <protection locked="0"/>
    </xf>
    <xf numFmtId="174" fontId="64" fillId="0" borderId="0" applyNumberFormat="0" applyFill="0" applyBorder="0" applyAlignment="0" applyProtection="0">
      <alignment vertical="top"/>
      <protection locked="0"/>
    </xf>
    <xf numFmtId="174" fontId="64" fillId="0" borderId="0" applyNumberFormat="0" applyFill="0" applyBorder="0" applyAlignment="0" applyProtection="0">
      <alignment vertical="top"/>
      <protection locked="0"/>
    </xf>
    <xf numFmtId="174" fontId="64" fillId="0" borderId="0" applyNumberFormat="0" applyFill="0" applyBorder="0" applyAlignment="0" applyProtection="0">
      <alignment vertical="top"/>
      <protection locked="0"/>
    </xf>
    <xf numFmtId="174" fontId="64" fillId="0" borderId="0" applyNumberFormat="0" applyFill="0" applyBorder="0" applyAlignment="0" applyProtection="0">
      <alignment vertical="top"/>
      <protection locked="0"/>
    </xf>
    <xf numFmtId="174" fontId="64" fillId="0" borderId="0" applyNumberFormat="0" applyFill="0" applyBorder="0" applyAlignment="0" applyProtection="0">
      <alignment vertical="top"/>
      <protection locked="0"/>
    </xf>
    <xf numFmtId="174" fontId="90" fillId="0" borderId="0" applyNumberFormat="0" applyFill="0" applyBorder="0" applyAlignment="0" applyProtection="0">
      <alignment vertical="top"/>
      <protection locked="0"/>
    </xf>
    <xf numFmtId="174" fontId="91" fillId="0" borderId="0" applyNumberFormat="0" applyFill="0" applyBorder="0" applyAlignment="0" applyProtection="0">
      <alignment vertical="top"/>
      <protection locked="0"/>
    </xf>
    <xf numFmtId="10" fontId="6" fillId="60" borderId="1" applyNumberFormat="0" applyBorder="0" applyAlignment="0" applyProtection="0"/>
    <xf numFmtId="10" fontId="6" fillId="60" borderId="1" applyNumberFormat="0" applyBorder="0" applyAlignment="0" applyProtection="0"/>
    <xf numFmtId="10" fontId="6" fillId="60" borderId="1" applyNumberFormat="0" applyBorder="0" applyAlignment="0" applyProtection="0"/>
    <xf numFmtId="10" fontId="6" fillId="60" borderId="1" applyNumberFormat="0" applyBorder="0" applyAlignment="0" applyProtection="0"/>
    <xf numFmtId="10" fontId="6" fillId="60" borderId="1" applyNumberFormat="0" applyBorder="0" applyAlignment="0" applyProtection="0"/>
    <xf numFmtId="10" fontId="6" fillId="60" borderId="1" applyNumberFormat="0" applyBorder="0" applyAlignment="0" applyProtection="0"/>
    <xf numFmtId="10" fontId="6" fillId="60" borderId="1" applyNumberFormat="0" applyBorder="0" applyAlignment="0" applyProtection="0"/>
    <xf numFmtId="10" fontId="6" fillId="60" borderId="1" applyNumberFormat="0" applyBorder="0" applyAlignment="0" applyProtection="0"/>
    <xf numFmtId="10" fontId="6" fillId="60" borderId="1" applyNumberFormat="0" applyBorder="0" applyAlignment="0" applyProtection="0"/>
    <xf numFmtId="10" fontId="6" fillId="60" borderId="1" applyNumberFormat="0" applyBorder="0" applyAlignment="0" applyProtection="0"/>
    <xf numFmtId="10" fontId="6" fillId="60" borderId="1" applyNumberFormat="0" applyBorder="0" applyAlignment="0" applyProtection="0"/>
    <xf numFmtId="10" fontId="6" fillId="60" borderId="1" applyNumberFormat="0" applyBorder="0" applyAlignment="0" applyProtection="0"/>
    <xf numFmtId="10" fontId="6" fillId="60" borderId="1" applyNumberFormat="0" applyBorder="0" applyAlignment="0" applyProtection="0"/>
    <xf numFmtId="10" fontId="6" fillId="60" borderId="1" applyNumberFormat="0" applyBorder="0" applyAlignment="0" applyProtection="0"/>
    <xf numFmtId="10" fontId="6" fillId="60" borderId="1" applyNumberFormat="0" applyBorder="0" applyAlignment="0" applyProtection="0"/>
    <xf numFmtId="174" fontId="27" fillId="10" borderId="45" applyNumberFormat="0" applyAlignment="0" applyProtection="0"/>
    <xf numFmtId="174" fontId="5" fillId="61" borderId="1" applyFont="0" applyFill="0" applyBorder="0" applyAlignment="0" applyProtection="0">
      <alignment horizontal="center"/>
      <protection locked="0"/>
    </xf>
    <xf numFmtId="174" fontId="5" fillId="61" borderId="1" applyFont="0" applyFill="0" applyBorder="0" applyAlignment="0" applyProtection="0">
      <alignment horizontal="center"/>
      <protection locked="0"/>
    </xf>
    <xf numFmtId="174" fontId="5" fillId="61" borderId="1" applyFont="0" applyFill="0" applyBorder="0" applyAlignment="0" applyProtection="0">
      <alignment horizontal="center"/>
      <protection locked="0"/>
    </xf>
    <xf numFmtId="174" fontId="5" fillId="61" borderId="1" applyFont="0" applyFill="0" applyBorder="0" applyAlignment="0" applyProtection="0">
      <alignment horizontal="center"/>
      <protection locked="0"/>
    </xf>
    <xf numFmtId="174" fontId="5" fillId="61" borderId="1" applyFont="0" applyFill="0" applyBorder="0" applyAlignment="0" applyProtection="0">
      <alignment horizontal="center"/>
      <protection locked="0"/>
    </xf>
    <xf numFmtId="174" fontId="5" fillId="61" borderId="1" applyFont="0" applyFill="0" applyBorder="0" applyAlignment="0" applyProtection="0">
      <alignment horizontal="center"/>
      <protection locked="0"/>
    </xf>
    <xf numFmtId="174" fontId="5" fillId="61" borderId="1" applyFont="0" applyFill="0" applyBorder="0" applyAlignment="0" applyProtection="0">
      <alignment horizontal="center"/>
      <protection locked="0"/>
    </xf>
    <xf numFmtId="174" fontId="5" fillId="61" borderId="1" applyFont="0" applyFill="0" applyBorder="0" applyAlignment="0" applyProtection="0">
      <alignment horizontal="center"/>
      <protection locked="0"/>
    </xf>
    <xf numFmtId="174" fontId="5" fillId="61" borderId="1" applyFont="0" applyFill="0" applyBorder="0" applyAlignment="0" applyProtection="0">
      <alignment horizontal="center"/>
      <protection locked="0"/>
    </xf>
    <xf numFmtId="174" fontId="5" fillId="61" borderId="1" applyFont="0" applyFill="0" applyBorder="0" applyAlignment="0" applyProtection="0">
      <alignment horizontal="center"/>
      <protection locked="0"/>
    </xf>
    <xf numFmtId="174" fontId="5" fillId="61" borderId="1" applyFont="0" applyFill="0" applyBorder="0" applyAlignment="0" applyProtection="0">
      <alignment horizontal="center"/>
      <protection locked="0"/>
    </xf>
    <xf numFmtId="174" fontId="5" fillId="61" borderId="1" applyFont="0" applyFill="0" applyBorder="0" applyAlignment="0" applyProtection="0">
      <alignment horizontal="center"/>
      <protection locked="0"/>
    </xf>
    <xf numFmtId="174" fontId="5" fillId="61" borderId="1" applyFont="0" applyFill="0" applyBorder="0" applyAlignment="0" applyProtection="0">
      <alignment horizontal="center"/>
      <protection locked="0"/>
    </xf>
    <xf numFmtId="174" fontId="5" fillId="61" borderId="1" applyFont="0" applyFill="0" applyBorder="0" applyAlignment="0" applyProtection="0">
      <alignment horizontal="center"/>
      <protection locked="0"/>
    </xf>
    <xf numFmtId="174" fontId="5" fillId="61" borderId="1" applyFont="0" applyFill="0" applyBorder="0" applyAlignment="0" applyProtection="0">
      <alignment horizontal="center"/>
      <protection locked="0"/>
    </xf>
    <xf numFmtId="174" fontId="42" fillId="0" borderId="55" applyNumberFormat="0" applyFill="0" applyAlignment="0" applyProtection="0"/>
    <xf numFmtId="174" fontId="30" fillId="0" borderId="47" applyNumberFormat="0" applyFill="0" applyAlignment="0" applyProtection="0"/>
    <xf numFmtId="174" fontId="10" fillId="59" borderId="0" applyNumberFormat="0" applyBorder="0" applyAlignment="0"/>
    <xf numFmtId="14" fontId="65" fillId="0" borderId="0" applyFont="0" applyFill="0" applyBorder="0" applyAlignment="0" applyProtection="0"/>
    <xf numFmtId="180" fontId="65" fillId="0" borderId="0" applyFont="0" applyFill="0" applyBorder="0" applyAlignment="0" applyProtection="0"/>
    <xf numFmtId="181" fontId="66" fillId="0" borderId="0" applyFont="0" applyFill="0" applyBorder="0"/>
    <xf numFmtId="174" fontId="43" fillId="47" borderId="0" applyNumberFormat="0" applyBorder="0" applyAlignment="0" applyProtection="0"/>
    <xf numFmtId="174" fontId="92" fillId="9" borderId="0" applyNumberFormat="0" applyBorder="0" applyAlignment="0" applyProtection="0"/>
    <xf numFmtId="182" fontId="67" fillId="0" borderId="0"/>
    <xf numFmtId="174" fontId="1" fillId="0" borderId="0"/>
    <xf numFmtId="173" fontId="45" fillId="0" borderId="0"/>
    <xf numFmtId="0" fontId="5" fillId="0" borderId="0"/>
    <xf numFmtId="174" fontId="1" fillId="0" borderId="0"/>
    <xf numFmtId="174" fontId="5" fillId="0" borderId="0">
      <alignment horizontal="left"/>
    </xf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3" fillId="0" borderId="0"/>
    <xf numFmtId="174" fontId="53" fillId="0" borderId="0"/>
    <xf numFmtId="174" fontId="53" fillId="0" borderId="0"/>
    <xf numFmtId="174" fontId="53" fillId="0" borderId="0"/>
    <xf numFmtId="174" fontId="53" fillId="0" borderId="0"/>
    <xf numFmtId="174" fontId="53" fillId="0" borderId="0"/>
    <xf numFmtId="174" fontId="53" fillId="0" borderId="0"/>
    <xf numFmtId="174" fontId="53" fillId="0" borderId="0"/>
    <xf numFmtId="174" fontId="18" fillId="0" borderId="0"/>
    <xf numFmtId="173" fontId="45" fillId="0" borderId="0"/>
    <xf numFmtId="0" fontId="5" fillId="0" borderId="0"/>
    <xf numFmtId="172" fontId="55" fillId="0" borderId="0"/>
    <xf numFmtId="0" fontId="1" fillId="0" borderId="0"/>
    <xf numFmtId="174" fontId="53" fillId="0" borderId="0"/>
    <xf numFmtId="174" fontId="5" fillId="0" borderId="0">
      <alignment wrapText="1"/>
    </xf>
    <xf numFmtId="0" fontId="5" fillId="0" borderId="0"/>
    <xf numFmtId="174" fontId="5" fillId="0" borderId="0"/>
    <xf numFmtId="174" fontId="53" fillId="0" borderId="0"/>
    <xf numFmtId="174" fontId="10" fillId="0" borderId="0"/>
    <xf numFmtId="174" fontId="53" fillId="0" borderId="0"/>
    <xf numFmtId="174" fontId="53" fillId="0" borderId="0"/>
    <xf numFmtId="174" fontId="53" fillId="0" borderId="0"/>
    <xf numFmtId="174" fontId="53" fillId="0" borderId="0"/>
    <xf numFmtId="174" fontId="53" fillId="0" borderId="0"/>
    <xf numFmtId="174" fontId="53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3" fillId="0" borderId="0"/>
    <xf numFmtId="174" fontId="5" fillId="0" borderId="0"/>
    <xf numFmtId="174" fontId="5" fillId="0" borderId="0"/>
    <xf numFmtId="0" fontId="5" fillId="0" borderId="0"/>
    <xf numFmtId="165" fontId="55" fillId="0" borderId="0"/>
    <xf numFmtId="0" fontId="5" fillId="0" borderId="0"/>
    <xf numFmtId="174" fontId="5" fillId="0" borderId="0"/>
    <xf numFmtId="174" fontId="5" fillId="0" borderId="0"/>
    <xf numFmtId="174" fontId="5" fillId="0" borderId="0">
      <alignment horizontal="left"/>
    </xf>
    <xf numFmtId="174" fontId="5" fillId="0" borderId="0"/>
    <xf numFmtId="174" fontId="5" fillId="0" borderId="0"/>
    <xf numFmtId="174" fontId="5" fillId="0" borderId="0"/>
    <xf numFmtId="174" fontId="5" fillId="0" borderId="0">
      <alignment wrapText="1"/>
    </xf>
    <xf numFmtId="0" fontId="1" fillId="0" borderId="0"/>
    <xf numFmtId="188" fontId="87" fillId="0" borderId="0" applyBorder="0"/>
    <xf numFmtId="0" fontId="5" fillId="0" borderId="0"/>
    <xf numFmtId="174" fontId="1" fillId="0" borderId="0"/>
    <xf numFmtId="0" fontId="1" fillId="0" borderId="0"/>
    <xf numFmtId="174" fontId="1" fillId="0" borderId="0"/>
    <xf numFmtId="0" fontId="88" fillId="0" borderId="0"/>
    <xf numFmtId="174" fontId="5" fillId="0" borderId="0"/>
    <xf numFmtId="174" fontId="53" fillId="0" borderId="0"/>
    <xf numFmtId="174" fontId="53" fillId="0" borderId="0"/>
    <xf numFmtId="174" fontId="5" fillId="0" borderId="0"/>
    <xf numFmtId="174" fontId="5" fillId="0" borderId="0"/>
    <xf numFmtId="173" fontId="45" fillId="0" borderId="0"/>
    <xf numFmtId="174" fontId="5" fillId="0" borderId="0"/>
    <xf numFmtId="183" fontId="55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9" fillId="0" borderId="0"/>
    <xf numFmtId="174" fontId="1" fillId="0" borderId="0"/>
    <xf numFmtId="174" fontId="1" fillId="0" borderId="0"/>
    <xf numFmtId="174" fontId="9" fillId="0" borderId="0"/>
    <xf numFmtId="174" fontId="1" fillId="0" borderId="0"/>
    <xf numFmtId="174" fontId="1" fillId="0" borderId="0"/>
    <xf numFmtId="0" fontId="5" fillId="0" borderId="0"/>
    <xf numFmtId="174" fontId="9" fillId="0" borderId="0"/>
    <xf numFmtId="173" fontId="45" fillId="0" borderId="0"/>
    <xf numFmtId="174" fontId="93" fillId="0" borderId="0"/>
    <xf numFmtId="174" fontId="5" fillId="0" borderId="0"/>
    <xf numFmtId="174" fontId="1" fillId="0" borderId="0"/>
    <xf numFmtId="183" fontId="55" fillId="0" borderId="0"/>
    <xf numFmtId="174" fontId="1" fillId="0" borderId="0"/>
    <xf numFmtId="174" fontId="9" fillId="0" borderId="0"/>
    <xf numFmtId="173" fontId="45" fillId="0" borderId="0"/>
    <xf numFmtId="174" fontId="94" fillId="0" borderId="0"/>
    <xf numFmtId="174" fontId="1" fillId="13" borderId="49" applyNumberFormat="0" applyFont="0" applyAlignment="0" applyProtection="0"/>
    <xf numFmtId="38" fontId="5" fillId="0" borderId="0"/>
    <xf numFmtId="40" fontId="5" fillId="0" borderId="20"/>
    <xf numFmtId="184" fontId="5" fillId="0" borderId="29"/>
    <xf numFmtId="184" fontId="5" fillId="0" borderId="29"/>
    <xf numFmtId="174" fontId="5" fillId="0" borderId="0"/>
    <xf numFmtId="174" fontId="28" fillId="11" borderId="46" applyNumberFormat="0" applyAlignment="0" applyProtection="0"/>
    <xf numFmtId="174" fontId="55" fillId="0" borderId="0"/>
    <xf numFmtId="174" fontId="55" fillId="0" borderId="0"/>
    <xf numFmtId="9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185" fontId="66" fillId="0" borderId="0" applyFont="0" applyFill="0" applyBorder="0" applyProtection="0">
      <alignment horizontal="center"/>
    </xf>
    <xf numFmtId="186" fontId="6" fillId="0" borderId="0" applyFont="0" applyFill="0" applyBorder="0" applyAlignment="0" applyProtection="0"/>
    <xf numFmtId="174" fontId="58" fillId="0" borderId="0" applyNumberFormat="0" applyFont="0" applyFill="0" applyBorder="0" applyAlignment="0" applyProtection="0">
      <alignment horizontal="left"/>
    </xf>
    <xf numFmtId="15" fontId="58" fillId="0" borderId="0" applyFont="0" applyFill="0" applyBorder="0" applyAlignment="0" applyProtection="0"/>
    <xf numFmtId="4" fontId="58" fillId="0" borderId="0" applyFont="0" applyFill="0" applyBorder="0" applyAlignment="0" applyProtection="0"/>
    <xf numFmtId="174" fontId="68" fillId="0" borderId="58">
      <alignment horizontal="center"/>
    </xf>
    <xf numFmtId="3" fontId="58" fillId="0" borderId="0" applyFont="0" applyFill="0" applyBorder="0" applyAlignment="0" applyProtection="0"/>
    <xf numFmtId="174" fontId="58" fillId="62" borderId="0" applyNumberFormat="0" applyFont="0" applyBorder="0" applyAlignment="0" applyProtection="0"/>
    <xf numFmtId="3" fontId="46" fillId="0" borderId="0" applyFill="0" applyBorder="0" applyAlignment="0" applyProtection="0"/>
    <xf numFmtId="3" fontId="45" fillId="0" borderId="0" applyFill="0" applyBorder="0" applyAlignment="0" applyProtection="0"/>
    <xf numFmtId="3" fontId="46" fillId="0" borderId="0" applyFill="0" applyBorder="0" applyAlignment="0" applyProtection="0"/>
    <xf numFmtId="174" fontId="69" fillId="0" borderId="0"/>
    <xf numFmtId="174" fontId="55" fillId="0" borderId="0"/>
    <xf numFmtId="174" fontId="5" fillId="0" borderId="0" applyNumberFormat="0" applyFill="0" applyBorder="0" applyProtection="0">
      <alignment horizontal="right"/>
    </xf>
    <xf numFmtId="174" fontId="36" fillId="0" borderId="0" applyNumberFormat="0" applyFill="0" applyBorder="0" applyProtection="0">
      <alignment horizontal="right"/>
    </xf>
    <xf numFmtId="174" fontId="5" fillId="0" borderId="0" applyNumberFormat="0" applyFill="0" applyBorder="0" applyProtection="0">
      <alignment horizontal="left"/>
    </xf>
    <xf numFmtId="174" fontId="36" fillId="0" borderId="0" applyNumberFormat="0" applyFill="0" applyBorder="0" applyProtection="0">
      <alignment horizontal="left"/>
    </xf>
    <xf numFmtId="174" fontId="36" fillId="0" borderId="0" applyNumberFormat="0" applyFill="0" applyBorder="0" applyProtection="0">
      <alignment horizontal="left"/>
    </xf>
    <xf numFmtId="174" fontId="5" fillId="0" borderId="59" applyNumberFormat="0" applyFont="0" applyFill="0" applyAlignment="0" applyProtection="0"/>
    <xf numFmtId="174" fontId="5" fillId="0" borderId="0" applyNumberFormat="0" applyFont="0" applyFill="0" applyBorder="0" applyProtection="0">
      <alignment wrapText="1"/>
    </xf>
    <xf numFmtId="174" fontId="37" fillId="0" borderId="0" applyNumberFormat="0" applyBorder="0" applyAlignment="0"/>
    <xf numFmtId="174" fontId="37" fillId="0" borderId="0" applyNumberFormat="0" applyBorder="0" applyAlignment="0"/>
    <xf numFmtId="174" fontId="37" fillId="0" borderId="0" applyNumberFormat="0" applyBorder="0" applyAlignment="0"/>
    <xf numFmtId="174" fontId="44" fillId="0" borderId="0" applyNumberFormat="0" applyBorder="0" applyAlignment="0"/>
    <xf numFmtId="174" fontId="38" fillId="0" borderId="0" applyNumberFormat="0" applyBorder="0" applyAlignment="0"/>
    <xf numFmtId="174" fontId="70" fillId="0" borderId="0" applyNumberFormat="0" applyBorder="0" applyAlignment="0"/>
    <xf numFmtId="174" fontId="70" fillId="0" borderId="0" applyNumberFormat="0" applyBorder="0" applyAlignment="0"/>
    <xf numFmtId="174" fontId="5" fillId="0" borderId="0"/>
    <xf numFmtId="187" fontId="5" fillId="0" borderId="0" applyFont="0" applyFill="0" applyBorder="0" applyAlignment="0" applyProtection="0"/>
    <xf numFmtId="174" fontId="95" fillId="0" borderId="0" applyNumberFormat="0" applyFill="0" applyBorder="0" applyAlignment="0" applyProtection="0"/>
    <xf numFmtId="174" fontId="34" fillId="0" borderId="50" applyNumberFormat="0" applyFill="0" applyAlignment="0" applyProtection="0"/>
    <xf numFmtId="174" fontId="5" fillId="0" borderId="0"/>
    <xf numFmtId="174" fontId="71" fillId="0" borderId="0" applyNumberFormat="0" applyBorder="0" applyAlignment="0">
      <protection locked="0"/>
    </xf>
    <xf numFmtId="174" fontId="32" fillId="0" borderId="0" applyNumberFormat="0" applyFill="0" applyBorder="0" applyAlignment="0" applyProtection="0"/>
    <xf numFmtId="174" fontId="5" fillId="0" borderId="0"/>
    <xf numFmtId="174" fontId="50" fillId="63" borderId="0" applyNumberFormat="0" applyBorder="0" applyAlignment="0" applyProtection="0">
      <alignment vertical="center"/>
    </xf>
    <xf numFmtId="174" fontId="50" fillId="55" borderId="0" applyNumberFormat="0" applyBorder="0" applyAlignment="0" applyProtection="0">
      <alignment vertical="center"/>
    </xf>
    <xf numFmtId="174" fontId="50" fillId="64" borderId="0" applyNumberFormat="0" applyBorder="0" applyAlignment="0" applyProtection="0">
      <alignment vertical="center"/>
    </xf>
    <xf numFmtId="174" fontId="50" fillId="53" borderId="0" applyNumberFormat="0" applyBorder="0" applyAlignment="0" applyProtection="0">
      <alignment vertical="center"/>
    </xf>
    <xf numFmtId="174" fontId="50" fillId="51" borderId="0" applyNumberFormat="0" applyBorder="0" applyAlignment="0" applyProtection="0">
      <alignment vertical="center"/>
    </xf>
    <xf numFmtId="174" fontId="50" fillId="56" borderId="0" applyNumberFormat="0" applyBorder="0" applyAlignment="0" applyProtection="0">
      <alignment vertical="center"/>
    </xf>
    <xf numFmtId="174" fontId="72" fillId="0" borderId="0" applyNumberFormat="0" applyFill="0" applyBorder="0" applyAlignment="0" applyProtection="0">
      <alignment vertical="center"/>
    </xf>
    <xf numFmtId="174" fontId="73" fillId="57" borderId="52" applyNumberFormat="0" applyAlignment="0" applyProtection="0">
      <alignment vertical="center"/>
    </xf>
    <xf numFmtId="174" fontId="74" fillId="47" borderId="0" applyNumberFormat="0" applyBorder="0" applyAlignment="0" applyProtection="0">
      <alignment vertical="center"/>
    </xf>
    <xf numFmtId="174" fontId="5" fillId="39" borderId="56" applyNumberFormat="0" applyFont="0" applyAlignment="0" applyProtection="0">
      <alignment vertical="center"/>
    </xf>
    <xf numFmtId="174" fontId="5" fillId="39" borderId="56" applyNumberFormat="0" applyFont="0" applyAlignment="0" applyProtection="0">
      <alignment vertical="center"/>
    </xf>
    <xf numFmtId="174" fontId="5" fillId="39" borderId="56" applyNumberFormat="0" applyFont="0" applyAlignment="0" applyProtection="0">
      <alignment vertical="center"/>
    </xf>
    <xf numFmtId="174" fontId="5" fillId="39" borderId="56" applyNumberFormat="0" applyFont="0" applyAlignment="0" applyProtection="0">
      <alignment vertical="center"/>
    </xf>
    <xf numFmtId="174" fontId="5" fillId="39" borderId="56" applyNumberFormat="0" applyFont="0" applyAlignment="0" applyProtection="0">
      <alignment vertical="center"/>
    </xf>
    <xf numFmtId="174" fontId="5" fillId="39" borderId="56" applyNumberFormat="0" applyFont="0" applyAlignment="0" applyProtection="0">
      <alignment vertical="center"/>
    </xf>
    <xf numFmtId="174" fontId="5" fillId="39" borderId="56" applyNumberFormat="0" applyFont="0" applyAlignment="0" applyProtection="0">
      <alignment vertical="center"/>
    </xf>
    <xf numFmtId="174" fontId="5" fillId="39" borderId="56" applyNumberFormat="0" applyFont="0" applyAlignment="0" applyProtection="0">
      <alignment vertical="center"/>
    </xf>
    <xf numFmtId="174" fontId="5" fillId="39" borderId="56" applyNumberFormat="0" applyFont="0" applyAlignment="0" applyProtection="0">
      <alignment vertical="center"/>
    </xf>
    <xf numFmtId="174" fontId="5" fillId="39" borderId="56" applyNumberFormat="0" applyFont="0" applyAlignment="0" applyProtection="0">
      <alignment vertical="center"/>
    </xf>
    <xf numFmtId="174" fontId="5" fillId="39" borderId="56" applyNumberFormat="0" applyFont="0" applyAlignment="0" applyProtection="0">
      <alignment vertical="center"/>
    </xf>
    <xf numFmtId="174" fontId="5" fillId="39" borderId="56" applyNumberFormat="0" applyFont="0" applyAlignment="0" applyProtection="0">
      <alignment vertical="center"/>
    </xf>
    <xf numFmtId="174" fontId="5" fillId="39" borderId="56" applyNumberFormat="0" applyFont="0" applyAlignment="0" applyProtection="0">
      <alignment vertical="center"/>
    </xf>
    <xf numFmtId="174" fontId="5" fillId="39" borderId="56" applyNumberFormat="0" applyFont="0" applyAlignment="0" applyProtection="0">
      <alignment vertical="center"/>
    </xf>
    <xf numFmtId="174" fontId="5" fillId="39" borderId="56" applyNumberFormat="0" applyFont="0" applyAlignment="0" applyProtection="0">
      <alignment vertical="center"/>
    </xf>
    <xf numFmtId="174" fontId="5" fillId="39" borderId="56" applyNumberFormat="0" applyFont="0" applyAlignment="0" applyProtection="0">
      <alignment vertical="center"/>
    </xf>
    <xf numFmtId="174" fontId="5" fillId="39" borderId="56" applyNumberFormat="0" applyFont="0" applyAlignment="0" applyProtection="0">
      <alignment vertical="center"/>
    </xf>
    <xf numFmtId="174" fontId="5" fillId="39" borderId="56" applyNumberFormat="0" applyFont="0" applyAlignment="0" applyProtection="0">
      <alignment vertical="center"/>
    </xf>
    <xf numFmtId="174" fontId="5" fillId="39" borderId="56" applyNumberFormat="0" applyFont="0" applyAlignment="0" applyProtection="0">
      <alignment vertical="center"/>
    </xf>
    <xf numFmtId="174" fontId="5" fillId="39" borderId="56" applyNumberFormat="0" applyFont="0" applyAlignment="0" applyProtection="0">
      <alignment vertical="center"/>
    </xf>
    <xf numFmtId="174" fontId="75" fillId="0" borderId="55" applyNumberFormat="0" applyFill="0" applyAlignment="0" applyProtection="0">
      <alignment vertical="center"/>
    </xf>
    <xf numFmtId="174" fontId="76" fillId="38" borderId="51" applyNumberFormat="0" applyAlignment="0" applyProtection="0">
      <alignment vertical="center"/>
    </xf>
    <xf numFmtId="174" fontId="76" fillId="38" borderId="51" applyNumberFormat="0" applyAlignment="0" applyProtection="0">
      <alignment vertical="center"/>
    </xf>
    <xf numFmtId="174" fontId="76" fillId="38" borderId="51" applyNumberFormat="0" applyAlignment="0" applyProtection="0">
      <alignment vertical="center"/>
    </xf>
    <xf numFmtId="174" fontId="76" fillId="38" borderId="51" applyNumberFormat="0" applyAlignment="0" applyProtection="0">
      <alignment vertical="center"/>
    </xf>
    <xf numFmtId="174" fontId="76" fillId="38" borderId="51" applyNumberFormat="0" applyAlignment="0" applyProtection="0">
      <alignment vertical="center"/>
    </xf>
    <xf numFmtId="174" fontId="76" fillId="38" borderId="51" applyNumberFormat="0" applyAlignment="0" applyProtection="0">
      <alignment vertical="center"/>
    </xf>
    <xf numFmtId="174" fontId="76" fillId="38" borderId="51" applyNumberFormat="0" applyAlignment="0" applyProtection="0">
      <alignment vertical="center"/>
    </xf>
    <xf numFmtId="174" fontId="76" fillId="38" borderId="51" applyNumberFormat="0" applyAlignment="0" applyProtection="0">
      <alignment vertical="center"/>
    </xf>
    <xf numFmtId="174" fontId="76" fillId="38" borderId="51" applyNumberFormat="0" applyAlignment="0" applyProtection="0">
      <alignment vertical="center"/>
    </xf>
    <xf numFmtId="174" fontId="76" fillId="38" borderId="51" applyNumberFormat="0" applyAlignment="0" applyProtection="0">
      <alignment vertical="center"/>
    </xf>
    <xf numFmtId="174" fontId="76" fillId="38" borderId="51" applyNumberFormat="0" applyAlignment="0" applyProtection="0">
      <alignment vertical="center"/>
    </xf>
    <xf numFmtId="174" fontId="76" fillId="38" borderId="51" applyNumberFormat="0" applyAlignment="0" applyProtection="0">
      <alignment vertical="center"/>
    </xf>
    <xf numFmtId="174" fontId="76" fillId="38" borderId="51" applyNumberFormat="0" applyAlignment="0" applyProtection="0">
      <alignment vertical="center"/>
    </xf>
    <xf numFmtId="174" fontId="76" fillId="38" borderId="51" applyNumberFormat="0" applyAlignment="0" applyProtection="0">
      <alignment vertical="center"/>
    </xf>
    <xf numFmtId="174" fontId="76" fillId="38" borderId="51" applyNumberFormat="0" applyAlignment="0" applyProtection="0">
      <alignment vertical="center"/>
    </xf>
    <xf numFmtId="174" fontId="76" fillId="38" borderId="51" applyNumberFormat="0" applyAlignment="0" applyProtection="0">
      <alignment vertical="center"/>
    </xf>
    <xf numFmtId="174" fontId="76" fillId="38" borderId="51" applyNumberFormat="0" applyAlignment="0" applyProtection="0">
      <alignment vertical="center"/>
    </xf>
    <xf numFmtId="174" fontId="76" fillId="38" borderId="51" applyNumberFormat="0" applyAlignment="0" applyProtection="0">
      <alignment vertical="center"/>
    </xf>
    <xf numFmtId="174" fontId="76" fillId="38" borderId="51" applyNumberFormat="0" applyAlignment="0" applyProtection="0">
      <alignment vertical="center"/>
    </xf>
    <xf numFmtId="174" fontId="76" fillId="38" borderId="51" applyNumberFormat="0" applyAlignment="0" applyProtection="0">
      <alignment vertical="center"/>
    </xf>
    <xf numFmtId="174" fontId="77" fillId="45" borderId="57" applyNumberFormat="0" applyAlignment="0" applyProtection="0">
      <alignment vertical="center"/>
    </xf>
    <xf numFmtId="174" fontId="77" fillId="45" borderId="57" applyNumberFormat="0" applyAlignment="0" applyProtection="0">
      <alignment vertical="center"/>
    </xf>
    <xf numFmtId="174" fontId="77" fillId="45" borderId="57" applyNumberFormat="0" applyAlignment="0" applyProtection="0">
      <alignment vertical="center"/>
    </xf>
    <xf numFmtId="174" fontId="77" fillId="45" borderId="57" applyNumberFormat="0" applyAlignment="0" applyProtection="0">
      <alignment vertical="center"/>
    </xf>
    <xf numFmtId="174" fontId="77" fillId="45" borderId="57" applyNumberFormat="0" applyAlignment="0" applyProtection="0">
      <alignment vertical="center"/>
    </xf>
    <xf numFmtId="174" fontId="77" fillId="45" borderId="57" applyNumberFormat="0" applyAlignment="0" applyProtection="0">
      <alignment vertical="center"/>
    </xf>
    <xf numFmtId="174" fontId="77" fillId="45" borderId="57" applyNumberFormat="0" applyAlignment="0" applyProtection="0">
      <alignment vertical="center"/>
    </xf>
    <xf numFmtId="174" fontId="77" fillId="45" borderId="57" applyNumberFormat="0" applyAlignment="0" applyProtection="0">
      <alignment vertical="center"/>
    </xf>
    <xf numFmtId="174" fontId="77" fillId="45" borderId="57" applyNumberFormat="0" applyAlignment="0" applyProtection="0">
      <alignment vertical="center"/>
    </xf>
    <xf numFmtId="174" fontId="77" fillId="45" borderId="57" applyNumberFormat="0" applyAlignment="0" applyProtection="0">
      <alignment vertical="center"/>
    </xf>
    <xf numFmtId="174" fontId="77" fillId="45" borderId="57" applyNumberFormat="0" applyAlignment="0" applyProtection="0">
      <alignment vertical="center"/>
    </xf>
    <xf numFmtId="174" fontId="77" fillId="45" borderId="57" applyNumberFormat="0" applyAlignment="0" applyProtection="0">
      <alignment vertical="center"/>
    </xf>
    <xf numFmtId="174" fontId="77" fillId="45" borderId="57" applyNumberFormat="0" applyAlignment="0" applyProtection="0">
      <alignment vertical="center"/>
    </xf>
    <xf numFmtId="174" fontId="77" fillId="45" borderId="57" applyNumberFormat="0" applyAlignment="0" applyProtection="0">
      <alignment vertical="center"/>
    </xf>
    <xf numFmtId="174" fontId="77" fillId="45" borderId="57" applyNumberFormat="0" applyAlignment="0" applyProtection="0">
      <alignment vertical="center"/>
    </xf>
    <xf numFmtId="174" fontId="77" fillId="45" borderId="57" applyNumberFormat="0" applyAlignment="0" applyProtection="0">
      <alignment vertical="center"/>
    </xf>
    <xf numFmtId="174" fontId="77" fillId="45" borderId="57" applyNumberFormat="0" applyAlignment="0" applyProtection="0">
      <alignment vertical="center"/>
    </xf>
    <xf numFmtId="174" fontId="77" fillId="45" borderId="57" applyNumberFormat="0" applyAlignment="0" applyProtection="0">
      <alignment vertical="center"/>
    </xf>
    <xf numFmtId="174" fontId="77" fillId="45" borderId="57" applyNumberFormat="0" applyAlignment="0" applyProtection="0">
      <alignment vertical="center"/>
    </xf>
    <xf numFmtId="174" fontId="77" fillId="45" borderId="57" applyNumberFormat="0" applyAlignment="0" applyProtection="0">
      <alignment vertical="center"/>
    </xf>
    <xf numFmtId="174" fontId="78" fillId="43" borderId="0" applyNumberFormat="0" applyBorder="0" applyAlignment="0" applyProtection="0">
      <alignment vertical="center"/>
    </xf>
    <xf numFmtId="174" fontId="79" fillId="44" borderId="0" applyNumberFormat="0" applyBorder="0" applyAlignment="0" applyProtection="0">
      <alignment vertical="center"/>
    </xf>
    <xf numFmtId="174" fontId="80" fillId="0" borderId="60" applyNumberFormat="0" applyFill="0" applyAlignment="0" applyProtection="0">
      <alignment vertical="center"/>
    </xf>
    <xf numFmtId="174" fontId="81" fillId="0" borderId="54" applyNumberFormat="0" applyFill="0" applyAlignment="0" applyProtection="0">
      <alignment vertical="center"/>
    </xf>
    <xf numFmtId="174" fontId="82" fillId="0" borderId="61" applyNumberFormat="0" applyFill="0" applyAlignment="0" applyProtection="0">
      <alignment vertical="center"/>
    </xf>
    <xf numFmtId="174" fontId="82" fillId="0" borderId="0" applyNumberFormat="0" applyFill="0" applyBorder="0" applyAlignment="0" applyProtection="0">
      <alignment vertical="center"/>
    </xf>
    <xf numFmtId="174" fontId="83" fillId="45" borderId="51" applyNumberFormat="0" applyAlignment="0" applyProtection="0">
      <alignment vertical="center"/>
    </xf>
    <xf numFmtId="174" fontId="83" fillId="45" borderId="51" applyNumberFormat="0" applyAlignment="0" applyProtection="0">
      <alignment vertical="center"/>
    </xf>
    <xf numFmtId="174" fontId="83" fillId="45" borderId="51" applyNumberFormat="0" applyAlignment="0" applyProtection="0">
      <alignment vertical="center"/>
    </xf>
    <xf numFmtId="174" fontId="83" fillId="45" borderId="51" applyNumberFormat="0" applyAlignment="0" applyProtection="0">
      <alignment vertical="center"/>
    </xf>
    <xf numFmtId="174" fontId="83" fillId="45" borderId="51" applyNumberFormat="0" applyAlignment="0" applyProtection="0">
      <alignment vertical="center"/>
    </xf>
    <xf numFmtId="174" fontId="83" fillId="45" borderId="51" applyNumberFormat="0" applyAlignment="0" applyProtection="0">
      <alignment vertical="center"/>
    </xf>
    <xf numFmtId="174" fontId="83" fillId="45" borderId="51" applyNumberFormat="0" applyAlignment="0" applyProtection="0">
      <alignment vertical="center"/>
    </xf>
    <xf numFmtId="174" fontId="83" fillId="45" borderId="51" applyNumberFormat="0" applyAlignment="0" applyProtection="0">
      <alignment vertical="center"/>
    </xf>
    <xf numFmtId="174" fontId="83" fillId="45" borderId="51" applyNumberFormat="0" applyAlignment="0" applyProtection="0">
      <alignment vertical="center"/>
    </xf>
    <xf numFmtId="174" fontId="83" fillId="45" borderId="51" applyNumberFormat="0" applyAlignment="0" applyProtection="0">
      <alignment vertical="center"/>
    </xf>
    <xf numFmtId="174" fontId="83" fillId="45" borderId="51" applyNumberFormat="0" applyAlignment="0" applyProtection="0">
      <alignment vertical="center"/>
    </xf>
    <xf numFmtId="174" fontId="83" fillId="45" borderId="51" applyNumberFormat="0" applyAlignment="0" applyProtection="0">
      <alignment vertical="center"/>
    </xf>
    <xf numFmtId="174" fontId="83" fillId="45" borderId="51" applyNumberFormat="0" applyAlignment="0" applyProtection="0">
      <alignment vertical="center"/>
    </xf>
    <xf numFmtId="174" fontId="83" fillId="45" borderId="51" applyNumberFormat="0" applyAlignment="0" applyProtection="0">
      <alignment vertical="center"/>
    </xf>
    <xf numFmtId="174" fontId="83" fillId="45" borderId="51" applyNumberFormat="0" applyAlignment="0" applyProtection="0">
      <alignment vertical="center"/>
    </xf>
    <xf numFmtId="174" fontId="83" fillId="45" borderId="51" applyNumberFormat="0" applyAlignment="0" applyProtection="0">
      <alignment vertical="center"/>
    </xf>
    <xf numFmtId="174" fontId="83" fillId="45" borderId="51" applyNumberFormat="0" applyAlignment="0" applyProtection="0">
      <alignment vertical="center"/>
    </xf>
    <xf numFmtId="174" fontId="83" fillId="45" borderId="51" applyNumberFormat="0" applyAlignment="0" applyProtection="0">
      <alignment vertical="center"/>
    </xf>
    <xf numFmtId="174" fontId="83" fillId="45" borderId="51" applyNumberFormat="0" applyAlignment="0" applyProtection="0">
      <alignment vertical="center"/>
    </xf>
    <xf numFmtId="174" fontId="83" fillId="45" borderId="51" applyNumberFormat="0" applyAlignment="0" applyProtection="0">
      <alignment vertical="center"/>
    </xf>
    <xf numFmtId="174" fontId="84" fillId="0" borderId="0" applyNumberFormat="0" applyFill="0" applyBorder="0" applyAlignment="0" applyProtection="0">
      <alignment vertical="center"/>
    </xf>
    <xf numFmtId="174" fontId="85" fillId="0" borderId="0" applyNumberFormat="0" applyFill="0" applyBorder="0" applyAlignment="0" applyProtection="0">
      <alignment vertical="center"/>
    </xf>
    <xf numFmtId="174" fontId="86" fillId="0" borderId="62" applyNumberFormat="0" applyFill="0" applyAlignment="0" applyProtection="0">
      <alignment vertical="center"/>
    </xf>
    <xf numFmtId="174" fontId="86" fillId="0" borderId="62" applyNumberFormat="0" applyFill="0" applyAlignment="0" applyProtection="0">
      <alignment vertical="center"/>
    </xf>
    <xf numFmtId="174" fontId="86" fillId="0" borderId="62" applyNumberFormat="0" applyFill="0" applyAlignment="0" applyProtection="0">
      <alignment vertical="center"/>
    </xf>
    <xf numFmtId="174" fontId="86" fillId="0" borderId="62" applyNumberFormat="0" applyFill="0" applyAlignment="0" applyProtection="0">
      <alignment vertical="center"/>
    </xf>
    <xf numFmtId="174" fontId="86" fillId="0" borderId="62" applyNumberFormat="0" applyFill="0" applyAlignment="0" applyProtection="0">
      <alignment vertical="center"/>
    </xf>
    <xf numFmtId="174" fontId="86" fillId="0" borderId="62" applyNumberFormat="0" applyFill="0" applyAlignment="0" applyProtection="0">
      <alignment vertical="center"/>
    </xf>
    <xf numFmtId="174" fontId="86" fillId="0" borderId="62" applyNumberFormat="0" applyFill="0" applyAlignment="0" applyProtection="0">
      <alignment vertical="center"/>
    </xf>
    <xf numFmtId="174" fontId="86" fillId="0" borderId="62" applyNumberFormat="0" applyFill="0" applyAlignment="0" applyProtection="0">
      <alignment vertical="center"/>
    </xf>
    <xf numFmtId="174" fontId="86" fillId="0" borderId="62" applyNumberFormat="0" applyFill="0" applyAlignment="0" applyProtection="0">
      <alignment vertical="center"/>
    </xf>
    <xf numFmtId="174" fontId="86" fillId="0" borderId="62" applyNumberFormat="0" applyFill="0" applyAlignment="0" applyProtection="0">
      <alignment vertical="center"/>
    </xf>
    <xf numFmtId="174" fontId="86" fillId="0" borderId="62" applyNumberFormat="0" applyFill="0" applyAlignment="0" applyProtection="0">
      <alignment vertical="center"/>
    </xf>
    <xf numFmtId="174" fontId="86" fillId="0" borderId="62" applyNumberFormat="0" applyFill="0" applyAlignment="0" applyProtection="0">
      <alignment vertical="center"/>
    </xf>
    <xf numFmtId="174" fontId="86" fillId="0" borderId="62" applyNumberFormat="0" applyFill="0" applyAlignment="0" applyProtection="0">
      <alignment vertical="center"/>
    </xf>
    <xf numFmtId="174" fontId="86" fillId="0" borderId="62" applyNumberFormat="0" applyFill="0" applyAlignment="0" applyProtection="0">
      <alignment vertical="center"/>
    </xf>
    <xf numFmtId="174" fontId="86" fillId="0" borderId="62" applyNumberFormat="0" applyFill="0" applyAlignment="0" applyProtection="0">
      <alignment vertical="center"/>
    </xf>
    <xf numFmtId="174" fontId="86" fillId="0" borderId="62" applyNumberFormat="0" applyFill="0" applyAlignment="0" applyProtection="0">
      <alignment vertical="center"/>
    </xf>
    <xf numFmtId="174" fontId="86" fillId="0" borderId="62" applyNumberFormat="0" applyFill="0" applyAlignment="0" applyProtection="0">
      <alignment vertical="center"/>
    </xf>
    <xf numFmtId="174" fontId="86" fillId="0" borderId="62" applyNumberFormat="0" applyFill="0" applyAlignment="0" applyProtection="0">
      <alignment vertical="center"/>
    </xf>
    <xf numFmtId="174" fontId="86" fillId="0" borderId="62" applyNumberFormat="0" applyFill="0" applyAlignment="0" applyProtection="0">
      <alignment vertical="center"/>
    </xf>
    <xf numFmtId="174" fontId="86" fillId="0" borderId="62" applyNumberFormat="0" applyFill="0" applyAlignment="0" applyProtection="0">
      <alignment vertical="center"/>
    </xf>
    <xf numFmtId="0" fontId="1" fillId="0" borderId="0"/>
    <xf numFmtId="171" fontId="5" fillId="0" borderId="0" applyFont="0" applyFill="0" applyBorder="0" applyAlignment="0" applyProtection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2">
    <xf numFmtId="0" fontId="0" fillId="0" borderId="0" xfId="0"/>
    <xf numFmtId="0" fontId="10" fillId="0" borderId="0" xfId="0" applyFont="1"/>
    <xf numFmtId="0" fontId="11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9" fontId="10" fillId="0" borderId="1" xfId="2" applyFont="1" applyBorder="1" applyAlignment="1">
      <alignment horizontal="center" wrapText="1"/>
    </xf>
    <xf numFmtId="167" fontId="11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wrapText="1"/>
    </xf>
    <xf numFmtId="3" fontId="10" fillId="0" borderId="0" xfId="0" applyNumberFormat="1" applyFont="1" applyAlignment="1">
      <alignment wrapText="1"/>
    </xf>
    <xf numFmtId="3" fontId="10" fillId="0" borderId="0" xfId="0" applyNumberFormat="1" applyFont="1" applyAlignment="1">
      <alignment horizontal="center"/>
    </xf>
    <xf numFmtId="0" fontId="12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38" fontId="14" fillId="0" borderId="0" xfId="0" applyNumberFormat="1" applyFont="1" applyAlignment="1">
      <alignment horizontal="left"/>
    </xf>
    <xf numFmtId="38" fontId="10" fillId="0" borderId="0" xfId="0" applyNumberFormat="1" applyFont="1"/>
    <xf numFmtId="164" fontId="10" fillId="0" borderId="0" xfId="0" applyNumberFormat="1" applyFont="1"/>
    <xf numFmtId="166" fontId="10" fillId="0" borderId="0" xfId="1" applyNumberFormat="1" applyFont="1"/>
    <xf numFmtId="0" fontId="15" fillId="3" borderId="33" xfId="0" applyFont="1" applyFill="1" applyBorder="1"/>
    <xf numFmtId="0" fontId="15" fillId="3" borderId="34" xfId="0" applyFont="1" applyFill="1" applyBorder="1"/>
    <xf numFmtId="0" fontId="15" fillId="3" borderId="23" xfId="0" applyFont="1" applyFill="1" applyBorder="1" applyAlignment="1">
      <alignment horizontal="center"/>
    </xf>
    <xf numFmtId="0" fontId="15" fillId="0" borderId="18" xfId="0" applyFont="1" applyBorder="1" applyAlignment="1">
      <alignment horizontal="right"/>
    </xf>
    <xf numFmtId="0" fontId="15" fillId="0" borderId="12" xfId="0" applyFont="1" applyBorder="1" applyAlignment="1">
      <alignment horizontal="right"/>
    </xf>
    <xf numFmtId="0" fontId="15" fillId="0" borderId="14" xfId="0" applyFont="1" applyBorder="1" applyAlignment="1">
      <alignment horizontal="right"/>
    </xf>
    <xf numFmtId="44" fontId="12" fillId="4" borderId="24" xfId="0" applyNumberFormat="1" applyFont="1" applyFill="1" applyBorder="1"/>
    <xf numFmtId="0" fontId="10" fillId="4" borderId="2" xfId="0" applyFont="1" applyFill="1" applyBorder="1"/>
    <xf numFmtId="0" fontId="10" fillId="4" borderId="13" xfId="0" applyFont="1" applyFill="1" applyBorder="1"/>
    <xf numFmtId="0" fontId="10" fillId="4" borderId="17" xfId="0" applyFont="1" applyFill="1" applyBorder="1"/>
    <xf numFmtId="0" fontId="10" fillId="4" borderId="24" xfId="0" applyFont="1" applyFill="1" applyBorder="1"/>
    <xf numFmtId="43" fontId="12" fillId="0" borderId="25" xfId="0" applyNumberFormat="1" applyFont="1" applyBorder="1"/>
    <xf numFmtId="0" fontId="10" fillId="0" borderId="18" xfId="0" applyFont="1" applyBorder="1"/>
    <xf numFmtId="0" fontId="10" fillId="0" borderId="12" xfId="0" applyFont="1" applyBorder="1"/>
    <xf numFmtId="0" fontId="10" fillId="0" borderId="14" xfId="0" applyFont="1" applyBorder="1"/>
    <xf numFmtId="0" fontId="10" fillId="0" borderId="25" xfId="0" applyFont="1" applyBorder="1"/>
    <xf numFmtId="43" fontId="10" fillId="0" borderId="10" xfId="0" applyNumberFormat="1" applyFont="1" applyBorder="1" applyAlignment="1">
      <alignment horizontal="left" indent="1"/>
    </xf>
    <xf numFmtId="3" fontId="10" fillId="0" borderId="0" xfId="3" applyNumberFormat="1" applyFont="1"/>
    <xf numFmtId="0" fontId="10" fillId="0" borderId="0" xfId="3" applyFont="1"/>
    <xf numFmtId="3" fontId="10" fillId="0" borderId="6" xfId="0" applyNumberFormat="1" applyFont="1" applyBorder="1"/>
    <xf numFmtId="3" fontId="10" fillId="0" borderId="0" xfId="0" applyNumberFormat="1" applyFont="1"/>
    <xf numFmtId="3" fontId="10" fillId="0" borderId="15" xfId="0" applyNumberFormat="1" applyFont="1" applyBorder="1"/>
    <xf numFmtId="3" fontId="10" fillId="0" borderId="10" xfId="0" applyNumberFormat="1" applyFont="1" applyBorder="1"/>
    <xf numFmtId="43" fontId="11" fillId="0" borderId="10" xfId="0" applyNumberFormat="1" applyFont="1" applyBorder="1" applyAlignment="1">
      <alignment horizontal="right"/>
    </xf>
    <xf numFmtId="3" fontId="11" fillId="0" borderId="6" xfId="0" applyNumberFormat="1" applyFont="1" applyBorder="1"/>
    <xf numFmtId="3" fontId="11" fillId="0" borderId="0" xfId="0" applyNumberFormat="1" applyFont="1"/>
    <xf numFmtId="3" fontId="11" fillId="0" borderId="15" xfId="0" applyNumberFormat="1" applyFont="1" applyBorder="1"/>
    <xf numFmtId="3" fontId="11" fillId="0" borderId="10" xfId="0" applyNumberFormat="1" applyFont="1" applyBorder="1"/>
    <xf numFmtId="43" fontId="14" fillId="0" borderId="10" xfId="0" applyNumberFormat="1" applyFont="1" applyBorder="1" applyAlignment="1">
      <alignment horizontal="left"/>
    </xf>
    <xf numFmtId="43" fontId="12" fillId="0" borderId="10" xfId="0" applyNumberFormat="1" applyFont="1" applyBorder="1"/>
    <xf numFmtId="43" fontId="11" fillId="0" borderId="10" xfId="0" applyNumberFormat="1" applyFont="1" applyBorder="1" applyAlignment="1">
      <alignment horizontal="left"/>
    </xf>
    <xf numFmtId="43" fontId="12" fillId="5" borderId="24" xfId="0" applyNumberFormat="1" applyFont="1" applyFill="1" applyBorder="1" applyAlignment="1">
      <alignment horizontal="right"/>
    </xf>
    <xf numFmtId="3" fontId="12" fillId="5" borderId="2" xfId="0" applyNumberFormat="1" applyFont="1" applyFill="1" applyBorder="1"/>
    <xf numFmtId="43" fontId="12" fillId="0" borderId="24" xfId="0" applyNumberFormat="1" applyFont="1" applyBorder="1"/>
    <xf numFmtId="3" fontId="10" fillId="0" borderId="2" xfId="0" applyNumberFormat="1" applyFont="1" applyBorder="1"/>
    <xf numFmtId="3" fontId="10" fillId="0" borderId="13" xfId="0" applyNumberFormat="1" applyFont="1" applyBorder="1"/>
    <xf numFmtId="3" fontId="10" fillId="0" borderId="17" xfId="0" applyNumberFormat="1" applyFont="1" applyBorder="1"/>
    <xf numFmtId="3" fontId="10" fillId="0" borderId="24" xfId="0" applyNumberFormat="1" applyFont="1" applyBorder="1"/>
    <xf numFmtId="43" fontId="12" fillId="4" borderId="24" xfId="0" applyNumberFormat="1" applyFont="1" applyFill="1" applyBorder="1"/>
    <xf numFmtId="3" fontId="10" fillId="4" borderId="2" xfId="0" applyNumberFormat="1" applyFont="1" applyFill="1" applyBorder="1"/>
    <xf numFmtId="3" fontId="10" fillId="4" borderId="13" xfId="0" applyNumberFormat="1" applyFont="1" applyFill="1" applyBorder="1"/>
    <xf numFmtId="3" fontId="10" fillId="4" borderId="17" xfId="0" applyNumberFormat="1" applyFont="1" applyFill="1" applyBorder="1"/>
    <xf numFmtId="3" fontId="10" fillId="4" borderId="24" xfId="0" applyNumberFormat="1" applyFont="1" applyFill="1" applyBorder="1"/>
    <xf numFmtId="43" fontId="10" fillId="0" borderId="25" xfId="0" applyNumberFormat="1" applyFont="1" applyBorder="1"/>
    <xf numFmtId="3" fontId="10" fillId="0" borderId="18" xfId="0" applyNumberFormat="1" applyFont="1" applyBorder="1"/>
    <xf numFmtId="3" fontId="10" fillId="0" borderId="12" xfId="0" applyNumberFormat="1" applyFont="1" applyBorder="1"/>
    <xf numFmtId="3" fontId="10" fillId="0" borderId="25" xfId="0" applyNumberFormat="1" applyFont="1" applyBorder="1"/>
    <xf numFmtId="43" fontId="10" fillId="0" borderId="10" xfId="0" applyNumberFormat="1" applyFont="1" applyBorder="1"/>
    <xf numFmtId="0" fontId="10" fillId="0" borderId="9" xfId="0" applyFont="1" applyBorder="1"/>
    <xf numFmtId="0" fontId="10" fillId="0" borderId="26" xfId="0" applyFont="1" applyBorder="1"/>
    <xf numFmtId="0" fontId="10" fillId="0" borderId="8" xfId="0" applyFont="1" applyBorder="1"/>
    <xf numFmtId="0" fontId="10" fillId="0" borderId="19" xfId="0" applyFont="1" applyBorder="1"/>
    <xf numFmtId="0" fontId="10" fillId="0" borderId="22" xfId="0" applyFont="1" applyBorder="1"/>
    <xf numFmtId="3" fontId="12" fillId="5" borderId="24" xfId="0" applyNumberFormat="1" applyFont="1" applyFill="1" applyBorder="1"/>
    <xf numFmtId="3" fontId="10" fillId="0" borderId="14" xfId="0" applyNumberFormat="1" applyFont="1" applyBorder="1"/>
    <xf numFmtId="0" fontId="12" fillId="0" borderId="10" xfId="0" applyFont="1" applyBorder="1"/>
    <xf numFmtId="0" fontId="10" fillId="0" borderId="10" xfId="0" applyFont="1" applyBorder="1" applyAlignment="1">
      <alignment horizontal="left" indent="1"/>
    </xf>
    <xf numFmtId="0" fontId="11" fillId="0" borderId="10" xfId="0" applyFont="1" applyBorder="1" applyAlignment="1">
      <alignment horizontal="right"/>
    </xf>
    <xf numFmtId="0" fontId="14" fillId="0" borderId="10" xfId="0" applyFont="1" applyBorder="1" applyAlignment="1">
      <alignment horizontal="right"/>
    </xf>
    <xf numFmtId="3" fontId="14" fillId="0" borderId="6" xfId="0" applyNumberFormat="1" applyFont="1" applyBorder="1"/>
    <xf numFmtId="3" fontId="14" fillId="0" borderId="0" xfId="0" applyNumberFormat="1" applyFont="1"/>
    <xf numFmtId="3" fontId="14" fillId="0" borderId="15" xfId="0" applyNumberFormat="1" applyFont="1" applyBorder="1"/>
    <xf numFmtId="3" fontId="14" fillId="0" borderId="10" xfId="0" applyNumberFormat="1" applyFont="1" applyBorder="1"/>
    <xf numFmtId="0" fontId="14" fillId="0" borderId="0" xfId="0" applyFont="1"/>
    <xf numFmtId="0" fontId="10" fillId="0" borderId="10" xfId="0" applyFont="1" applyBorder="1"/>
    <xf numFmtId="43" fontId="10" fillId="0" borderId="24" xfId="0" applyNumberFormat="1" applyFont="1" applyBorder="1"/>
    <xf numFmtId="43" fontId="10" fillId="0" borderId="9" xfId="0" applyNumberFormat="1" applyFont="1" applyBorder="1"/>
    <xf numFmtId="3" fontId="10" fillId="0" borderId="19" xfId="0" applyNumberFormat="1" applyFont="1" applyBorder="1"/>
    <xf numFmtId="3" fontId="10" fillId="0" borderId="8" xfId="0" applyNumberFormat="1" applyFont="1" applyBorder="1"/>
    <xf numFmtId="3" fontId="10" fillId="0" borderId="22" xfId="0" applyNumberFormat="1" applyFont="1" applyBorder="1"/>
    <xf numFmtId="3" fontId="10" fillId="0" borderId="9" xfId="0" applyNumberFormat="1" applyFont="1" applyBorder="1"/>
    <xf numFmtId="43" fontId="11" fillId="0" borderId="24" xfId="0" applyNumberFormat="1" applyFont="1" applyBorder="1" applyAlignment="1">
      <alignment horizontal="right"/>
    </xf>
    <xf numFmtId="0" fontId="12" fillId="5" borderId="24" xfId="0" applyFont="1" applyFill="1" applyBorder="1" applyAlignment="1">
      <alignment horizontal="right"/>
    </xf>
    <xf numFmtId="0" fontId="12" fillId="0" borderId="24" xfId="0" applyFont="1" applyBorder="1" applyAlignment="1">
      <alignment horizontal="right"/>
    </xf>
    <xf numFmtId="3" fontId="12" fillId="0" borderId="2" xfId="0" applyNumberFormat="1" applyFont="1" applyBorder="1"/>
    <xf numFmtId="3" fontId="12" fillId="0" borderId="13" xfId="0" applyNumberFormat="1" applyFont="1" applyBorder="1"/>
    <xf numFmtId="3" fontId="12" fillId="0" borderId="17" xfId="0" applyNumberFormat="1" applyFont="1" applyBorder="1"/>
    <xf numFmtId="3" fontId="12" fillId="0" borderId="24" xfId="0" applyNumberFormat="1" applyFont="1" applyBorder="1"/>
    <xf numFmtId="0" fontId="12" fillId="4" borderId="24" xfId="0" applyFont="1" applyFill="1" applyBorder="1"/>
    <xf numFmtId="0" fontId="12" fillId="2" borderId="24" xfId="0" applyFont="1" applyFill="1" applyBorder="1"/>
    <xf numFmtId="3" fontId="12" fillId="2" borderId="24" xfId="0" applyNumberFormat="1" applyFont="1" applyFill="1" applyBorder="1"/>
    <xf numFmtId="3" fontId="10" fillId="2" borderId="2" xfId="0" applyNumberFormat="1" applyFont="1" applyFill="1" applyBorder="1"/>
    <xf numFmtId="3" fontId="10" fillId="2" borderId="13" xfId="0" applyNumberFormat="1" applyFont="1" applyFill="1" applyBorder="1"/>
    <xf numFmtId="3" fontId="10" fillId="2" borderId="17" xfId="0" applyNumberFormat="1" applyFont="1" applyFill="1" applyBorder="1"/>
    <xf numFmtId="3" fontId="10" fillId="2" borderId="24" xfId="0" applyNumberFormat="1" applyFont="1" applyFill="1" applyBorder="1"/>
    <xf numFmtId="3" fontId="12" fillId="2" borderId="3" xfId="0" applyNumberFormat="1" applyFont="1" applyFill="1" applyBorder="1"/>
    <xf numFmtId="0" fontId="10" fillId="0" borderId="0" xfId="0" applyFont="1" applyAlignment="1">
      <alignment horizontal="left"/>
    </xf>
    <xf numFmtId="0" fontId="15" fillId="3" borderId="32" xfId="0" applyFont="1" applyFill="1" applyBorder="1" applyAlignment="1">
      <alignment horizontal="right"/>
    </xf>
    <xf numFmtId="0" fontId="15" fillId="3" borderId="33" xfId="0" applyFont="1" applyFill="1" applyBorder="1" applyAlignment="1">
      <alignment horizontal="right"/>
    </xf>
    <xf numFmtId="0" fontId="15" fillId="3" borderId="25" xfId="0" applyFont="1" applyFill="1" applyBorder="1" applyAlignment="1">
      <alignment horizontal="right"/>
    </xf>
    <xf numFmtId="0" fontId="15" fillId="3" borderId="27" xfId="0" applyFont="1" applyFill="1" applyBorder="1" applyAlignment="1">
      <alignment horizontal="right"/>
    </xf>
    <xf numFmtId="0" fontId="15" fillId="3" borderId="12" xfId="0" applyFont="1" applyFill="1" applyBorder="1" applyAlignment="1">
      <alignment horizontal="right"/>
    </xf>
    <xf numFmtId="0" fontId="15" fillId="3" borderId="18" xfId="0" applyFont="1" applyFill="1" applyBorder="1" applyAlignment="1">
      <alignment horizontal="right"/>
    </xf>
    <xf numFmtId="0" fontId="15" fillId="3" borderId="14" xfId="0" applyFont="1" applyFill="1" applyBorder="1" applyAlignment="1">
      <alignment horizontal="right"/>
    </xf>
    <xf numFmtId="0" fontId="15" fillId="3" borderId="10" xfId="0" applyFont="1" applyFill="1" applyBorder="1" applyAlignment="1">
      <alignment horizontal="center"/>
    </xf>
    <xf numFmtId="0" fontId="15" fillId="0" borderId="27" xfId="0" applyFont="1" applyBorder="1" applyAlignment="1">
      <alignment horizontal="right"/>
    </xf>
    <xf numFmtId="44" fontId="12" fillId="4" borderId="16" xfId="0" applyNumberFormat="1" applyFont="1" applyFill="1" applyBorder="1"/>
    <xf numFmtId="44" fontId="12" fillId="4" borderId="13" xfId="0" applyNumberFormat="1" applyFont="1" applyFill="1" applyBorder="1"/>
    <xf numFmtId="43" fontId="12" fillId="0" borderId="21" xfId="0" applyNumberFormat="1" applyFont="1" applyBorder="1"/>
    <xf numFmtId="10" fontId="10" fillId="0" borderId="12" xfId="0" applyNumberFormat="1" applyFont="1" applyBorder="1"/>
    <xf numFmtId="10" fontId="10" fillId="0" borderId="27" xfId="0" applyNumberFormat="1" applyFont="1" applyBorder="1"/>
    <xf numFmtId="9" fontId="10" fillId="0" borderId="27" xfId="2" applyFont="1" applyFill="1" applyBorder="1" applyAlignment="1"/>
    <xf numFmtId="43" fontId="11" fillId="0" borderId="21" xfId="0" applyNumberFormat="1" applyFont="1" applyBorder="1"/>
    <xf numFmtId="43" fontId="11" fillId="0" borderId="0" xfId="0" applyNumberFormat="1" applyFont="1"/>
    <xf numFmtId="43" fontId="10" fillId="0" borderId="21" xfId="0" applyNumberFormat="1" applyFont="1" applyBorder="1"/>
    <xf numFmtId="43" fontId="10" fillId="0" borderId="0" xfId="0" applyNumberFormat="1" applyFont="1"/>
    <xf numFmtId="43" fontId="12" fillId="0" borderId="0" xfId="0" applyNumberFormat="1" applyFont="1"/>
    <xf numFmtId="43" fontId="12" fillId="5" borderId="16" xfId="0" applyNumberFormat="1" applyFont="1" applyFill="1" applyBorder="1"/>
    <xf numFmtId="43" fontId="12" fillId="5" borderId="13" xfId="0" applyNumberFormat="1" applyFont="1" applyFill="1" applyBorder="1"/>
    <xf numFmtId="43" fontId="12" fillId="0" borderId="16" xfId="0" applyNumberFormat="1" applyFont="1" applyBorder="1"/>
    <xf numFmtId="43" fontId="12" fillId="0" borderId="13" xfId="0" applyNumberFormat="1" applyFont="1" applyBorder="1"/>
    <xf numFmtId="43" fontId="12" fillId="4" borderId="16" xfId="0" applyNumberFormat="1" applyFont="1" applyFill="1" applyBorder="1"/>
    <xf numFmtId="43" fontId="12" fillId="4" borderId="13" xfId="0" applyNumberFormat="1" applyFont="1" applyFill="1" applyBorder="1"/>
    <xf numFmtId="10" fontId="10" fillId="0" borderId="21" xfId="0" applyNumberFormat="1" applyFont="1" applyBorder="1"/>
    <xf numFmtId="0" fontId="10" fillId="0" borderId="21" xfId="0" applyFont="1" applyBorder="1"/>
    <xf numFmtId="1" fontId="10" fillId="0" borderId="21" xfId="0" applyNumberFormat="1" applyFont="1" applyBorder="1"/>
    <xf numFmtId="43" fontId="10" fillId="0" borderId="27" xfId="0" applyNumberFormat="1" applyFont="1" applyBorder="1"/>
    <xf numFmtId="43" fontId="10" fillId="0" borderId="12" xfId="0" applyNumberFormat="1" applyFont="1" applyBorder="1"/>
    <xf numFmtId="164" fontId="11" fillId="0" borderId="21" xfId="0" applyNumberFormat="1" applyFont="1" applyBorder="1"/>
    <xf numFmtId="164" fontId="11" fillId="0" borderId="0" xfId="0" applyNumberFormat="1" applyFont="1"/>
    <xf numFmtId="164" fontId="14" fillId="0" borderId="21" xfId="0" applyNumberFormat="1" applyFont="1" applyBorder="1"/>
    <xf numFmtId="43" fontId="14" fillId="0" borderId="0" xfId="0" applyNumberFormat="1" applyFont="1"/>
    <xf numFmtId="164" fontId="14" fillId="0" borderId="0" xfId="0" applyNumberFormat="1" applyFont="1"/>
    <xf numFmtId="164" fontId="10" fillId="0" borderId="21" xfId="0" applyNumberFormat="1" applyFont="1" applyBorder="1"/>
    <xf numFmtId="43" fontId="10" fillId="0" borderId="16" xfId="0" applyNumberFormat="1" applyFont="1" applyBorder="1"/>
    <xf numFmtId="43" fontId="10" fillId="0" borderId="13" xfId="0" applyNumberFormat="1" applyFont="1" applyBorder="1"/>
    <xf numFmtId="43" fontId="12" fillId="0" borderId="12" xfId="0" applyNumberFormat="1" applyFont="1" applyBorder="1"/>
    <xf numFmtId="43" fontId="12" fillId="0" borderId="27" xfId="0" applyNumberFormat="1" applyFont="1" applyBorder="1"/>
    <xf numFmtId="43" fontId="12" fillId="0" borderId="26" xfId="0" applyNumberFormat="1" applyFont="1" applyBorder="1"/>
    <xf numFmtId="43" fontId="12" fillId="0" borderId="8" xfId="0" applyNumberFormat="1" applyFont="1" applyBorder="1"/>
    <xf numFmtId="0" fontId="12" fillId="5" borderId="16" xfId="0" applyFont="1" applyFill="1" applyBorder="1"/>
    <xf numFmtId="0" fontId="12" fillId="5" borderId="13" xfId="0" applyFont="1" applyFill="1" applyBorder="1"/>
    <xf numFmtId="0" fontId="12" fillId="0" borderId="16" xfId="0" applyFont="1" applyBorder="1"/>
    <xf numFmtId="0" fontId="12" fillId="0" borderId="13" xfId="0" applyFont="1" applyBorder="1"/>
    <xf numFmtId="0" fontId="12" fillId="4" borderId="16" xfId="0" applyFont="1" applyFill="1" applyBorder="1"/>
    <xf numFmtId="0" fontId="12" fillId="4" borderId="13" xfId="0" applyFont="1" applyFill="1" applyBorder="1"/>
    <xf numFmtId="43" fontId="12" fillId="2" borderId="16" xfId="0" applyNumberFormat="1" applyFont="1" applyFill="1" applyBorder="1"/>
    <xf numFmtId="43" fontId="12" fillId="2" borderId="13" xfId="0" applyNumberFormat="1" applyFont="1" applyFill="1" applyBorder="1"/>
    <xf numFmtId="43" fontId="12" fillId="2" borderId="4" xfId="0" applyNumberFormat="1" applyFont="1" applyFill="1" applyBorder="1"/>
    <xf numFmtId="10" fontId="10" fillId="2" borderId="16" xfId="0" applyNumberFormat="1" applyFont="1" applyFill="1" applyBorder="1"/>
    <xf numFmtId="10" fontId="10" fillId="2" borderId="13" xfId="0" applyNumberFormat="1" applyFont="1" applyFill="1" applyBorder="1"/>
    <xf numFmtId="10" fontId="10" fillId="2" borderId="4" xfId="0" applyNumberFormat="1" applyFont="1" applyFill="1" applyBorder="1"/>
    <xf numFmtId="0" fontId="10" fillId="2" borderId="30" xfId="0" applyFont="1" applyFill="1" applyBorder="1"/>
    <xf numFmtId="0" fontId="10" fillId="2" borderId="35" xfId="0" applyFont="1" applyFill="1" applyBorder="1"/>
    <xf numFmtId="0" fontId="10" fillId="2" borderId="36" xfId="0" applyFont="1" applyFill="1" applyBorder="1"/>
    <xf numFmtId="0" fontId="17" fillId="0" borderId="0" xfId="0" applyFont="1"/>
    <xf numFmtId="0" fontId="18" fillId="0" borderId="0" xfId="0" applyFont="1"/>
    <xf numFmtId="0" fontId="19" fillId="3" borderId="1" xfId="0" applyFont="1" applyFill="1" applyBorder="1" applyAlignment="1">
      <alignment horizontal="right"/>
    </xf>
    <xf numFmtId="0" fontId="19" fillId="3" borderId="1" xfId="0" applyFont="1" applyFill="1" applyBorder="1" applyAlignment="1">
      <alignment horizontal="center"/>
    </xf>
    <xf numFmtId="0" fontId="19" fillId="3" borderId="28" xfId="0" applyFont="1" applyFill="1" applyBorder="1" applyAlignment="1">
      <alignment horizontal="center"/>
    </xf>
    <xf numFmtId="0" fontId="19" fillId="3" borderId="2" xfId="0" applyFont="1" applyFill="1" applyBorder="1" applyAlignment="1">
      <alignment horizontal="right"/>
    </xf>
    <xf numFmtId="0" fontId="19" fillId="3" borderId="13" xfId="0" applyFont="1" applyFill="1" applyBorder="1" applyAlignment="1">
      <alignment horizontal="right"/>
    </xf>
    <xf numFmtId="0" fontId="19" fillId="3" borderId="4" xfId="0" applyFont="1" applyFill="1" applyBorder="1" applyAlignment="1">
      <alignment horizontal="right"/>
    </xf>
    <xf numFmtId="0" fontId="19" fillId="3" borderId="38" xfId="0" applyFont="1" applyFill="1" applyBorder="1" applyAlignment="1">
      <alignment horizontal="center"/>
    </xf>
    <xf numFmtId="0" fontId="19" fillId="3" borderId="39" xfId="0" applyFont="1" applyFill="1" applyBorder="1" applyAlignment="1">
      <alignment horizontal="center"/>
    </xf>
    <xf numFmtId="0" fontId="19" fillId="0" borderId="28" xfId="0" applyFont="1" applyBorder="1" applyAlignment="1">
      <alignment horizontal="right"/>
    </xf>
    <xf numFmtId="0" fontId="19" fillId="0" borderId="6" xfId="0" applyFont="1" applyBorder="1" applyAlignment="1">
      <alignment horizontal="right"/>
    </xf>
    <xf numFmtId="0" fontId="19" fillId="0" borderId="0" xfId="0" applyFont="1" applyAlignment="1">
      <alignment horizontal="right"/>
    </xf>
    <xf numFmtId="0" fontId="19" fillId="0" borderId="11" xfId="0" applyFont="1" applyBorder="1" applyAlignment="1">
      <alignment horizontal="right"/>
    </xf>
    <xf numFmtId="0" fontId="19" fillId="0" borderId="18" xfId="0" applyFont="1" applyBorder="1" applyAlignment="1">
      <alignment horizontal="right"/>
    </xf>
    <xf numFmtId="0" fontId="19" fillId="0" borderId="12" xfId="0" applyFont="1" applyBorder="1" applyAlignment="1">
      <alignment horizontal="right"/>
    </xf>
    <xf numFmtId="0" fontId="19" fillId="0" borderId="7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44" fontId="17" fillId="4" borderId="1" xfId="0" applyNumberFormat="1" applyFont="1" applyFill="1" applyBorder="1"/>
    <xf numFmtId="3" fontId="18" fillId="4" borderId="2" xfId="0" applyNumberFormat="1" applyFont="1" applyFill="1" applyBorder="1"/>
    <xf numFmtId="3" fontId="18" fillId="4" borderId="13" xfId="0" applyNumberFormat="1" applyFont="1" applyFill="1" applyBorder="1"/>
    <xf numFmtId="3" fontId="18" fillId="4" borderId="4" xfId="0" applyNumberFormat="1" applyFont="1" applyFill="1" applyBorder="1"/>
    <xf numFmtId="3" fontId="18" fillId="4" borderId="1" xfId="0" applyNumberFormat="1" applyFont="1" applyFill="1" applyBorder="1"/>
    <xf numFmtId="43" fontId="17" fillId="0" borderId="7" xfId="0" applyNumberFormat="1" applyFont="1" applyBorder="1"/>
    <xf numFmtId="3" fontId="18" fillId="0" borderId="6" xfId="0" applyNumberFormat="1" applyFont="1" applyBorder="1"/>
    <xf numFmtId="3" fontId="18" fillId="0" borderId="0" xfId="0" applyNumberFormat="1" applyFont="1"/>
    <xf numFmtId="3" fontId="18" fillId="0" borderId="5" xfId="0" applyNumberFormat="1" applyFont="1" applyBorder="1"/>
    <xf numFmtId="3" fontId="18" fillId="0" borderId="7" xfId="0" applyNumberFormat="1" applyFont="1" applyBorder="1"/>
    <xf numFmtId="43" fontId="17" fillId="4" borderId="1" xfId="0" applyNumberFormat="1" applyFont="1" applyFill="1" applyBorder="1"/>
    <xf numFmtId="43" fontId="18" fillId="0" borderId="7" xfId="0" applyNumberFormat="1" applyFont="1" applyBorder="1"/>
    <xf numFmtId="43" fontId="13" fillId="0" borderId="7" xfId="0" applyNumberFormat="1" applyFont="1" applyBorder="1" applyAlignment="1">
      <alignment horizontal="right"/>
    </xf>
    <xf numFmtId="0" fontId="18" fillId="0" borderId="29" xfId="0" applyFont="1" applyBorder="1"/>
    <xf numFmtId="3" fontId="18" fillId="0" borderId="19" xfId="0" applyNumberFormat="1" applyFont="1" applyBorder="1"/>
    <xf numFmtId="3" fontId="18" fillId="0" borderId="8" xfId="0" applyNumberFormat="1" applyFont="1" applyBorder="1"/>
    <xf numFmtId="3" fontId="18" fillId="0" borderId="20" xfId="0" applyNumberFormat="1" applyFont="1" applyBorder="1"/>
    <xf numFmtId="0" fontId="17" fillId="5" borderId="1" xfId="0" applyFont="1" applyFill="1" applyBorder="1"/>
    <xf numFmtId="41" fontId="17" fillId="5" borderId="1" xfId="0" applyNumberFormat="1" applyFont="1" applyFill="1" applyBorder="1"/>
    <xf numFmtId="0" fontId="17" fillId="0" borderId="1" xfId="0" applyFont="1" applyBorder="1"/>
    <xf numFmtId="3" fontId="17" fillId="0" borderId="1" xfId="0" applyNumberFormat="1" applyFont="1" applyBorder="1"/>
    <xf numFmtId="3" fontId="17" fillId="5" borderId="1" xfId="0" applyNumberFormat="1" applyFont="1" applyFill="1" applyBorder="1"/>
    <xf numFmtId="0" fontId="18" fillId="0" borderId="1" xfId="0" applyFont="1" applyBorder="1"/>
    <xf numFmtId="0" fontId="18" fillId="0" borderId="12" xfId="0" applyFont="1" applyBorder="1"/>
    <xf numFmtId="3" fontId="18" fillId="0" borderId="12" xfId="0" applyNumberFormat="1" applyFont="1" applyBorder="1"/>
    <xf numFmtId="43" fontId="12" fillId="6" borderId="10" xfId="0" applyNumberFormat="1" applyFont="1" applyFill="1" applyBorder="1" applyAlignment="1">
      <alignment wrapText="1"/>
    </xf>
    <xf numFmtId="1" fontId="10" fillId="6" borderId="21" xfId="0" applyNumberFormat="1" applyFont="1" applyFill="1" applyBorder="1"/>
    <xf numFmtId="3" fontId="10" fillId="6" borderId="6" xfId="0" applyNumberFormat="1" applyFont="1" applyFill="1" applyBorder="1"/>
    <xf numFmtId="3" fontId="10" fillId="6" borderId="10" xfId="0" applyNumberFormat="1" applyFont="1" applyFill="1" applyBorder="1"/>
    <xf numFmtId="1" fontId="10" fillId="0" borderId="0" xfId="0" applyNumberFormat="1" applyFont="1"/>
    <xf numFmtId="1" fontId="10" fillId="6" borderId="0" xfId="0" applyNumberFormat="1" applyFont="1" applyFill="1"/>
    <xf numFmtId="3" fontId="10" fillId="0" borderId="5" xfId="0" applyNumberFormat="1" applyFont="1" applyBorder="1"/>
    <xf numFmtId="3" fontId="10" fillId="6" borderId="5" xfId="0" applyNumberFormat="1" applyFont="1" applyFill="1" applyBorder="1"/>
    <xf numFmtId="3" fontId="10" fillId="6" borderId="0" xfId="0" applyNumberFormat="1" applyFont="1" applyFill="1"/>
    <xf numFmtId="1" fontId="10" fillId="0" borderId="6" xfId="0" applyNumberFormat="1" applyFont="1" applyBorder="1"/>
    <xf numFmtId="164" fontId="10" fillId="0" borderId="5" xfId="0" applyNumberFormat="1" applyFont="1" applyBorder="1"/>
    <xf numFmtId="1" fontId="10" fillId="6" borderId="6" xfId="0" applyNumberFormat="1" applyFont="1" applyFill="1" applyBorder="1"/>
    <xf numFmtId="164" fontId="10" fillId="6" borderId="5" xfId="0" applyNumberFormat="1" applyFont="1" applyFill="1" applyBorder="1"/>
    <xf numFmtId="164" fontId="11" fillId="0" borderId="6" xfId="0" applyNumberFormat="1" applyFont="1" applyBorder="1"/>
    <xf numFmtId="43" fontId="11" fillId="0" borderId="5" xfId="0" applyNumberFormat="1" applyFont="1" applyBorder="1"/>
    <xf numFmtId="0" fontId="10" fillId="0" borderId="20" xfId="0" applyFont="1" applyBorder="1"/>
    <xf numFmtId="0" fontId="10" fillId="0" borderId="0" xfId="0" applyFont="1" applyAlignment="1">
      <alignment horizontal="left" wrapText="1"/>
    </xf>
    <xf numFmtId="0" fontId="15" fillId="0" borderId="40" xfId="0" applyFont="1" applyBorder="1" applyAlignment="1">
      <alignment horizontal="center"/>
    </xf>
    <xf numFmtId="0" fontId="16" fillId="0" borderId="0" xfId="0" applyFont="1" applyAlignment="1">
      <alignment horizontal="center"/>
    </xf>
    <xf numFmtId="3" fontId="12" fillId="5" borderId="13" xfId="0" applyNumberFormat="1" applyFont="1" applyFill="1" applyBorder="1"/>
    <xf numFmtId="9" fontId="10" fillId="0" borderId="27" xfId="2" applyFont="1" applyBorder="1"/>
    <xf numFmtId="164" fontId="10" fillId="6" borderId="0" xfId="0" applyNumberFormat="1" applyFont="1" applyFill="1"/>
    <xf numFmtId="0" fontId="15" fillId="3" borderId="41" xfId="0" applyFont="1" applyFill="1" applyBorder="1" applyAlignment="1">
      <alignment horizontal="right"/>
    </xf>
    <xf numFmtId="0" fontId="11" fillId="0" borderId="21" xfId="0" applyFont="1" applyBorder="1" applyAlignment="1">
      <alignment horizontal="right"/>
    </xf>
    <xf numFmtId="43" fontId="10" fillId="6" borderId="0" xfId="0" applyNumberFormat="1" applyFont="1" applyFill="1"/>
    <xf numFmtId="0" fontId="12" fillId="2" borderId="3" xfId="0" applyFont="1" applyFill="1" applyBorder="1"/>
    <xf numFmtId="44" fontId="11" fillId="0" borderId="0" xfId="1" applyFont="1" applyAlignment="1">
      <alignment horizontal="center" vertical="center" wrapText="1"/>
    </xf>
    <xf numFmtId="44" fontId="10" fillId="0" borderId="0" xfId="1" applyFont="1" applyAlignment="1">
      <alignment horizontal="center"/>
    </xf>
    <xf numFmtId="44" fontId="10" fillId="0" borderId="0" xfId="1" applyFont="1" applyFill="1" applyBorder="1" applyAlignment="1">
      <alignment horizontal="left"/>
    </xf>
    <xf numFmtId="44" fontId="11" fillId="0" borderId="0" xfId="0" applyNumberFormat="1" applyFont="1" applyAlignment="1">
      <alignment horizontal="center" vertical="center" wrapText="1"/>
    </xf>
    <xf numFmtId="9" fontId="10" fillId="0" borderId="21" xfId="2" applyFont="1" applyFill="1" applyBorder="1" applyAlignment="1"/>
    <xf numFmtId="166" fontId="10" fillId="0" borderId="0" xfId="1" applyNumberFormat="1" applyFont="1" applyFill="1"/>
    <xf numFmtId="0" fontId="21" fillId="0" borderId="0" xfId="0" applyFont="1"/>
    <xf numFmtId="41" fontId="12" fillId="2" borderId="2" xfId="0" applyNumberFormat="1" applyFont="1" applyFill="1" applyBorder="1" applyAlignment="1">
      <alignment horizontal="right"/>
    </xf>
    <xf numFmtId="41" fontId="12" fillId="2" borderId="13" xfId="0" applyNumberFormat="1" applyFont="1" applyFill="1" applyBorder="1"/>
    <xf numFmtId="41" fontId="12" fillId="2" borderId="17" xfId="0" applyNumberFormat="1" applyFont="1" applyFill="1" applyBorder="1"/>
    <xf numFmtId="41" fontId="12" fillId="2" borderId="2" xfId="0" applyNumberFormat="1" applyFont="1" applyFill="1" applyBorder="1"/>
    <xf numFmtId="3" fontId="12" fillId="2" borderId="2" xfId="0" applyNumberFormat="1" applyFont="1" applyFill="1" applyBorder="1"/>
    <xf numFmtId="3" fontId="12" fillId="2" borderId="13" xfId="0" applyNumberFormat="1" applyFont="1" applyFill="1" applyBorder="1"/>
    <xf numFmtId="3" fontId="12" fillId="2" borderId="17" xfId="0" applyNumberFormat="1" applyFont="1" applyFill="1" applyBorder="1"/>
    <xf numFmtId="3" fontId="12" fillId="2" borderId="31" xfId="0" applyNumberFormat="1" applyFont="1" applyFill="1" applyBorder="1"/>
    <xf numFmtId="3" fontId="12" fillId="2" borderId="35" xfId="0" applyNumberFormat="1" applyFont="1" applyFill="1" applyBorder="1"/>
    <xf numFmtId="3" fontId="12" fillId="2" borderId="37" xfId="0" applyNumberFormat="1" applyFont="1" applyFill="1" applyBorder="1"/>
    <xf numFmtId="189" fontId="10" fillId="0" borderId="0" xfId="0" applyNumberFormat="1" applyFont="1"/>
    <xf numFmtId="10" fontId="18" fillId="0" borderId="0" xfId="0" applyNumberFormat="1" applyFont="1"/>
    <xf numFmtId="168" fontId="10" fillId="0" borderId="21" xfId="0" applyNumberFormat="1" applyFont="1" applyBorder="1"/>
    <xf numFmtId="0" fontId="96" fillId="0" borderId="25" xfId="0" applyFont="1" applyBorder="1" applyAlignment="1">
      <alignment horizontal="right" wrapText="1"/>
    </xf>
    <xf numFmtId="44" fontId="18" fillId="0" borderId="0" xfId="1" applyFont="1"/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3" borderId="2" xfId="0" applyFont="1" applyFill="1" applyBorder="1" applyAlignment="1">
      <alignment horizontal="center"/>
    </xf>
    <xf numFmtId="0" fontId="19" fillId="3" borderId="13" xfId="0" applyFont="1" applyFill="1" applyBorder="1" applyAlignment="1">
      <alignment horizontal="center"/>
    </xf>
    <xf numFmtId="0" fontId="19" fillId="3" borderId="4" xfId="0" applyFont="1" applyFill="1" applyBorder="1" applyAlignment="1">
      <alignment horizontal="center"/>
    </xf>
    <xf numFmtId="0" fontId="15" fillId="3" borderId="32" xfId="0" applyFont="1" applyFill="1" applyBorder="1" applyAlignment="1">
      <alignment horizontal="center"/>
    </xf>
    <xf numFmtId="0" fontId="15" fillId="3" borderId="33" xfId="0" applyFont="1" applyFill="1" applyBorder="1" applyAlignment="1">
      <alignment horizontal="center"/>
    </xf>
    <xf numFmtId="0" fontId="15" fillId="3" borderId="34" xfId="0" applyFont="1" applyFill="1" applyBorder="1" applyAlignment="1">
      <alignment horizontal="center"/>
    </xf>
    <xf numFmtId="0" fontId="13" fillId="0" borderId="6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</cellXfs>
  <cellStyles count="542">
    <cellStyle name="20% - Accent1 2" xfId="22" xr:uid="{69DA3B0E-192C-4205-8952-F294A7AC6825}"/>
    <cellStyle name="20% - Accent2 2" xfId="23" xr:uid="{72C69861-18EB-4EF7-95FD-C7CA21418DD7}"/>
    <cellStyle name="20% - Accent3 2" xfId="24" xr:uid="{95C7E271-AE4E-406D-889D-B09C8B502779}"/>
    <cellStyle name="20% - Accent4 2" xfId="25" xr:uid="{D72CCF03-58C8-4CC5-BB84-EDA7281CBD30}"/>
    <cellStyle name="20% - Accent4 3" xfId="26" xr:uid="{329F1081-A2EA-4369-95EC-6D4451952A1D}"/>
    <cellStyle name="20% - Accent5 2" xfId="27" xr:uid="{E082357C-0DE7-477E-B2DB-DF18B6B1426F}"/>
    <cellStyle name="20% - Accent6 2" xfId="28" xr:uid="{B82E2DFA-DE81-415E-8F32-2D6C0E214D2D}"/>
    <cellStyle name="20% - アクセント 1" xfId="29" xr:uid="{464B5A23-A72A-4C75-859D-361241D40CBE}"/>
    <cellStyle name="20% - アクセント 2" xfId="30" xr:uid="{F3094222-ED83-4CD3-9C0B-7970ED9F2B1A}"/>
    <cellStyle name="20% - アクセント 3" xfId="31" xr:uid="{CB7163D9-B5B2-4DAF-89C6-B5BA6E956149}"/>
    <cellStyle name="20% - アクセント 4" xfId="32" xr:uid="{F86E530B-6640-4B00-84DD-000D38F23A86}"/>
    <cellStyle name="20% - アクセント 5" xfId="33" xr:uid="{094D5E10-A35A-4EA6-9E5C-F0D29ED28F3A}"/>
    <cellStyle name="20% - アクセント 6" xfId="34" xr:uid="{38ED7D0C-7B31-4CDB-BE2E-1DCF6D95B3C2}"/>
    <cellStyle name="40% - Accent1 2" xfId="35" xr:uid="{AE402D06-082F-4B98-87BD-039B643F7BA0}"/>
    <cellStyle name="40% - Accent2 2" xfId="36" xr:uid="{9FB198AA-69BA-4AD7-AFD2-FF2E012B12FB}"/>
    <cellStyle name="40% - Accent3 2" xfId="37" xr:uid="{AE70A514-1C7D-4F97-B3BA-4762F2FD5C9F}"/>
    <cellStyle name="40% - Accent4 2" xfId="38" xr:uid="{F8E87BD2-EE23-4F98-BA92-E4FF5D700E1A}"/>
    <cellStyle name="40% - Accent5 2" xfId="39" xr:uid="{9195FC54-20AA-4DEB-9AEE-61D7365D0199}"/>
    <cellStyle name="40% - Accent6 2" xfId="40" xr:uid="{14418481-0C7A-4044-A025-768F7D9BA890}"/>
    <cellStyle name="40% - アクセント 1" xfId="41" xr:uid="{A5BF0995-79B6-42C7-9C4E-3B26B33D017B}"/>
    <cellStyle name="40% - アクセント 2" xfId="42" xr:uid="{8BB5E077-10C3-43FB-8884-16C8EC242C99}"/>
    <cellStyle name="40% - アクセント 3" xfId="43" xr:uid="{F709EB0B-5886-4BFB-80D7-0A2928C344EA}"/>
    <cellStyle name="40% - アクセント 4" xfId="44" xr:uid="{3F456E57-D88A-4C25-BBCC-7BDB82FF7A5A}"/>
    <cellStyle name="40% - アクセント 5" xfId="45" xr:uid="{7C799854-3141-4772-9786-197CF2D7D520}"/>
    <cellStyle name="40% - アクセント 6" xfId="46" xr:uid="{BFDDFD4A-BF43-43D0-97D0-A3F562EDB054}"/>
    <cellStyle name="60% - Accent1 2" xfId="47" xr:uid="{C7098AD6-3893-4F8A-AA63-C157898C9E08}"/>
    <cellStyle name="60% - Accent2 2" xfId="48" xr:uid="{007B4BAE-E6C7-4DC2-854D-15D16407E4CC}"/>
    <cellStyle name="60% - Accent3 2" xfId="49" xr:uid="{D65205CA-ABB6-4E31-A420-143CDC194517}"/>
    <cellStyle name="60% - Accent4 2" xfId="50" xr:uid="{53DE3A47-5D13-4AC5-99D0-36FAD10B18BF}"/>
    <cellStyle name="60% - Accent5 2" xfId="51" xr:uid="{5A601EDB-B271-48F7-BE46-09D7FC8B153B}"/>
    <cellStyle name="60% - Accent6 2" xfId="52" xr:uid="{68EBD295-303B-4584-BE10-DD52A7162A1E}"/>
    <cellStyle name="60% - アクセント 1" xfId="53" xr:uid="{85E8A322-B9E3-4B2A-B652-23F4C30A7AE1}"/>
    <cellStyle name="60% - アクセント 2" xfId="54" xr:uid="{FD105BE7-F811-419E-8897-08789478B4E4}"/>
    <cellStyle name="60% - アクセント 3" xfId="55" xr:uid="{DE9BA273-66D0-4053-A3FA-215CD9EED03A}"/>
    <cellStyle name="60% - アクセント 4" xfId="56" xr:uid="{785D27C4-8DD1-400C-933D-D69B9060B02F}"/>
    <cellStyle name="60% - アクセント 5" xfId="57" xr:uid="{67FD37D0-3744-4302-8B5C-F50C1FB86158}"/>
    <cellStyle name="60% - アクセント 6" xfId="58" xr:uid="{22A43934-0472-4E9A-A6A7-FF14B25C6AD2}"/>
    <cellStyle name="Accent1 2" xfId="59" xr:uid="{FE03C751-636E-4CCB-A33A-FFD2D5AB557A}"/>
    <cellStyle name="Accent2 2" xfId="60" xr:uid="{482C2BF2-2A02-42B0-878A-9E3AC8AC94AC}"/>
    <cellStyle name="Accent2 3" xfId="61" xr:uid="{D944EA3F-2B30-40E1-B619-DCE758DAE986}"/>
    <cellStyle name="Accent3 2" xfId="62" xr:uid="{C1AFB124-6F5A-46F5-8B4C-05CC51DECAC2}"/>
    <cellStyle name="Accent4 2" xfId="63" xr:uid="{8361F976-68BF-4067-AF99-1871CE33B8D4}"/>
    <cellStyle name="Accent5 2" xfId="64" xr:uid="{B6080F0A-52EB-4D9E-AD10-8582158BB165}"/>
    <cellStyle name="Accent6 2" xfId="65" xr:uid="{CD5B3EEC-F20A-4390-A070-B0EEEE254695}"/>
    <cellStyle name="arial12" xfId="66" xr:uid="{E72287AF-614D-471C-A3DD-DE545F7EBEB8}"/>
    <cellStyle name="arial14" xfId="67" xr:uid="{DA313234-01AF-4E46-ADB2-8B97544040E7}"/>
    <cellStyle name="B&amp;P" xfId="68" xr:uid="{43AF8D78-F60C-4A89-B8C9-2C6C58764988}"/>
    <cellStyle name="Bad 2" xfId="69" xr:uid="{C81C54D1-D70A-483B-B0E5-7E66DD7604CF}"/>
    <cellStyle name="Calculation 2" xfId="70" xr:uid="{7FA9535C-EE4C-4F1F-8590-DE4759165C21}"/>
    <cellStyle name="Check Cell 2" xfId="71" xr:uid="{8A3BE438-A8C0-4652-9DFF-E2A2DB0264A9}"/>
    <cellStyle name="Check Cell 3" xfId="72" xr:uid="{BBE764D6-D414-46FA-8637-3CBBB91D65BF}"/>
    <cellStyle name="Comma 10" xfId="540" xr:uid="{5330182A-A1D9-473D-ACE2-25CB961D7057}"/>
    <cellStyle name="Comma 11" xfId="73" xr:uid="{A604A978-F060-4845-875C-35A9C0E4E8B5}"/>
    <cellStyle name="Comma 2" xfId="6" xr:uid="{00000000-0005-0000-0000-000001000000}"/>
    <cellStyle name="Comma 2 2" xfId="75" xr:uid="{F7EAB5BA-1EE4-45A3-A9BE-43BB87BE1332}"/>
    <cellStyle name="Comma 2 2 2" xfId="76" xr:uid="{E27599AB-88E3-4B42-9658-7D6E078B3924}"/>
    <cellStyle name="Comma 2 2 2 2" xfId="77" xr:uid="{21180981-791D-4F77-B531-E1D8F0538867}"/>
    <cellStyle name="Comma 2 2 3" xfId="78" xr:uid="{84D45BE0-E724-4B45-90E0-35ED240A338F}"/>
    <cellStyle name="Comma 2 2 4" xfId="79" xr:uid="{9BE855C4-2CFA-4516-981F-A3BBF46DA8BF}"/>
    <cellStyle name="Comma 2 3" xfId="80" xr:uid="{DD2EB292-6871-4B14-A86D-EAB050C73989}"/>
    <cellStyle name="Comma 2 3 2" xfId="81" xr:uid="{573F3E96-F76A-4464-A0B6-689DC319793E}"/>
    <cellStyle name="Comma 2 4" xfId="82" xr:uid="{6FA9288D-9DD2-4D26-968F-17367744A26F}"/>
    <cellStyle name="Comma 2 5" xfId="534" xr:uid="{C34387CE-B2FE-4752-972A-485F1D5BEB07}"/>
    <cellStyle name="Comma 2 6" xfId="74" xr:uid="{37752BF6-138D-4F32-AE7A-56886ED82FB9}"/>
    <cellStyle name="Comma 2_CHF Armenia SSIP Budget 08 22 2009 Final Internal" xfId="83" xr:uid="{8D269D11-24E7-4231-B173-6FA4EC64FAD7}"/>
    <cellStyle name="Comma 3" xfId="13" xr:uid="{E99ADC2E-6FA1-4B13-8417-DAE81CC08645}"/>
    <cellStyle name="Comma 3 2" xfId="21" xr:uid="{043D0E40-6BF3-4938-AB1D-2747C195DA41}"/>
    <cellStyle name="Comma 3 2 2" xfId="85" xr:uid="{865C2892-7682-45D0-9D1F-F0DCD24F9EE5}"/>
    <cellStyle name="Comma 3 3" xfId="86" xr:uid="{570577F0-618B-4FE0-B3DB-AB0AD72E0A47}"/>
    <cellStyle name="Comma 3 4" xfId="87" xr:uid="{00674095-C4B6-43A7-B9A0-49C89C77D05A}"/>
    <cellStyle name="Comma 3 5" xfId="84" xr:uid="{3D5178D3-77B7-48B8-BCFC-B34E86236A17}"/>
    <cellStyle name="Comma 4" xfId="88" xr:uid="{FE058E5E-9950-4A1E-A8A8-257E91E31AB3}"/>
    <cellStyle name="Comma 4 2" xfId="89" xr:uid="{B7862E9D-A3FF-42D9-B57A-29C1AFFC5130}"/>
    <cellStyle name="Comma 4 3" xfId="90" xr:uid="{996C77C2-C969-4004-B571-89830506C2B8}"/>
    <cellStyle name="Comma 4 4" xfId="91" xr:uid="{C111684C-DC25-4212-9635-5435D856D954}"/>
    <cellStyle name="Comma 5" xfId="92" xr:uid="{35A54642-F663-4DDD-BDF9-0E1AB028EFBF}"/>
    <cellStyle name="Comma 5 2" xfId="93" xr:uid="{C4AD457B-4DB2-497D-8F03-E3FBF89E22C1}"/>
    <cellStyle name="Comma 5 2 2" xfId="94" xr:uid="{3AC53544-2F47-457C-8EFD-09460E8057FD}"/>
    <cellStyle name="Comma 5 3" xfId="95" xr:uid="{3EE73371-A81B-40F9-825E-9A5649332302}"/>
    <cellStyle name="Comma 6" xfId="96" xr:uid="{DB9B2346-9430-4232-B22A-884E501639C7}"/>
    <cellStyle name="Comma 6 2" xfId="97" xr:uid="{2B824517-F3EB-44BF-876A-DCF48494D9E7}"/>
    <cellStyle name="Comma 6 2 2" xfId="98" xr:uid="{3952A081-4562-4A80-BF0B-FBAECABF2F80}"/>
    <cellStyle name="Comma 6 3" xfId="99" xr:uid="{7B88A6F1-FE24-4CB8-9A3B-671B3B5F53D7}"/>
    <cellStyle name="Comma 6 4" xfId="100" xr:uid="{39E594F9-048D-4FF2-B22C-773184470991}"/>
    <cellStyle name="Comma 7" xfId="101" xr:uid="{AA9838E8-92D2-4FF5-9CEC-2D8C697F8E7B}"/>
    <cellStyle name="Comma 7 2" xfId="102" xr:uid="{3401536D-9890-4447-810E-C8AF8B764278}"/>
    <cellStyle name="Comma 8" xfId="103" xr:uid="{EA97DE47-0844-49FF-9D24-A59AE0FE64BD}"/>
    <cellStyle name="Comma 8 2" xfId="104" xr:uid="{F4BF9D98-7D6B-4D03-9122-99AC228458CF}"/>
    <cellStyle name="Comma 9" xfId="105" xr:uid="{1EEEE7B7-7AED-4AF2-BAFD-4A48E812BC45}"/>
    <cellStyle name="Comma0" xfId="106" xr:uid="{9E383FE2-EE2A-460E-900D-F4BE7567D2C9}"/>
    <cellStyle name="Comma0 - Style2" xfId="107" xr:uid="{8D197A5A-DDD6-4703-AB5B-C2AC8219718B}"/>
    <cellStyle name="Comma0 - Style3" xfId="108" xr:uid="{EE5681A0-9EF4-4917-83B5-E8842772B94A}"/>
    <cellStyle name="Comma0 2" xfId="109" xr:uid="{F52E996A-752A-44A9-8726-F90EBCC8C1CC}"/>
    <cellStyle name="Comma0 3" xfId="110" xr:uid="{8A2E6D05-69FC-46F8-B465-9555F9E497F9}"/>
    <cellStyle name="Comma0 4" xfId="111" xr:uid="{45913047-46A3-48BC-A7CF-32C00304F472}"/>
    <cellStyle name="Comma0_Copy of S3R-0167pricing v3 Option B _ GMH" xfId="112" xr:uid="{B3EBA99A-3530-444B-AD54-1F258D234ABC}"/>
    <cellStyle name="Comma1 - Style1" xfId="113" xr:uid="{9A1B3000-1393-4EE7-9D5A-5E63590E4ED2}"/>
    <cellStyle name="Curren - Style1" xfId="114" xr:uid="{447DA44C-7C68-4763-9064-EB3802C6D134}"/>
    <cellStyle name="Curren - Style2" xfId="115" xr:uid="{FDEA0CBA-A2F2-4F3D-8114-33BAEC786E83}"/>
    <cellStyle name="Curren - Style3" xfId="116" xr:uid="{FBECE138-AF52-40FD-B794-7590AD058FE7}"/>
    <cellStyle name="Curren - Style4" xfId="117" xr:uid="{3169E07A-4E11-4A05-A442-26334ACA60D2}"/>
    <cellStyle name="Curren - Style5" xfId="118" xr:uid="{ED9A359C-5F37-44C1-960C-74549F5ABE5C}"/>
    <cellStyle name="Currency" xfId="1" builtinId="4"/>
    <cellStyle name="Currency 10" xfId="120" xr:uid="{B30364A6-5B8E-4CDC-B19F-73942E57D315}"/>
    <cellStyle name="Currency 11" xfId="119" xr:uid="{7C98DF63-4D1F-40EA-9D65-89353AB42DB6}"/>
    <cellStyle name="Currency 2" xfId="8" xr:uid="{00000000-0005-0000-0000-000003000000}"/>
    <cellStyle name="Currency 2 2" xfId="19" xr:uid="{0F7B2CC6-3B2A-410C-8F50-0B7CECA2AE05}"/>
    <cellStyle name="Currency 2 2 2" xfId="123" xr:uid="{F7D85BED-F486-4A98-906D-86208C453CC9}"/>
    <cellStyle name="Currency 2 2 3" xfId="122" xr:uid="{95A461C4-043B-4579-B646-C6C5B3905F81}"/>
    <cellStyle name="Currency 2 3" xfId="124" xr:uid="{0BE51789-6B73-4FBC-973B-0ACEBC9260DB}"/>
    <cellStyle name="Currency 2 4" xfId="121" xr:uid="{A92F7748-DBE9-4BA2-8601-77E35134F4B7}"/>
    <cellStyle name="Currency 22" xfId="125" xr:uid="{71A508AE-364C-49BC-A296-5DB0858A4AC4}"/>
    <cellStyle name="Currency 3" xfId="10" xr:uid="{2B1F91B3-1D40-4C31-BE3E-C69FD655EC44}"/>
    <cellStyle name="Currency 3 2" xfId="127" xr:uid="{57FB8926-9530-4B99-A44C-A2FDCC079C8C}"/>
    <cellStyle name="Currency 3 3" xfId="126" xr:uid="{79FFAC07-921D-457B-8EE0-920D4E52FC42}"/>
    <cellStyle name="Currency 4" xfId="128" xr:uid="{EC7F2DE6-237A-4DCB-B36B-7C1C5B7FF69B}"/>
    <cellStyle name="Currency 4 2" xfId="129" xr:uid="{6EC80E9A-F8F3-4076-A8DD-8ADF8AFE911A}"/>
    <cellStyle name="Currency 4 2 2" xfId="130" xr:uid="{DBCDD5E9-021D-4C83-99CA-3373EBE6BAE1}"/>
    <cellStyle name="Currency 4 3" xfId="131" xr:uid="{88D2A562-4325-4226-8C6F-67AA62E22351}"/>
    <cellStyle name="Currency 5" xfId="132" xr:uid="{4FDD7313-AEF0-4912-A931-7BC4CDD5EF00}"/>
    <cellStyle name="Currency 5 2" xfId="133" xr:uid="{B48A7094-ADA1-4517-8DDE-2073159B85D8}"/>
    <cellStyle name="Currency 5 3" xfId="134" xr:uid="{AD18A700-404B-4309-92B0-F44D11ABC1FA}"/>
    <cellStyle name="Currency 5 4" xfId="135" xr:uid="{82930717-EFC2-4FDB-9ED0-04A60E9A57AA}"/>
    <cellStyle name="Currency 6" xfId="136" xr:uid="{ECF9B1F8-FAD9-4943-B2FB-111DC0E1F088}"/>
    <cellStyle name="Currency 6 2" xfId="137" xr:uid="{4176A164-DE77-420C-A2CF-2D677BD3F7BA}"/>
    <cellStyle name="Currency 7" xfId="138" xr:uid="{9A45270D-628D-46B1-AB20-FFB576F59716}"/>
    <cellStyle name="Currency 8" xfId="139" xr:uid="{7E82AA40-3158-45A8-9C35-FE195FAA5CCC}"/>
    <cellStyle name="Currency 9" xfId="140" xr:uid="{DBD14209-BA86-428A-B775-44AC1F83E5AC}"/>
    <cellStyle name="Currency0" xfId="141" xr:uid="{1D5F85E7-CF40-4F52-B760-0C5A968B4CB3}"/>
    <cellStyle name="Date" xfId="142" xr:uid="{60E1EBA4-84EE-4962-84C0-34CB2108F112}"/>
    <cellStyle name="Date 2" xfId="143" xr:uid="{5FAD71A4-06DA-4934-A39D-5DCC3D035A70}"/>
    <cellStyle name="DateTime" xfId="144" xr:uid="{592602BD-1816-4753-85EA-5B2AC5DD5923}"/>
    <cellStyle name="Desc" xfId="145" xr:uid="{3816EBF9-3CD2-4679-973C-CFFA0F2B67AF}"/>
    <cellStyle name="dollar" xfId="146" xr:uid="{53B0F9F6-2B20-4CC7-B37F-65055E71B99F}"/>
    <cellStyle name="Euro" xfId="147" xr:uid="{6CB5F22F-1697-4CB3-985F-8B32476DBAD2}"/>
    <cellStyle name="Explanatory Text 2" xfId="148" xr:uid="{781A7B65-8A5A-4620-9844-6B03E39D1589}"/>
    <cellStyle name="F2" xfId="149" xr:uid="{DD7E3547-0FF3-425C-9064-D2AB83EB662B}"/>
    <cellStyle name="F3" xfId="150" xr:uid="{F3BE6E7D-EDA7-4D93-B2A4-67C9D924594B}"/>
    <cellStyle name="F4" xfId="151" xr:uid="{604F78D1-1CAA-4A4A-9377-E08535194BF6}"/>
    <cellStyle name="F5" xfId="152" xr:uid="{77DD01B0-389B-4EAB-A541-6A2D74878024}"/>
    <cellStyle name="F6" xfId="153" xr:uid="{6EB6BCD5-5B83-44ED-B948-8E4DAF810A69}"/>
    <cellStyle name="F7" xfId="154" xr:uid="{C1A4080B-92BA-4093-B10D-A6B8F6139013}"/>
    <cellStyle name="F8" xfId="155" xr:uid="{13672C6F-34A4-4A7A-8054-CB1F80EF7387}"/>
    <cellStyle name="Fixed" xfId="156" xr:uid="{46DB064D-EED6-49FA-88A7-CBFABCD8F5DF}"/>
    <cellStyle name="Fixed 2" xfId="157" xr:uid="{3F73D96E-28C6-4C40-9F35-498089F412B5}"/>
    <cellStyle name="FRxAmtStyle" xfId="158" xr:uid="{7B71C460-13EE-4B50-96C6-14D7827EEFF9}"/>
    <cellStyle name="FRxCurrStyle" xfId="159" xr:uid="{264F645B-AC57-47F2-B5E0-0B0E9A26A179}"/>
    <cellStyle name="FRxPcntStyle" xfId="160" xr:uid="{26D34400-0E3F-4B04-9A87-7FAEE27A0621}"/>
    <cellStyle name="Good 2" xfId="161" xr:uid="{2DC48531-0970-4CA7-9099-C82DC6B060EF}"/>
    <cellStyle name="Good 3" xfId="162" xr:uid="{81F74123-2301-4945-8DAF-1DF1EEC4EC6B}"/>
    <cellStyle name="Good 4" xfId="163" xr:uid="{3C2F9BAD-8F01-436B-AF88-CBFB36BE569B}"/>
    <cellStyle name="Green cell" xfId="164" xr:uid="{249F6298-1A25-4065-A1C7-AD178F6998BA}"/>
    <cellStyle name="Green cell 2" xfId="165" xr:uid="{0B93611B-762B-4C09-9351-48E96D9CA592}"/>
    <cellStyle name="Green cell 2 2" xfId="166" xr:uid="{A47B6AA6-7C32-4985-9A72-360E010EFD64}"/>
    <cellStyle name="Green cell 2 2 2" xfId="167" xr:uid="{FE303CEE-8072-4E2F-9A5D-BA9EDE15E650}"/>
    <cellStyle name="Green cell 2 3" xfId="168" xr:uid="{EDC86CF8-62BD-4299-8D12-B86F7A93CD92}"/>
    <cellStyle name="Green cell 3" xfId="169" xr:uid="{4A91E82A-7A46-4855-BBE7-B385E8970E54}"/>
    <cellStyle name="Green cell 3 2" xfId="170" xr:uid="{0F0D2A3D-A7E5-481A-9D8B-B8198F64F560}"/>
    <cellStyle name="Green cell 3 2 2" xfId="171" xr:uid="{8DF9974B-FE23-4666-B688-05D7EF0F176C}"/>
    <cellStyle name="Green cell 3 3" xfId="172" xr:uid="{A337CBAB-0023-4C5A-96CB-214D416FCBCF}"/>
    <cellStyle name="Green cell 4" xfId="173" xr:uid="{5F094BAD-AEDE-40D1-B841-2CECE0B33AA9}"/>
    <cellStyle name="Green cell 4 2" xfId="174" xr:uid="{6840EBED-B8FC-4894-824D-B9D7A70B48B1}"/>
    <cellStyle name="Green cell 4 2 2" xfId="175" xr:uid="{6DE6E06E-D1C0-4C31-A835-FB614F09114B}"/>
    <cellStyle name="Green cell 4 3" xfId="176" xr:uid="{463DF18E-BDF2-40EA-8A62-A1B44342F0FB}"/>
    <cellStyle name="Green cell 5" xfId="177" xr:uid="{D7A00028-33AD-4F1A-A23A-1EAD06F7FE90}"/>
    <cellStyle name="Green cell 5 2" xfId="178" xr:uid="{69A85590-BBC5-4A2D-A2F7-812D35AABA64}"/>
    <cellStyle name="Grey" xfId="179" xr:uid="{8D2534AD-84D8-4174-9EA0-5F8BED040340}"/>
    <cellStyle name="Header" xfId="180" xr:uid="{037EA787-70E6-4376-AAA4-0399E6AC7A43}"/>
    <cellStyle name="Header1" xfId="181" xr:uid="{EF1E1551-DFC4-4BCB-8BD2-37EDFA3F4989}"/>
    <cellStyle name="Header2" xfId="182" xr:uid="{6F8B06C5-226A-470F-B30A-6502D72E77B6}"/>
    <cellStyle name="Header2 2" xfId="183" xr:uid="{B8DF95FA-F806-48C4-81E7-A6CF26BF3307}"/>
    <cellStyle name="Header2 2 2" xfId="184" xr:uid="{13652FD4-18CC-4B0F-A191-96479BAFC1B0}"/>
    <cellStyle name="Header2 2 2 2" xfId="185" xr:uid="{35D2F46B-B919-4A87-8A62-8B6EE22B7304}"/>
    <cellStyle name="Header2 2 3" xfId="186" xr:uid="{34B5E778-A10A-4F2B-97C8-C6FC3CB650E3}"/>
    <cellStyle name="Header2 3" xfId="187" xr:uid="{B7504579-9DBA-4DA7-85A4-46F15AAA9E81}"/>
    <cellStyle name="Header2 3 2" xfId="188" xr:uid="{E6242087-791C-4AEF-B0A2-D7A9008A0AC5}"/>
    <cellStyle name="Header2 3 2 2" xfId="189" xr:uid="{4611259D-92E9-420D-AAD7-21AB558FD9BF}"/>
    <cellStyle name="Header2 3 3" xfId="190" xr:uid="{52076574-CC7C-4312-9B0E-A986BD799FF2}"/>
    <cellStyle name="Header2 4" xfId="191" xr:uid="{93EF8173-FE79-40D0-9AB3-816473702849}"/>
    <cellStyle name="Header2 4 2" xfId="192" xr:uid="{6B51C8EF-A6B9-408D-8A73-6EAAFA47701B}"/>
    <cellStyle name="Heading 1 2" xfId="193" xr:uid="{321D67A6-A344-4C99-AFCC-713F0694F0CE}"/>
    <cellStyle name="Heading 2 2" xfId="194" xr:uid="{CC36956A-F903-4EA2-83B0-03F2C859AB8C}"/>
    <cellStyle name="Heading 3 2" xfId="195" xr:uid="{D4F779F0-EDD4-493F-896D-4973568CB596}"/>
    <cellStyle name="Heading 4 2" xfId="196" xr:uid="{7110BD16-0B81-472A-A7E6-60CCDC2D124D}"/>
    <cellStyle name="HEADING1" xfId="197" xr:uid="{8B78718E-18B5-4156-ABC0-A1F1ADA3A53D}"/>
    <cellStyle name="HEADING2" xfId="198" xr:uid="{2731E926-A76F-48E0-BA47-B2DE6039B7A2}"/>
    <cellStyle name="Hyperlink 2" xfId="199" xr:uid="{7664C161-3009-4629-A3AE-6C9B0CC28463}"/>
    <cellStyle name="Hyperlink 2 2" xfId="200" xr:uid="{F341EF1C-200A-4DA3-B6DC-6FA06DEEBF16}"/>
    <cellStyle name="Hyperlink 2 3" xfId="201" xr:uid="{DCB2C3F7-4D5F-4BEC-A213-E881E3AABB0C}"/>
    <cellStyle name="Hyperlink 3" xfId="202" xr:uid="{58A0104B-27F3-418A-B8DC-4507BDD73BFE}"/>
    <cellStyle name="Hyperlink 3 2" xfId="203" xr:uid="{E56D2DFF-4D6B-4122-B5FB-EC25637F3250}"/>
    <cellStyle name="Hyperlink 3 3" xfId="204" xr:uid="{BCC43B27-5109-4525-8AD1-6CDCE34FEB66}"/>
    <cellStyle name="Hyperlink 3 4" xfId="205" xr:uid="{D3C14928-AF58-440C-B6EB-6FE7BCEC2579}"/>
    <cellStyle name="Hyperlink 3 5" xfId="206" xr:uid="{AE52919B-2F85-41F7-AF73-4F94380B1B27}"/>
    <cellStyle name="Hyperlink 4" xfId="207" xr:uid="{9D011BD0-F74C-44C9-843A-064C632205A4}"/>
    <cellStyle name="Hyperlink 5" xfId="208" xr:uid="{E163D627-388B-4E20-9602-5F286B671964}"/>
    <cellStyle name="Input [yellow]" xfId="209" xr:uid="{5BE56A87-DC17-4168-843A-9C4147DD3EBC}"/>
    <cellStyle name="Input [yellow] 2" xfId="210" xr:uid="{E43A1AB9-E720-4FE3-841A-CA1938AC7D8E}"/>
    <cellStyle name="Input [yellow] 2 2" xfId="211" xr:uid="{4B5C68D7-727E-4B3C-B450-876F96CB6215}"/>
    <cellStyle name="Input [yellow] 2 2 2" xfId="212" xr:uid="{219BF430-2159-498A-9E21-A023AB737427}"/>
    <cellStyle name="Input [yellow] 2 3" xfId="213" xr:uid="{C6FE1DB6-4F2D-43C3-92B2-F6B9BC957FEC}"/>
    <cellStyle name="Input [yellow] 3" xfId="214" xr:uid="{7EAC67DF-4AE8-4BDE-8ACE-0D69EE28DE71}"/>
    <cellStyle name="Input [yellow] 3 2" xfId="215" xr:uid="{7BEF4E99-C9FE-4389-BE8B-B852FBED4080}"/>
    <cellStyle name="Input [yellow] 3 2 2" xfId="216" xr:uid="{875552ED-3944-4115-A738-75EE48BA0EC1}"/>
    <cellStyle name="Input [yellow] 3 3" xfId="217" xr:uid="{FCD9AB55-3F46-4236-97ED-8786956FCDC3}"/>
    <cellStyle name="Input [yellow] 4" xfId="218" xr:uid="{F72C937F-7550-4BCB-8A57-3E79F6A2C128}"/>
    <cellStyle name="Input [yellow] 4 2" xfId="219" xr:uid="{F9A83C0F-407B-429E-8DCB-DEDA39E73186}"/>
    <cellStyle name="Input [yellow] 4 2 2" xfId="220" xr:uid="{96006682-7B7E-4E7E-8B6D-AC91B10AE89E}"/>
    <cellStyle name="Input [yellow] 4 3" xfId="221" xr:uid="{8AB8FE03-0526-4A61-B45C-B433D88485D2}"/>
    <cellStyle name="Input [yellow] 5" xfId="222" xr:uid="{4F78306D-92EF-4CAE-8786-BD1B3F3941BD}"/>
    <cellStyle name="Input [yellow] 5 2" xfId="223" xr:uid="{D06CABA6-4B9E-4521-B78E-8364CAB8A166}"/>
    <cellStyle name="Input 2" xfId="224" xr:uid="{5DC68CF6-6D94-4BE9-B620-70303707C959}"/>
    <cellStyle name="Jim" xfId="225" xr:uid="{F3A5CD7E-64E8-43E3-AA3B-23A98FDE3657}"/>
    <cellStyle name="Jim 2" xfId="226" xr:uid="{35F0DED6-E254-4777-87C7-0F17C2B1B647}"/>
    <cellStyle name="Jim 2 2" xfId="227" xr:uid="{836B997A-F24C-4B5B-AC12-63F9EA4B2086}"/>
    <cellStyle name="Jim 2 2 2" xfId="228" xr:uid="{6374D762-9EA3-454F-BE1A-C4E1F7B150BC}"/>
    <cellStyle name="Jim 2 3" xfId="229" xr:uid="{7E887625-36F0-46AB-B923-78F5BD36B2D2}"/>
    <cellStyle name="Jim 3" xfId="230" xr:uid="{59177C76-EF91-4A93-A2D6-2BF344517D81}"/>
    <cellStyle name="Jim 3 2" xfId="231" xr:uid="{80E567A5-0A23-4318-AD27-690A5EA1106E}"/>
    <cellStyle name="Jim 3 2 2" xfId="232" xr:uid="{53935D0C-70B9-4DE4-9FC3-9504A19FCA6D}"/>
    <cellStyle name="Jim 3 3" xfId="233" xr:uid="{03F75284-BF18-47F0-A9CC-E8E0927BFA1E}"/>
    <cellStyle name="Jim 4" xfId="234" xr:uid="{0CE725A3-3C3F-430B-9B3F-CD1BF78196E6}"/>
    <cellStyle name="Jim 4 2" xfId="235" xr:uid="{69CC4FDB-EBD8-4D13-99C0-697F3C825E3F}"/>
    <cellStyle name="Jim 4 2 2" xfId="236" xr:uid="{5F0B7A58-890D-4EE6-AD92-5E8F0C7621E9}"/>
    <cellStyle name="Jim 4 3" xfId="237" xr:uid="{D589F52A-AAD1-410D-ACED-6CEC556DCAE4}"/>
    <cellStyle name="Jim 5" xfId="238" xr:uid="{AC61AAC2-EDCD-4AE9-BD18-E9E135EA7920}"/>
    <cellStyle name="Jim 5 2" xfId="239" xr:uid="{4EE1AA1E-0203-4A80-BCA3-6C1E92807E72}"/>
    <cellStyle name="Linked Cell 2" xfId="240" xr:uid="{D1CE3C98-4FE1-41F9-BC14-8A63814E0F53}"/>
    <cellStyle name="Linked Cell 3" xfId="241" xr:uid="{F0D464F6-C593-4521-BB81-A83CEBAF5C61}"/>
    <cellStyle name="Locked" xfId="242" xr:uid="{C6524C09-B31B-4B3D-96CF-48946B773F37}"/>
    <cellStyle name="m/d/y" xfId="243" xr:uid="{0B579003-CD65-4526-8C46-A811511457D4}"/>
    <cellStyle name="mm/dd/yy" xfId="244" xr:uid="{B2B6F316-5990-479E-B3E8-26179D461D03}"/>
    <cellStyle name="Moneda 3" xfId="16" xr:uid="{0EDACBD5-8538-4CA1-A5C5-47211E396CC1}"/>
    <cellStyle name="N,NNN (blank 0)" xfId="245" xr:uid="{450138B9-D752-42B7-9650-1D6413BE9C0A}"/>
    <cellStyle name="Neutral 2" xfId="246" xr:uid="{4E71EA85-06FD-4762-80E8-3EA91D7B72BD}"/>
    <cellStyle name="Neutral 3" xfId="247" xr:uid="{E9FEF685-C587-426D-92A9-35F276E148E3}"/>
    <cellStyle name="Normal" xfId="0" builtinId="0"/>
    <cellStyle name="Normal - Style1" xfId="248" xr:uid="{E31AADB2-BBED-40FE-967E-033DDE488EDF}"/>
    <cellStyle name="Normal 10" xfId="249" xr:uid="{E0A4EFC3-4066-407F-8E6E-484D7CBE0371}"/>
    <cellStyle name="Normal 10 2" xfId="250" xr:uid="{CFC23335-EDBE-4B09-BC5B-BDC3E57D249D}"/>
    <cellStyle name="Normal 10 2 2" xfId="251" xr:uid="{CE8C91F3-D097-4966-90F9-8EA59943680A}"/>
    <cellStyle name="Normal 10 8" xfId="252" xr:uid="{48048813-5C22-4CCD-BDC3-85759A6EFB52}"/>
    <cellStyle name="Normal 11" xfId="253" xr:uid="{F51FCBE4-0D54-45AF-9E69-7C8636FB1BC1}"/>
    <cellStyle name="Normal 12" xfId="254" xr:uid="{3AF4473A-D0B4-4C4C-97AF-47B2BBE01A4B}"/>
    <cellStyle name="Normal 13" xfId="255" xr:uid="{6AC88467-6325-453D-89F1-22E3C2797827}"/>
    <cellStyle name="Normal 14" xfId="256" xr:uid="{4126CCD0-65D5-4341-8E92-405FBB85A4E5}"/>
    <cellStyle name="Normal 15" xfId="257" xr:uid="{170C11B9-1466-4661-94D8-65CDCF659571}"/>
    <cellStyle name="Normal 16" xfId="258" xr:uid="{3DA65ED5-7557-4A88-AD38-AAC66E89527B}"/>
    <cellStyle name="Normal 17" xfId="259" xr:uid="{03A75B23-A247-4F14-91ED-89C2EB66DB17}"/>
    <cellStyle name="Normal 18" xfId="260" xr:uid="{95C79DF2-D40E-4811-BD80-968ADFB7106A}"/>
    <cellStyle name="Normal 19" xfId="261" xr:uid="{C0D980C8-828B-4C39-943D-F0A0A7260137}"/>
    <cellStyle name="Normal 2" xfId="3" xr:uid="{00000000-0005-0000-0000-000005000000}"/>
    <cellStyle name="Normal 2 10" xfId="262" xr:uid="{3F803D53-9259-4F60-803B-8F63AFE8DEA0}"/>
    <cellStyle name="Normal 2 11" xfId="263" xr:uid="{8D795E7F-FEE3-42D9-8390-6DF4891887EF}"/>
    <cellStyle name="Normal 2 12" xfId="264" xr:uid="{67FF4DCA-470B-49D6-AD49-D11974AA665C}"/>
    <cellStyle name="Normal 2 13" xfId="265" xr:uid="{A3F8B1DA-C8B9-4C82-B4A9-976CDCC00A14}"/>
    <cellStyle name="Normal 2 14" xfId="266" xr:uid="{7C10D57C-97F9-4188-9C72-B9209FAEEEF2}"/>
    <cellStyle name="Normal 2 15" xfId="267" xr:uid="{B4F5A1CA-31F1-4C4B-A55B-0A5E8E646531}"/>
    <cellStyle name="Normal 2 16" xfId="268" xr:uid="{A85DB25F-5959-496D-AD11-5967AC8E4246}"/>
    <cellStyle name="Normal 2 17" xfId="269" xr:uid="{F8251F41-948B-44C1-A9DC-3CDBB29B3C48}"/>
    <cellStyle name="Normal 2 18" xfId="270" xr:uid="{A891B6BC-A2BF-4F46-88C1-80EBA32E3B32}"/>
    <cellStyle name="Normal 2 19" xfId="271" xr:uid="{3EA72D44-9A9E-40D9-B89E-C4E0F609AAAF}"/>
    <cellStyle name="Normal 2 2" xfId="7" xr:uid="{00000000-0005-0000-0000-000006000000}"/>
    <cellStyle name="Normal 2 2 2" xfId="18" xr:uid="{EF3E748F-867A-497B-AD77-843D45E73587}"/>
    <cellStyle name="Normal 2 2 2 2" xfId="273" xr:uid="{29BC950A-6BCB-4F2F-85BA-50545586EA49}"/>
    <cellStyle name="Normal 2 2 3" xfId="274" xr:uid="{8A9080EF-67DA-439A-9BB1-75EBB306DCD0}"/>
    <cellStyle name="Normal 2 2 4" xfId="275" xr:uid="{E697974B-2DEC-4EF2-AA98-19E61DCA7988}"/>
    <cellStyle name="Normal 2 2 5" xfId="272" xr:uid="{FB3A6590-D526-4942-B264-F7EE1D5B619A}"/>
    <cellStyle name="Normal 2 20" xfId="276" xr:uid="{C87D7A60-33DE-402A-A299-DB6F3B559AA7}"/>
    <cellStyle name="Normal 2 21" xfId="277" xr:uid="{3ED4492E-A542-49CA-9FDA-DA567235E5E7}"/>
    <cellStyle name="Normal 2 22" xfId="278" xr:uid="{836EF9EA-89A8-4F51-B9E2-74D95CA27887}"/>
    <cellStyle name="Normal 2 3" xfId="279" xr:uid="{5BE62410-B476-4EE2-AB3C-CDE86AD41C5C}"/>
    <cellStyle name="Normal 2 3 2" xfId="280" xr:uid="{119769CC-B883-4076-B8DC-32D473426F4F}"/>
    <cellStyle name="Normal 2 4" xfId="281" xr:uid="{442F6042-FA35-46E0-B6A8-4089A25C918D}"/>
    <cellStyle name="Normal 2 5" xfId="282" xr:uid="{BA4F95DA-C962-4370-B0E7-B5B9C5536A2C}"/>
    <cellStyle name="Normal 2 6" xfId="283" xr:uid="{1634A3BE-568C-41DF-8EFE-0965CFECBC1F}"/>
    <cellStyle name="Normal 2 7" xfId="284" xr:uid="{87670D5E-D19B-442C-8372-4F0E671E9679}"/>
    <cellStyle name="Normal 2 8" xfId="285" xr:uid="{ED758E81-116D-4CBA-9EB6-FF7A37F3FBAC}"/>
    <cellStyle name="Normal 2 9" xfId="286" xr:uid="{BABC5480-64A3-488D-844F-3BE01D1E333F}"/>
    <cellStyle name="Normal 2_ARD CEP 2 Budget Final" xfId="287" xr:uid="{6AC4888F-1A75-4C1B-A6A4-24FA507C4912}"/>
    <cellStyle name="Normal 20" xfId="288" xr:uid="{6194F9F3-61C6-4089-A74E-6B9796A9DD95}"/>
    <cellStyle name="Normal 21" xfId="289" xr:uid="{A3A58A8B-C261-4B17-83C5-8B436B3AD924}"/>
    <cellStyle name="Normal 22" xfId="290" xr:uid="{0A226681-B738-4EE1-B12B-6647CFEB04C9}"/>
    <cellStyle name="Normal 23" xfId="291" xr:uid="{94571F90-A640-4ECC-A945-5E544DE4C038}"/>
    <cellStyle name="Normal 24" xfId="292" xr:uid="{F87A4F85-FE30-4CA0-B083-D6F81F4F7EDF}"/>
    <cellStyle name="Normal 25" xfId="293" xr:uid="{D1B76A82-9FB9-4A25-AE11-373AA85E3D4E}"/>
    <cellStyle name="Normal 26" xfId="294" xr:uid="{623704A6-5078-4924-B0DE-D4036C64091C}"/>
    <cellStyle name="Normal 27" xfId="295" xr:uid="{C0BAD53C-BFEF-4D2A-A17D-F3AD869A1607}"/>
    <cellStyle name="Normal 28" xfId="296" xr:uid="{9A037F05-9BFC-4093-BC65-08FFF244D47B}"/>
    <cellStyle name="Normal 29" xfId="297" xr:uid="{596ACB42-770A-48E6-A453-20ADD6A3C98E}"/>
    <cellStyle name="Normal 3" xfId="4" xr:uid="{00000000-0005-0000-0000-000007000000}"/>
    <cellStyle name="Normal 3 2" xfId="14" xr:uid="{A7632AEC-1A21-4FA3-9D04-FB464FFDE781}"/>
    <cellStyle name="Normal 3 2 2" xfId="299" xr:uid="{7DA8D547-91D0-452A-9E28-D72D7CF52F6F}"/>
    <cellStyle name="Normal 3 2 2 2" xfId="300" xr:uid="{5AFC0847-5440-4693-A962-67CAAD630574}"/>
    <cellStyle name="Normal 3 2 2 3" xfId="301" xr:uid="{987E12E9-4B89-4ECA-86FE-D0CA98DFD491}"/>
    <cellStyle name="Normal 3 2 3" xfId="302" xr:uid="{FC6006DB-14D0-495E-BF91-958121C159FC}"/>
    <cellStyle name="Normal 3 2 3 2" xfId="303" xr:uid="{E912A1BC-F10B-44AB-9F45-6E70DEE80376}"/>
    <cellStyle name="Normal 3 2 4" xfId="298" xr:uid="{9AF72092-A802-4969-BB17-3493C7085875}"/>
    <cellStyle name="Normal 3 3" xfId="304" xr:uid="{8CB343DF-8A13-4C58-A80E-DDF43BD2BAE3}"/>
    <cellStyle name="Normal 3 4" xfId="305" xr:uid="{72238A6C-E30F-46B7-9C93-EA5343B21C6B}"/>
    <cellStyle name="Normal 3_CHF-GEII Schools Rehab &amp; WatSan Combined Budget 9 7 2009 FINAL" xfId="306" xr:uid="{CCC94968-E86D-4ECE-B9A6-6EFF7066AF11}"/>
    <cellStyle name="Normal 30" xfId="307" xr:uid="{834A51A1-6CFD-4170-AC79-01D7C44CE300}"/>
    <cellStyle name="Normal 31" xfId="308" xr:uid="{D977ACD1-B5C8-40B5-9ACA-5A9698E50832}"/>
    <cellStyle name="Normal 32" xfId="309" xr:uid="{2E2C439A-3FB7-4FF0-97F7-D78E3C2DD140}"/>
    <cellStyle name="Normal 33" xfId="310" xr:uid="{EA74E623-8C2C-4782-A9F3-0A66A36956AF}"/>
    <cellStyle name="Normal 34" xfId="311" xr:uid="{AEED2B97-847D-473B-80B3-AEFFB01B3D9F}"/>
    <cellStyle name="Normal 35" xfId="312" xr:uid="{3C322F9A-B0AB-4511-93D7-59D2FFE4DBBA}"/>
    <cellStyle name="Normal 36" xfId="313" xr:uid="{4858CE08-A5B4-42AA-9208-C9426560FD0A}"/>
    <cellStyle name="Normal 37" xfId="314" xr:uid="{FA065F02-71D8-4046-8117-877DD4965C38}"/>
    <cellStyle name="Normal 38" xfId="533" xr:uid="{08740A18-22F8-4AE3-8965-6FCFBCB5612D}"/>
    <cellStyle name="Normal 39" xfId="535" xr:uid="{765B9452-CEA8-4BD4-AC25-51586E83F3CD}"/>
    <cellStyle name="Normal 39 2" xfId="536" xr:uid="{2922E5AF-AEE8-435B-A4A3-9B5B41F9D694}"/>
    <cellStyle name="Normal 39 3" xfId="538" xr:uid="{31E06396-3E26-4D40-ADD6-BAFE70776719}"/>
    <cellStyle name="Normal 4" xfId="5" xr:uid="{00000000-0005-0000-0000-000008000000}"/>
    <cellStyle name="Normal 4 2" xfId="17" xr:uid="{3C77F5F1-B118-48C2-BB37-C6874558E7C5}"/>
    <cellStyle name="Normal 4 2 2" xfId="316" xr:uid="{C7AD66DA-7EF7-4799-B971-1A0DAD2DED43}"/>
    <cellStyle name="Normal 4 3" xfId="315" xr:uid="{97139F7A-800D-4BC8-A3A3-90D8264665FB}"/>
    <cellStyle name="Normal 40" xfId="537" xr:uid="{413DF557-E571-4D05-85F2-780B03432800}"/>
    <cellStyle name="Normal 42" xfId="539" xr:uid="{4B1A3D2A-F2F2-4CFB-ACA4-508F00AD8F01}"/>
    <cellStyle name="Normal 44" xfId="317" xr:uid="{B7779E6E-39F1-4DDE-AFE2-7D7895651A06}"/>
    <cellStyle name="Normal 5" xfId="9" xr:uid="{696106F2-B9F1-4F15-81A3-E3443F17835A}"/>
    <cellStyle name="Normal 5 2" xfId="20" xr:uid="{C56665C7-BAA1-418A-9B73-F589F2677328}"/>
    <cellStyle name="Normal 5 2 2" xfId="320" xr:uid="{E01A41C2-905E-480F-9695-7B7FEAD60D92}"/>
    <cellStyle name="Normal 5 2 3" xfId="321" xr:uid="{A04457F4-2A3E-41D1-A7DC-8C98BA0C1C25}"/>
    <cellStyle name="Normal 5 2 4" xfId="319" xr:uid="{08D30804-409E-497B-8D1D-8D0EF534984F}"/>
    <cellStyle name="Normal 5 3" xfId="318" xr:uid="{EA6EF627-2993-4E19-80BC-2DCA415EEA11}"/>
    <cellStyle name="Normal 5_12 04 20 Iraq Budget_ICNL BACKUP" xfId="322" xr:uid="{BB66699E-5CF2-4C48-BC38-20003ABA5197}"/>
    <cellStyle name="Normal 6" xfId="323" xr:uid="{4183E4AC-99FC-4A99-AC6C-A83FA4FA7C60}"/>
    <cellStyle name="Normal 6 2" xfId="324" xr:uid="{0B3A8B91-A4BC-401B-B839-49DCA5D3C1D2}"/>
    <cellStyle name="Normal 6 2 2" xfId="325" xr:uid="{B969EA37-4306-491B-A97C-878CEC7CF3D5}"/>
    <cellStyle name="Normal 7" xfId="326" xr:uid="{E4DF1082-944D-4864-A1FE-D42357DF3BC5}"/>
    <cellStyle name="Normal 7 2" xfId="327" xr:uid="{7BEA3C5B-B639-43DB-8A53-08D4413AE6AE}"/>
    <cellStyle name="Normal 7 2 2" xfId="328" xr:uid="{D88DE62F-A237-4044-B3C8-70C3A1FB362B}"/>
    <cellStyle name="Normal 7 2 3" xfId="329" xr:uid="{FC53FE50-A5E8-4182-92D0-040A38DDDC4F}"/>
    <cellStyle name="Normal 7 2_12 04 20 Iraq Budget_ICNL BACKUP" xfId="330" xr:uid="{B5D03F0A-2302-4A0A-8047-D7293D38B674}"/>
    <cellStyle name="Normal 7 3" xfId="331" xr:uid="{830DA554-3B51-4415-AFD7-A22CB081E103}"/>
    <cellStyle name="Normal 7 3 2" xfId="332" xr:uid="{E7340B8C-896B-472B-BB6E-C81207798674}"/>
    <cellStyle name="Normal 7 3_12 04 20 Iraq Budget_ICNL BACKUP" xfId="333" xr:uid="{6C3EDA71-1513-47FF-AA70-651CB0F65416}"/>
    <cellStyle name="Normal 7 4" xfId="334" xr:uid="{1C10B9FC-01B7-4C40-91C5-282D9BBC7511}"/>
    <cellStyle name="Normal 7 5" xfId="335" xr:uid="{7311D98B-DB93-453F-B1D4-8FD6B7DA3122}"/>
    <cellStyle name="Normal 7 6" xfId="336" xr:uid="{30DEEFBD-60BE-4383-AEFC-3F00A64BA04F}"/>
    <cellStyle name="Normal 7_12 04 20 Iraq Budget_ICNL BACKUP" xfId="337" xr:uid="{21D0E26E-C8A5-4DB2-BF73-B67236736E2D}"/>
    <cellStyle name="Normal 8" xfId="338" xr:uid="{7222B3EF-AC4D-49D0-8728-1C85C3C9168A}"/>
    <cellStyle name="Normal 8 2" xfId="339" xr:uid="{86A588F5-1F7E-4DA3-B495-65B963458284}"/>
    <cellStyle name="Normal 8 3" xfId="340" xr:uid="{F3B8F4D7-862F-4AF8-87B1-F024EE8F3937}"/>
    <cellStyle name="Normal 8 4" xfId="341" xr:uid="{C21D0E20-6224-46B9-AD80-0469AA21FA15}"/>
    <cellStyle name="Normal 8 5" xfId="342" xr:uid="{D3FEE1F1-5354-4FE5-AF2E-CCC8C301AD68}"/>
    <cellStyle name="Normal 8 6" xfId="343" xr:uid="{76692F0C-4D9D-4F5A-8D39-8026F2FDF26C}"/>
    <cellStyle name="Normal 8_12 04 20 Iraq Budget_ICNL BACKUP" xfId="344" xr:uid="{16D32195-5E2A-43A3-800A-2615389CB1AE}"/>
    <cellStyle name="Normal 9" xfId="345" xr:uid="{E27A83D3-D50C-4B77-9620-5B3D8A411FDA}"/>
    <cellStyle name="Normal 9 2" xfId="346" xr:uid="{181E711E-8240-46F4-A82C-F790BE96C993}"/>
    <cellStyle name="Note 2" xfId="347" xr:uid="{7B2DCA8C-AF5D-4803-9024-30D2AFF0C277}"/>
    <cellStyle name="Number" xfId="348" xr:uid="{3CC14540-77B2-4F90-81A0-70E2FD7AFD83}"/>
    <cellStyle name="Number 2" xfId="349" xr:uid="{0F8491E8-8289-4773-8839-F28200F45637}"/>
    <cellStyle name="number 3" xfId="350" xr:uid="{9B48FFFC-6912-4905-A063-A8B1FF8AA430}"/>
    <cellStyle name="number 3 2" xfId="351" xr:uid="{D96D8458-A5EA-47A0-91AF-D54F369E7F29}"/>
    <cellStyle name="Option" xfId="352" xr:uid="{9E9FC341-81FA-4657-A11B-A401592B3D65}"/>
    <cellStyle name="Output 2" xfId="353" xr:uid="{04F1C00A-67D6-479E-A489-4FD8338CD23F}"/>
    <cellStyle name="Percen - Style1" xfId="354" xr:uid="{A8A01426-92B7-4615-8F0B-7864F1FAEBE3}"/>
    <cellStyle name="Percen - Style3" xfId="355" xr:uid="{7E2F94B4-C783-4919-912D-7D81B4F3D9C0}"/>
    <cellStyle name="Percent" xfId="2" builtinId="5"/>
    <cellStyle name="Percent [0]" xfId="356" xr:uid="{2A3ACC8C-E26D-4B1E-922B-6A1CCDFC6EC2}"/>
    <cellStyle name="Percent [2]" xfId="357" xr:uid="{ECFD0F98-6397-4B1F-BCB8-A83B37CFE84B}"/>
    <cellStyle name="Percent 11" xfId="541" xr:uid="{24EEE2ED-8E13-461C-9CFA-6560C9BF56A8}"/>
    <cellStyle name="Percent 2" xfId="11" xr:uid="{5DA92C78-84E0-4A77-96BF-0469385156F7}"/>
    <cellStyle name="Percent 2 2" xfId="359" xr:uid="{A4B28E88-3406-496B-87A0-62DB6468C80F}"/>
    <cellStyle name="Percent 2 2 2" xfId="360" xr:uid="{22994934-CC70-4E9F-9C23-9E5D6521B0A3}"/>
    <cellStyle name="Percent 2 2 3" xfId="361" xr:uid="{DA03074D-737B-43EE-ADC2-A835B4BDEB36}"/>
    <cellStyle name="Percent 2 2 4" xfId="362" xr:uid="{DE7DCEEE-2689-4C8C-92E8-4A620BF3ACFC}"/>
    <cellStyle name="Percent 2 3" xfId="363" xr:uid="{F9099A3D-50C5-4FF6-968F-671ADD803D62}"/>
    <cellStyle name="Percent 2 3 2" xfId="364" xr:uid="{05EC4C33-83E3-4BA7-8B71-08C53E666EED}"/>
    <cellStyle name="Percent 2 4" xfId="358" xr:uid="{093AC732-DBC8-444F-B6AC-CF98256D9099}"/>
    <cellStyle name="Percent 3" xfId="365" xr:uid="{CD600B13-27F9-4146-8D4A-D5F87ED31DCD}"/>
    <cellStyle name="Percent 3 2" xfId="366" xr:uid="{9A47C306-2C34-4964-9EAD-6735D30FA279}"/>
    <cellStyle name="Percent 34" xfId="12" xr:uid="{6B505889-CADA-4AFE-9B4E-B8BE429E708C}"/>
    <cellStyle name="Percent 4" xfId="367" xr:uid="{96745055-E6B6-4D50-A264-34DDF9D5D852}"/>
    <cellStyle name="Percent 4 2" xfId="368" xr:uid="{2E5C5422-43D9-4F0E-BD3F-A4AD4BF4D662}"/>
    <cellStyle name="Percent 4 2 2" xfId="369" xr:uid="{B7533F71-A7B4-454E-9C15-75A7917D4075}"/>
    <cellStyle name="Percent 4 3" xfId="370" xr:uid="{D821163A-DFA4-4028-910F-C47450304E52}"/>
    <cellStyle name="Percent 5" xfId="371" xr:uid="{7B0F1186-1F8F-468C-9C1B-CBD9FF489D9F}"/>
    <cellStyle name="Percent 5 2" xfId="372" xr:uid="{80F238FF-B4E0-48E1-9AAF-2F075E75CD6F}"/>
    <cellStyle name="Percent 5 2 2" xfId="373" xr:uid="{7C94B493-F019-4DA2-9B72-C6D486E55081}"/>
    <cellStyle name="Percent 5 3" xfId="374" xr:uid="{D2288F83-D8B9-4435-981A-79D60ADEF151}"/>
    <cellStyle name="Percent 6" xfId="375" xr:uid="{63471D7A-BBEC-4BC1-96CE-478A4D6D2DB2}"/>
    <cellStyle name="Percent 6 2" xfId="376" xr:uid="{29E7C016-A7A1-4289-814D-AB3F09A4AC89}"/>
    <cellStyle name="Percent 7" xfId="377" xr:uid="{A7BFC2D3-6A40-4B5F-8AD2-43E430D60076}"/>
    <cellStyle name="Percent 8" xfId="378" xr:uid="{0642747E-0225-43F1-B028-ABBC09A6C988}"/>
    <cellStyle name="Percent 9" xfId="379" xr:uid="{DCE9DA22-6B77-4B5F-8212-5280894136B4}"/>
    <cellStyle name="Period" xfId="380" xr:uid="{AB3F3AB0-0025-49FA-B58D-A383D1FCB264}"/>
    <cellStyle name="Porcentaje 2" xfId="15" xr:uid="{BF36A7A8-D247-4B4F-98E3-6640926739E5}"/>
    <cellStyle name="PROJ_NUM" xfId="381" xr:uid="{2E2F015E-81EA-475B-ACC9-EF167C6BAD99}"/>
    <cellStyle name="PSChar" xfId="382" xr:uid="{AA1A0CB1-4ED2-4B3B-99B5-CCE00A9118BD}"/>
    <cellStyle name="PSDate" xfId="383" xr:uid="{C16D6032-D38F-4101-98DB-509CA6F5FECF}"/>
    <cellStyle name="PSDec" xfId="384" xr:uid="{04463281-354F-4726-88F9-93427CDD7150}"/>
    <cellStyle name="PSHeading" xfId="385" xr:uid="{59B6A3C4-3645-40F9-A9EB-ED5EAACB929C}"/>
    <cellStyle name="PSInt" xfId="386" xr:uid="{5A59A669-6DA4-4942-9D8F-DF374C0BBD2B}"/>
    <cellStyle name="PSSpacer" xfId="387" xr:uid="{3A33FE0E-7F9B-4AE8-A806-E1F71061EF5A}"/>
    <cellStyle name="RAMEY" xfId="388" xr:uid="{870D42D1-19B8-48FC-870E-22A705F3BB83}"/>
    <cellStyle name="Ramey $k" xfId="389" xr:uid="{13B9D0DC-3F42-45CA-8E57-ABD738042FDC}"/>
    <cellStyle name="RAMEY_P&amp;O BKUP" xfId="390" xr:uid="{38CBFCC7-F383-47FD-8EE2-54BB561C29BB}"/>
    <cellStyle name="STYL1 - Style1" xfId="391" xr:uid="{1D9EF6CA-29B4-4F72-9893-873DC912705E}"/>
    <cellStyle name="Style 1" xfId="392" xr:uid="{E22C2193-0580-41A1-ACFA-7B6EABC9F319}"/>
    <cellStyle name="Style 21" xfId="393" xr:uid="{3D102205-DFBB-430B-B8C5-DC595FBB538A}"/>
    <cellStyle name="Style 22" xfId="394" xr:uid="{545D591C-6E44-4271-9543-966DE9AEB5F8}"/>
    <cellStyle name="Style 23" xfId="395" xr:uid="{98363FA1-316D-4E83-9088-8DA4D0BB0B15}"/>
    <cellStyle name="Style 24" xfId="396" xr:uid="{68BDEF84-16D2-49E9-81EF-E99DF198C712}"/>
    <cellStyle name="Style 25" xfId="397" xr:uid="{D6A51DE9-A4C0-4763-A0BB-19189DD381EC}"/>
    <cellStyle name="Style 26" xfId="398" xr:uid="{D0EFAFDE-EAE1-4C5B-9857-E488DBE70BDF}"/>
    <cellStyle name="Style 27" xfId="399" xr:uid="{D8FACBE8-D5EA-45DF-B0AC-F81F1916112C}"/>
    <cellStyle name="STYLE1" xfId="400" xr:uid="{B4818CDF-52B4-4322-85DD-423D8891B988}"/>
    <cellStyle name="STYLE1 2" xfId="401" xr:uid="{4A984264-FC4E-426B-9E33-BFF21A96D2ED}"/>
    <cellStyle name="STYLE1 3" xfId="402" xr:uid="{A398008D-FE0A-48CA-B515-47716DAB4381}"/>
    <cellStyle name="STYLE2" xfId="403" xr:uid="{0A65B9FF-9723-41F7-B814-2FC6C9F0A31F}"/>
    <cellStyle name="STYLE3" xfId="404" xr:uid="{CCBB1488-9146-4BB3-AC59-54B93389C7B2}"/>
    <cellStyle name="STYLE4" xfId="405" xr:uid="{9CC23026-9CE2-49FE-B417-E943E81C1161}"/>
    <cellStyle name="STYLE5" xfId="406" xr:uid="{A16130A0-9845-4E58-B8A7-17028F31A714}"/>
    <cellStyle name="þ_x0011_Í-&amp;ý&amp;‰ýG_x0008_Æ_x0009__x000a__x0007__x0001__x0001_" xfId="407" xr:uid="{8C870AC2-8FB0-4463-AA80-DD6E19770E57}"/>
    <cellStyle name="Thousands" xfId="408" xr:uid="{4EF1F7FD-5B4A-4E94-A396-DE8AEADF2F6C}"/>
    <cellStyle name="Title 2" xfId="409" xr:uid="{732FA2F2-5258-4E07-85D0-9121855F4B0B}"/>
    <cellStyle name="Total 2" xfId="410" xr:uid="{B77A3A7A-5EB3-449B-915C-59F8EF1772BC}"/>
    <cellStyle name="Unit" xfId="411" xr:uid="{A4CD14C3-78B4-43C5-8A90-B9231CC91BBB}"/>
    <cellStyle name="Unlocked" xfId="412" xr:uid="{19610F20-BA70-432B-B5C5-A5FE5467820F}"/>
    <cellStyle name="Warning Text 2" xfId="413" xr:uid="{208DF633-05DB-4D7F-BD6E-66196629DA09}"/>
    <cellStyle name="Обычный_Budget_final_25_02_02" xfId="414" xr:uid="{EADE676D-6513-4F6A-831E-6BA7E89338F7}"/>
    <cellStyle name="アクセント 1" xfId="415" xr:uid="{A232E5B4-5BF9-4ED8-B66F-3AE89A50DE6D}"/>
    <cellStyle name="アクセント 2" xfId="416" xr:uid="{6A359D39-B8A8-4F60-8E31-D2BF5F00AA4D}"/>
    <cellStyle name="アクセント 3" xfId="417" xr:uid="{A9E485D2-54C1-45FE-9ABF-E8CDDDB3B5CD}"/>
    <cellStyle name="アクセント 4" xfId="418" xr:uid="{F0E8643F-9972-4746-A62B-F2BAE498D8A2}"/>
    <cellStyle name="アクセント 5" xfId="419" xr:uid="{8D287BE0-F6B9-4DF3-88BA-B7146DDDAC01}"/>
    <cellStyle name="アクセント 6" xfId="420" xr:uid="{7EE35774-D467-4463-AD48-03AF530248DC}"/>
    <cellStyle name="タイトル" xfId="421" xr:uid="{4254EE19-0F64-4994-AFC5-14B6396204CA}"/>
    <cellStyle name="チェック セル" xfId="422" xr:uid="{3B7167A8-4A18-4128-8E5C-CFFCC6D1488D}"/>
    <cellStyle name="どちらでもない" xfId="423" xr:uid="{7B9D06A5-6083-4278-9813-6AC077FCE953}"/>
    <cellStyle name="メモ" xfId="424" xr:uid="{9964E288-686B-427A-A958-49CFFF36CCFE}"/>
    <cellStyle name="メモ 2" xfId="425" xr:uid="{21559D00-132F-45D9-A50C-0A0721D845B1}"/>
    <cellStyle name="メモ 2 2" xfId="426" xr:uid="{4A6CEBFB-C0A0-45A0-9A33-B1830C3F898B}"/>
    <cellStyle name="メモ 2 2 2" xfId="427" xr:uid="{869AA602-5378-4252-AF46-8D52556FBE58}"/>
    <cellStyle name="メモ 2 3" xfId="428" xr:uid="{A09F425E-3B95-4351-8DEB-B8C731D10DAB}"/>
    <cellStyle name="メモ 3" xfId="429" xr:uid="{ABCFD5E6-D9ED-461B-90F5-0FBAAF6A5B10}"/>
    <cellStyle name="メモ 3 2" xfId="430" xr:uid="{6AC2CF49-B9BD-410E-85EF-049A990177F6}"/>
    <cellStyle name="メモ 3 2 2" xfId="431" xr:uid="{64042F60-EAA5-4A30-9E40-A03C1CC72E2E}"/>
    <cellStyle name="メモ 3 3" xfId="432" xr:uid="{053F549B-39B3-4945-84C8-A6B12AB40D15}"/>
    <cellStyle name="メモ 4" xfId="433" xr:uid="{10B67EB8-D2FC-43B2-9B9B-377CE691E14E}"/>
    <cellStyle name="メモ 4 2" xfId="434" xr:uid="{321CB2D8-22CC-4921-A0D1-EB8FA3F8640B}"/>
    <cellStyle name="メモ 4 2 2" xfId="435" xr:uid="{7969EC3A-0F1B-4AA5-A76A-8588F9A3669D}"/>
    <cellStyle name="メモ 4 3" xfId="436" xr:uid="{E9D8C743-7ED2-43CC-B044-AFA6B216F100}"/>
    <cellStyle name="メモ 5" xfId="437" xr:uid="{861E890D-963B-4545-8D1D-3F2D3EBC7C31}"/>
    <cellStyle name="メモ 5 2" xfId="438" xr:uid="{D474901A-8B01-4ED5-AECB-210EF5617C6F}"/>
    <cellStyle name="メモ 5 2 2" xfId="439" xr:uid="{B6722FF5-062B-4A00-9FA4-A376C53C65A7}"/>
    <cellStyle name="メモ 5 3" xfId="440" xr:uid="{93D75091-92B4-4B83-8267-4C72349AAE02}"/>
    <cellStyle name="メモ 6" xfId="441" xr:uid="{1AE73821-C6B3-4CAC-80BC-844FA900A38D}"/>
    <cellStyle name="メモ 6 2" xfId="442" xr:uid="{E600A875-AC47-4910-8D23-6E12E8412A69}"/>
    <cellStyle name="メモ 7" xfId="443" xr:uid="{E6C67744-9088-4189-9B77-22CF43C66D91}"/>
    <cellStyle name="リンク セル" xfId="444" xr:uid="{A4EA08C8-6D29-41C9-841A-2D5616BCCA92}"/>
    <cellStyle name="入力" xfId="445" xr:uid="{FBFC2CD9-EDE6-43F1-91B0-256F73093B97}"/>
    <cellStyle name="入力 2" xfId="446" xr:uid="{5EA6FB1B-FE10-4C16-A5DD-29B23007C374}"/>
    <cellStyle name="入力 2 2" xfId="447" xr:uid="{F1729090-DF65-4F95-BCA0-27109B3803CF}"/>
    <cellStyle name="入力 2 2 2" xfId="448" xr:uid="{F7802EC0-130D-48B2-948F-CC1BDEDBFC6F}"/>
    <cellStyle name="入力 2 3" xfId="449" xr:uid="{E16E45C6-65C1-4AF8-9767-AF37A01AD037}"/>
    <cellStyle name="入力 3" xfId="450" xr:uid="{BEC5A450-49E1-4DF1-9A6C-271C4AEC714D}"/>
    <cellStyle name="入力 3 2" xfId="451" xr:uid="{BD3EE7F8-6688-4F09-9A9C-4C3258BB47C6}"/>
    <cellStyle name="入力 3 2 2" xfId="452" xr:uid="{2555A282-AEE8-414B-912F-B1053064CB8E}"/>
    <cellStyle name="入力 3 3" xfId="453" xr:uid="{97846438-8D2F-45C9-8C7A-003774AEB9A0}"/>
    <cellStyle name="入力 4" xfId="454" xr:uid="{31292265-CF76-4A2C-92DE-144E0EC1DBE5}"/>
    <cellStyle name="入力 4 2" xfId="455" xr:uid="{37DC1313-7DDF-44D1-A195-90673F652A87}"/>
    <cellStyle name="入力 4 2 2" xfId="456" xr:uid="{D7192F1A-F1A3-4589-8E78-B02695825E3B}"/>
    <cellStyle name="入力 4 3" xfId="457" xr:uid="{88B7C9FB-6619-4E23-A4BB-88A6F6BC4937}"/>
    <cellStyle name="入力 5" xfId="458" xr:uid="{EA2154A9-7112-4B7C-A141-8FE36C1D428A}"/>
    <cellStyle name="入力 5 2" xfId="459" xr:uid="{B5B387C7-ED53-412B-B714-66C3DF7414EA}"/>
    <cellStyle name="入力 5 2 2" xfId="460" xr:uid="{22FAE21F-8186-48F0-B28F-5C32EA025FDD}"/>
    <cellStyle name="入力 5 3" xfId="461" xr:uid="{57996781-A781-4D49-BFA1-D9D542B6B636}"/>
    <cellStyle name="入力 6" xfId="462" xr:uid="{71A33B75-883D-46B8-9788-F9DB57AEC3F5}"/>
    <cellStyle name="入力 6 2" xfId="463" xr:uid="{89BA4AF2-F8B4-497E-AC92-69DDFED65E2C}"/>
    <cellStyle name="入力 7" xfId="464" xr:uid="{464B3B6B-4711-4AC4-9394-249F42FF4026}"/>
    <cellStyle name="出力" xfId="465" xr:uid="{2AE19802-2BDB-41BF-98F6-A9886C46801E}"/>
    <cellStyle name="出力 2" xfId="466" xr:uid="{0E79BEB9-5322-4CC9-BAD9-E41418D8FF5C}"/>
    <cellStyle name="出力 2 2" xfId="467" xr:uid="{533AF04A-2525-4D3A-9AFE-7824FFD7E44B}"/>
    <cellStyle name="出力 2 2 2" xfId="468" xr:uid="{369D58AC-2B42-4FB5-9131-CC01BCAA7F20}"/>
    <cellStyle name="出力 2 3" xfId="469" xr:uid="{90352FA2-EA8F-4AAF-B27F-0C1F3D4E625E}"/>
    <cellStyle name="出力 3" xfId="470" xr:uid="{B29F723D-BE45-4EDF-9F3D-41B3DE3FA73A}"/>
    <cellStyle name="出力 3 2" xfId="471" xr:uid="{F304005F-28FF-49DF-A9C9-2469AEC4CD83}"/>
    <cellStyle name="出力 3 2 2" xfId="472" xr:uid="{0414EE6D-14F7-4C59-9536-EE0E24613E56}"/>
    <cellStyle name="出力 3 3" xfId="473" xr:uid="{79435670-470A-4883-8AEB-5F4473B58012}"/>
    <cellStyle name="出力 4" xfId="474" xr:uid="{8C94A40D-0B78-4158-8ECE-4954ADC1B74E}"/>
    <cellStyle name="出力 4 2" xfId="475" xr:uid="{79F633F6-F2BB-4C41-A96D-4384DF740AC5}"/>
    <cellStyle name="出力 4 2 2" xfId="476" xr:uid="{DC4DFB9D-DC85-4D70-908F-FB79EED82A83}"/>
    <cellStyle name="出力 4 3" xfId="477" xr:uid="{461F688D-7FE7-4626-8181-16AFA0B2C4EE}"/>
    <cellStyle name="出力 5" xfId="478" xr:uid="{4D9C2121-4F23-48FC-9679-F03AC5100765}"/>
    <cellStyle name="出力 5 2" xfId="479" xr:uid="{E070E614-E12F-4713-9FA3-2C83C0437EC3}"/>
    <cellStyle name="出力 5 2 2" xfId="480" xr:uid="{455C5567-13F2-49E0-9027-C25E1DF1F7F0}"/>
    <cellStyle name="出力 5 3" xfId="481" xr:uid="{95E22740-03C6-4723-A5FE-C2574B62BEB6}"/>
    <cellStyle name="出力 6" xfId="482" xr:uid="{739D3914-D041-497D-B704-BABEDD6141CC}"/>
    <cellStyle name="出力 6 2" xfId="483" xr:uid="{DEE2B980-FE74-4941-A7CB-316C8738CCD2}"/>
    <cellStyle name="出力 7" xfId="484" xr:uid="{0B225258-FF41-4703-9198-8702323F3381}"/>
    <cellStyle name="悪い" xfId="485" xr:uid="{0F3B8B31-E5BC-4696-9943-39E8989708CE}"/>
    <cellStyle name="良い" xfId="486" xr:uid="{27CBAE08-B92E-4D0D-A029-31FA86A90355}"/>
    <cellStyle name="見出し 1" xfId="487" xr:uid="{46D0F6F3-0D6F-4A17-9059-260154C7B269}"/>
    <cellStyle name="見出し 2" xfId="488" xr:uid="{35219F04-7A00-4E22-AC60-FC6C31A511CD}"/>
    <cellStyle name="見出し 3" xfId="489" xr:uid="{F6030BCF-A7CE-4533-A4B4-D604BFFB8039}"/>
    <cellStyle name="見出し 4" xfId="490" xr:uid="{4B8ACCE6-9E6F-41AD-AB6D-75635F7417F8}"/>
    <cellStyle name="計算" xfId="491" xr:uid="{C7024258-FA7E-455B-BC30-A288B3103E87}"/>
    <cellStyle name="計算 2" xfId="492" xr:uid="{B54788A6-6EB5-4EDB-8F62-E1FC63D5B8D1}"/>
    <cellStyle name="計算 2 2" xfId="493" xr:uid="{905C8CE0-7B51-4064-BA69-4C8469F8CB74}"/>
    <cellStyle name="計算 2 2 2" xfId="494" xr:uid="{727630B0-620B-4128-8BE0-B9DFE81DDE22}"/>
    <cellStyle name="計算 2 3" xfId="495" xr:uid="{618FF609-FEC3-4F28-B697-FB1BBB7B77BF}"/>
    <cellStyle name="計算 3" xfId="496" xr:uid="{09E2DDA3-F360-47BB-8410-C3B460D387CA}"/>
    <cellStyle name="計算 3 2" xfId="497" xr:uid="{9E71930A-D5E7-4B1D-97F6-1596FBB51C8C}"/>
    <cellStyle name="計算 3 2 2" xfId="498" xr:uid="{D3354937-6F90-4ABD-AA18-21DB38A4D212}"/>
    <cellStyle name="計算 3 3" xfId="499" xr:uid="{D0ADB863-8FEB-41DA-85C0-832DE395F2C2}"/>
    <cellStyle name="計算 4" xfId="500" xr:uid="{CD1BEC05-20B5-427C-A38A-0642EC332751}"/>
    <cellStyle name="計算 4 2" xfId="501" xr:uid="{279A7898-5478-430A-8C11-0917FCE836B1}"/>
    <cellStyle name="計算 4 2 2" xfId="502" xr:uid="{447AB96E-B1BB-46D7-BDA8-F5343221559B}"/>
    <cellStyle name="計算 4 3" xfId="503" xr:uid="{ED6328A7-6B78-4E53-971A-51F55E4C2EDB}"/>
    <cellStyle name="計算 5" xfId="504" xr:uid="{EA08E43F-025B-4C22-A7D0-C5D7CF3D3F1C}"/>
    <cellStyle name="計算 5 2" xfId="505" xr:uid="{09BC0A01-CC35-41ED-A69C-E99AE22163C5}"/>
    <cellStyle name="計算 5 2 2" xfId="506" xr:uid="{C70202BD-E612-45BE-B28C-4D0FD0F43B0A}"/>
    <cellStyle name="計算 5 3" xfId="507" xr:uid="{E7F81B8F-EFED-4F43-8502-8D6DCE1264A9}"/>
    <cellStyle name="計算 6" xfId="508" xr:uid="{787ADCF1-2D31-4EE8-B1C1-30F937F27F05}"/>
    <cellStyle name="計算 6 2" xfId="509" xr:uid="{E044A90C-BE79-4237-B37A-BDC376A1FA5E}"/>
    <cellStyle name="計算 7" xfId="510" xr:uid="{A455AC42-3EEC-49BA-8633-26F4F94F6D99}"/>
    <cellStyle name="説明文" xfId="511" xr:uid="{E23D6196-4DED-49DD-AAE1-61BA4FF10246}"/>
    <cellStyle name="警告文" xfId="512" xr:uid="{9103DB05-2F50-436A-A5BD-D9E3D6C03222}"/>
    <cellStyle name="集計" xfId="513" xr:uid="{9CDD4A5E-3300-47D2-8648-155286045FD6}"/>
    <cellStyle name="集計 2" xfId="514" xr:uid="{FE661CE4-0A41-4274-A16E-36051EFC401F}"/>
    <cellStyle name="集計 2 2" xfId="515" xr:uid="{3ED1F6CD-34CB-4A96-BADF-6F681CDC45B1}"/>
    <cellStyle name="集計 2 2 2" xfId="516" xr:uid="{A95967AE-EF72-4EB9-B53A-8E9653D50EB3}"/>
    <cellStyle name="集計 2 3" xfId="517" xr:uid="{33C1A93E-D83E-44AD-9360-BD102D89DA51}"/>
    <cellStyle name="集計 3" xfId="518" xr:uid="{CA9BCE6A-7A68-40E0-B1C0-CB6D4CAA213B}"/>
    <cellStyle name="集計 3 2" xfId="519" xr:uid="{47119030-1348-4881-989C-94F24858A946}"/>
    <cellStyle name="集計 3 2 2" xfId="520" xr:uid="{A4D931A0-6C0F-4E71-A9E5-E914CDAC47FB}"/>
    <cellStyle name="集計 3 3" xfId="521" xr:uid="{BF629D99-0520-4B1A-9709-1F02BAA204CF}"/>
    <cellStyle name="集計 4" xfId="522" xr:uid="{BA25F656-2EF1-4D75-85E6-CB75F764AC0B}"/>
    <cellStyle name="集計 4 2" xfId="523" xr:uid="{BD045714-D4B1-4E51-A9C9-85560D3C28C2}"/>
    <cellStyle name="集計 4 2 2" xfId="524" xr:uid="{9DDDE784-82E1-4F01-BF10-FAFD66456316}"/>
    <cellStyle name="集計 4 3" xfId="525" xr:uid="{B4CBB5D9-104D-4646-8976-11D4B7A82FA6}"/>
    <cellStyle name="集計 5" xfId="526" xr:uid="{6AEE1EE6-63F5-44BD-ADB0-9A9C3AFF0CFF}"/>
    <cellStyle name="集計 5 2" xfId="527" xr:uid="{ADC422C5-AF74-42FE-914A-82306325B204}"/>
    <cellStyle name="集計 5 2 2" xfId="528" xr:uid="{B2031779-6EBA-4807-835B-84DBE6A57912}"/>
    <cellStyle name="集計 5 3" xfId="529" xr:uid="{06B72B24-0181-4E89-B9F9-AB9D03BB0089}"/>
    <cellStyle name="集計 6" xfId="530" xr:uid="{1383AEBD-EE0F-4169-804A-582AA56EFA4B}"/>
    <cellStyle name="集計 6 2" xfId="531" xr:uid="{8946BD70-C228-4CAD-9075-6EB546B20E3B}"/>
    <cellStyle name="集計 7" xfId="532" xr:uid="{106E423A-8824-4359-A89F-DDDAC9161291}"/>
  </cellStyles>
  <dxfs count="0"/>
  <tableStyles count="0" defaultTableStyle="TableStyleMedium2" defaultPivotStyle="PivotStyleLight16"/>
  <colors>
    <mruColors>
      <color rgb="FFD7E5F5"/>
      <color rgb="FFE7F0F9"/>
      <color rgb="FFFFFF61"/>
      <color rgb="FFFFFFAF"/>
      <color rgb="FFFEF1E6"/>
      <color rgb="FFFEF4EC"/>
      <color rgb="FFFDDF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sharedStrings" Target="sharedStrings.xml"/><Relationship Id="rId50" Type="http://schemas.openxmlformats.org/officeDocument/2006/relationships/customXml" Target="../customXml/item2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customXml" Target="../customXml/item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calcChain" Target="calcChain.xml"/><Relationship Id="rId8" Type="http://schemas.openxmlformats.org/officeDocument/2006/relationships/externalLink" Target="externalLinks/externalLink6.xml"/><Relationship Id="rId51" Type="http://schemas.openxmlformats.org/officeDocument/2006/relationships/customXml" Target="../customXml/item3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styles" Target="styles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gcastel/Ley%20715/Documents%20and%20Settings/rtorres/Mis%20documentos/windows/TEMP/DATOS/EXCEL/PREANT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y%20of%20Nicaragua_Budget_10_01_22v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GOBIERNO\CARLOSJ\PRES9194\PAGOS.XLW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GOBIERNO\modgobi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GOBIERNO\1999\Excell\PRESUPUESTO\24julio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ECDGP\Flujos\Gobierno\modgobie%20CHEQUE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CARBOCOL\MODCARB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CAFE\MODCAF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gcastel/Ley%20715/WINDOWS/TEMP/Distribuciones/Conpes%202004/Consejos/Consejos%20comunales/Ejercicios%20Finales/MAGDALEN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GOBIERNO\1998\EXCELL\PRESUPUESTO\INGRESOS\vario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Users/catprafe/Documents/FC-CP/Puerto%20de%20Cartagena/Prespuesto%20Estandar%20de%20Saberes%20V.F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udget%20Detail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gcastel/Ley%20715/WINDOWS/TEMP/Distribuciones/Conpes%202004/Consejos/Consejos%20comunales/Ejercicios%20Finales/Pr22010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ecDgp\Flujos\Regional\MODREGIO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%20Contrato%20AMB\0.%20Bases%20de%20Datos\Compromisos%20-%20Seguimiento%20Convenios%20Cr&#237;ticos%20Julio%20Rev.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ODCs%20200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Ssanchez/c/WINDOWS/TEMP/PROYECTO/FUNCIONAM972000shi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pas-jcasteblanco/Consejos%20Anticorrupci&#243;n/1_Elabora/Consejos%20Anticorrupci&#243;n/Doc%20Base/Adicionales/Transferencias_Sectores%20x%20Mpios%2094-0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RESTO\SOCIAL\MODESTS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oec2000gob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GOBIERNO\windows\TEMP\CUADRO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Lrhenals/gobierno/Gobierno/Cierre97/OPEF%201997%20Cierre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Lrhenals/gobierno/Gobierno/GOB97/Tesoreria%201997%20Cierre%20ene28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Equipment%202003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Ssanchez/2001/ejecuaasepaoctu26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microsoft.com/office/2019/04/relationships/externalLinkLongPath" Target="https://partnersnet107.sharepoint.com/Users/Mariela/AppData/Local/Temp/Users/Ana%20Maria/Desktop/ANEXOS%20POAI%202010%20-%20PROPUESTA%20INICIAL%20AJUSTADA/Documents%20and%20Settings/Wvillota.EDUCACION/Mis%20documentos/COPIA%20ENTREGA%20PLANEACION%20PAOI%202010%20AGOST%2025-09/DATA%202010%20EDUCACION/DATA%202010%20?E776D024" TargetMode="External"/><Relationship Id="rId1" Type="http://schemas.openxmlformats.org/officeDocument/2006/relationships/externalLinkPath" Target="file:///\\E776D024\DATA%202010%20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gcastel/Ley%20715/diego/ECOPETROL/Modelo/Modelo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TIP%20START%2014%20month%20Budget%20ver%2021Dec06%207%2055%20am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08%2008%2012%20%20Pact%20Proposal%20Budget-%20ICNL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Presupuesto/C/WINNT/Profiles/presup.001/Personal/NELSONIV/DATOS/EXCEL/PREANT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01%20Ivan%20Garcia/Escritorio/2018/Portafolio%20de%20Proyectos/L&#237;nea%20Base%202018/BD/BD%20FINAL/Bases%20de%20c&#225;lculo/Versiones/Versi&#243;n%20Final%20Portafolio%20VDS%20Octubre%2017%20-%20BD%20Origen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1.%20VDS%202018/2.%20Portafolio/Recomposici&#243;n%202.0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GOBIERNO\1998\PRESUPUESTO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gcastel/Ley%20715/conso992002/PROFIN/PROGYCON/EJEC/Ejecdisgas/EJECDISYGAS0398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Users/PATRIC~1/AppData/Local/Temp/4.%20PLANTILLA%20EJEMPLO%20ANEXO%20PPTO%20POAI%202015%20AJUSTADO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Ssanchez/c/WINDOWS/TEMP/PROYECTO/972000%20a%20julio8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Users/c5282001/Documents/1.%20VDS%202018/BD%20Seguimiento%20Inversi&#243;n%20socio%20ambiental%20Abril%202019%20VF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DF_SF_424_Final%20(4)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gcastel/Nombres%20Datamart/Documents%20and%20Settings/gcastel/Mis%20documentos/Variedades/Afros/Afros%20con%20Dptos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1.%20VDS%202018/BD%20Seguimiento%20Inversi&#243;n%20socio%20ambiental%20Noviembre%202019%20VF2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gcastel/Ley%20715/windows/TEMP/oec7MAR00adicionPPTAL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Sherreno/c/WINDOWS/TEMP/PROYECTO/972000%20a%20julio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ADRO No 4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24 Cover"/>
      <sheetName val="424 A"/>
      <sheetName val="424 A Page 2"/>
      <sheetName val="PADF Master"/>
      <sheetName val="Component I"/>
      <sheetName val="Component II"/>
      <sheetName val="IFES_Component_III"/>
      <sheetName val="Summary"/>
      <sheetName val="Cost Share"/>
      <sheetName val="Rates"/>
      <sheetName val="Level of Effort"/>
      <sheetName val="Sheet1"/>
      <sheetName val="Sheet1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OFMI"/>
      <sheetName val="PAGOS VIGENCIA t"/>
      <sheetName val="PAGORE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UESTOS"/>
      <sheetName val="RESUOPE(fmi)"/>
      <sheetName val="RESUOPE"/>
      <sheetName val="MODELO"/>
      <sheetName val="INGRESOS GOB"/>
      <sheetName val="PAGOS GOB"/>
      <sheetName val="FINANCIAMIENTO GOB"/>
      <sheetName val="INGRESOS"/>
      <sheetName val="DETALL SP Y GG"/>
      <sheetName val="EXEDENT FINANC Y UTILI"/>
      <sheetName val="CAMBIOS2001"/>
      <sheetName val="ING-PROY-02 "/>
      <sheetName val="LIQUIDACION98"/>
      <sheetName val="Hoja1"/>
      <sheetName val="APRyPAGO-TRANSFE"/>
      <sheetName val="BDGOBIERNO"/>
      <sheetName val="SGPET"/>
      <sheetName val="TRANSFERENCIAS"/>
      <sheetName val="FONPET PPTO"/>
      <sheetName val="TRANSF_REFORMA98"/>
      <sheetName val="COSTO LEY100"/>
      <sheetName val="FINANCIAMIENTO"/>
      <sheetName val="DIFERIDOS"/>
      <sheetName val="CONSOLIDADO  FMI"/>
      <sheetName val="PRES NETO"/>
      <sheetName val="DEUDA EXTERNA"/>
      <sheetName val="proyeccionTESJULIO"/>
      <sheetName val="PRIVATIZACIONES"/>
      <sheetName val="proyeccionTES (2)"/>
      <sheetName val="proyeccionTES"/>
      <sheetName val="RESUMEN"/>
      <sheetName val="RESUMEN CON PLAN"/>
      <sheetName val="PIB"/>
      <sheetName val="DEUDA"/>
      <sheetName val="RESUOPE (2)"/>
      <sheetName val="Liquidación"/>
      <sheetName val="PROYECCION2000"/>
      <sheetName val="Cuadros CONFIS"/>
      <sheetName val=" SP y GG Leo"/>
      <sheetName val="deuda interna"/>
      <sheetName val="Proyecto Reforma Tributaria"/>
      <sheetName val="excedentes financieros"/>
      <sheetName val="Módulo1"/>
      <sheetName val="Módulo2"/>
      <sheetName val="DIFINGRESOS"/>
      <sheetName val="proy9798"/>
      <sheetName val="rezago"/>
      <sheetName val="I-FBKF"/>
      <sheetName val="DETALLE-INV"/>
      <sheetName val="detalle-planfin97-julio"/>
      <sheetName val="DEUDA ALTERN"/>
      <sheetName val="Formato Largo"/>
      <sheetName val="MODGOBIE"/>
      <sheetName val="TRIBUTARIOS"/>
      <sheetName val="APORTES A SEGSO"/>
      <sheetName val="TERRITORIALES"/>
      <sheetName val="OTROS CAPITAL"/>
      <sheetName val="% PIB"/>
      <sheetName val="DETALLE SERV.PERS. Y GTOS.GRALS"/>
      <sheetName val="TES"/>
      <sheetName val="DEUDA EXTERNA Y PRES NETO"/>
      <sheetName val="GOBIERNO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 refreshError="1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UESTO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UESTOS"/>
      <sheetName val="RESUOPE(fmi)"/>
      <sheetName val="RESUOPE"/>
      <sheetName val="MODELO"/>
      <sheetName val="INGRESOS GOB"/>
      <sheetName val="PAGOS GOB"/>
      <sheetName val="FINANCIAMIENTO GOB"/>
      <sheetName val="INGRESOS"/>
      <sheetName val="DETALL SP Y GG"/>
      <sheetName val="EXEDENT FINANC Y UTILI"/>
      <sheetName val="CAMBIOS2001"/>
      <sheetName val="LIQUIDACION98"/>
      <sheetName val="ING-PROY-02 "/>
      <sheetName val="Hoja1"/>
      <sheetName val="APRyPAGO-TRANSFE"/>
      <sheetName val="BDGOBIERNO"/>
      <sheetName val="SGPET"/>
      <sheetName val="TRANSFERENCIAS"/>
      <sheetName val="FONPET PPTO"/>
      <sheetName val="TRANSF_REFORMA98"/>
      <sheetName val="COSTO LEY100"/>
      <sheetName val="FINANCIAMIENTO"/>
      <sheetName val="DIFERIDOS"/>
      <sheetName val="CONSOLIDADO  FMI"/>
      <sheetName val="PRES NETO"/>
      <sheetName val="DEUDA EXTERNA"/>
      <sheetName val="proyeccionTESJULIO"/>
      <sheetName val="PRIVATIZACIONES"/>
      <sheetName val="proyeccionTES (2)"/>
      <sheetName val="proyeccionTES"/>
      <sheetName val="RESUMEN"/>
      <sheetName val="RESUMEN CON PLAN"/>
      <sheetName val="PIB"/>
      <sheetName val="DEUDA"/>
      <sheetName val="modgobie CHEQUEO"/>
      <sheetName val="excedentes financiero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CARBOCOL"/>
      <sheetName val="PRES NETO"/>
      <sheetName val="DEUDA EXTERNA"/>
      <sheetName val="SUPUESTOS"/>
      <sheetName val="RESUMEN"/>
      <sheetName val="RESUMEN CON PLAN"/>
      <sheetName val="PIB"/>
      <sheetName val="TRANSFERENCIAS"/>
      <sheetName val="PPTO97"/>
      <sheetName val="CARBOCOL"/>
      <sheetName val="INTERESES"/>
      <sheetName val="AMORTIZA"/>
      <sheetName val="DEXT"/>
      <sheetName val="Diálogo1"/>
      <sheetName val="Módulo1"/>
      <sheetName val="PROYECTO97"/>
      <sheetName val="Hoja1"/>
      <sheetName val="SEG99"/>
      <sheetName val="RESU99"/>
      <sheetName val="SEG2000"/>
      <sheetName val="RESU2000"/>
      <sheetName val="C1-3vig97-00"/>
      <sheetName val="C1-3vIg98-00"/>
      <sheetName val="chequeo99"/>
      <sheetName val="plano-mensaje"/>
      <sheetName val="C1-3men"/>
      <sheetName val="DIFERENCIAS SI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CAFE"/>
      <sheetName val="PRES NETO"/>
      <sheetName val="DEUDA EXTERNA"/>
      <sheetName val="PIB"/>
      <sheetName val="RESUMEN"/>
      <sheetName val="RESUMEN CON PLAN"/>
      <sheetName val="SUPUESTOS"/>
      <sheetName val="CONSOLIDADO"/>
      <sheetName val="CRECIMIENTOS %"/>
      <sheetName val="ANUAL1"/>
      <sheetName val="Asesores Junio 01"/>
      <sheetName val="TRANSFERENCIAS"/>
      <sheetName val="Módulo1"/>
      <sheetName val="MODCAFE"/>
      <sheetName val="DIFERENCIAS SIMUL"/>
      <sheetName val="ASESORES AGOSTO 13"/>
      <sheetName val="ASESORES AGOSTO 11"/>
      <sheetName val="ASESORES SEPTIEM 9"/>
      <sheetName val="ASESORES SEPTIEM 7"/>
      <sheetName val="ASESORES AGOSTO 26"/>
      <sheetName val="ASESORES AGOSTO 24"/>
      <sheetName val="Asesores"/>
      <sheetName val="Asesores nov8-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Gráfico1"/>
      <sheetName val="% pib"/>
      <sheetName val="ASIG"/>
      <sheetName val="Crec ASIG"/>
      <sheetName val="Crec"/>
      <sheetName val="PER CAPITA"/>
      <sheetName val="P ca"/>
      <sheetName val="P po"/>
      <sheetName val="SGP 2003"/>
      <sheetName val="PERIODO"/>
      <sheetName val="2003 N"/>
      <sheetName val="03."/>
      <sheetName val="03"/>
      <sheetName val="SGP 03"/>
      <sheetName val="EF_SAL"/>
      <sheetName val="01-03"/>
      <sheetName val="DATOS"/>
      <sheetName val="Hoja3"/>
      <sheetName val="POB"/>
      <sheetName val="Hoja5"/>
      <sheetName val="POBLACIÓN"/>
      <sheetName val="Hoja4"/>
      <sheetName val="03-06"/>
      <sheetName val="D7_Icfes 02"/>
      <sheetName val="D8_MS"/>
      <sheetName val="D8_1_Bajo"/>
      <sheetName val="D9_Saber 97-99"/>
      <sheetName val="20 Magdale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yecINGRESOS99"/>
      <sheetName val="proyecINGRESOS99 (det)"/>
      <sheetName val="proyecINGRESOS99 _det_"/>
    </sheetNames>
    <sheetDataSet>
      <sheetData sheetId="0" refreshError="1"/>
      <sheetData sheetId="1" refreshError="1"/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carios"/>
      <sheetName val="Presupuesto estandar"/>
      <sheetName val="Presupuesto Resumen"/>
      <sheetName val="Variables"/>
      <sheetName val="Presupuesto por Aliado"/>
      <sheetName val="Presupuesto por Aliado (2)"/>
      <sheetName val="Presupuesto Final"/>
      <sheetName val="Presupuesto Yumbo y Aliados"/>
      <sheetName val="Para uso interno"/>
      <sheetName val="Ppto Fin Ajus 2 Aliados "/>
      <sheetName val="Ppto Ajustado Mayo"/>
      <sheetName val="Presupuesto Proyec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"/>
      <sheetName val="DRAFT BUDGET"/>
      <sheetName val="Salary &amp; PR Tax"/>
      <sheetName val="Fringe Benefits"/>
      <sheetName val="PR Taxes Prior Year"/>
      <sheetName val="Prior Year Indirect"/>
      <sheetName val="Communication Prior Year"/>
      <sheetName val="Consultants 2005"/>
      <sheetName val="UNUM LTD &amp; STD Costs"/>
      <sheetName val="MAMSI 2003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OR.LEY21"/>
      <sheetName val="Hoja2"/>
      <sheetName val="ART.86 LEY 30-92"/>
      <sheetName val="JUNTA CENTRAL DE CONTADORES"/>
      <sheetName val="CALCULO LEY 21 1982 =&gt; 1998 "/>
      <sheetName val="CALCULO LEY 21 DE 1982 =&gt; 1999"/>
      <sheetName val="ART.87 LEY 30 1992"/>
      <sheetName val="NORMAS LEGALES"/>
      <sheetName val="JUSTIFICACION DIFERENCIAS"/>
      <sheetName val="GASTOS"/>
      <sheetName val="GASTOS (2)"/>
      <sheetName val="APOR.LEY21-2000 Y 2001"/>
      <sheetName val="JUNTA CENT.CONTAD. 2000 Y 2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GOBLOCAL"/>
      <sheetName val="BDEMPLOCAL"/>
      <sheetName val="RESUMENLG"/>
      <sheetName val="RESUMENLE"/>
      <sheetName val="PRES NETO"/>
      <sheetName val="SUPUESTOS"/>
      <sheetName val="Resumen x Entidades"/>
      <sheetName val="DEUDA EXTERNA"/>
      <sheetName val="RESUMEN FMI"/>
      <sheetName val="FMI DEPARTAMENTOS"/>
      <sheetName val=" FMI MUNICIPIOS"/>
      <sheetName val="FMI FNR"/>
      <sheetName val="FMI EMPRESAS"/>
      <sheetName val="RESUMEN"/>
      <sheetName val="MUNICIPIOS"/>
      <sheetName val="DEPARTAM"/>
      <sheetName val="LOTERIAS"/>
      <sheetName val="LICORERA"/>
      <sheetName val="EMPTERRI"/>
      <sheetName val="FNR"/>
      <sheetName val="EJEC. REGALIAS"/>
      <sheetName val="REZAGO FNR"/>
      <sheetName val="DEUDA FLOTANTE-FNR"/>
      <sheetName val="FNR-PROYECCIONES"/>
      <sheetName val="FNR-LEY 756"/>
      <sheetName val="VERIFICACION NETEO2"/>
      <sheetName val="PIB"/>
      <sheetName val="SISTEMA GRAL.PART."/>
      <sheetName val="COMPARATIVO FMI-PF"/>
      <sheetName val="COMPARATIVO FMI-PF $MM"/>
      <sheetName val="FNR-PROYECCIONES MFMP"/>
      <sheetName val="ModDeuda"/>
      <sheetName val="RESUMEN CON PLAN"/>
      <sheetName val="TRANSFERENCIAS"/>
      <sheetName val="PROY. REGALIAS"/>
      <sheetName val="DPTOS"/>
      <sheetName val="MPIOS"/>
      <sheetName val="EJCLOTERIA"/>
      <sheetName val="EJLICOR"/>
      <sheetName val="EEPP"/>
      <sheetName val="Prepag deud Faep art133 ley633"/>
      <sheetName val="DF FNR (C. Zambrano)"/>
      <sheetName val="FNR Dic 5 (C.Zam)"/>
      <sheetName val="FNR Dic 13-02 (C.Zam)"/>
      <sheetName val="FNR Dic 18-02(C.Zam)"/>
      <sheetName val="FNR Dic 20-02(C.Zam)"/>
      <sheetName val="DEUDA FLOTANTE-FNR SIN FAEP"/>
      <sheetName val="DEUDA FLOTANTE-INV."/>
      <sheetName val=" FAEP Mensual "/>
      <sheetName val="DEUDA FLOTANTE-INV. sin faep"/>
      <sheetName val="cuadros"/>
      <sheetName val="Hoja1"/>
      <sheetName val="faep (2)"/>
      <sheetName val="DEUDA FLOTANTE fnr"/>
      <sheetName val="FNR reducc"/>
      <sheetName val="FMI redu2)"/>
      <sheetName val="EJECUCION FAEP"/>
      <sheetName val="RESUMEN FMI DEPARTAMENTOS"/>
      <sheetName val="RESUMEN FMI MUNICIPIOS"/>
      <sheetName val="RESUMEN FMI FNR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enios Suscritos 2017 -2018"/>
      <sheetName val="ADDORES -APOYO TRANS"/>
      <sheetName val="BD Julio 2018"/>
      <sheetName val="Hoja2"/>
      <sheetName val="GRÁFICAS"/>
      <sheetName val="Críticos Orinoquía"/>
      <sheetName val="ORINOQUÍA"/>
      <sheetName val="CENTRAL"/>
      <sheetName val="CATATUMBO"/>
      <sheetName val="SUR"/>
      <sheetName val="CORP"/>
      <sheetName val="VIT - VIT AMB"/>
      <sheetName val="CARIBE"/>
      <sheetName val="ORIENTE"/>
      <sheetName val="BD JULIO RUBY"/>
      <sheetName val="SF"/>
      <sheetName val="Listas"/>
      <sheetName val="Listas desplegable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E - Other"/>
    </sheetNames>
    <sheetDataSet>
      <sheetData sheetId="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a2castigo"/>
      <sheetName val="Hoja1"/>
      <sheetName val="CUA1-3"/>
      <sheetName val="TOTAL FUN"/>
      <sheetName val="NACION FUN"/>
      <sheetName val="PROPIOS FUN"/>
      <sheetName val="OCP"/>
      <sheetName val="TRANST"/>
      <sheetName val="notas"/>
      <sheetName val="TRANSN"/>
      <sheetName val="TRANSP"/>
      <sheetName val="GGT"/>
      <sheetName val="GGN"/>
      <sheetName val="GGP"/>
      <sheetName val="GPT"/>
      <sheetName val="GPN"/>
      <sheetName val="GPP"/>
      <sheetName val="ppry89aFEB"/>
      <sheetName val="CUA1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4-03 Mil Corr "/>
      <sheetName val="edu_sal_agua_milcte"/>
      <sheetName val="Educación"/>
      <sheetName val="Salud"/>
      <sheetName val="Hoja2"/>
      <sheetName val="Hoja3"/>
      <sheetName val="Agua"/>
      <sheetName val="94_03 Mil Corr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SOCIAL"/>
      <sheetName val="PRES NETO"/>
      <sheetName val="RESUMEN"/>
      <sheetName val="SUPUESTOS"/>
      <sheetName val="TRANSFERENCIAS"/>
      <sheetName val="ICBF"/>
      <sheetName val="SENA"/>
      <sheetName val="SENA2%YPORTAF"/>
      <sheetName val="REZAGOS"/>
      <sheetName val="ICBF3%"/>
      <sheetName val="SENA2%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FERENCIAS"/>
      <sheetName val="RESUOPE"/>
      <sheetName val="APRyPAGO-TRANSFE"/>
      <sheetName val="FINANCIAMIENTO"/>
      <sheetName val="DETALLE-INV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2"/>
      <sheetName val="Hoja1"/>
    </sheetNames>
    <sheetDataSet>
      <sheetData sheetId="0" refreshError="1"/>
      <sheetData sheetId="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guimiento CSF"/>
      <sheetName val="Seguim. SSF"/>
      <sheetName val="Seguimiento SSF"/>
      <sheetName val="Formato Largo"/>
      <sheetName val="Resumen OPEF"/>
      <sheetName val="Reporte OPEF"/>
      <sheetName val="Resumen MES OPEF"/>
      <sheetName val="Confis Marzo 7-97"/>
      <sheetName val="Reclasificación"/>
      <sheetName val="Historia desembolsos"/>
      <sheetName val="Contingencias 1997"/>
      <sheetName val="Formato FMI"/>
      <sheetName val="Elasticidad"/>
      <sheetName val="Que pasaría si...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+D pagos"/>
      <sheetName val="P+D ingresos"/>
      <sheetName val="Dolares ingresos"/>
      <sheetName val="Pesos ingresos"/>
      <sheetName val="Dolares pagos"/>
      <sheetName val="Pesos pagos"/>
      <sheetName val="Seguimiento pagos"/>
      <sheetName val="Seguimiento ingresos"/>
      <sheetName val="Seguimiento Flujo"/>
      <sheetName val="Hoja2"/>
      <sheetName val="Hoja1"/>
      <sheetName val="Seguimiento Transferencias"/>
      <sheetName val="Gráfico3"/>
      <sheetName val="Reporte de Pagos"/>
      <sheetName val="Reporte Vicetecnico"/>
      <sheetName val="inversión"/>
      <sheetName val="Transferencias"/>
      <sheetName val="Calculo TC"/>
      <sheetName val="Gráfico TC"/>
      <sheetName val="Ejercicio Portafolio"/>
      <sheetName val="Rend. financieros"/>
      <sheetName val="Contingencias"/>
      <sheetName val="Resumen TES Convenidas"/>
      <sheetName val="TES Convenidas"/>
      <sheetName val="Gráfico1"/>
      <sheetName val="Comparación Tributarios"/>
      <sheetName val="Comparación Servicio Deuda"/>
      <sheetName val="Ahorro TES"/>
      <sheetName val="Flujo Tesorería"/>
      <sheetName val="P_D ingres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D - Equipment"/>
    </sheetNames>
    <sheetDataSet>
      <sheetData sheetId="0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ific"/>
      <sheetName val="RESUMENV"/>
      <sheetName val="VIGP"/>
      <sheetName val="VIGN"/>
      <sheetName val="RESUMENCXP"/>
      <sheetName val="PROPIOSCXP"/>
      <sheetName val="NACIONCXP"/>
      <sheetName val="RESUMENR"/>
      <sheetName val="PROPIOSR"/>
      <sheetName val="NACION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DUCIR_OBJETO_FUENTE"/>
      <sheetName val="INTRODUCIR_CCPD"/>
      <sheetName val="MYLIST"/>
      <sheetName val="INTRODUCIR_OBJETO"/>
      <sheetName val="Hoja2"/>
      <sheetName val="Listados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O DE GASOLINA"/>
      <sheetName val="MODELO DE TRANSF.IMPUESTOS"/>
      <sheetName val="SUPUESTOS BASICOS"/>
      <sheetName val="OPE DOLARES"/>
      <sheetName val="OPE PESOS"/>
      <sheetName val="OPE TOTALES"/>
      <sheetName val="Supuestos Macro"/>
      <sheetName val="Volumenes"/>
      <sheetName val="Precios"/>
      <sheetName val="OPEC Pesos y US$"/>
      <sheetName val="OPEC Pesos + US$"/>
      <sheetName val="Consolidado Diego"/>
      <sheetName val="CAJA MENSUAL PESOS"/>
      <sheetName val="CAJA MENSUAL DOLARES"/>
      <sheetName val="OPE CAJA PESOS"/>
      <sheetName val="OPE CAJA DOLARES"/>
      <sheetName val="OPE CAJA TOTAL"/>
      <sheetName val="FINANCIAMIENTO "/>
      <sheetName val="CONSOLIDADO"/>
      <sheetName val="RESUMENES"/>
      <sheetName val="INVERSIONES "/>
      <sheetName val="MODELO DE REGALÍA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Details"/>
    </sheetNames>
    <sheetDataSet>
      <sheetData sheetId="0"/>
      <sheetData sheetId="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etail-1"/>
      <sheetName val="IFLT Budget"/>
      <sheetName val="CCC Budget"/>
      <sheetName val="Institute Justification"/>
      <sheetName val="Travel"/>
      <sheetName val="Workshops"/>
      <sheetName val="Links"/>
      <sheetName val="SF424"/>
      <sheetName val="SF424A1"/>
      <sheetName val="SF424A2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ADRO No 4"/>
    </sheetNames>
    <sheetDataSet>
      <sheetData sheetId="0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ferencia 4 MM"/>
      <sheetName val="Hoja1"/>
      <sheetName val="Presupuesto"/>
      <sheetName val="Santander 1"/>
      <sheetName val="Santander (2)"/>
      <sheetName val="Portafolio"/>
      <sheetName val="Controles de Cambio"/>
      <sheetName val="Gráfica Rec 2019 (2)"/>
      <sheetName val="Gráfica Rec 2019"/>
      <sheetName val="Causación LFSB"/>
      <sheetName val="estudios1"/>
      <sheetName val="Estudios"/>
      <sheetName val="Listas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</sheetNames>
    <sheetDataSet>
      <sheetData sheetId="0"/>
      <sheetData sheetId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-TRANSF"/>
      <sheetName val="LIQUI_TRANSF"/>
    </sheetNames>
    <sheetDataSet>
      <sheetData sheetId="0" refreshError="1"/>
      <sheetData sheetId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ADDIST"/>
      <sheetName val="DISTRIBVTAS"/>
      <sheetName val="Datos"/>
      <sheetName val="PROVYOTF"/>
      <sheetName val="MFISICA"/>
      <sheetName val="Inv"/>
      <sheetName val="O&amp;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 MPD"/>
      <sheetName val="ACTIVIDADES PPTO GRAL."/>
      <sheetName val="Hoja1"/>
      <sheetName val="ANEXO DETALLE POBLACION"/>
      <sheetName val="1,1 CAFETERIA"/>
      <sheetName val="ACTIV. PROGRAM-FIDIC-FINA -"/>
      <sheetName val="ACTIV. PROD-INDIC POBL OBJ.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adro7"/>
      <sheetName val="GPT"/>
      <sheetName val="GPN"/>
      <sheetName val="GPP"/>
      <sheetName val="GGT"/>
      <sheetName val="GGN"/>
      <sheetName val="GGP"/>
      <sheetName val="CUA1-3"/>
      <sheetName val="PLANOJUL13"/>
      <sheetName val="CUA1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AS POWER BI"/>
      <sheetName val="Francisco N"/>
      <sheetName val="Procesos Jurídicos"/>
      <sheetName val="BD Mar 2019"/>
      <sheetName val="Hoja2"/>
      <sheetName val="LB Priorizados GCF"/>
      <sheetName val="Liquidaciones FA"/>
      <sheetName val="OPENT 11-ab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24 Cover"/>
      <sheetName val="424 A"/>
      <sheetName val="424 A Page 2"/>
      <sheetName val="PADF Master"/>
      <sheetName val="Component I"/>
      <sheetName val="Component II"/>
      <sheetName val="IFES_Component_III"/>
      <sheetName val="Summary"/>
      <sheetName val="DLDP Activity Plan"/>
      <sheetName val="Rates"/>
      <sheetName val="Level of Eff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1"/>
      <sheetName val="2"/>
      <sheetName val="3"/>
      <sheetName val="Cuadros Grales"/>
      <sheetName val="Base"/>
      <sheetName val="Pob"/>
      <sheetName val="Pob afro"/>
      <sheetName val="Pobla"/>
      <sheetName val="Matrícula"/>
      <sheetName val="Mat afro"/>
      <sheetName val="Matric"/>
      <sheetName val="Icfes afro"/>
      <sheetName val="Icfes oficial 03 afro"/>
      <sheetName val="Acu y Alc"/>
      <sheetName val="Acu y Alc Afro"/>
      <sheetName val="AcyAl"/>
      <sheetName val="Salud Afro 1"/>
      <sheetName val="Sal Afro 2"/>
      <sheetName val="Sal"/>
      <sheetName val="Sal1"/>
      <sheetName val="TD Sal"/>
      <sheetName val="Salidas"/>
      <sheetName val="Gráfico1"/>
      <sheetName val="Gráfico2"/>
      <sheetName val="Gráfico3"/>
      <sheetName val="Gráfico4"/>
      <sheetName val="Gráfico5"/>
      <sheetName val="Gráfico6"/>
      <sheetName val="Gráfico7"/>
      <sheetName val="Gráfico8"/>
      <sheetName val="Gráfico9"/>
      <sheetName val="Gráfico10"/>
      <sheetName val="Gráfico11"/>
      <sheetName val="Gráfico12"/>
      <sheetName val="Gráfico13"/>
      <sheetName val="Gráfico14"/>
      <sheetName val="Gráfico15"/>
      <sheetName val="Gráfico16"/>
      <sheetName val="Gráfico17"/>
      <sheetName val="Gráfico18"/>
      <sheetName val="Dat 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 GSO"/>
      <sheetName val="SE"/>
      <sheetName val="Prio GSO"/>
      <sheetName val="Prio"/>
      <sheetName val="BD Nov-19 Priorizados"/>
      <sheetName val="Mod 4Q"/>
      <sheetName val="GCF"/>
      <sheetName val="Planner 21-nov-19"/>
      <sheetName val="OPENT 19-nov"/>
      <sheetName val="Liquidaciones FA"/>
      <sheetName val="Por liquidar Oct19"/>
      <sheetName val="Escuela Nueva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gresos00"/>
      <sheetName val="Pagos00"/>
      <sheetName val="Financiamiento00"/>
      <sheetName val="opetesorer"/>
      <sheetName val="CAIDAINGRESOS"/>
      <sheetName val="caidaTRAS.TERRIT"/>
      <sheetName val="inversion"/>
      <sheetName val="variacionapropiacion"/>
      <sheetName val="METAPAGOS.REZAGO(sincambio)"/>
      <sheetName val="REZAGO CON Y SIN ESPACIO"/>
      <sheetName val="REZAGO CON ESPACIO FISCAL(FMI)"/>
      <sheetName val="REZAGO CON ESPACIO FISCAL(F (2)"/>
      <sheetName val="REZAGO CON ESPACIO FISCAL (2)"/>
      <sheetName val="REZAGO CON ESPACIO FISCAL 4813"/>
      <sheetName val="REZAGO CON ESPACIO FISCAL M-25"/>
      <sheetName val="ESCENA(CON ESPACIO)"/>
      <sheetName val="ESCENA(CON Y SIN ESPACIO)"/>
      <sheetName val="ESCENARIOS(BASICO)"/>
      <sheetName val="DETALLE-DEUDA"/>
      <sheetName val="ESCENARIOS(BASICO) (2)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adro7"/>
      <sheetName val="GPT"/>
      <sheetName val="GPN"/>
      <sheetName val="GPP"/>
      <sheetName val="GGT"/>
      <sheetName val="GGN"/>
      <sheetName val="GGP"/>
      <sheetName val="CUA1-3"/>
      <sheetName val="PLANOJUL13"/>
      <sheetName val="CUA1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U27"/>
  <sheetViews>
    <sheetView tabSelected="1" zoomScale="90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J23" sqref="J23"/>
    </sheetView>
  </sheetViews>
  <sheetFormatPr defaultColWidth="9.1640625" defaultRowHeight="15" customHeight="1"/>
  <cols>
    <col min="1" max="1" width="18.71875" style="162" bestFit="1" customWidth="1"/>
    <col min="2" max="2" width="11.1640625" style="162" bestFit="1" customWidth="1"/>
    <col min="3" max="3" width="11.5546875" style="162" bestFit="1" customWidth="1"/>
    <col min="4" max="4" width="11.1640625" style="162" bestFit="1" customWidth="1"/>
    <col min="5" max="5" width="13.5546875" style="162" customWidth="1"/>
    <col min="6" max="6" width="11.5546875" style="162" bestFit="1" customWidth="1"/>
    <col min="7" max="7" width="13.71875" style="162" customWidth="1"/>
    <col min="8" max="8" width="11.1640625" style="162" bestFit="1" customWidth="1"/>
    <col min="9" max="9" width="11.5546875" style="162" bestFit="1" customWidth="1"/>
    <col min="10" max="10" width="14" style="162" customWidth="1"/>
    <col min="11" max="11" width="11.1640625" style="162" bestFit="1" customWidth="1"/>
    <col min="12" max="12" width="11.5546875" style="162" bestFit="1" customWidth="1"/>
    <col min="13" max="13" width="11.1640625" style="162" bestFit="1" customWidth="1"/>
    <col min="14" max="14" width="14.1640625" style="162" customWidth="1"/>
    <col min="15" max="15" width="11.5546875" style="162" bestFit="1" customWidth="1"/>
    <col min="16" max="16" width="14.44140625" style="162" customWidth="1"/>
    <col min="17" max="21" width="9.1640625" style="162"/>
    <col min="22" max="22" width="9.1640625" style="162" customWidth="1"/>
    <col min="23" max="16384" width="9.1640625" style="162"/>
  </cols>
  <sheetData>
    <row r="1" spans="1:16" ht="15" customHeight="1">
      <c r="A1" s="161"/>
      <c r="B1" s="252" t="s">
        <v>0</v>
      </c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 ht="15" customHeight="1">
      <c r="B2" s="253" t="s">
        <v>1</v>
      </c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</row>
    <row r="4" spans="1:16" ht="15" customHeight="1">
      <c r="A4" s="163" t="s">
        <v>2</v>
      </c>
      <c r="B4" s="254" t="s">
        <v>3</v>
      </c>
      <c r="C4" s="255"/>
      <c r="D4" s="256"/>
      <c r="E4" s="254" t="s">
        <v>4</v>
      </c>
      <c r="F4" s="255"/>
      <c r="G4" s="256"/>
      <c r="H4" s="254" t="s">
        <v>5</v>
      </c>
      <c r="I4" s="255"/>
      <c r="J4" s="256"/>
      <c r="K4" s="254" t="s">
        <v>6</v>
      </c>
      <c r="L4" s="255"/>
      <c r="M4" s="256"/>
      <c r="N4" s="164" t="s">
        <v>7</v>
      </c>
      <c r="O4" s="165" t="s">
        <v>8</v>
      </c>
      <c r="P4" s="165" t="s">
        <v>9</v>
      </c>
    </row>
    <row r="5" spans="1:16" ht="15" customHeight="1" thickBot="1">
      <c r="A5" s="163"/>
      <c r="B5" s="166" t="s">
        <v>10</v>
      </c>
      <c r="C5" s="167" t="s">
        <v>11</v>
      </c>
      <c r="D5" s="168" t="s">
        <v>8</v>
      </c>
      <c r="E5" s="163" t="s">
        <v>10</v>
      </c>
      <c r="F5" s="163" t="s">
        <v>11</v>
      </c>
      <c r="G5" s="163" t="s">
        <v>8</v>
      </c>
      <c r="H5" s="168" t="s">
        <v>10</v>
      </c>
      <c r="I5" s="163" t="s">
        <v>11</v>
      </c>
      <c r="J5" s="163" t="s">
        <v>8</v>
      </c>
      <c r="K5" s="163" t="s">
        <v>10</v>
      </c>
      <c r="L5" s="163" t="s">
        <v>11</v>
      </c>
      <c r="M5" s="163" t="s">
        <v>8</v>
      </c>
      <c r="N5" s="169" t="s">
        <v>10</v>
      </c>
      <c r="O5" s="163" t="s">
        <v>11</v>
      </c>
      <c r="P5" s="170" t="s">
        <v>7</v>
      </c>
    </row>
    <row r="6" spans="1:16" ht="15" customHeight="1">
      <c r="A6" s="171"/>
      <c r="B6" s="172"/>
      <c r="C6" s="173"/>
      <c r="D6" s="174"/>
      <c r="E6" s="175"/>
      <c r="F6" s="176"/>
      <c r="G6" s="174"/>
      <c r="H6" s="176"/>
      <c r="I6" s="176"/>
      <c r="J6" s="174"/>
      <c r="K6" s="175"/>
      <c r="L6" s="176"/>
      <c r="M6" s="174"/>
      <c r="N6" s="177"/>
      <c r="O6" s="178"/>
      <c r="P6" s="177"/>
    </row>
    <row r="7" spans="1:16" ht="15" customHeight="1">
      <c r="A7" s="179" t="s">
        <v>12</v>
      </c>
      <c r="B7" s="180">
        <f>Budget!F29</f>
        <v>139520.83333333334</v>
      </c>
      <c r="C7" s="181">
        <f>Budget!G29</f>
        <v>0</v>
      </c>
      <c r="D7" s="182">
        <f>SUM(B7:C7)</f>
        <v>139520.83333333334</v>
      </c>
      <c r="E7" s="180">
        <f>Budget!L29</f>
        <v>163800.00000000003</v>
      </c>
      <c r="F7" s="181">
        <f>Budget!M29</f>
        <v>0</v>
      </c>
      <c r="G7" s="182">
        <f>SUM(E7:F7)</f>
        <v>163800.00000000003</v>
      </c>
      <c r="H7" s="180">
        <f>Budget!R29</f>
        <v>171990.00000000003</v>
      </c>
      <c r="I7" s="181">
        <f>Budget!S29</f>
        <v>0</v>
      </c>
      <c r="J7" s="182">
        <f>SUM(H7:I7)</f>
        <v>171990.00000000003</v>
      </c>
      <c r="K7" s="180">
        <f>Budget!X29</f>
        <v>108322.34765625003</v>
      </c>
      <c r="L7" s="181">
        <f>Budget!Y29</f>
        <v>0</v>
      </c>
      <c r="M7" s="182">
        <f>SUM(K7:L7)</f>
        <v>108322.34765625003</v>
      </c>
      <c r="N7" s="183">
        <f>Budget!AA29</f>
        <v>583633.18098958337</v>
      </c>
      <c r="O7" s="183">
        <f>Budget!AB29</f>
        <v>0</v>
      </c>
      <c r="P7" s="183">
        <f>Budget!AC29</f>
        <v>583633.18098958337</v>
      </c>
    </row>
    <row r="8" spans="1:16" ht="15" customHeight="1">
      <c r="A8" s="184"/>
      <c r="B8" s="185"/>
      <c r="C8" s="186"/>
      <c r="D8" s="187"/>
      <c r="E8" s="185"/>
      <c r="F8" s="186"/>
      <c r="G8" s="187"/>
      <c r="H8" s="185"/>
      <c r="I8" s="186"/>
      <c r="J8" s="187"/>
      <c r="K8" s="185"/>
      <c r="L8" s="186"/>
      <c r="M8" s="187"/>
      <c r="N8" s="188"/>
      <c r="O8" s="188"/>
      <c r="P8" s="188"/>
    </row>
    <row r="9" spans="1:16" ht="15" customHeight="1">
      <c r="A9" s="189" t="s">
        <v>13</v>
      </c>
      <c r="B9" s="180">
        <f>Budget!F41</f>
        <v>56107.429166666669</v>
      </c>
      <c r="C9" s="181">
        <f>Budget!G41</f>
        <v>0</v>
      </c>
      <c r="D9" s="182">
        <f>Budget!H41</f>
        <v>56107.429166666669</v>
      </c>
      <c r="E9" s="180">
        <f>Budget!L41</f>
        <v>66647.127750000014</v>
      </c>
      <c r="F9" s="181">
        <f>Budget!M41</f>
        <v>0</v>
      </c>
      <c r="G9" s="182">
        <f>Budget!N41</f>
        <v>66647.127750000014</v>
      </c>
      <c r="H9" s="180">
        <f>Budget!R41</f>
        <v>69979.484137500011</v>
      </c>
      <c r="I9" s="181">
        <f>Budget!S41</f>
        <v>0</v>
      </c>
      <c r="J9" s="182">
        <f>Budget!T41</f>
        <v>69979.484137500011</v>
      </c>
      <c r="K9" s="180">
        <f>Budget!X41</f>
        <v>44089.052760703133</v>
      </c>
      <c r="L9" s="181">
        <f>Budget!Y41</f>
        <v>0</v>
      </c>
      <c r="M9" s="182">
        <f>Budget!Z41</f>
        <v>44089.052760703133</v>
      </c>
      <c r="N9" s="183">
        <f>Budget!AA41</f>
        <v>236823.09381486982</v>
      </c>
      <c r="O9" s="183">
        <f>Budget!AB41</f>
        <v>0</v>
      </c>
      <c r="P9" s="183">
        <f>Budget!AC41</f>
        <v>236823.09381486982</v>
      </c>
    </row>
    <row r="10" spans="1:16" ht="15" customHeight="1">
      <c r="A10" s="184"/>
      <c r="B10" s="185"/>
      <c r="C10" s="186"/>
      <c r="D10" s="187"/>
      <c r="E10" s="185"/>
      <c r="F10" s="186"/>
      <c r="G10" s="187"/>
      <c r="H10" s="185"/>
      <c r="I10" s="186"/>
      <c r="J10" s="187"/>
      <c r="K10" s="185"/>
      <c r="L10" s="186"/>
      <c r="M10" s="187"/>
      <c r="N10" s="188"/>
      <c r="O10" s="188"/>
      <c r="P10" s="188"/>
    </row>
    <row r="11" spans="1:16" ht="15" customHeight="1">
      <c r="A11" s="189" t="s">
        <v>14</v>
      </c>
      <c r="B11" s="180">
        <f>Budget!F64</f>
        <v>13735</v>
      </c>
      <c r="C11" s="181">
        <f>Budget!G64</f>
        <v>0</v>
      </c>
      <c r="D11" s="182">
        <f>Budget!H64</f>
        <v>13735</v>
      </c>
      <c r="E11" s="180">
        <f>Budget!L64</f>
        <v>16601.400000000001</v>
      </c>
      <c r="F11" s="181">
        <f>Budget!M64</f>
        <v>0</v>
      </c>
      <c r="G11" s="182">
        <f>Budget!N64</f>
        <v>16601.400000000001</v>
      </c>
      <c r="H11" s="180">
        <f>Budget!R64</f>
        <v>17034.162</v>
      </c>
      <c r="I11" s="181">
        <f>Budget!S64</f>
        <v>0</v>
      </c>
      <c r="J11" s="182">
        <f>Budget!T64</f>
        <v>17034.162</v>
      </c>
      <c r="K11" s="180">
        <f>Budget!X64</f>
        <v>13025.738734999999</v>
      </c>
      <c r="L11" s="181">
        <f>Budget!Y64</f>
        <v>0</v>
      </c>
      <c r="M11" s="182">
        <f>Budget!Z64</f>
        <v>13025.738734999999</v>
      </c>
      <c r="N11" s="183">
        <f>Budget!AA64</f>
        <v>60396.300735000004</v>
      </c>
      <c r="O11" s="183">
        <f>Budget!AB64</f>
        <v>0</v>
      </c>
      <c r="P11" s="183">
        <f>Budget!AC64</f>
        <v>60396.300735000004</v>
      </c>
    </row>
    <row r="12" spans="1:16" ht="15" customHeight="1">
      <c r="A12" s="190"/>
      <c r="B12" s="185"/>
      <c r="C12" s="186"/>
      <c r="D12" s="187"/>
      <c r="E12" s="185"/>
      <c r="F12" s="186"/>
      <c r="G12" s="187"/>
      <c r="H12" s="185"/>
      <c r="I12" s="186"/>
      <c r="J12" s="187"/>
      <c r="K12" s="185"/>
      <c r="L12" s="186"/>
      <c r="M12" s="187"/>
      <c r="N12" s="188"/>
      <c r="O12" s="188"/>
      <c r="P12" s="188"/>
    </row>
    <row r="13" spans="1:16" ht="15" customHeight="1">
      <c r="A13" s="189" t="s">
        <v>15</v>
      </c>
      <c r="B13" s="180">
        <f>Budget!F70</f>
        <v>0</v>
      </c>
      <c r="C13" s="181">
        <f>Budget!G70</f>
        <v>0</v>
      </c>
      <c r="D13" s="182">
        <f>Budget!H70</f>
        <v>0</v>
      </c>
      <c r="E13" s="180">
        <f>Budget!L70</f>
        <v>0</v>
      </c>
      <c r="F13" s="181">
        <f>Budget!M70</f>
        <v>0</v>
      </c>
      <c r="G13" s="182">
        <f>Budget!N70</f>
        <v>0</v>
      </c>
      <c r="H13" s="180">
        <f>Budget!R70</f>
        <v>0</v>
      </c>
      <c r="I13" s="181">
        <f>Budget!S70</f>
        <v>0</v>
      </c>
      <c r="J13" s="182">
        <f>Budget!T70</f>
        <v>0</v>
      </c>
      <c r="K13" s="180">
        <f>Budget!X70</f>
        <v>0</v>
      </c>
      <c r="L13" s="181">
        <f>Budget!Y70</f>
        <v>0</v>
      </c>
      <c r="M13" s="182">
        <f>Budget!Z70</f>
        <v>0</v>
      </c>
      <c r="N13" s="183">
        <f>Budget!AA70</f>
        <v>0</v>
      </c>
      <c r="O13" s="183">
        <f>Budget!AB70</f>
        <v>0</v>
      </c>
      <c r="P13" s="183">
        <f>Budget!AC70</f>
        <v>0</v>
      </c>
    </row>
    <row r="14" spans="1:16" ht="15" customHeight="1">
      <c r="A14" s="191"/>
      <c r="B14" s="185"/>
      <c r="C14" s="186"/>
      <c r="D14" s="187"/>
      <c r="E14" s="185"/>
      <c r="F14" s="186"/>
      <c r="G14" s="187"/>
      <c r="H14" s="185"/>
      <c r="I14" s="186"/>
      <c r="J14" s="187"/>
      <c r="K14" s="185"/>
      <c r="L14" s="186"/>
      <c r="M14" s="187"/>
      <c r="N14" s="188"/>
      <c r="O14" s="188"/>
      <c r="P14" s="188"/>
    </row>
    <row r="15" spans="1:16" ht="15" customHeight="1">
      <c r="A15" s="189" t="s">
        <v>16</v>
      </c>
      <c r="B15" s="180">
        <f>Budget!F85</f>
        <v>22000</v>
      </c>
      <c r="C15" s="181">
        <f>Budget!G85</f>
        <v>0</v>
      </c>
      <c r="D15" s="182">
        <f>Budget!H85</f>
        <v>22000</v>
      </c>
      <c r="E15" s="180">
        <f>Budget!L85</f>
        <v>4926</v>
      </c>
      <c r="F15" s="181">
        <f>Budget!M85</f>
        <v>0</v>
      </c>
      <c r="G15" s="182">
        <f>Budget!N85</f>
        <v>4926</v>
      </c>
      <c r="H15" s="180">
        <f>Budget!R85</f>
        <v>5055.42</v>
      </c>
      <c r="I15" s="181">
        <f>Budget!S85</f>
        <v>0</v>
      </c>
      <c r="J15" s="182">
        <f>Budget!T85</f>
        <v>5055.42</v>
      </c>
      <c r="K15" s="180">
        <f>Budget!X85</f>
        <v>3242.7221250000002</v>
      </c>
      <c r="L15" s="181">
        <f>Budget!Y85</f>
        <v>0</v>
      </c>
      <c r="M15" s="182">
        <f>Budget!Z85</f>
        <v>3242.7221250000002</v>
      </c>
      <c r="N15" s="183">
        <f>Budget!AA85</f>
        <v>35224.142124999998</v>
      </c>
      <c r="O15" s="183">
        <f>Budget!AB85</f>
        <v>0</v>
      </c>
      <c r="P15" s="183">
        <f>Budget!AC85</f>
        <v>35224.142124999998</v>
      </c>
    </row>
    <row r="16" spans="1:16" ht="15" customHeight="1">
      <c r="A16" s="191"/>
      <c r="B16" s="185"/>
      <c r="C16" s="186"/>
      <c r="D16" s="187"/>
      <c r="E16" s="185"/>
      <c r="F16" s="186"/>
      <c r="G16" s="187"/>
      <c r="H16" s="185"/>
      <c r="I16" s="186"/>
      <c r="J16" s="187"/>
      <c r="K16" s="185"/>
      <c r="L16" s="186"/>
      <c r="M16" s="187"/>
      <c r="N16" s="188"/>
      <c r="O16" s="188"/>
      <c r="P16" s="188"/>
    </row>
    <row r="17" spans="1:125" ht="15" customHeight="1">
      <c r="A17" s="189" t="s">
        <v>17</v>
      </c>
      <c r="B17" s="180">
        <f>Budget!F94</f>
        <v>103000</v>
      </c>
      <c r="C17" s="181">
        <f>Budget!G94</f>
        <v>0</v>
      </c>
      <c r="D17" s="182">
        <f>Budget!H94</f>
        <v>103000</v>
      </c>
      <c r="E17" s="180">
        <f>Budget!L94</f>
        <v>340000</v>
      </c>
      <c r="F17" s="181">
        <f>Budget!M94</f>
        <v>0</v>
      </c>
      <c r="G17" s="182">
        <f>Budget!N94</f>
        <v>340000</v>
      </c>
      <c r="H17" s="180">
        <f>Budget!R94</f>
        <v>340000</v>
      </c>
      <c r="I17" s="181">
        <f>Budget!S94</f>
        <v>0</v>
      </c>
      <c r="J17" s="182">
        <f>Budget!T94</f>
        <v>340000</v>
      </c>
      <c r="K17" s="180">
        <f>Budget!X94</f>
        <v>77000</v>
      </c>
      <c r="L17" s="181">
        <f>Budget!Y94</f>
        <v>0</v>
      </c>
      <c r="M17" s="182">
        <f>Budget!Z94</f>
        <v>77000</v>
      </c>
      <c r="N17" s="183">
        <f>Budget!AA94</f>
        <v>860000</v>
      </c>
      <c r="O17" s="183">
        <f>Budget!AB94</f>
        <v>0</v>
      </c>
      <c r="P17" s="183">
        <f>Budget!AC94</f>
        <v>860000</v>
      </c>
    </row>
    <row r="18" spans="1:125" ht="15" customHeight="1">
      <c r="A18" s="184"/>
      <c r="B18" s="185"/>
      <c r="C18" s="186"/>
      <c r="D18" s="187"/>
      <c r="E18" s="185"/>
      <c r="F18" s="186"/>
      <c r="G18" s="187"/>
      <c r="H18" s="185"/>
      <c r="I18" s="186"/>
      <c r="J18" s="187"/>
      <c r="K18" s="185"/>
      <c r="L18" s="186"/>
      <c r="M18" s="187"/>
      <c r="N18" s="188"/>
      <c r="O18" s="188"/>
      <c r="P18" s="188"/>
    </row>
    <row r="19" spans="1:125" ht="15" customHeight="1">
      <c r="A19" s="189" t="s">
        <v>18</v>
      </c>
      <c r="B19" s="180">
        <f>Budget!F132</f>
        <v>47825</v>
      </c>
      <c r="C19" s="181">
        <f>Budget!G132</f>
        <v>40000</v>
      </c>
      <c r="D19" s="182">
        <f>Budget!H132</f>
        <v>87825</v>
      </c>
      <c r="E19" s="180">
        <f>Budget!L132</f>
        <v>175081</v>
      </c>
      <c r="F19" s="181">
        <f>Budget!M132</f>
        <v>78250</v>
      </c>
      <c r="G19" s="182">
        <f>Budget!N132</f>
        <v>253331</v>
      </c>
      <c r="H19" s="180">
        <f>Budget!R132</f>
        <v>39986.730000000003</v>
      </c>
      <c r="I19" s="181">
        <f>Budget!S132</f>
        <v>19750</v>
      </c>
      <c r="J19" s="182">
        <f>Budget!T132</f>
        <v>59736.73</v>
      </c>
      <c r="K19" s="180">
        <f>Budget!X132</f>
        <v>58642.41635</v>
      </c>
      <c r="L19" s="181">
        <f>Budget!Y132</f>
        <v>13500</v>
      </c>
      <c r="M19" s="182">
        <f>Budget!Z132</f>
        <v>72142.41635</v>
      </c>
      <c r="N19" s="183">
        <f>Budget!AA132</f>
        <v>321535.14635000005</v>
      </c>
      <c r="O19" s="183">
        <f>Budget!AB132</f>
        <v>151500</v>
      </c>
      <c r="P19" s="183">
        <f>Budget!AC132</f>
        <v>473035.14635000005</v>
      </c>
    </row>
    <row r="20" spans="1:125" ht="15" customHeight="1">
      <c r="A20" s="192"/>
      <c r="B20" s="193"/>
      <c r="C20" s="194"/>
      <c r="D20" s="195"/>
      <c r="E20" s="193"/>
      <c r="F20" s="194"/>
      <c r="G20" s="195"/>
      <c r="H20" s="193"/>
      <c r="I20" s="194"/>
      <c r="J20" s="195"/>
      <c r="K20" s="193"/>
      <c r="L20" s="194"/>
      <c r="M20" s="195"/>
      <c r="N20" s="188"/>
      <c r="O20" s="188"/>
      <c r="P20" s="188"/>
    </row>
    <row r="21" spans="1:125" s="198" customFormat="1" ht="15" customHeight="1">
      <c r="A21" s="196" t="s">
        <v>19</v>
      </c>
      <c r="B21" s="197">
        <f>Budget!F134</f>
        <v>382188.26250000001</v>
      </c>
      <c r="C21" s="197">
        <f>Budget!G134</f>
        <v>40000</v>
      </c>
      <c r="D21" s="197">
        <f>Budget!H134</f>
        <v>422188.26250000001</v>
      </c>
      <c r="E21" s="197">
        <f>Budget!L134</f>
        <v>767055.52775000001</v>
      </c>
      <c r="F21" s="197">
        <f>Budget!M134</f>
        <v>78250</v>
      </c>
      <c r="G21" s="197">
        <f>Budget!N134</f>
        <v>845305.52775000001</v>
      </c>
      <c r="H21" s="197">
        <f>Budget!R134</f>
        <v>644045.79613749997</v>
      </c>
      <c r="I21" s="197">
        <f>Budget!S134</f>
        <v>19750</v>
      </c>
      <c r="J21" s="197">
        <f>Budget!T134</f>
        <v>663795.79613749997</v>
      </c>
      <c r="K21" s="197">
        <f>Budget!X134</f>
        <v>304322.2776269532</v>
      </c>
      <c r="L21" s="197">
        <f>Budget!Y134</f>
        <v>13500</v>
      </c>
      <c r="M21" s="197">
        <f>Budget!Z134</f>
        <v>317822.2776269532</v>
      </c>
      <c r="N21" s="197">
        <f>Budget!AA134</f>
        <v>2097611.8640144533</v>
      </c>
      <c r="O21" s="197">
        <f>Budget!AB134</f>
        <v>151500</v>
      </c>
      <c r="P21" s="197">
        <f>Budget!AC134</f>
        <v>2249111.8640144533</v>
      </c>
      <c r="Q21" s="161"/>
      <c r="R21" s="161"/>
      <c r="S21" s="161"/>
      <c r="T21" s="161"/>
      <c r="U21" s="161"/>
      <c r="V21" s="161"/>
      <c r="W21" s="161"/>
      <c r="X21" s="161"/>
      <c r="Y21" s="161"/>
      <c r="Z21" s="161"/>
      <c r="AA21" s="161"/>
      <c r="AB21" s="161"/>
      <c r="AC21" s="161"/>
      <c r="AD21" s="161"/>
      <c r="AE21" s="161"/>
      <c r="AF21" s="161"/>
      <c r="AG21" s="161"/>
      <c r="AH21" s="161"/>
      <c r="AI21" s="161"/>
      <c r="AJ21" s="161"/>
      <c r="AK21" s="161"/>
      <c r="AL21" s="161"/>
      <c r="AM21" s="161"/>
      <c r="AN21" s="161"/>
      <c r="AO21" s="161"/>
      <c r="AP21" s="161"/>
      <c r="AQ21" s="161"/>
      <c r="AR21" s="161"/>
      <c r="AS21" s="161"/>
      <c r="AT21" s="161"/>
      <c r="AU21" s="161"/>
      <c r="AV21" s="161"/>
      <c r="AW21" s="161"/>
      <c r="AX21" s="161"/>
      <c r="AY21" s="161"/>
      <c r="AZ21" s="161"/>
      <c r="BA21" s="161"/>
      <c r="BB21" s="161"/>
      <c r="BC21" s="161"/>
      <c r="BD21" s="161"/>
      <c r="BE21" s="161"/>
      <c r="BF21" s="161"/>
      <c r="BG21" s="161"/>
      <c r="BH21" s="161"/>
      <c r="BI21" s="161"/>
      <c r="BJ21" s="161"/>
      <c r="BK21" s="161"/>
      <c r="BL21" s="161"/>
      <c r="BM21" s="161"/>
      <c r="BN21" s="161"/>
      <c r="BO21" s="161"/>
      <c r="BP21" s="161"/>
      <c r="BQ21" s="161"/>
      <c r="BR21" s="161"/>
      <c r="BS21" s="161"/>
      <c r="BT21" s="161"/>
      <c r="BU21" s="161"/>
      <c r="BV21" s="161"/>
      <c r="BW21" s="161"/>
      <c r="BX21" s="161"/>
      <c r="BY21" s="161"/>
      <c r="BZ21" s="161"/>
      <c r="CA21" s="161"/>
      <c r="CB21" s="161"/>
      <c r="CC21" s="161"/>
      <c r="CD21" s="161"/>
      <c r="CE21" s="161"/>
      <c r="CF21" s="161"/>
      <c r="CG21" s="161"/>
      <c r="CH21" s="161"/>
      <c r="CI21" s="161"/>
      <c r="CJ21" s="161"/>
      <c r="CK21" s="161"/>
      <c r="CL21" s="161"/>
      <c r="CM21" s="161"/>
      <c r="CN21" s="161"/>
      <c r="CO21" s="161"/>
      <c r="CP21" s="161"/>
      <c r="CQ21" s="161"/>
      <c r="CR21" s="161"/>
      <c r="CS21" s="161"/>
      <c r="CT21" s="161"/>
      <c r="CU21" s="161"/>
      <c r="CV21" s="161"/>
      <c r="CW21" s="161"/>
      <c r="CX21" s="161"/>
      <c r="CY21" s="161"/>
      <c r="CZ21" s="161"/>
      <c r="DA21" s="161"/>
      <c r="DB21" s="161"/>
      <c r="DC21" s="161"/>
      <c r="DD21" s="161"/>
      <c r="DE21" s="161"/>
      <c r="DF21" s="161"/>
      <c r="DG21" s="161"/>
      <c r="DH21" s="161"/>
      <c r="DI21" s="161"/>
      <c r="DJ21" s="161"/>
      <c r="DK21" s="161"/>
      <c r="DL21" s="161"/>
      <c r="DM21" s="161"/>
      <c r="DN21" s="161"/>
      <c r="DO21" s="161"/>
      <c r="DP21" s="161"/>
      <c r="DQ21" s="161"/>
      <c r="DR21" s="161"/>
      <c r="DS21" s="161"/>
      <c r="DT21" s="161"/>
      <c r="DU21" s="161"/>
    </row>
    <row r="22" spans="1:125" s="198" customFormat="1" ht="15" customHeight="1">
      <c r="A22" s="198" t="s">
        <v>20</v>
      </c>
      <c r="B22" s="199">
        <f>Budget!F135</f>
        <v>108082.840635</v>
      </c>
      <c r="C22" s="199">
        <f>Budget!G135</f>
        <v>0</v>
      </c>
      <c r="D22" s="199">
        <f>Budget!H135</f>
        <v>108082.840635</v>
      </c>
      <c r="E22" s="199">
        <f>Budget!L135</f>
        <v>216923.30324770001</v>
      </c>
      <c r="F22" s="199">
        <f>Budget!M135</f>
        <v>0</v>
      </c>
      <c r="G22" s="199">
        <f>Budget!N135</f>
        <v>216923.30324770001</v>
      </c>
      <c r="H22" s="199">
        <f>Budget!R135</f>
        <v>182136.15114768498</v>
      </c>
      <c r="I22" s="199">
        <f>Budget!S135</f>
        <v>0</v>
      </c>
      <c r="J22" s="199">
        <f>Budget!T135</f>
        <v>182136.15114768498</v>
      </c>
      <c r="K22" s="199">
        <f>Budget!X135</f>
        <v>86062.34011290237</v>
      </c>
      <c r="L22" s="199">
        <f>Budget!Y135</f>
        <v>0</v>
      </c>
      <c r="M22" s="199">
        <f>Budget!Z135</f>
        <v>86062.34011290237</v>
      </c>
      <c r="N22" s="199">
        <f>Budget!AA135</f>
        <v>593204.63514328736</v>
      </c>
      <c r="O22" s="199">
        <f>Budget!AB135</f>
        <v>0</v>
      </c>
      <c r="P22" s="199">
        <f>Budget!AC135</f>
        <v>593204.63514328736</v>
      </c>
      <c r="Q22" s="161"/>
      <c r="R22" s="161"/>
      <c r="S22" s="161"/>
      <c r="T22" s="161"/>
      <c r="U22" s="161"/>
      <c r="V22" s="161"/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  <c r="AH22" s="161"/>
      <c r="AI22" s="161"/>
      <c r="AJ22" s="161"/>
      <c r="AK22" s="161"/>
      <c r="AL22" s="161"/>
      <c r="AM22" s="161"/>
      <c r="AN22" s="161"/>
      <c r="AO22" s="161"/>
      <c r="AP22" s="161"/>
      <c r="AQ22" s="161"/>
      <c r="AR22" s="161"/>
      <c r="AS22" s="161"/>
      <c r="AT22" s="161"/>
      <c r="AU22" s="161"/>
      <c r="AV22" s="161"/>
      <c r="AW22" s="161"/>
      <c r="AX22" s="161"/>
      <c r="AY22" s="161"/>
      <c r="AZ22" s="161"/>
      <c r="BA22" s="161"/>
      <c r="BB22" s="161"/>
      <c r="BC22" s="161"/>
      <c r="BD22" s="161"/>
      <c r="BE22" s="161"/>
      <c r="BF22" s="161"/>
      <c r="BG22" s="161"/>
      <c r="BH22" s="161"/>
      <c r="BI22" s="161"/>
      <c r="BJ22" s="161"/>
      <c r="BK22" s="161"/>
      <c r="BL22" s="161"/>
      <c r="BM22" s="161"/>
      <c r="BN22" s="161"/>
      <c r="BO22" s="161"/>
      <c r="BP22" s="161"/>
      <c r="BQ22" s="161"/>
      <c r="BR22" s="161"/>
      <c r="BS22" s="161"/>
      <c r="BT22" s="161"/>
      <c r="BU22" s="161"/>
      <c r="BV22" s="161"/>
      <c r="BW22" s="161"/>
      <c r="BX22" s="161"/>
      <c r="BY22" s="161"/>
      <c r="BZ22" s="161"/>
      <c r="CA22" s="161"/>
      <c r="CB22" s="161"/>
      <c r="CC22" s="161"/>
      <c r="CD22" s="161"/>
      <c r="CE22" s="161"/>
      <c r="CF22" s="161"/>
      <c r="CG22" s="161"/>
      <c r="CH22" s="161"/>
      <c r="CI22" s="161"/>
      <c r="CJ22" s="161"/>
      <c r="CK22" s="161"/>
      <c r="CL22" s="161"/>
      <c r="CM22" s="161"/>
      <c r="CN22" s="161"/>
      <c r="CO22" s="161"/>
      <c r="CP22" s="161"/>
      <c r="CQ22" s="161"/>
      <c r="CR22" s="161"/>
      <c r="CS22" s="161"/>
      <c r="CT22" s="161"/>
      <c r="CU22" s="161"/>
      <c r="CV22" s="161"/>
      <c r="CW22" s="161"/>
      <c r="CX22" s="161"/>
      <c r="CY22" s="161"/>
      <c r="CZ22" s="161"/>
      <c r="DA22" s="161"/>
      <c r="DB22" s="161"/>
      <c r="DC22" s="161"/>
      <c r="DD22" s="161"/>
      <c r="DE22" s="161"/>
      <c r="DF22" s="161"/>
      <c r="DG22" s="161"/>
      <c r="DH22" s="161"/>
      <c r="DI22" s="161"/>
      <c r="DJ22" s="161"/>
      <c r="DK22" s="161"/>
      <c r="DL22" s="161"/>
      <c r="DM22" s="161"/>
      <c r="DN22" s="161"/>
      <c r="DO22" s="161"/>
      <c r="DP22" s="161"/>
      <c r="DQ22" s="161"/>
      <c r="DR22" s="161"/>
      <c r="DS22" s="161"/>
      <c r="DT22" s="161"/>
      <c r="DU22" s="161"/>
    </row>
    <row r="23" spans="1:125" s="201" customFormat="1" ht="15" customHeight="1">
      <c r="A23" s="196" t="s">
        <v>7</v>
      </c>
      <c r="B23" s="200">
        <f>Budget!F136</f>
        <v>490271.10313499998</v>
      </c>
      <c r="C23" s="200">
        <f>Budget!G136</f>
        <v>40000</v>
      </c>
      <c r="D23" s="200">
        <f>Budget!H136</f>
        <v>530271.10313499998</v>
      </c>
      <c r="E23" s="200">
        <f>Budget!L136</f>
        <v>983978.83099769999</v>
      </c>
      <c r="F23" s="200">
        <f>Budget!M136</f>
        <v>78250</v>
      </c>
      <c r="G23" s="200">
        <f>Budget!N136</f>
        <v>1062228.8309977001</v>
      </c>
      <c r="H23" s="200">
        <f>Budget!R136</f>
        <v>826181.94728518499</v>
      </c>
      <c r="I23" s="200">
        <f>Budget!S136</f>
        <v>19750</v>
      </c>
      <c r="J23" s="200">
        <f>Budget!T136</f>
        <v>845931.94728518499</v>
      </c>
      <c r="K23" s="200">
        <f>Budget!X136</f>
        <v>390384.61773985554</v>
      </c>
      <c r="L23" s="200">
        <f>Budget!Y136</f>
        <v>13500</v>
      </c>
      <c r="M23" s="200">
        <f>Budget!Z136</f>
        <v>403884.61773985554</v>
      </c>
      <c r="N23" s="200">
        <f>Budget!AA136</f>
        <v>2690816.4991577403</v>
      </c>
      <c r="O23" s="200">
        <f>Budget!AB136</f>
        <v>151500</v>
      </c>
      <c r="P23" s="200">
        <f>Budget!AC136</f>
        <v>2842316.4991577403</v>
      </c>
      <c r="Q23" s="162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2"/>
      <c r="AF23" s="162"/>
      <c r="AG23" s="162"/>
      <c r="AH23" s="162"/>
      <c r="AI23" s="162"/>
      <c r="AJ23" s="162"/>
      <c r="AK23" s="162"/>
      <c r="AL23" s="162"/>
      <c r="AM23" s="162"/>
      <c r="AN23" s="162"/>
      <c r="AO23" s="162"/>
      <c r="AP23" s="162"/>
      <c r="AQ23" s="162"/>
      <c r="AR23" s="162"/>
      <c r="AS23" s="162"/>
      <c r="AT23" s="162"/>
      <c r="AU23" s="162"/>
      <c r="AV23" s="162"/>
      <c r="AW23" s="162"/>
      <c r="AX23" s="162"/>
      <c r="AY23" s="162"/>
      <c r="AZ23" s="162"/>
      <c r="BA23" s="162"/>
      <c r="BB23" s="162"/>
      <c r="BC23" s="162"/>
      <c r="BD23" s="162"/>
      <c r="BE23" s="162"/>
      <c r="BF23" s="162"/>
      <c r="BG23" s="162"/>
      <c r="BH23" s="162"/>
      <c r="BI23" s="162"/>
      <c r="BJ23" s="162"/>
      <c r="BK23" s="162"/>
      <c r="BL23" s="162"/>
      <c r="BM23" s="162"/>
      <c r="BN23" s="162"/>
      <c r="BO23" s="162"/>
      <c r="BP23" s="162"/>
      <c r="BQ23" s="162"/>
      <c r="BR23" s="162"/>
      <c r="BS23" s="162"/>
      <c r="BT23" s="162"/>
      <c r="BU23" s="162"/>
      <c r="BV23" s="162"/>
      <c r="BW23" s="162"/>
      <c r="BX23" s="162"/>
      <c r="BY23" s="162"/>
      <c r="BZ23" s="162"/>
      <c r="CA23" s="162"/>
      <c r="CB23" s="162"/>
      <c r="CC23" s="162"/>
      <c r="CD23" s="162"/>
      <c r="CE23" s="162"/>
      <c r="CF23" s="162"/>
      <c r="CG23" s="162"/>
      <c r="CH23" s="162"/>
      <c r="CI23" s="162"/>
      <c r="CJ23" s="162"/>
      <c r="CK23" s="162"/>
      <c r="CL23" s="162"/>
      <c r="CM23" s="162"/>
      <c r="CN23" s="162"/>
      <c r="CO23" s="162"/>
      <c r="CP23" s="162"/>
      <c r="CQ23" s="162"/>
      <c r="CR23" s="162"/>
      <c r="CS23" s="162"/>
      <c r="CT23" s="162"/>
      <c r="CU23" s="162"/>
      <c r="CV23" s="162"/>
      <c r="CW23" s="162"/>
      <c r="CX23" s="162"/>
      <c r="CY23" s="162"/>
      <c r="CZ23" s="162"/>
      <c r="DA23" s="162"/>
      <c r="DB23" s="162"/>
      <c r="DC23" s="162"/>
      <c r="DD23" s="162"/>
      <c r="DE23" s="162"/>
      <c r="DF23" s="162"/>
      <c r="DG23" s="162"/>
      <c r="DH23" s="162"/>
      <c r="DI23" s="162"/>
      <c r="DJ23" s="162"/>
      <c r="DK23" s="162"/>
      <c r="DL23" s="162"/>
      <c r="DM23" s="162"/>
      <c r="DN23" s="162"/>
      <c r="DO23" s="162"/>
      <c r="DP23" s="162"/>
      <c r="DQ23" s="162"/>
      <c r="DR23" s="162"/>
      <c r="DS23" s="162"/>
      <c r="DT23" s="162"/>
      <c r="DU23" s="162"/>
    </row>
    <row r="24" spans="1:125" s="202" customFormat="1" ht="15" customHeight="1"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162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2"/>
      <c r="AF24" s="162"/>
      <c r="AG24" s="162"/>
      <c r="AH24" s="162"/>
      <c r="AI24" s="162"/>
      <c r="AJ24" s="162"/>
      <c r="AK24" s="162"/>
      <c r="AL24" s="162"/>
      <c r="AM24" s="162"/>
      <c r="AN24" s="162"/>
      <c r="AO24" s="162"/>
      <c r="AP24" s="162"/>
      <c r="AQ24" s="162"/>
      <c r="AR24" s="162"/>
      <c r="AS24" s="162"/>
      <c r="AT24" s="162"/>
      <c r="AU24" s="162"/>
      <c r="AV24" s="162"/>
      <c r="AW24" s="162"/>
      <c r="AX24" s="162"/>
      <c r="AY24" s="162"/>
      <c r="AZ24" s="162"/>
      <c r="BA24" s="162"/>
      <c r="BB24" s="162"/>
      <c r="BC24" s="162"/>
      <c r="BD24" s="162"/>
      <c r="BE24" s="162"/>
      <c r="BF24" s="162"/>
      <c r="BG24" s="162"/>
      <c r="BH24" s="162"/>
      <c r="BI24" s="162"/>
      <c r="BJ24" s="162"/>
      <c r="BK24" s="162"/>
      <c r="BL24" s="162"/>
      <c r="BM24" s="162"/>
      <c r="BN24" s="162"/>
      <c r="BO24" s="162"/>
      <c r="BP24" s="162"/>
      <c r="BQ24" s="162"/>
      <c r="BR24" s="162"/>
      <c r="BS24" s="162"/>
      <c r="BT24" s="162"/>
      <c r="BU24" s="162"/>
      <c r="BV24" s="162"/>
      <c r="BW24" s="162"/>
      <c r="BX24" s="162"/>
      <c r="BY24" s="162"/>
      <c r="BZ24" s="162"/>
      <c r="CA24" s="162"/>
      <c r="CB24" s="162"/>
      <c r="CC24" s="162"/>
      <c r="CD24" s="162"/>
      <c r="CE24" s="162"/>
      <c r="CF24" s="162"/>
      <c r="CG24" s="162"/>
      <c r="CH24" s="162"/>
      <c r="CI24" s="162"/>
      <c r="CJ24" s="162"/>
      <c r="CK24" s="162"/>
      <c r="CL24" s="162"/>
      <c r="CM24" s="162"/>
      <c r="CN24" s="162"/>
      <c r="CO24" s="162"/>
      <c r="CP24" s="162"/>
      <c r="CQ24" s="162"/>
      <c r="CR24" s="162"/>
      <c r="CS24" s="162"/>
      <c r="CT24" s="162"/>
      <c r="CU24" s="162"/>
      <c r="CV24" s="162"/>
      <c r="CW24" s="162"/>
      <c r="CX24" s="162"/>
      <c r="CY24" s="162"/>
      <c r="CZ24" s="162"/>
      <c r="DA24" s="162"/>
      <c r="DB24" s="162"/>
      <c r="DC24" s="162"/>
      <c r="DD24" s="162"/>
      <c r="DE24" s="162"/>
      <c r="DF24" s="162"/>
      <c r="DG24" s="162"/>
      <c r="DH24" s="162"/>
      <c r="DI24" s="162"/>
      <c r="DJ24" s="162"/>
      <c r="DK24" s="162"/>
      <c r="DL24" s="162"/>
      <c r="DM24" s="162"/>
      <c r="DN24" s="162"/>
      <c r="DO24" s="162"/>
      <c r="DP24" s="162"/>
      <c r="DQ24" s="162"/>
      <c r="DR24" s="162"/>
      <c r="DS24" s="162"/>
      <c r="DT24" s="162"/>
      <c r="DU24" s="162"/>
    </row>
    <row r="25" spans="1:125" ht="15" customHeight="1">
      <c r="O25" s="248"/>
    </row>
    <row r="27" spans="1:125" ht="15" customHeight="1">
      <c r="O27" s="251"/>
    </row>
  </sheetData>
  <mergeCells count="6">
    <mergeCell ref="B1:P1"/>
    <mergeCell ref="B2:P2"/>
    <mergeCell ref="K4:M4"/>
    <mergeCell ref="B4:D4"/>
    <mergeCell ref="E4:G4"/>
    <mergeCell ref="H4:J4"/>
  </mergeCells>
  <phoneticPr fontId="6" type="noConversion"/>
  <pageMargins left="0.25" right="0.25" top="0.75" bottom="0.75" header="0.3" footer="0.3"/>
  <pageSetup paperSize="5" scale="86" fitToHeight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138"/>
  <sheetViews>
    <sheetView zoomScale="70" zoomScaleNormal="70" workbookViewId="0">
      <pane xSplit="1" ySplit="12" topLeftCell="B111" activePane="bottomRight" state="frozen"/>
      <selection pane="topRight" activeCell="B1" sqref="B1"/>
      <selection pane="bottomLeft" activeCell="A14" sqref="A14"/>
      <selection pane="bottomRight" activeCell="A123" sqref="A123:XFD123"/>
    </sheetView>
  </sheetViews>
  <sheetFormatPr defaultColWidth="9.1640625" defaultRowHeight="12.6" outlineLevelCol="1"/>
  <cols>
    <col min="1" max="1" width="43.1640625" style="1" customWidth="1"/>
    <col min="2" max="2" width="7.44140625" style="1" customWidth="1" outlineLevel="1"/>
    <col min="3" max="3" width="8.1640625" style="1" customWidth="1" outlineLevel="1"/>
    <col min="4" max="4" width="8.44140625" style="1" customWidth="1" outlineLevel="1"/>
    <col min="5" max="5" width="9.83203125" style="1" customWidth="1" outlineLevel="1"/>
    <col min="6" max="6" width="9.5546875" style="1" customWidth="1" outlineLevel="1"/>
    <col min="7" max="7" width="8.44140625" style="1" customWidth="1" outlineLevel="1"/>
    <col min="8" max="8" width="9.5546875" style="1" customWidth="1" outlineLevel="1"/>
    <col min="9" max="9" width="5.1640625" style="1" customWidth="1"/>
    <col min="10" max="10" width="8.1640625" style="1" customWidth="1"/>
    <col min="11" max="11" width="8.44140625" style="1" customWidth="1"/>
    <col min="12" max="12" width="9.5546875" style="1" customWidth="1"/>
    <col min="13" max="13" width="8.44140625" style="1" customWidth="1"/>
    <col min="14" max="14" width="11.44140625" style="1" customWidth="1"/>
    <col min="15" max="15" width="5.1640625" style="1" customWidth="1"/>
    <col min="16" max="16" width="8.1640625" style="1" customWidth="1"/>
    <col min="17" max="17" width="8.44140625" style="1" customWidth="1"/>
    <col min="18" max="18" width="8.83203125" style="1" customWidth="1"/>
    <col min="19" max="19" width="8.44140625" style="1" customWidth="1"/>
    <col min="20" max="20" width="8.83203125" style="1" customWidth="1"/>
    <col min="21" max="21" width="5.1640625" style="1" customWidth="1"/>
    <col min="22" max="22" width="8.1640625" style="1" customWidth="1"/>
    <col min="23" max="23" width="8.44140625" style="1" customWidth="1"/>
    <col min="24" max="24" width="8.83203125" style="1" customWidth="1"/>
    <col min="25" max="25" width="8.44140625" style="1" customWidth="1"/>
    <col min="26" max="26" width="8.83203125" style="1" customWidth="1"/>
    <col min="27" max="27" width="11.44140625" style="1" bestFit="1" customWidth="1"/>
    <col min="28" max="28" width="8.83203125" style="1" customWidth="1"/>
    <col min="29" max="29" width="9.83203125" style="1" customWidth="1"/>
    <col min="30" max="16384" width="9.1640625" style="1"/>
  </cols>
  <sheetData>
    <row r="1" spans="1:29" ht="15">
      <c r="B1" s="260" t="s">
        <v>0</v>
      </c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1"/>
      <c r="W1" s="261"/>
      <c r="X1" s="261"/>
      <c r="Y1" s="261"/>
      <c r="Z1" s="261"/>
      <c r="AA1" s="261"/>
      <c r="AB1" s="261"/>
      <c r="AC1" s="261"/>
    </row>
    <row r="2" spans="1:29" ht="15">
      <c r="B2" s="260" t="s">
        <v>1</v>
      </c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1"/>
      <c r="W2" s="261"/>
      <c r="X2" s="261"/>
      <c r="Y2" s="261"/>
      <c r="Z2" s="261"/>
      <c r="AA2" s="261"/>
      <c r="AB2" s="261"/>
      <c r="AC2" s="261"/>
    </row>
    <row r="3" spans="1:29" ht="15">
      <c r="B3" s="260" t="s">
        <v>21</v>
      </c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1"/>
      <c r="P3" s="261"/>
      <c r="Q3" s="261"/>
      <c r="R3" s="261"/>
      <c r="S3" s="261"/>
      <c r="T3" s="261"/>
      <c r="U3" s="261"/>
      <c r="V3" s="261"/>
      <c r="W3" s="261"/>
      <c r="X3" s="261"/>
      <c r="Y3" s="261"/>
      <c r="Z3" s="261"/>
      <c r="AA3" s="261"/>
      <c r="AB3" s="261"/>
      <c r="AC3" s="261"/>
    </row>
    <row r="4" spans="1:29" ht="15">
      <c r="B4" s="260" t="s">
        <v>22</v>
      </c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  <c r="N4" s="261"/>
      <c r="O4" s="261"/>
      <c r="P4" s="261"/>
      <c r="Q4" s="261"/>
      <c r="R4" s="261"/>
      <c r="S4" s="261"/>
      <c r="T4" s="261"/>
      <c r="U4" s="261"/>
      <c r="V4" s="261"/>
      <c r="W4" s="261"/>
      <c r="X4" s="261"/>
      <c r="Y4" s="261"/>
      <c r="Z4" s="261"/>
      <c r="AA4" s="261"/>
      <c r="AB4" s="261"/>
      <c r="AC4" s="261"/>
    </row>
    <row r="5" spans="1:29">
      <c r="A5" s="11" t="s">
        <v>23</v>
      </c>
      <c r="B5" s="2"/>
      <c r="C5" s="2"/>
      <c r="D5" s="2"/>
      <c r="E5" s="2"/>
      <c r="F5" s="2"/>
      <c r="G5" s="2"/>
      <c r="H5" s="230"/>
      <c r="I5" s="23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9">
      <c r="A6" s="3" t="s">
        <v>24</v>
      </c>
      <c r="B6" s="4">
        <v>1.02</v>
      </c>
      <c r="C6" s="6"/>
      <c r="D6" s="2"/>
      <c r="E6" s="2"/>
      <c r="F6" s="2"/>
      <c r="G6" s="5"/>
      <c r="H6" s="230"/>
      <c r="I6" s="233"/>
      <c r="J6" s="5"/>
      <c r="K6" s="5"/>
      <c r="L6" s="5"/>
      <c r="M6" s="5"/>
      <c r="N6" s="5"/>
      <c r="O6" s="5"/>
      <c r="P6" s="5"/>
      <c r="Q6" s="5"/>
      <c r="R6" s="5"/>
      <c r="S6" s="5"/>
      <c r="T6" s="2"/>
      <c r="U6" s="2"/>
      <c r="V6" s="2"/>
    </row>
    <row r="7" spans="1:29">
      <c r="A7" s="3" t="s">
        <v>25</v>
      </c>
      <c r="B7" s="4">
        <v>1.03</v>
      </c>
      <c r="C7" s="6"/>
      <c r="D7" s="6"/>
      <c r="E7" s="6"/>
      <c r="F7" s="7"/>
      <c r="G7" s="36"/>
      <c r="H7" s="231"/>
      <c r="I7" s="233"/>
      <c r="J7" s="36"/>
      <c r="K7" s="8"/>
      <c r="L7" s="36"/>
      <c r="M7" s="36"/>
      <c r="N7" s="8"/>
      <c r="O7" s="36"/>
      <c r="P7" s="36"/>
      <c r="Q7" s="8"/>
      <c r="R7" s="36"/>
      <c r="S7" s="36"/>
      <c r="T7" s="36"/>
      <c r="U7" s="36"/>
      <c r="V7" s="36"/>
    </row>
    <row r="8" spans="1:29">
      <c r="A8" s="3" t="s">
        <v>26</v>
      </c>
      <c r="B8" s="4">
        <v>1.05</v>
      </c>
      <c r="C8" s="6"/>
      <c r="D8" s="6"/>
      <c r="E8" s="6"/>
      <c r="F8" s="7"/>
      <c r="G8" s="36"/>
      <c r="H8" s="231"/>
      <c r="I8" s="233"/>
      <c r="J8" s="36"/>
      <c r="K8" s="8"/>
      <c r="L8" s="36"/>
      <c r="M8" s="36"/>
      <c r="N8" s="8"/>
      <c r="O8" s="36"/>
      <c r="P8" s="36"/>
      <c r="Q8" s="8"/>
      <c r="R8" s="36"/>
      <c r="S8" s="36"/>
      <c r="T8" s="36"/>
      <c r="U8" s="36"/>
      <c r="V8" s="36"/>
    </row>
    <row r="9" spans="1:29">
      <c r="A9" s="12"/>
      <c r="B9" s="102"/>
      <c r="C9" s="102"/>
      <c r="D9" s="220"/>
      <c r="E9" s="102"/>
      <c r="F9" s="102"/>
      <c r="G9" s="102"/>
      <c r="H9" s="232"/>
      <c r="I9" s="233"/>
      <c r="J9" s="102"/>
      <c r="K9" s="102"/>
      <c r="L9" s="102"/>
      <c r="M9" s="102"/>
      <c r="N9" s="102"/>
      <c r="O9" s="102"/>
      <c r="P9" s="102"/>
      <c r="Q9" s="102"/>
      <c r="R9" s="102"/>
    </row>
    <row r="10" spans="1:29" ht="12.9" thickBot="1">
      <c r="A10" s="44" t="s">
        <v>27</v>
      </c>
      <c r="B10" s="36"/>
      <c r="D10" s="13"/>
      <c r="E10" s="14"/>
      <c r="G10" s="15"/>
      <c r="H10" s="232"/>
      <c r="I10" s="233"/>
    </row>
    <row r="11" spans="1:29" ht="23.5" customHeight="1" thickBot="1">
      <c r="A11" s="226" t="s">
        <v>2</v>
      </c>
      <c r="B11" s="103"/>
      <c r="C11" s="104"/>
      <c r="D11" s="104"/>
      <c r="E11" s="104"/>
      <c r="F11" s="16" t="s">
        <v>3</v>
      </c>
      <c r="G11" s="16"/>
      <c r="H11" s="17"/>
      <c r="I11" s="103"/>
      <c r="J11" s="104"/>
      <c r="K11" s="104"/>
      <c r="L11" s="16" t="s">
        <v>4</v>
      </c>
      <c r="M11" s="16"/>
      <c r="N11" s="17"/>
      <c r="O11" s="257" t="s">
        <v>5</v>
      </c>
      <c r="P11" s="258"/>
      <c r="Q11" s="258"/>
      <c r="R11" s="258"/>
      <c r="S11" s="258"/>
      <c r="T11" s="259"/>
      <c r="U11" s="103"/>
      <c r="V11" s="104"/>
      <c r="W11" s="104"/>
      <c r="X11" s="16" t="s">
        <v>6</v>
      </c>
      <c r="Y11" s="16"/>
      <c r="Z11" s="17"/>
      <c r="AA11" s="18" t="s">
        <v>7</v>
      </c>
      <c r="AB11" s="18" t="s">
        <v>8</v>
      </c>
      <c r="AC11" s="18" t="s">
        <v>9</v>
      </c>
    </row>
    <row r="12" spans="1:29" ht="12.9" thickBot="1">
      <c r="A12" s="105"/>
      <c r="B12" s="106" t="s">
        <v>28</v>
      </c>
      <c r="C12" s="107" t="s">
        <v>29</v>
      </c>
      <c r="D12" s="107" t="s">
        <v>30</v>
      </c>
      <c r="E12" s="107" t="s">
        <v>31</v>
      </c>
      <c r="F12" s="108" t="s">
        <v>10</v>
      </c>
      <c r="G12" s="107" t="s">
        <v>11</v>
      </c>
      <c r="H12" s="109" t="s">
        <v>8</v>
      </c>
      <c r="I12" s="106" t="s">
        <v>28</v>
      </c>
      <c r="J12" s="107" t="s">
        <v>29</v>
      </c>
      <c r="K12" s="107" t="s">
        <v>30</v>
      </c>
      <c r="L12" s="108" t="s">
        <v>10</v>
      </c>
      <c r="M12" s="107" t="s">
        <v>11</v>
      </c>
      <c r="N12" s="109" t="s">
        <v>8</v>
      </c>
      <c r="O12" s="106" t="s">
        <v>28</v>
      </c>
      <c r="P12" s="107" t="s">
        <v>29</v>
      </c>
      <c r="Q12" s="107" t="s">
        <v>30</v>
      </c>
      <c r="R12" s="108" t="s">
        <v>10</v>
      </c>
      <c r="S12" s="107" t="s">
        <v>11</v>
      </c>
      <c r="T12" s="109" t="s">
        <v>8</v>
      </c>
      <c r="U12" s="106" t="s">
        <v>28</v>
      </c>
      <c r="V12" s="107" t="s">
        <v>29</v>
      </c>
      <c r="W12" s="107" t="s">
        <v>30</v>
      </c>
      <c r="X12" s="108" t="s">
        <v>10</v>
      </c>
      <c r="Y12" s="107" t="s">
        <v>11</v>
      </c>
      <c r="Z12" s="109" t="s">
        <v>8</v>
      </c>
      <c r="AA12" s="110" t="s">
        <v>10</v>
      </c>
      <c r="AB12" s="105" t="s">
        <v>11</v>
      </c>
      <c r="AC12" s="110" t="s">
        <v>7</v>
      </c>
    </row>
    <row r="13" spans="1:29">
      <c r="A13" s="250"/>
      <c r="B13" s="111"/>
      <c r="C13" s="20"/>
      <c r="D13" s="20"/>
      <c r="E13" s="20"/>
      <c r="F13" s="19"/>
      <c r="G13" s="20"/>
      <c r="H13" s="21"/>
      <c r="I13" s="111"/>
      <c r="J13" s="20"/>
      <c r="K13" s="20"/>
      <c r="L13" s="19"/>
      <c r="M13" s="20"/>
      <c r="N13" s="21"/>
      <c r="O13" s="111"/>
      <c r="P13" s="20"/>
      <c r="Q13" s="20"/>
      <c r="R13" s="19"/>
      <c r="S13" s="20"/>
      <c r="T13" s="21"/>
      <c r="U13" s="111"/>
      <c r="V13" s="20"/>
      <c r="W13" s="20"/>
      <c r="X13" s="19"/>
      <c r="Y13" s="20"/>
      <c r="Z13" s="21"/>
      <c r="AA13" s="221"/>
      <c r="AB13" s="222"/>
      <c r="AC13" s="221"/>
    </row>
    <row r="14" spans="1:29">
      <c r="A14" s="22" t="s">
        <v>12</v>
      </c>
      <c r="B14" s="112"/>
      <c r="C14" s="113"/>
      <c r="D14" s="113"/>
      <c r="E14" s="113"/>
      <c r="F14" s="23"/>
      <c r="G14" s="24"/>
      <c r="H14" s="25"/>
      <c r="I14" s="112"/>
      <c r="J14" s="113"/>
      <c r="K14" s="113"/>
      <c r="L14" s="23"/>
      <c r="M14" s="24"/>
      <c r="N14" s="25"/>
      <c r="O14" s="112"/>
      <c r="P14" s="113"/>
      <c r="Q14" s="113"/>
      <c r="R14" s="23"/>
      <c r="S14" s="24"/>
      <c r="T14" s="25"/>
      <c r="U14" s="112"/>
      <c r="V14" s="113"/>
      <c r="W14" s="113"/>
      <c r="X14" s="23"/>
      <c r="Y14" s="24"/>
      <c r="Z14" s="25"/>
      <c r="AA14" s="26"/>
      <c r="AB14" s="24"/>
      <c r="AC14" s="26"/>
    </row>
    <row r="15" spans="1:29">
      <c r="A15" s="27" t="s">
        <v>32</v>
      </c>
      <c r="B15" s="114" t="s">
        <v>33</v>
      </c>
      <c r="C15" s="115"/>
      <c r="D15" s="115"/>
      <c r="E15" s="115"/>
      <c r="F15" s="28"/>
      <c r="G15" s="29"/>
      <c r="H15" s="30"/>
      <c r="I15" s="116"/>
      <c r="J15" s="115"/>
      <c r="K15" s="115"/>
      <c r="L15" s="28"/>
      <c r="M15" s="29"/>
      <c r="N15" s="30"/>
      <c r="O15" s="117"/>
      <c r="P15" s="115"/>
      <c r="Q15" s="115"/>
      <c r="R15" s="28"/>
      <c r="S15" s="29"/>
      <c r="T15" s="30"/>
      <c r="U15" s="116"/>
      <c r="V15" s="115"/>
      <c r="W15" s="115"/>
      <c r="X15" s="28"/>
      <c r="Y15" s="29"/>
      <c r="Z15" s="30"/>
      <c r="AA15" s="31"/>
      <c r="AB15" s="29"/>
      <c r="AC15" s="31"/>
    </row>
    <row r="16" spans="1:29">
      <c r="A16" s="32" t="s">
        <v>35</v>
      </c>
      <c r="B16" s="234">
        <v>0.1</v>
      </c>
      <c r="C16" s="33">
        <f>120000/12</f>
        <v>10000</v>
      </c>
      <c r="D16" s="34">
        <v>12</v>
      </c>
      <c r="E16" s="1" t="s">
        <v>34</v>
      </c>
      <c r="F16" s="35">
        <f>D16*C16*B16</f>
        <v>12000</v>
      </c>
      <c r="G16" s="36">
        <v>0</v>
      </c>
      <c r="H16" s="37">
        <f>SUM(F16:G16)</f>
        <v>12000</v>
      </c>
      <c r="I16" s="234">
        <f>B16</f>
        <v>0.1</v>
      </c>
      <c r="J16" s="36">
        <f>C16*$B$8</f>
        <v>10500</v>
      </c>
      <c r="K16" s="1">
        <v>12</v>
      </c>
      <c r="L16" s="35">
        <f>I16*J16*K16</f>
        <v>12600</v>
      </c>
      <c r="M16" s="36">
        <v>0</v>
      </c>
      <c r="N16" s="37">
        <f>SUM(L16:M16)</f>
        <v>12600</v>
      </c>
      <c r="O16" s="234">
        <f>B16</f>
        <v>0.1</v>
      </c>
      <c r="P16" s="36">
        <f>C16*$B$8*$B$8</f>
        <v>11025</v>
      </c>
      <c r="Q16" s="1">
        <v>12</v>
      </c>
      <c r="R16" s="35">
        <f>O16*P16*Q16</f>
        <v>13230</v>
      </c>
      <c r="S16" s="36">
        <v>0</v>
      </c>
      <c r="T16" s="37">
        <f>SUM(R16:S16)</f>
        <v>13230</v>
      </c>
      <c r="U16" s="234">
        <f>O16</f>
        <v>0.1</v>
      </c>
      <c r="V16" s="36">
        <f>C16*$B$8*$B$8*$B$8</f>
        <v>11576.25</v>
      </c>
      <c r="W16" s="1">
        <v>7.5</v>
      </c>
      <c r="X16" s="35">
        <f>U16*V16*W16</f>
        <v>8682.1875</v>
      </c>
      <c r="Y16" s="36">
        <v>0</v>
      </c>
      <c r="Z16" s="37">
        <f>SUM(X16:Y16)</f>
        <v>8682.1875</v>
      </c>
      <c r="AA16" s="38">
        <f t="shared" ref="AA16:AB17" si="0">F16+L16+R16+X16</f>
        <v>46512.1875</v>
      </c>
      <c r="AB16" s="36">
        <f t="shared" si="0"/>
        <v>0</v>
      </c>
      <c r="AC16" s="38">
        <f>SUM(AA16:AB16)</f>
        <v>46512.1875</v>
      </c>
    </row>
    <row r="17" spans="1:29">
      <c r="A17" s="32" t="s">
        <v>36</v>
      </c>
      <c r="B17" s="234">
        <v>0.55000000000000004</v>
      </c>
      <c r="C17" s="36">
        <f>65000/12</f>
        <v>5416.666666666667</v>
      </c>
      <c r="D17" s="1">
        <v>12</v>
      </c>
      <c r="E17" s="1" t="s">
        <v>34</v>
      </c>
      <c r="F17" s="35">
        <f t="shared" ref="F17" si="1">D17*C17*B17</f>
        <v>35750</v>
      </c>
      <c r="G17" s="36">
        <v>0</v>
      </c>
      <c r="H17" s="37">
        <f>SUM(F17:G17)</f>
        <v>35750</v>
      </c>
      <c r="I17" s="234">
        <f t="shared" ref="I17" si="2">B17</f>
        <v>0.55000000000000004</v>
      </c>
      <c r="J17" s="36">
        <f>C17*$B$8</f>
        <v>5687.5000000000009</v>
      </c>
      <c r="K17" s="1">
        <v>12</v>
      </c>
      <c r="L17" s="35">
        <f t="shared" ref="L17" si="3">I17*J17*K17</f>
        <v>37537.500000000015</v>
      </c>
      <c r="M17" s="36">
        <v>0</v>
      </c>
      <c r="N17" s="37">
        <f>SUM(L17:M17)</f>
        <v>37537.500000000015</v>
      </c>
      <c r="O17" s="234">
        <f t="shared" ref="O17" si="4">I17</f>
        <v>0.55000000000000004</v>
      </c>
      <c r="P17" s="36">
        <f t="shared" ref="P17" si="5">C17*$B$8*$B$8</f>
        <v>5971.8750000000009</v>
      </c>
      <c r="Q17" s="1">
        <v>12</v>
      </c>
      <c r="R17" s="35">
        <f t="shared" ref="R17" si="6">O17*P17*Q17</f>
        <v>39414.375000000015</v>
      </c>
      <c r="S17" s="36">
        <v>0</v>
      </c>
      <c r="T17" s="37">
        <f>SUM(R17:S17)</f>
        <v>39414.375000000015</v>
      </c>
      <c r="U17" s="234">
        <f t="shared" ref="U17" si="7">O17</f>
        <v>0.55000000000000004</v>
      </c>
      <c r="V17" s="36">
        <f t="shared" ref="V17" si="8">C17*$B$8*$B$8*$B$8</f>
        <v>6270.4687500000009</v>
      </c>
      <c r="W17" s="1">
        <v>7.5</v>
      </c>
      <c r="X17" s="35">
        <f t="shared" ref="X17" si="9">U17*V17*W17</f>
        <v>25865.683593750007</v>
      </c>
      <c r="Y17" s="36">
        <v>0</v>
      </c>
      <c r="Z17" s="37">
        <f>SUM(X17:Y17)</f>
        <v>25865.683593750007</v>
      </c>
      <c r="AA17" s="38">
        <f t="shared" si="0"/>
        <v>138567.55859375003</v>
      </c>
      <c r="AB17" s="36">
        <f t="shared" si="0"/>
        <v>0</v>
      </c>
      <c r="AC17" s="38">
        <f>SUM(AA17:AB17)</f>
        <v>138567.55859375003</v>
      </c>
    </row>
    <row r="18" spans="1:29" s="10" customFormat="1" ht="12.3">
      <c r="A18" s="39" t="s">
        <v>37</v>
      </c>
      <c r="B18" s="118"/>
      <c r="C18" s="119"/>
      <c r="D18" s="119"/>
      <c r="E18" s="119"/>
      <c r="F18" s="40">
        <f>SUM(F16:F17)</f>
        <v>47750</v>
      </c>
      <c r="G18" s="41">
        <f>SUM(G16:G17)</f>
        <v>0</v>
      </c>
      <c r="H18" s="42">
        <f>SUM(H16:H17)</f>
        <v>47750</v>
      </c>
      <c r="I18" s="118"/>
      <c r="J18" s="119"/>
      <c r="K18" s="119"/>
      <c r="L18" s="40">
        <f>SUM(L16:L17)</f>
        <v>50137.500000000015</v>
      </c>
      <c r="M18" s="41">
        <f>SUM(M16:M17)</f>
        <v>0</v>
      </c>
      <c r="N18" s="42">
        <f>SUM(N16:N17)</f>
        <v>50137.500000000015</v>
      </c>
      <c r="O18" s="118"/>
      <c r="P18" s="119"/>
      <c r="Q18" s="119"/>
      <c r="R18" s="40">
        <f>SUM(R16:R17)</f>
        <v>52644.375000000015</v>
      </c>
      <c r="S18" s="41">
        <f>SUM(S16:S17)</f>
        <v>0</v>
      </c>
      <c r="T18" s="42">
        <f>SUM(T16:T17)</f>
        <v>52644.375000000015</v>
      </c>
      <c r="U18" s="118"/>
      <c r="V18" s="119"/>
      <c r="W18" s="119"/>
      <c r="X18" s="40">
        <f>SUM(X16:X17)</f>
        <v>34547.871093750007</v>
      </c>
      <c r="Y18" s="41">
        <f>SUM(Y16:Y17)</f>
        <v>0</v>
      </c>
      <c r="Z18" s="42">
        <f>SUM(Z16:Z17)</f>
        <v>34547.871093750007</v>
      </c>
      <c r="AA18" s="40">
        <f>SUM(AA16:AA17)</f>
        <v>185079.74609375003</v>
      </c>
      <c r="AB18" s="41">
        <f>SUM(AB16:AB17)</f>
        <v>0</v>
      </c>
      <c r="AC18" s="42">
        <f>SUM(AC16:AC17)</f>
        <v>185079.74609375003</v>
      </c>
    </row>
    <row r="19" spans="1:29">
      <c r="A19" s="44"/>
      <c r="B19" s="120"/>
      <c r="C19" s="121"/>
      <c r="D19" s="121"/>
      <c r="E19" s="121"/>
      <c r="F19" s="35"/>
      <c r="G19" s="36"/>
      <c r="H19" s="37"/>
      <c r="I19" s="120"/>
      <c r="J19" s="121"/>
      <c r="K19" s="121"/>
      <c r="L19" s="35"/>
      <c r="M19" s="36"/>
      <c r="N19" s="37"/>
      <c r="O19" s="120"/>
      <c r="P19" s="121"/>
      <c r="Q19" s="121"/>
      <c r="R19" s="35"/>
      <c r="S19" s="36"/>
      <c r="T19" s="37"/>
      <c r="U19" s="120"/>
      <c r="V19" s="121"/>
      <c r="W19" s="121"/>
      <c r="X19" s="35"/>
      <c r="Y19" s="36"/>
      <c r="Z19" s="37"/>
      <c r="AA19" s="38"/>
      <c r="AB19" s="36"/>
      <c r="AC19" s="38"/>
    </row>
    <row r="20" spans="1:29">
      <c r="A20" s="45" t="s">
        <v>38</v>
      </c>
      <c r="B20" s="114" t="s">
        <v>33</v>
      </c>
      <c r="C20" s="122"/>
      <c r="D20" s="122"/>
      <c r="E20" s="122"/>
      <c r="F20" s="35"/>
      <c r="G20" s="36"/>
      <c r="H20" s="37"/>
      <c r="I20" s="114"/>
      <c r="J20" s="122"/>
      <c r="K20" s="122"/>
      <c r="L20" s="35"/>
      <c r="M20" s="36"/>
      <c r="N20" s="37"/>
      <c r="O20" s="114"/>
      <c r="P20" s="122"/>
      <c r="Q20" s="122"/>
      <c r="R20" s="35"/>
      <c r="S20" s="36"/>
      <c r="T20" s="37"/>
      <c r="U20" s="114"/>
      <c r="V20" s="122"/>
      <c r="W20" s="122"/>
      <c r="X20" s="35"/>
      <c r="Y20" s="36"/>
      <c r="Z20" s="37"/>
      <c r="AA20" s="38"/>
      <c r="AB20" s="36"/>
      <c r="AC20" s="38"/>
    </row>
    <row r="21" spans="1:29">
      <c r="A21" s="32" t="s">
        <v>39</v>
      </c>
      <c r="B21" s="234">
        <v>1</v>
      </c>
      <c r="C21" s="35">
        <f>50000/12</f>
        <v>4166.666666666667</v>
      </c>
      <c r="D21" s="1">
        <v>11</v>
      </c>
      <c r="E21" s="1" t="s">
        <v>34</v>
      </c>
      <c r="F21" s="35">
        <f t="shared" ref="F21:F26" si="10">D21*C21*B21</f>
        <v>45833.333333333336</v>
      </c>
      <c r="G21" s="36">
        <v>0</v>
      </c>
      <c r="H21" s="37">
        <f t="shared" ref="H21" si="11">SUM(F21:G21)</f>
        <v>45833.333333333336</v>
      </c>
      <c r="I21" s="234">
        <f t="shared" ref="I21:I26" si="12">+B21</f>
        <v>1</v>
      </c>
      <c r="J21" s="36">
        <f t="shared" ref="J21:J26" si="13">C21*$B$8</f>
        <v>4375.0000000000009</v>
      </c>
      <c r="K21" s="1">
        <v>12</v>
      </c>
      <c r="L21" s="35">
        <f t="shared" ref="L21" si="14">J21*K21*I21</f>
        <v>52500.000000000015</v>
      </c>
      <c r="M21" s="36">
        <v>0</v>
      </c>
      <c r="N21" s="37">
        <f t="shared" ref="N21:N24" si="15">SUM(L21:M21)</f>
        <v>52500.000000000015</v>
      </c>
      <c r="O21" s="234">
        <f t="shared" ref="O21:O26" si="16">+B21</f>
        <v>1</v>
      </c>
      <c r="P21" s="36">
        <f t="shared" ref="P21:P26" si="17">C21*$B$8*$B$8</f>
        <v>4593.7500000000009</v>
      </c>
      <c r="Q21" s="1">
        <v>12</v>
      </c>
      <c r="R21" s="35">
        <f t="shared" ref="R21" si="18">Q21*P21*O21</f>
        <v>55125.000000000015</v>
      </c>
      <c r="S21" s="36">
        <v>0</v>
      </c>
      <c r="T21" s="37">
        <f t="shared" ref="T21:T24" si="19">SUM(R21:S21)</f>
        <v>55125.000000000015</v>
      </c>
      <c r="U21" s="234">
        <f t="shared" ref="U21:U26" si="20">+B21</f>
        <v>1</v>
      </c>
      <c r="V21" s="36">
        <f t="shared" ref="V21:V26" si="21">C21*$B$8*$B$8*$B$8</f>
        <v>4823.4375000000009</v>
      </c>
      <c r="W21" s="1">
        <v>7.5</v>
      </c>
      <c r="X21" s="35">
        <f t="shared" ref="X21" si="22">W21*V21*U21</f>
        <v>36175.781250000007</v>
      </c>
      <c r="Y21" s="36">
        <v>0</v>
      </c>
      <c r="Z21" s="37">
        <f t="shared" ref="Z21:Z24" si="23">SUM(X21:Y21)</f>
        <v>36175.781250000007</v>
      </c>
      <c r="AA21" s="38">
        <f t="shared" ref="AA21:AA26" si="24">F21+L21+R21+X21</f>
        <v>189634.11458333337</v>
      </c>
      <c r="AB21" s="36">
        <f t="shared" ref="AB21:AB26" si="25">G21+M21+S21+Y21</f>
        <v>0</v>
      </c>
      <c r="AC21" s="38">
        <f t="shared" ref="AC21:AC24" si="26">SUM(AA21:AB21)</f>
        <v>189634.11458333337</v>
      </c>
    </row>
    <row r="22" spans="1:29">
      <c r="A22" s="32" t="s">
        <v>40</v>
      </c>
      <c r="B22" s="234">
        <v>0.15</v>
      </c>
      <c r="C22" s="35">
        <f>45000/12</f>
        <v>3750</v>
      </c>
      <c r="D22" s="1">
        <v>11</v>
      </c>
      <c r="E22" s="1" t="s">
        <v>34</v>
      </c>
      <c r="F22" s="35">
        <f>D22*C22*B22</f>
        <v>6187.5</v>
      </c>
      <c r="G22" s="36">
        <v>0</v>
      </c>
      <c r="H22" s="37">
        <f>SUM(F22:G22)</f>
        <v>6187.5</v>
      </c>
      <c r="I22" s="234">
        <f t="shared" si="12"/>
        <v>0.15</v>
      </c>
      <c r="J22" s="36">
        <f t="shared" si="13"/>
        <v>3937.5</v>
      </c>
      <c r="K22" s="1">
        <v>12</v>
      </c>
      <c r="L22" s="35">
        <f t="shared" ref="L22:L24" si="27">J22*K22*I22</f>
        <v>7087.5</v>
      </c>
      <c r="M22" s="36">
        <v>0</v>
      </c>
      <c r="N22" s="37">
        <f t="shared" si="15"/>
        <v>7087.5</v>
      </c>
      <c r="O22" s="234">
        <f t="shared" si="16"/>
        <v>0.15</v>
      </c>
      <c r="P22" s="36">
        <f t="shared" si="17"/>
        <v>4134.375</v>
      </c>
      <c r="Q22" s="1">
        <v>12</v>
      </c>
      <c r="R22" s="35">
        <f t="shared" ref="R22:R24" si="28">Q22*P22*O22</f>
        <v>7441.875</v>
      </c>
      <c r="S22" s="36">
        <v>0</v>
      </c>
      <c r="T22" s="37">
        <f t="shared" si="19"/>
        <v>7441.875</v>
      </c>
      <c r="U22" s="234">
        <f t="shared" si="20"/>
        <v>0.15</v>
      </c>
      <c r="V22" s="36">
        <f t="shared" si="21"/>
        <v>4341.09375</v>
      </c>
      <c r="W22" s="1">
        <v>7.5</v>
      </c>
      <c r="X22" s="35">
        <f t="shared" ref="X22:X24" si="29">W22*V22*U22</f>
        <v>4883.73046875</v>
      </c>
      <c r="Y22" s="36">
        <v>0</v>
      </c>
      <c r="Z22" s="37">
        <f t="shared" si="23"/>
        <v>4883.73046875</v>
      </c>
      <c r="AA22" s="38">
        <f t="shared" si="24"/>
        <v>25600.60546875</v>
      </c>
      <c r="AB22" s="36">
        <f t="shared" si="25"/>
        <v>0</v>
      </c>
      <c r="AC22" s="38">
        <f t="shared" si="26"/>
        <v>25600.60546875</v>
      </c>
    </row>
    <row r="23" spans="1:29" s="236" customFormat="1">
      <c r="A23" s="32" t="s">
        <v>41</v>
      </c>
      <c r="B23" s="234">
        <v>0.15</v>
      </c>
      <c r="C23" s="35">
        <f>25000/12</f>
        <v>2083.3333333333335</v>
      </c>
      <c r="D23" s="1">
        <v>9</v>
      </c>
      <c r="E23" s="1" t="s">
        <v>34</v>
      </c>
      <c r="F23" s="35">
        <f>D23*C23*B23</f>
        <v>2812.5</v>
      </c>
      <c r="G23" s="36">
        <v>0</v>
      </c>
      <c r="H23" s="37">
        <f t="shared" ref="H23" si="30">SUM(F23:G23)</f>
        <v>2812.5</v>
      </c>
      <c r="I23" s="234">
        <f t="shared" si="12"/>
        <v>0.15</v>
      </c>
      <c r="J23" s="36">
        <f t="shared" si="13"/>
        <v>2187.5000000000005</v>
      </c>
      <c r="K23" s="1">
        <v>12</v>
      </c>
      <c r="L23" s="35">
        <f t="shared" ref="L23" si="31">J23*K23*I23</f>
        <v>3937.5000000000009</v>
      </c>
      <c r="M23" s="36">
        <v>0</v>
      </c>
      <c r="N23" s="37">
        <f t="shared" ref="N23" si="32">SUM(L23:M23)</f>
        <v>3937.5000000000009</v>
      </c>
      <c r="O23" s="234">
        <f t="shared" si="16"/>
        <v>0.15</v>
      </c>
      <c r="P23" s="36">
        <f t="shared" si="17"/>
        <v>2296.8750000000005</v>
      </c>
      <c r="Q23" s="1">
        <v>12</v>
      </c>
      <c r="R23" s="35">
        <f t="shared" ref="R23" si="33">Q23*P23*O23</f>
        <v>4134.3750000000009</v>
      </c>
      <c r="S23" s="36">
        <v>0</v>
      </c>
      <c r="T23" s="37">
        <f t="shared" ref="T23" si="34">SUM(R23:S23)</f>
        <v>4134.3750000000009</v>
      </c>
      <c r="U23" s="234">
        <f t="shared" si="20"/>
        <v>0.15</v>
      </c>
      <c r="V23" s="36">
        <f t="shared" si="21"/>
        <v>2411.7187500000005</v>
      </c>
      <c r="W23" s="1">
        <v>6</v>
      </c>
      <c r="X23" s="35">
        <f t="shared" ref="X23" si="35">W23*V23*U23</f>
        <v>2170.5468750000005</v>
      </c>
      <c r="Y23" s="36">
        <v>0</v>
      </c>
      <c r="Z23" s="37">
        <f t="shared" ref="Z23" si="36">SUM(X23:Y23)</f>
        <v>2170.5468750000005</v>
      </c>
      <c r="AA23" s="38">
        <f t="shared" si="24"/>
        <v>13054.921875000002</v>
      </c>
      <c r="AB23" s="36">
        <f t="shared" si="25"/>
        <v>0</v>
      </c>
      <c r="AC23" s="38">
        <f t="shared" ref="AC23" si="37">SUM(AA23:AB23)</f>
        <v>13054.921875000002</v>
      </c>
    </row>
    <row r="24" spans="1:29">
      <c r="A24" s="32" t="s">
        <v>42</v>
      </c>
      <c r="B24" s="234">
        <v>1</v>
      </c>
      <c r="C24" s="35">
        <f>21000/12</f>
        <v>1750</v>
      </c>
      <c r="D24" s="1">
        <v>9</v>
      </c>
      <c r="E24" s="1" t="s">
        <v>34</v>
      </c>
      <c r="F24" s="35">
        <f t="shared" ref="F24" si="38">D24*C24*B24</f>
        <v>15750</v>
      </c>
      <c r="G24" s="36">
        <v>0</v>
      </c>
      <c r="H24" s="37">
        <f t="shared" ref="H24" si="39">SUM(F24:G24)</f>
        <v>15750</v>
      </c>
      <c r="I24" s="234">
        <f t="shared" si="12"/>
        <v>1</v>
      </c>
      <c r="J24" s="36">
        <f t="shared" ref="J24" si="40">C24*$B$8</f>
        <v>1837.5</v>
      </c>
      <c r="K24" s="1">
        <v>12</v>
      </c>
      <c r="L24" s="35">
        <f t="shared" si="27"/>
        <v>22050</v>
      </c>
      <c r="M24" s="36">
        <v>0</v>
      </c>
      <c r="N24" s="37">
        <f t="shared" si="15"/>
        <v>22050</v>
      </c>
      <c r="O24" s="234">
        <f t="shared" si="16"/>
        <v>1</v>
      </c>
      <c r="P24" s="36">
        <f t="shared" ref="P24" si="41">C24*$B$8*$B$8</f>
        <v>1929.375</v>
      </c>
      <c r="Q24" s="1">
        <v>12</v>
      </c>
      <c r="R24" s="35">
        <f t="shared" si="28"/>
        <v>23152.5</v>
      </c>
      <c r="S24" s="36">
        <v>0</v>
      </c>
      <c r="T24" s="37">
        <f t="shared" si="19"/>
        <v>23152.5</v>
      </c>
      <c r="U24" s="234">
        <f t="shared" si="20"/>
        <v>1</v>
      </c>
      <c r="V24" s="36">
        <f t="shared" ref="V24" si="42">C24*$B$8*$B$8*$B$8</f>
        <v>2025.84375</v>
      </c>
      <c r="W24" s="1">
        <v>6</v>
      </c>
      <c r="X24" s="35">
        <f t="shared" si="29"/>
        <v>12155.0625</v>
      </c>
      <c r="Y24" s="36">
        <v>0</v>
      </c>
      <c r="Z24" s="37">
        <f t="shared" si="23"/>
        <v>12155.0625</v>
      </c>
      <c r="AA24" s="38">
        <f t="shared" si="24"/>
        <v>73107.5625</v>
      </c>
      <c r="AB24" s="36">
        <f t="shared" si="25"/>
        <v>0</v>
      </c>
      <c r="AC24" s="38">
        <f t="shared" si="26"/>
        <v>73107.5625</v>
      </c>
    </row>
    <row r="25" spans="1:29">
      <c r="A25" s="32" t="s">
        <v>43</v>
      </c>
      <c r="B25" s="234">
        <v>0.15</v>
      </c>
      <c r="C25" s="35">
        <f>45000/12</f>
        <v>3750</v>
      </c>
      <c r="D25" s="1">
        <v>11</v>
      </c>
      <c r="E25" s="1" t="s">
        <v>34</v>
      </c>
      <c r="F25" s="35">
        <f t="shared" si="10"/>
        <v>6187.5</v>
      </c>
      <c r="G25" s="36">
        <v>0</v>
      </c>
      <c r="H25" s="37">
        <f t="shared" ref="H25" si="43">SUM(F25:G25)</f>
        <v>6187.5</v>
      </c>
      <c r="I25" s="234">
        <f t="shared" si="12"/>
        <v>0.15</v>
      </c>
      <c r="J25" s="36">
        <f t="shared" si="13"/>
        <v>3937.5</v>
      </c>
      <c r="K25" s="1">
        <v>12</v>
      </c>
      <c r="L25" s="35">
        <f t="shared" ref="L25:L26" si="44">J25*K25*I25</f>
        <v>7087.5</v>
      </c>
      <c r="M25" s="36">
        <v>0</v>
      </c>
      <c r="N25" s="37">
        <f t="shared" ref="N25:N26" si="45">SUM(L25:M25)</f>
        <v>7087.5</v>
      </c>
      <c r="O25" s="234">
        <f t="shared" si="16"/>
        <v>0.15</v>
      </c>
      <c r="P25" s="36">
        <f t="shared" si="17"/>
        <v>4134.375</v>
      </c>
      <c r="Q25" s="1">
        <v>12</v>
      </c>
      <c r="R25" s="35">
        <f t="shared" ref="R25:R26" si="46">Q25*P25*O25</f>
        <v>7441.875</v>
      </c>
      <c r="S25" s="36">
        <v>0</v>
      </c>
      <c r="T25" s="37">
        <f t="shared" ref="T25:T26" si="47">SUM(R25:S25)</f>
        <v>7441.875</v>
      </c>
      <c r="U25" s="234">
        <f t="shared" si="20"/>
        <v>0.15</v>
      </c>
      <c r="V25" s="36">
        <f t="shared" si="21"/>
        <v>4341.09375</v>
      </c>
      <c r="W25" s="1">
        <v>7.5</v>
      </c>
      <c r="X25" s="35">
        <f t="shared" ref="X25:X26" si="48">W25*V25*U25</f>
        <v>4883.73046875</v>
      </c>
      <c r="Y25" s="36">
        <v>0</v>
      </c>
      <c r="Z25" s="37">
        <f t="shared" ref="Z25:Z26" si="49">SUM(X25:Y25)</f>
        <v>4883.73046875</v>
      </c>
      <c r="AA25" s="38">
        <f t="shared" si="24"/>
        <v>25600.60546875</v>
      </c>
      <c r="AB25" s="36">
        <f t="shared" si="25"/>
        <v>0</v>
      </c>
      <c r="AC25" s="38">
        <f t="shared" ref="AC25:AC26" si="50">SUM(AA25:AB25)</f>
        <v>25600.60546875</v>
      </c>
    </row>
    <row r="26" spans="1:29">
      <c r="A26" s="32" t="s">
        <v>44</v>
      </c>
      <c r="B26" s="234">
        <v>1</v>
      </c>
      <c r="C26" s="35">
        <f>20000/12</f>
        <v>1666.6666666666667</v>
      </c>
      <c r="D26" s="1">
        <v>9</v>
      </c>
      <c r="E26" s="1" t="s">
        <v>34</v>
      </c>
      <c r="F26" s="35">
        <f t="shared" si="10"/>
        <v>15000</v>
      </c>
      <c r="G26" s="36">
        <v>0</v>
      </c>
      <c r="H26" s="37">
        <f>SUM(F26:G26)</f>
        <v>15000</v>
      </c>
      <c r="I26" s="234">
        <f t="shared" si="12"/>
        <v>1</v>
      </c>
      <c r="J26" s="36">
        <f t="shared" si="13"/>
        <v>1750.0000000000002</v>
      </c>
      <c r="K26" s="1">
        <v>12</v>
      </c>
      <c r="L26" s="35">
        <f t="shared" si="44"/>
        <v>21000.000000000004</v>
      </c>
      <c r="M26" s="36">
        <v>0</v>
      </c>
      <c r="N26" s="37">
        <f t="shared" si="45"/>
        <v>21000.000000000004</v>
      </c>
      <c r="O26" s="234">
        <f t="shared" si="16"/>
        <v>1</v>
      </c>
      <c r="P26" s="36">
        <f t="shared" si="17"/>
        <v>1837.5000000000002</v>
      </c>
      <c r="Q26" s="1">
        <v>12</v>
      </c>
      <c r="R26" s="35">
        <f t="shared" si="46"/>
        <v>22050.000000000004</v>
      </c>
      <c r="S26" s="36">
        <v>0</v>
      </c>
      <c r="T26" s="37">
        <f t="shared" si="47"/>
        <v>22050.000000000004</v>
      </c>
      <c r="U26" s="234">
        <f t="shared" si="20"/>
        <v>1</v>
      </c>
      <c r="V26" s="36">
        <f t="shared" si="21"/>
        <v>1929.3750000000002</v>
      </c>
      <c r="W26" s="1">
        <v>7</v>
      </c>
      <c r="X26" s="35">
        <f t="shared" si="48"/>
        <v>13505.625000000002</v>
      </c>
      <c r="Y26" s="36">
        <v>0</v>
      </c>
      <c r="Z26" s="37">
        <f t="shared" si="49"/>
        <v>13505.625000000002</v>
      </c>
      <c r="AA26" s="38">
        <f t="shared" si="24"/>
        <v>71555.625</v>
      </c>
      <c r="AB26" s="36">
        <f t="shared" si="25"/>
        <v>0</v>
      </c>
      <c r="AC26" s="38">
        <f t="shared" si="50"/>
        <v>71555.625</v>
      </c>
    </row>
    <row r="27" spans="1:29" s="10" customFormat="1">
      <c r="A27" s="39" t="s">
        <v>45</v>
      </c>
      <c r="B27" s="118"/>
      <c r="C27" s="119"/>
      <c r="D27" s="1"/>
      <c r="E27" s="119"/>
      <c r="F27" s="40">
        <f>SUM(F21:F26)</f>
        <v>91770.833333333343</v>
      </c>
      <c r="G27" s="41">
        <f>SUM(G21:G26)</f>
        <v>0</v>
      </c>
      <c r="H27" s="42">
        <f>SUM(H21:H26)</f>
        <v>91770.833333333343</v>
      </c>
      <c r="I27" s="118"/>
      <c r="J27" s="119"/>
      <c r="K27" s="119"/>
      <c r="L27" s="40">
        <f>SUM(L21:L26)</f>
        <v>113662.50000000001</v>
      </c>
      <c r="M27" s="40">
        <f>SUM(M21:M26)</f>
        <v>0</v>
      </c>
      <c r="N27" s="40">
        <f>SUM(N21:N26)</f>
        <v>113662.50000000001</v>
      </c>
      <c r="O27" s="118"/>
      <c r="P27" s="119"/>
      <c r="Q27" s="119"/>
      <c r="R27" s="40">
        <f>SUM(R21:R26)</f>
        <v>119345.62500000001</v>
      </c>
      <c r="S27" s="41">
        <f>SUM(S21:S26)</f>
        <v>0</v>
      </c>
      <c r="T27" s="42">
        <f>SUM(T21:T26)</f>
        <v>119345.62500000001</v>
      </c>
      <c r="U27" s="118"/>
      <c r="V27" s="119"/>
      <c r="W27" s="119"/>
      <c r="X27" s="40">
        <f>SUM(X21:X26)</f>
        <v>73774.476562500015</v>
      </c>
      <c r="Y27" s="41">
        <f>SUM(Y21:Y26)</f>
        <v>0</v>
      </c>
      <c r="Z27" s="42">
        <f>SUM(Z21:Z26)</f>
        <v>73774.476562500015</v>
      </c>
      <c r="AA27" s="43">
        <f>SUM(AA21:AA26)</f>
        <v>398553.43489583337</v>
      </c>
      <c r="AB27" s="43">
        <f>SUM(AB21:AB26)</f>
        <v>0</v>
      </c>
      <c r="AC27" s="43">
        <f>SUM(AA27:AB27)</f>
        <v>398553.43489583337</v>
      </c>
    </row>
    <row r="28" spans="1:29">
      <c r="A28" s="46"/>
      <c r="B28" s="114"/>
      <c r="C28" s="122"/>
      <c r="D28" s="122"/>
      <c r="E28" s="122"/>
      <c r="F28" s="35"/>
      <c r="G28" s="36"/>
      <c r="H28" s="37"/>
      <c r="I28" s="114"/>
      <c r="J28" s="122"/>
      <c r="K28" s="122"/>
      <c r="L28" s="35"/>
      <c r="M28" s="36"/>
      <c r="N28" s="37"/>
      <c r="O28" s="114"/>
      <c r="P28" s="122"/>
      <c r="Q28" s="122"/>
      <c r="R28" s="35"/>
      <c r="S28" s="36"/>
      <c r="T28" s="37"/>
      <c r="U28" s="114"/>
      <c r="V28" s="122"/>
      <c r="W28" s="122"/>
      <c r="X28" s="35"/>
      <c r="Y28" s="36"/>
      <c r="Z28" s="37"/>
      <c r="AA28" s="38"/>
      <c r="AB28" s="36"/>
      <c r="AC28" s="38"/>
    </row>
    <row r="29" spans="1:29">
      <c r="A29" s="47" t="s">
        <v>46</v>
      </c>
      <c r="B29" s="123"/>
      <c r="C29" s="124"/>
      <c r="D29" s="124"/>
      <c r="E29" s="124"/>
      <c r="F29" s="48">
        <f>F27+F18</f>
        <v>139520.83333333334</v>
      </c>
      <c r="G29" s="48">
        <f>G27+G18</f>
        <v>0</v>
      </c>
      <c r="H29" s="48">
        <f>H27+H18</f>
        <v>139520.83333333334</v>
      </c>
      <c r="I29" s="123"/>
      <c r="J29" s="124"/>
      <c r="K29" s="124"/>
      <c r="L29" s="48">
        <f>L27+L18</f>
        <v>163800.00000000003</v>
      </c>
      <c r="M29" s="48">
        <f>M27+M18</f>
        <v>0</v>
      </c>
      <c r="N29" s="48">
        <f>N27+N18</f>
        <v>163800.00000000003</v>
      </c>
      <c r="O29" s="123"/>
      <c r="P29" s="124"/>
      <c r="Q29" s="124"/>
      <c r="R29" s="48">
        <f>R27+R18</f>
        <v>171990.00000000003</v>
      </c>
      <c r="S29" s="48">
        <f>S27+S18</f>
        <v>0</v>
      </c>
      <c r="T29" s="48">
        <f>T27+T18</f>
        <v>171990.00000000003</v>
      </c>
      <c r="U29" s="123"/>
      <c r="V29" s="124"/>
      <c r="W29" s="124"/>
      <c r="X29" s="48">
        <f>X27+X18</f>
        <v>108322.34765625003</v>
      </c>
      <c r="Y29" s="48">
        <f>Y27+Y18</f>
        <v>0</v>
      </c>
      <c r="Z29" s="48">
        <f>Z27+Z18</f>
        <v>108322.34765625003</v>
      </c>
      <c r="AA29" s="69">
        <f>AA27+AA18</f>
        <v>583633.18098958337</v>
      </c>
      <c r="AB29" s="223">
        <f>AB27+AB18</f>
        <v>0</v>
      </c>
      <c r="AC29" s="69">
        <f>AC27+AC18</f>
        <v>583633.18098958337</v>
      </c>
    </row>
    <row r="30" spans="1:29">
      <c r="A30" s="49"/>
      <c r="B30" s="125"/>
      <c r="C30" s="126"/>
      <c r="D30" s="126"/>
      <c r="E30" s="126"/>
      <c r="F30" s="50"/>
      <c r="G30" s="51"/>
      <c r="H30" s="52"/>
      <c r="I30" s="125"/>
      <c r="J30" s="126"/>
      <c r="K30" s="126"/>
      <c r="L30" s="50"/>
      <c r="M30" s="51"/>
      <c r="N30" s="52"/>
      <c r="O30" s="125"/>
      <c r="P30" s="126"/>
      <c r="Q30" s="126"/>
      <c r="R30" s="50"/>
      <c r="S30" s="51"/>
      <c r="T30" s="52"/>
      <c r="U30" s="125"/>
      <c r="V30" s="126"/>
      <c r="W30" s="126"/>
      <c r="X30" s="50"/>
      <c r="Y30" s="51"/>
      <c r="Z30" s="52"/>
      <c r="AA30" s="53"/>
      <c r="AB30" s="51"/>
      <c r="AC30" s="53"/>
    </row>
    <row r="31" spans="1:29">
      <c r="A31" s="54" t="s">
        <v>13</v>
      </c>
      <c r="B31" s="127"/>
      <c r="C31" s="128"/>
      <c r="D31" s="128"/>
      <c r="E31" s="128"/>
      <c r="F31" s="55"/>
      <c r="G31" s="56"/>
      <c r="H31" s="57"/>
      <c r="I31" s="127"/>
      <c r="J31" s="128"/>
      <c r="K31" s="128"/>
      <c r="L31" s="55"/>
      <c r="M31" s="56"/>
      <c r="N31" s="57"/>
      <c r="O31" s="127"/>
      <c r="P31" s="128"/>
      <c r="Q31" s="128"/>
      <c r="R31" s="55"/>
      <c r="S31" s="56"/>
      <c r="T31" s="57"/>
      <c r="U31" s="127"/>
      <c r="V31" s="128"/>
      <c r="W31" s="128"/>
      <c r="X31" s="55"/>
      <c r="Y31" s="56"/>
      <c r="Z31" s="57"/>
      <c r="AA31" s="58"/>
      <c r="AB31" s="56"/>
      <c r="AC31" s="58"/>
    </row>
    <row r="32" spans="1:29">
      <c r="A32" s="71" t="s">
        <v>47</v>
      </c>
      <c r="B32" s="114" t="s">
        <v>33</v>
      </c>
      <c r="C32" s="115"/>
      <c r="D32" s="115"/>
      <c r="E32" s="115"/>
      <c r="F32" s="28"/>
      <c r="G32" s="29"/>
      <c r="H32" s="30"/>
      <c r="I32" s="116"/>
      <c r="J32" s="115"/>
      <c r="K32" s="115"/>
      <c r="L32" s="28"/>
      <c r="M32" s="29"/>
      <c r="N32" s="30"/>
      <c r="O32" s="224"/>
      <c r="P32" s="115"/>
      <c r="Q32" s="115"/>
      <c r="R32" s="28"/>
      <c r="S32" s="29"/>
      <c r="T32" s="30"/>
      <c r="U32" s="116"/>
      <c r="V32" s="115"/>
      <c r="W32" s="115"/>
      <c r="X32" s="28"/>
      <c r="Y32" s="29"/>
      <c r="Z32" s="30"/>
      <c r="AA32" s="31"/>
      <c r="AB32" s="29"/>
      <c r="AC32" s="31"/>
    </row>
    <row r="33" spans="1:29">
      <c r="A33" s="63" t="s">
        <v>48</v>
      </c>
      <c r="B33" s="129">
        <v>0.23469999999999999</v>
      </c>
      <c r="C33" s="36"/>
      <c r="F33" s="35">
        <f>(F18)*$B$33</f>
        <v>11206.924999999999</v>
      </c>
      <c r="G33" s="36">
        <v>0</v>
      </c>
      <c r="H33" s="37">
        <f t="shared" ref="H33" si="51">SUM(F33:G33)</f>
        <v>11206.924999999999</v>
      </c>
      <c r="I33" s="118"/>
      <c r="J33" s="119"/>
      <c r="L33" s="35">
        <f>(L18)*$B$33</f>
        <v>11767.271250000003</v>
      </c>
      <c r="M33" s="36">
        <v>0</v>
      </c>
      <c r="N33" s="37">
        <f t="shared" ref="N33:N38" si="52">SUM(L33:M33)</f>
        <v>11767.271250000003</v>
      </c>
      <c r="O33" s="118"/>
      <c r="P33" s="119"/>
      <c r="R33" s="35">
        <f>(R18)*$B$33</f>
        <v>12355.634812500002</v>
      </c>
      <c r="S33" s="36">
        <v>0</v>
      </c>
      <c r="T33" s="37">
        <f t="shared" ref="T33:T38" si="53">SUM(R33:S33)</f>
        <v>12355.634812500002</v>
      </c>
      <c r="U33" s="118"/>
      <c r="V33" s="119"/>
      <c r="X33" s="35">
        <f>(X18)*$B$33</f>
        <v>8108.3853457031264</v>
      </c>
      <c r="Y33" s="36">
        <v>0</v>
      </c>
      <c r="Z33" s="37">
        <f t="shared" ref="Z33:Z38" si="54">SUM(X33:Y33)</f>
        <v>8108.3853457031264</v>
      </c>
      <c r="AA33" s="38">
        <f t="shared" ref="AA33" si="55">F33+L33+R33+X33</f>
        <v>43438.21640820313</v>
      </c>
      <c r="AB33" s="36">
        <f t="shared" ref="AB33" si="56">G33+M33+S33+Y33</f>
        <v>0</v>
      </c>
      <c r="AC33" s="38">
        <f>SUM(AA33:AB33)</f>
        <v>43438.21640820313</v>
      </c>
    </row>
    <row r="34" spans="1:29" s="10" customFormat="1" ht="12.3">
      <c r="A34" s="39" t="s">
        <v>50</v>
      </c>
      <c r="B34" s="118"/>
      <c r="C34" s="119"/>
      <c r="D34" s="119"/>
      <c r="E34" s="119"/>
      <c r="F34" s="40">
        <f>SUM(F33:F33)</f>
        <v>11206.924999999999</v>
      </c>
      <c r="G34" s="40">
        <f>SUM(G33:G33)</f>
        <v>0</v>
      </c>
      <c r="H34" s="40">
        <f>SUM(H33:H33)</f>
        <v>11206.924999999999</v>
      </c>
      <c r="I34" s="118"/>
      <c r="J34" s="119"/>
      <c r="K34" s="119"/>
      <c r="L34" s="40">
        <f>SUM(L33:L33)</f>
        <v>11767.271250000003</v>
      </c>
      <c r="M34" s="40">
        <f>SUM(M33:M33)</f>
        <v>0</v>
      </c>
      <c r="N34" s="40">
        <f>SUM(N33:N33)</f>
        <v>11767.271250000003</v>
      </c>
      <c r="O34" s="118"/>
      <c r="P34" s="119"/>
      <c r="Q34" s="119"/>
      <c r="R34" s="40">
        <f>SUM(R33:R33)</f>
        <v>12355.634812500002</v>
      </c>
      <c r="S34" s="40">
        <f>SUM(S33:S33)</f>
        <v>0</v>
      </c>
      <c r="T34" s="40">
        <f>SUM(T33:T33)</f>
        <v>12355.634812500002</v>
      </c>
      <c r="U34" s="118"/>
      <c r="V34" s="119"/>
      <c r="W34" s="119"/>
      <c r="X34" s="40">
        <f>SUM(X33:X33)</f>
        <v>8108.3853457031264</v>
      </c>
      <c r="Y34" s="40">
        <f>SUM(Y33:Y33)</f>
        <v>0</v>
      </c>
      <c r="Z34" s="40">
        <f>SUM(Z33:Z33)</f>
        <v>8108.3853457031264</v>
      </c>
      <c r="AA34" s="43">
        <f>SUM(AA33:AA33)</f>
        <v>43438.21640820313</v>
      </c>
      <c r="AB34" s="43">
        <f>SUM(AB33:AB33)</f>
        <v>0</v>
      </c>
      <c r="AC34" s="43">
        <f>SUM(AC33:AC33)</f>
        <v>43438.21640820313</v>
      </c>
    </row>
    <row r="35" spans="1:29">
      <c r="A35" s="63"/>
      <c r="B35" s="129"/>
      <c r="C35" s="36"/>
      <c r="F35" s="35"/>
      <c r="G35" s="36"/>
      <c r="H35" s="37"/>
      <c r="I35" s="129"/>
      <c r="J35" s="36"/>
      <c r="L35" s="35"/>
      <c r="M35" s="36"/>
      <c r="N35" s="37"/>
      <c r="O35" s="129"/>
      <c r="P35" s="36"/>
      <c r="R35" s="35"/>
      <c r="S35" s="36"/>
      <c r="T35" s="37"/>
      <c r="U35" s="129"/>
      <c r="V35" s="36"/>
      <c r="X35" s="35"/>
      <c r="Y35" s="36"/>
      <c r="Z35" s="37"/>
      <c r="AA35" s="38"/>
      <c r="AB35" s="36"/>
      <c r="AC35" s="38"/>
    </row>
    <row r="36" spans="1:29">
      <c r="A36" s="71" t="s">
        <v>51</v>
      </c>
      <c r="B36" s="120"/>
      <c r="C36" s="36"/>
      <c r="D36" s="121"/>
      <c r="E36" s="121"/>
      <c r="F36" s="35"/>
      <c r="G36" s="36"/>
      <c r="H36" s="37"/>
      <c r="I36" s="120"/>
      <c r="J36" s="121"/>
      <c r="K36" s="121"/>
      <c r="L36" s="35"/>
      <c r="M36" s="36"/>
      <c r="N36" s="37"/>
      <c r="O36" s="120"/>
      <c r="P36" s="36"/>
      <c r="Q36" s="121"/>
      <c r="R36" s="35"/>
      <c r="S36" s="36"/>
      <c r="T36" s="37"/>
      <c r="U36" s="120"/>
      <c r="V36" s="36"/>
      <c r="W36" s="121"/>
      <c r="X36" s="35"/>
      <c r="Y36" s="36"/>
      <c r="Z36" s="37"/>
      <c r="AA36" s="38"/>
      <c r="AB36" s="36"/>
      <c r="AC36" s="38"/>
    </row>
    <row r="37" spans="1:29">
      <c r="A37" s="6" t="s">
        <v>52</v>
      </c>
      <c r="B37" s="249">
        <v>0.53864000000000001</v>
      </c>
      <c r="C37" s="36"/>
      <c r="F37" s="35">
        <f>(F21+F22+F25)*$B$37</f>
        <v>31353.33666666667</v>
      </c>
      <c r="G37" s="36">
        <v>0</v>
      </c>
      <c r="H37" s="37">
        <f>SUM(F37:G37)</f>
        <v>31353.33666666667</v>
      </c>
      <c r="I37" s="130"/>
      <c r="J37" s="36"/>
      <c r="L37" s="35">
        <f>(L21+L22+L25)*$B$37</f>
        <v>35913.822000000007</v>
      </c>
      <c r="M37" s="36">
        <v>0</v>
      </c>
      <c r="N37" s="37">
        <f t="shared" ref="N37" si="57">SUM(L37:M37)</f>
        <v>35913.822000000007</v>
      </c>
      <c r="O37" s="130"/>
      <c r="P37" s="36"/>
      <c r="R37" s="35">
        <f>(R21+R22+R25)*$B$37</f>
        <v>37709.513100000011</v>
      </c>
      <c r="S37" s="36">
        <v>0</v>
      </c>
      <c r="T37" s="37">
        <f t="shared" ref="T37" si="58">SUM(R37:S37)</f>
        <v>37709.513100000011</v>
      </c>
      <c r="U37" s="130"/>
      <c r="V37" s="36"/>
      <c r="X37" s="35">
        <f>(X21+X22+X25)*$B$37</f>
        <v>24746.867971875003</v>
      </c>
      <c r="Y37" s="36">
        <v>0</v>
      </c>
      <c r="Z37" s="37">
        <f>SUM(X37:Y37)</f>
        <v>24746.867971875003</v>
      </c>
      <c r="AA37" s="38">
        <f t="shared" ref="AA37" si="59">F37+L37+R37+X37</f>
        <v>129723.5397385417</v>
      </c>
      <c r="AB37" s="36">
        <f t="shared" ref="AB37" si="60">G37+M37+S37+Y37</f>
        <v>0</v>
      </c>
      <c r="AC37" s="38">
        <f t="shared" ref="AC37" si="61">SUM(AA37:AB37)</f>
        <v>129723.5397385417</v>
      </c>
    </row>
    <row r="38" spans="1:29">
      <c r="A38" s="6" t="s">
        <v>53</v>
      </c>
      <c r="B38" s="249">
        <v>0.40364</v>
      </c>
      <c r="C38" s="36"/>
      <c r="F38" s="35">
        <f>(F24+F26+F23)*$B$38</f>
        <v>13547.1675</v>
      </c>
      <c r="G38" s="36">
        <v>0</v>
      </c>
      <c r="H38" s="37">
        <f>SUM(F38:G38)</f>
        <v>13547.1675</v>
      </c>
      <c r="I38" s="130"/>
      <c r="J38" s="36"/>
      <c r="L38" s="35">
        <f>(L24+L26+L23)*$B$38</f>
        <v>18966.034500000002</v>
      </c>
      <c r="M38" s="36">
        <v>0</v>
      </c>
      <c r="N38" s="37">
        <f t="shared" si="52"/>
        <v>18966.034500000002</v>
      </c>
      <c r="O38" s="130"/>
      <c r="P38" s="36"/>
      <c r="R38" s="35">
        <f>(R24+R26+R23)*$B$38</f>
        <v>19914.336224999999</v>
      </c>
      <c r="S38" s="36">
        <v>0</v>
      </c>
      <c r="T38" s="37">
        <f t="shared" si="53"/>
        <v>19914.336224999999</v>
      </c>
      <c r="U38" s="130"/>
      <c r="V38" s="36"/>
      <c r="X38" s="35">
        <f>(X24+X26+X23)*$B$38</f>
        <v>11233.799443125001</v>
      </c>
      <c r="Y38" s="36">
        <v>0</v>
      </c>
      <c r="Z38" s="37">
        <f t="shared" si="54"/>
        <v>11233.799443125001</v>
      </c>
      <c r="AA38" s="38">
        <f t="shared" ref="AA38" si="62">F38+L38+R38+X38</f>
        <v>63661.337668124994</v>
      </c>
      <c r="AB38" s="36">
        <f t="shared" ref="AB38" si="63">G38+M38+S38+Y38</f>
        <v>0</v>
      </c>
      <c r="AC38" s="38">
        <f t="shared" ref="AC38" si="64">SUM(AA38:AB38)</f>
        <v>63661.337668124994</v>
      </c>
    </row>
    <row r="39" spans="1:29" s="10" customFormat="1" ht="12.3">
      <c r="A39" s="39" t="s">
        <v>54</v>
      </c>
      <c r="B39" s="118"/>
      <c r="C39" s="119"/>
      <c r="D39" s="119"/>
      <c r="E39" s="119"/>
      <c r="F39" s="40">
        <f>SUM(F37:F38)</f>
        <v>44900.504166666666</v>
      </c>
      <c r="G39" s="40">
        <f>SUM(G37:G38)</f>
        <v>0</v>
      </c>
      <c r="H39" s="40">
        <f>SUM(H37:H38)</f>
        <v>44900.504166666666</v>
      </c>
      <c r="I39" s="118"/>
      <c r="J39" s="119"/>
      <c r="K39" s="119"/>
      <c r="L39" s="40">
        <f>SUM(L37:L38)</f>
        <v>54879.856500000009</v>
      </c>
      <c r="M39" s="40">
        <f>SUM(M37:M38)</f>
        <v>0</v>
      </c>
      <c r="N39" s="40">
        <f>SUM(N37:N38)</f>
        <v>54879.856500000009</v>
      </c>
      <c r="O39" s="118"/>
      <c r="P39" s="119"/>
      <c r="Q39" s="119"/>
      <c r="R39" s="40">
        <f>SUM(R37:R38)</f>
        <v>57623.84932500001</v>
      </c>
      <c r="S39" s="40">
        <f>SUM(S37:S38)</f>
        <v>0</v>
      </c>
      <c r="T39" s="40">
        <f>SUM(T37:T38)</f>
        <v>57623.84932500001</v>
      </c>
      <c r="U39" s="118"/>
      <c r="V39" s="119"/>
      <c r="W39" s="119"/>
      <c r="X39" s="40">
        <f t="shared" ref="X39:AC39" si="65">SUM(X37:X38)</f>
        <v>35980.667415000004</v>
      </c>
      <c r="Y39" s="40">
        <f t="shared" si="65"/>
        <v>0</v>
      </c>
      <c r="Z39" s="40">
        <f t="shared" si="65"/>
        <v>35980.667415000004</v>
      </c>
      <c r="AA39" s="43">
        <f t="shared" si="65"/>
        <v>193384.8774066667</v>
      </c>
      <c r="AB39" s="43">
        <f t="shared" si="65"/>
        <v>0</v>
      </c>
      <c r="AC39" s="43">
        <f t="shared" si="65"/>
        <v>193384.8774066667</v>
      </c>
    </row>
    <row r="40" spans="1:29">
      <c r="A40" s="64"/>
      <c r="B40" s="65"/>
      <c r="C40" s="66"/>
      <c r="D40" s="66"/>
      <c r="E40" s="66"/>
      <c r="F40" s="67"/>
      <c r="G40" s="66"/>
      <c r="H40" s="68"/>
      <c r="I40" s="65"/>
      <c r="J40" s="66"/>
      <c r="K40" s="66"/>
      <c r="L40" s="67"/>
      <c r="M40" s="66"/>
      <c r="N40" s="68"/>
      <c r="O40" s="65"/>
      <c r="P40" s="66"/>
      <c r="Q40" s="66"/>
      <c r="R40" s="67"/>
      <c r="S40" s="66"/>
      <c r="T40" s="68"/>
      <c r="U40" s="65"/>
      <c r="V40" s="66"/>
      <c r="W40" s="66"/>
      <c r="X40" s="67"/>
      <c r="Y40" s="66"/>
      <c r="Z40" s="68"/>
      <c r="AA40" s="64"/>
      <c r="AB40" s="66"/>
      <c r="AC40" s="64"/>
    </row>
    <row r="41" spans="1:29">
      <c r="A41" s="47" t="s">
        <v>55</v>
      </c>
      <c r="B41" s="123"/>
      <c r="C41" s="124"/>
      <c r="D41" s="124"/>
      <c r="E41" s="124"/>
      <c r="F41" s="48">
        <f>F39+F34</f>
        <v>56107.429166666669</v>
      </c>
      <c r="G41" s="48">
        <f>G39+G34</f>
        <v>0</v>
      </c>
      <c r="H41" s="48">
        <f>H39+H34</f>
        <v>56107.429166666669</v>
      </c>
      <c r="I41" s="123"/>
      <c r="J41" s="124"/>
      <c r="K41" s="124"/>
      <c r="L41" s="48">
        <f>L39+L34</f>
        <v>66647.127750000014</v>
      </c>
      <c r="M41" s="48">
        <f>M39+M34</f>
        <v>0</v>
      </c>
      <c r="N41" s="48">
        <f>N39+N34</f>
        <v>66647.127750000014</v>
      </c>
      <c r="O41" s="123"/>
      <c r="P41" s="124"/>
      <c r="Q41" s="124"/>
      <c r="R41" s="48">
        <f>R39+R34</f>
        <v>69979.484137500011</v>
      </c>
      <c r="S41" s="48">
        <f>S39+S34</f>
        <v>0</v>
      </c>
      <c r="T41" s="48">
        <f>T39+T34</f>
        <v>69979.484137500011</v>
      </c>
      <c r="U41" s="123"/>
      <c r="V41" s="124"/>
      <c r="W41" s="124"/>
      <c r="X41" s="48">
        <f t="shared" ref="X41:AC41" si="66">X39+X34</f>
        <v>44089.052760703133</v>
      </c>
      <c r="Y41" s="48">
        <f t="shared" si="66"/>
        <v>0</v>
      </c>
      <c r="Z41" s="48">
        <f t="shared" si="66"/>
        <v>44089.052760703133</v>
      </c>
      <c r="AA41" s="69">
        <f t="shared" si="66"/>
        <v>236823.09381486982</v>
      </c>
      <c r="AB41" s="223">
        <f t="shared" si="66"/>
        <v>0</v>
      </c>
      <c r="AC41" s="69">
        <f t="shared" si="66"/>
        <v>236823.09381486982</v>
      </c>
    </row>
    <row r="42" spans="1:29">
      <c r="A42" s="49"/>
      <c r="B42" s="125"/>
      <c r="C42" s="126"/>
      <c r="D42" s="126"/>
      <c r="E42" s="126"/>
      <c r="F42" s="50"/>
      <c r="G42" s="51"/>
      <c r="H42" s="52"/>
      <c r="I42" s="125"/>
      <c r="J42" s="126"/>
      <c r="K42" s="126"/>
      <c r="L42" s="50"/>
      <c r="M42" s="51"/>
      <c r="N42" s="52"/>
      <c r="O42" s="125"/>
      <c r="P42" s="126"/>
      <c r="Q42" s="126"/>
      <c r="R42" s="50"/>
      <c r="S42" s="51"/>
      <c r="T42" s="52"/>
      <c r="U42" s="125"/>
      <c r="V42" s="126"/>
      <c r="W42" s="126"/>
      <c r="X42" s="50"/>
      <c r="Y42" s="51"/>
      <c r="Z42" s="52"/>
      <c r="AA42" s="53"/>
      <c r="AB42" s="51"/>
      <c r="AC42" s="53"/>
    </row>
    <row r="43" spans="1:29">
      <c r="A43" s="54" t="s">
        <v>56</v>
      </c>
      <c r="B43" s="127"/>
      <c r="C43" s="128"/>
      <c r="D43" s="128"/>
      <c r="E43" s="128"/>
      <c r="F43" s="55"/>
      <c r="G43" s="56"/>
      <c r="H43" s="57"/>
      <c r="I43" s="127"/>
      <c r="J43" s="128"/>
      <c r="K43" s="128"/>
      <c r="L43" s="55"/>
      <c r="M43" s="56"/>
      <c r="N43" s="57"/>
      <c r="O43" s="127"/>
      <c r="P43" s="128"/>
      <c r="Q43" s="128"/>
      <c r="R43" s="55"/>
      <c r="S43" s="56"/>
      <c r="T43" s="57"/>
      <c r="U43" s="127"/>
      <c r="V43" s="128"/>
      <c r="W43" s="128"/>
      <c r="X43" s="55"/>
      <c r="Y43" s="56"/>
      <c r="Z43" s="57"/>
      <c r="AA43" s="58"/>
      <c r="AB43" s="56"/>
      <c r="AC43" s="58"/>
    </row>
    <row r="44" spans="1:29">
      <c r="A44" s="59"/>
      <c r="B44" s="132"/>
      <c r="C44" s="133"/>
      <c r="D44" s="133"/>
      <c r="E44" s="133"/>
      <c r="F44" s="60"/>
      <c r="G44" s="61"/>
      <c r="H44" s="70"/>
      <c r="I44" s="132"/>
      <c r="J44" s="133"/>
      <c r="K44" s="133"/>
      <c r="L44" s="60"/>
      <c r="M44" s="61"/>
      <c r="N44" s="70"/>
      <c r="O44" s="132"/>
      <c r="P44" s="133"/>
      <c r="Q44" s="133"/>
      <c r="R44" s="60"/>
      <c r="S44" s="61"/>
      <c r="T44" s="70"/>
      <c r="U44" s="132"/>
      <c r="V44" s="133"/>
      <c r="W44" s="133"/>
      <c r="X44" s="60"/>
      <c r="Y44" s="61"/>
      <c r="Z44" s="70"/>
      <c r="AA44" s="62"/>
      <c r="AB44" s="61"/>
      <c r="AC44" s="62"/>
    </row>
    <row r="45" spans="1:29">
      <c r="A45" s="71" t="s">
        <v>57</v>
      </c>
      <c r="B45" s="120"/>
      <c r="C45" s="121"/>
      <c r="D45" s="121"/>
      <c r="E45" s="121"/>
      <c r="F45" s="35"/>
      <c r="G45" s="36"/>
      <c r="H45" s="37"/>
      <c r="I45" s="120"/>
      <c r="J45" s="121"/>
      <c r="K45" s="121"/>
      <c r="L45" s="35"/>
      <c r="M45" s="36"/>
      <c r="N45" s="37"/>
      <c r="O45" s="120"/>
      <c r="P45" s="121"/>
      <c r="Q45" s="121"/>
      <c r="R45" s="35"/>
      <c r="S45" s="36"/>
      <c r="T45" s="37"/>
      <c r="U45" s="120"/>
      <c r="V45" s="121"/>
      <c r="W45" s="121"/>
      <c r="X45" s="35"/>
      <c r="Y45" s="36"/>
      <c r="Z45" s="37"/>
      <c r="AA45" s="38"/>
      <c r="AB45" s="36"/>
      <c r="AC45" s="38"/>
    </row>
    <row r="46" spans="1:29">
      <c r="A46" s="45" t="s">
        <v>58</v>
      </c>
      <c r="B46" s="130"/>
      <c r="C46" s="14"/>
      <c r="F46" s="35"/>
      <c r="G46" s="36"/>
      <c r="H46" s="37"/>
      <c r="I46" s="130"/>
      <c r="L46" s="35"/>
      <c r="M46" s="36"/>
      <c r="N46" s="37"/>
      <c r="O46" s="130"/>
      <c r="R46" s="35"/>
      <c r="S46" s="36"/>
      <c r="T46" s="37"/>
      <c r="U46" s="130"/>
      <c r="X46" s="35"/>
      <c r="Y46" s="36"/>
      <c r="Z46" s="37"/>
      <c r="AA46" s="38"/>
      <c r="AB46" s="36"/>
      <c r="AC46" s="38"/>
    </row>
    <row r="47" spans="1:29">
      <c r="A47" s="72" t="s">
        <v>59</v>
      </c>
      <c r="B47" s="131">
        <v>2</v>
      </c>
      <c r="C47" s="36">
        <v>800</v>
      </c>
      <c r="D47" s="14">
        <v>1</v>
      </c>
      <c r="E47" s="121" t="s">
        <v>60</v>
      </c>
      <c r="F47" s="35">
        <f>D47*C47*B47</f>
        <v>1600</v>
      </c>
      <c r="G47" s="36">
        <v>0</v>
      </c>
      <c r="H47" s="37">
        <f>SUM(F47:G47)</f>
        <v>1600</v>
      </c>
      <c r="I47" s="131">
        <v>2</v>
      </c>
      <c r="J47" s="36">
        <f>C47*$B$6</f>
        <v>816</v>
      </c>
      <c r="K47" s="14">
        <v>1</v>
      </c>
      <c r="L47" s="35">
        <f>I47*J47*K47</f>
        <v>1632</v>
      </c>
      <c r="M47" s="36">
        <v>0</v>
      </c>
      <c r="N47" s="37">
        <f>SUM(L47:M47)</f>
        <v>1632</v>
      </c>
      <c r="O47" s="131">
        <v>2</v>
      </c>
      <c r="P47" s="36">
        <f>C47*$B$6*$B$6</f>
        <v>832.32</v>
      </c>
      <c r="Q47" s="14">
        <v>1</v>
      </c>
      <c r="R47" s="35">
        <f>O47*P47*Q47</f>
        <v>1664.64</v>
      </c>
      <c r="S47" s="36">
        <v>0</v>
      </c>
      <c r="T47" s="37">
        <f>SUM(R47:S47)</f>
        <v>1664.64</v>
      </c>
      <c r="U47" s="131">
        <v>2</v>
      </c>
      <c r="V47" s="36">
        <f>C47*$B$6*$B$6*$B$6</f>
        <v>848.96640000000002</v>
      </c>
      <c r="W47" s="14">
        <v>1</v>
      </c>
      <c r="X47" s="35">
        <f>U47*V47*W47</f>
        <v>1697.9328</v>
      </c>
      <c r="Y47" s="36">
        <v>0</v>
      </c>
      <c r="Z47" s="37">
        <f>SUM(X47:Y47)</f>
        <v>1697.9328</v>
      </c>
      <c r="AA47" s="38">
        <f t="shared" ref="AA47" si="67">F47+L47+R47+X47</f>
        <v>6594.5727999999999</v>
      </c>
      <c r="AB47" s="36">
        <f t="shared" ref="AB47" si="68">G47+M47+S47+Y47</f>
        <v>0</v>
      </c>
      <c r="AC47" s="38">
        <f>SUM(AA47:AB47)</f>
        <v>6594.5727999999999</v>
      </c>
    </row>
    <row r="48" spans="1:29">
      <c r="A48" s="72" t="s">
        <v>61</v>
      </c>
      <c r="B48" s="131">
        <f>$B$47</f>
        <v>2</v>
      </c>
      <c r="C48" s="36">
        <v>90</v>
      </c>
      <c r="D48" s="14">
        <v>10</v>
      </c>
      <c r="E48" s="121" t="s">
        <v>62</v>
      </c>
      <c r="F48" s="35">
        <f>D48*C48*B48</f>
        <v>1800</v>
      </c>
      <c r="G48" s="36">
        <v>0</v>
      </c>
      <c r="H48" s="37">
        <f t="shared" ref="H48:H49" si="69">SUM(F48:G48)</f>
        <v>1800</v>
      </c>
      <c r="I48" s="131">
        <f>$I$47</f>
        <v>2</v>
      </c>
      <c r="J48" s="36">
        <f t="shared" ref="J48:J51" si="70">C48*$B$6</f>
        <v>91.8</v>
      </c>
      <c r="K48" s="14">
        <v>10</v>
      </c>
      <c r="L48" s="35">
        <f>I48*J48*K48</f>
        <v>1836</v>
      </c>
      <c r="M48" s="36">
        <v>0</v>
      </c>
      <c r="N48" s="37">
        <f t="shared" ref="N48:N49" si="71">SUM(L48:M48)</f>
        <v>1836</v>
      </c>
      <c r="O48" s="131">
        <f>$O$47</f>
        <v>2</v>
      </c>
      <c r="P48" s="36">
        <f t="shared" ref="P48:P51" si="72">C48*$B$6*$B$6</f>
        <v>93.635999999999996</v>
      </c>
      <c r="Q48" s="14">
        <v>10</v>
      </c>
      <c r="R48" s="35">
        <f t="shared" ref="R48:R49" si="73">O48*P48*Q48</f>
        <v>1872.7199999999998</v>
      </c>
      <c r="S48" s="36">
        <v>0</v>
      </c>
      <c r="T48" s="37">
        <f t="shared" ref="T48:T49" si="74">SUM(R48:S48)</f>
        <v>1872.7199999999998</v>
      </c>
      <c r="U48" s="131">
        <f>$U$47</f>
        <v>2</v>
      </c>
      <c r="V48" s="36">
        <f t="shared" ref="V48:V51" si="75">C48*$B$6*$B$6*$B$6</f>
        <v>95.508719999999997</v>
      </c>
      <c r="W48" s="14">
        <v>10</v>
      </c>
      <c r="X48" s="35">
        <f t="shared" ref="X48:X49" si="76">U48*V48*W48</f>
        <v>1910.1743999999999</v>
      </c>
      <c r="Y48" s="36">
        <v>0</v>
      </c>
      <c r="Z48" s="37">
        <f t="shared" ref="Z48:Z49" si="77">SUM(X48:Y48)</f>
        <v>1910.1743999999999</v>
      </c>
      <c r="AA48" s="38">
        <f t="shared" ref="AA48:AA51" si="78">F48+L48+R48+X48</f>
        <v>7418.8943999999992</v>
      </c>
      <c r="AB48" s="36">
        <f t="shared" ref="AB48:AB51" si="79">G48+M48+S48+Y48</f>
        <v>0</v>
      </c>
      <c r="AC48" s="38">
        <f t="shared" ref="AC48:AC49" si="80">SUM(AA48:AB48)</f>
        <v>7418.8943999999992</v>
      </c>
    </row>
    <row r="49" spans="1:29">
      <c r="A49" s="72" t="s">
        <v>63</v>
      </c>
      <c r="B49" s="131">
        <f>$B$47</f>
        <v>2</v>
      </c>
      <c r="C49" s="36">
        <v>120</v>
      </c>
      <c r="D49" s="14">
        <v>10</v>
      </c>
      <c r="E49" s="121" t="s">
        <v>64</v>
      </c>
      <c r="F49" s="35">
        <f t="shared" ref="F49" si="81">D49*C49*B49</f>
        <v>2400</v>
      </c>
      <c r="G49" s="36">
        <v>0</v>
      </c>
      <c r="H49" s="37">
        <f t="shared" si="69"/>
        <v>2400</v>
      </c>
      <c r="I49" s="131">
        <f>$I$47</f>
        <v>2</v>
      </c>
      <c r="J49" s="36">
        <f t="shared" si="70"/>
        <v>122.4</v>
      </c>
      <c r="K49" s="14">
        <v>10</v>
      </c>
      <c r="L49" s="35">
        <f t="shared" ref="L49" si="82">I49*J49*K49</f>
        <v>2448</v>
      </c>
      <c r="M49" s="36">
        <v>0</v>
      </c>
      <c r="N49" s="37">
        <f t="shared" si="71"/>
        <v>2448</v>
      </c>
      <c r="O49" s="131">
        <f>$O$47</f>
        <v>2</v>
      </c>
      <c r="P49" s="36">
        <f t="shared" si="72"/>
        <v>124.84800000000001</v>
      </c>
      <c r="Q49" s="14">
        <v>10</v>
      </c>
      <c r="R49" s="35">
        <f t="shared" si="73"/>
        <v>2496.96</v>
      </c>
      <c r="S49" s="36">
        <v>0</v>
      </c>
      <c r="T49" s="37">
        <f t="shared" si="74"/>
        <v>2496.96</v>
      </c>
      <c r="U49" s="131">
        <f>$U$47</f>
        <v>2</v>
      </c>
      <c r="V49" s="36">
        <f t="shared" si="75"/>
        <v>127.34496000000001</v>
      </c>
      <c r="W49" s="14">
        <v>10</v>
      </c>
      <c r="X49" s="35">
        <f t="shared" si="76"/>
        <v>2546.8992000000003</v>
      </c>
      <c r="Y49" s="36">
        <v>0</v>
      </c>
      <c r="Z49" s="37">
        <f t="shared" si="77"/>
        <v>2546.8992000000003</v>
      </c>
      <c r="AA49" s="38">
        <f t="shared" si="78"/>
        <v>9891.8592000000008</v>
      </c>
      <c r="AB49" s="36">
        <f t="shared" si="79"/>
        <v>0</v>
      </c>
      <c r="AC49" s="38">
        <f t="shared" si="80"/>
        <v>9891.8592000000008</v>
      </c>
    </row>
    <row r="50" spans="1:29">
      <c r="A50" s="72" t="s">
        <v>65</v>
      </c>
      <c r="B50" s="131">
        <f>$B$47</f>
        <v>2</v>
      </c>
      <c r="C50" s="36">
        <v>25</v>
      </c>
      <c r="D50" s="14">
        <v>10</v>
      </c>
      <c r="E50" s="121" t="s">
        <v>62</v>
      </c>
      <c r="F50" s="35">
        <f t="shared" ref="F50:F51" si="83">D50*C50*B50</f>
        <v>500</v>
      </c>
      <c r="G50" s="36">
        <v>0</v>
      </c>
      <c r="H50" s="37">
        <f t="shared" ref="H50:H51" si="84">SUM(F50:G50)</f>
        <v>500</v>
      </c>
      <c r="I50" s="131">
        <f>$I$47</f>
        <v>2</v>
      </c>
      <c r="J50" s="36">
        <f t="shared" si="70"/>
        <v>25.5</v>
      </c>
      <c r="K50" s="14">
        <v>10</v>
      </c>
      <c r="L50" s="35">
        <f t="shared" ref="L50:L51" si="85">I50*J50*K50</f>
        <v>510</v>
      </c>
      <c r="M50" s="36">
        <v>0</v>
      </c>
      <c r="N50" s="37">
        <f t="shared" ref="N50:N51" si="86">SUM(L50:M50)</f>
        <v>510</v>
      </c>
      <c r="O50" s="131">
        <f>$O$47</f>
        <v>2</v>
      </c>
      <c r="P50" s="36">
        <f t="shared" si="72"/>
        <v>26.01</v>
      </c>
      <c r="Q50" s="14">
        <v>10</v>
      </c>
      <c r="R50" s="35">
        <f t="shared" ref="R50:R51" si="87">O50*P50*Q50</f>
        <v>520.20000000000005</v>
      </c>
      <c r="S50" s="36">
        <v>0</v>
      </c>
      <c r="T50" s="37">
        <f t="shared" ref="T50:T51" si="88">SUM(R50:S50)</f>
        <v>520.20000000000005</v>
      </c>
      <c r="U50" s="131">
        <f>$U$47</f>
        <v>2</v>
      </c>
      <c r="V50" s="36">
        <f t="shared" si="75"/>
        <v>26.530200000000001</v>
      </c>
      <c r="W50" s="14">
        <v>10</v>
      </c>
      <c r="X50" s="35">
        <f t="shared" ref="X50:X51" si="89">U50*V50*W50</f>
        <v>530.60400000000004</v>
      </c>
      <c r="Y50" s="36">
        <v>0</v>
      </c>
      <c r="Z50" s="37">
        <f t="shared" ref="Z50:Z51" si="90">SUM(X50:Y50)</f>
        <v>530.60400000000004</v>
      </c>
      <c r="AA50" s="38">
        <f t="shared" si="78"/>
        <v>2060.8040000000001</v>
      </c>
      <c r="AB50" s="36">
        <f t="shared" si="79"/>
        <v>0</v>
      </c>
      <c r="AC50" s="38">
        <f t="shared" ref="AC50" si="91">SUM(AA50:AB50)</f>
        <v>2060.8040000000001</v>
      </c>
    </row>
    <row r="51" spans="1:29">
      <c r="A51" s="72" t="s">
        <v>66</v>
      </c>
      <c r="B51" s="131">
        <f>$B$47</f>
        <v>2</v>
      </c>
      <c r="C51" s="36">
        <v>50</v>
      </c>
      <c r="D51" s="14">
        <v>1</v>
      </c>
      <c r="E51" s="121" t="s">
        <v>60</v>
      </c>
      <c r="F51" s="35">
        <f t="shared" si="83"/>
        <v>100</v>
      </c>
      <c r="G51" s="36">
        <v>0</v>
      </c>
      <c r="H51" s="37">
        <f t="shared" si="84"/>
        <v>100</v>
      </c>
      <c r="I51" s="131">
        <f>$I$47</f>
        <v>2</v>
      </c>
      <c r="J51" s="36">
        <f t="shared" si="70"/>
        <v>51</v>
      </c>
      <c r="K51" s="14">
        <v>1</v>
      </c>
      <c r="L51" s="35">
        <f t="shared" si="85"/>
        <v>102</v>
      </c>
      <c r="M51" s="36">
        <v>0</v>
      </c>
      <c r="N51" s="37">
        <f t="shared" si="86"/>
        <v>102</v>
      </c>
      <c r="O51" s="131">
        <f>$O$47</f>
        <v>2</v>
      </c>
      <c r="P51" s="36">
        <f t="shared" si="72"/>
        <v>52.02</v>
      </c>
      <c r="Q51" s="14">
        <v>1</v>
      </c>
      <c r="R51" s="35">
        <f t="shared" si="87"/>
        <v>104.04</v>
      </c>
      <c r="S51" s="36">
        <v>0</v>
      </c>
      <c r="T51" s="37">
        <f t="shared" si="88"/>
        <v>104.04</v>
      </c>
      <c r="U51" s="131">
        <f>$U$47</f>
        <v>2</v>
      </c>
      <c r="V51" s="36">
        <f t="shared" si="75"/>
        <v>53.060400000000001</v>
      </c>
      <c r="W51" s="14">
        <v>1</v>
      </c>
      <c r="X51" s="35">
        <f t="shared" si="89"/>
        <v>106.1208</v>
      </c>
      <c r="Y51" s="36">
        <v>0</v>
      </c>
      <c r="Z51" s="37">
        <f t="shared" si="90"/>
        <v>106.1208</v>
      </c>
      <c r="AA51" s="38">
        <f t="shared" si="78"/>
        <v>412.16079999999999</v>
      </c>
      <c r="AB51" s="36">
        <f t="shared" si="79"/>
        <v>0</v>
      </c>
      <c r="AC51" s="38">
        <f>SUM(AA51:AB51)</f>
        <v>412.16079999999999</v>
      </c>
    </row>
    <row r="52" spans="1:29" s="10" customFormat="1">
      <c r="A52" s="73" t="s">
        <v>67</v>
      </c>
      <c r="B52" s="134"/>
      <c r="C52" s="36"/>
      <c r="D52" s="135"/>
      <c r="E52" s="119"/>
      <c r="F52" s="40">
        <f>SUM(F47:F51)</f>
        <v>6400</v>
      </c>
      <c r="G52" s="40">
        <f t="shared" ref="G52:H52" si="92">SUM(G47:G51)</f>
        <v>0</v>
      </c>
      <c r="H52" s="40">
        <f t="shared" si="92"/>
        <v>6400</v>
      </c>
      <c r="I52" s="134"/>
      <c r="J52" s="41"/>
      <c r="K52" s="119"/>
      <c r="L52" s="40">
        <f>SUM(L47:L51)</f>
        <v>6528</v>
      </c>
      <c r="M52" s="40">
        <f t="shared" ref="M52" si="93">SUM(M47:M51)</f>
        <v>0</v>
      </c>
      <c r="N52" s="40">
        <f t="shared" ref="N52" si="94">SUM(N47:N51)</f>
        <v>6528</v>
      </c>
      <c r="O52" s="134"/>
      <c r="P52" s="36"/>
      <c r="Q52" s="119"/>
      <c r="R52" s="40">
        <f>SUM(R47:R51)</f>
        <v>6658.5599999999995</v>
      </c>
      <c r="S52" s="40">
        <f t="shared" ref="S52" si="95">SUM(S47:S51)</f>
        <v>0</v>
      </c>
      <c r="T52" s="40">
        <f t="shared" ref="T52" si="96">SUM(T47:T51)</f>
        <v>6658.5599999999995</v>
      </c>
      <c r="U52" s="134"/>
      <c r="V52" s="36"/>
      <c r="W52" s="119"/>
      <c r="X52" s="40">
        <f>SUM(X47:X51)</f>
        <v>6791.7312000000002</v>
      </c>
      <c r="Y52" s="40">
        <f t="shared" ref="Y52" si="97">SUM(Y47:Y51)</f>
        <v>0</v>
      </c>
      <c r="Z52" s="40">
        <f t="shared" ref="Z52" si="98">SUM(Z47:Z51)</f>
        <v>6791.7312000000002</v>
      </c>
      <c r="AA52" s="43">
        <f>SUM(AA47:AA51)</f>
        <v>26378.2912</v>
      </c>
      <c r="AB52" s="41">
        <f t="shared" ref="AB52" si="99">SUM(AB47:AB51)</f>
        <v>0</v>
      </c>
      <c r="AC52" s="43">
        <f t="shared" ref="AC52" si="100">SUM(AC47:AC51)</f>
        <v>26378.2912</v>
      </c>
    </row>
    <row r="53" spans="1:29" s="79" customFormat="1">
      <c r="A53" s="74"/>
      <c r="B53" s="136"/>
      <c r="C53" s="36"/>
      <c r="D53" s="138"/>
      <c r="E53" s="137"/>
      <c r="F53" s="75"/>
      <c r="G53" s="76"/>
      <c r="H53" s="77"/>
      <c r="I53" s="136"/>
      <c r="J53" s="76"/>
      <c r="K53" s="137"/>
      <c r="L53" s="75"/>
      <c r="M53" s="76"/>
      <c r="N53" s="77"/>
      <c r="O53" s="136"/>
      <c r="P53" s="36"/>
      <c r="Q53" s="137"/>
      <c r="R53" s="75"/>
      <c r="S53" s="76"/>
      <c r="T53" s="77"/>
      <c r="U53" s="136"/>
      <c r="V53" s="36"/>
      <c r="W53" s="137"/>
      <c r="X53" s="75"/>
      <c r="Y53" s="76"/>
      <c r="Z53" s="77"/>
      <c r="AA53" s="78"/>
      <c r="AB53" s="76"/>
      <c r="AC53" s="78"/>
    </row>
    <row r="54" spans="1:29">
      <c r="A54" s="71" t="s">
        <v>68</v>
      </c>
      <c r="B54" s="120"/>
      <c r="C54" s="36"/>
      <c r="D54" s="121"/>
      <c r="E54" s="121"/>
      <c r="F54" s="35"/>
      <c r="G54" s="36"/>
      <c r="H54" s="37"/>
      <c r="I54" s="120"/>
      <c r="J54" s="121"/>
      <c r="K54" s="121"/>
      <c r="L54" s="35"/>
      <c r="M54" s="36"/>
      <c r="N54" s="37"/>
      <c r="O54" s="120"/>
      <c r="P54" s="36"/>
      <c r="Q54" s="121"/>
      <c r="R54" s="35"/>
      <c r="S54" s="36"/>
      <c r="T54" s="37"/>
      <c r="U54" s="120"/>
      <c r="V54" s="36"/>
      <c r="W54" s="121"/>
      <c r="X54" s="35"/>
      <c r="Y54" s="36"/>
      <c r="Z54" s="37"/>
      <c r="AA54" s="38"/>
      <c r="AB54" s="36"/>
      <c r="AC54" s="38"/>
    </row>
    <row r="55" spans="1:29">
      <c r="A55" s="45" t="s">
        <v>69</v>
      </c>
      <c r="B55" s="130"/>
      <c r="C55" s="14"/>
      <c r="F55" s="35"/>
      <c r="G55" s="36"/>
      <c r="H55" s="37"/>
      <c r="I55" s="130"/>
      <c r="L55" s="35"/>
      <c r="M55" s="36"/>
      <c r="N55" s="37"/>
      <c r="O55" s="130"/>
      <c r="R55" s="35"/>
      <c r="S55" s="36"/>
      <c r="T55" s="37"/>
      <c r="U55" s="130"/>
      <c r="X55" s="35"/>
      <c r="Y55" s="36"/>
      <c r="Z55" s="37"/>
      <c r="AA55" s="38"/>
      <c r="AB55" s="36"/>
      <c r="AC55" s="38"/>
    </row>
    <row r="56" spans="1:29">
      <c r="A56" s="72" t="s">
        <v>70</v>
      </c>
      <c r="B56" s="131">
        <f>(9)</f>
        <v>9</v>
      </c>
      <c r="C56" s="36">
        <v>250</v>
      </c>
      <c r="D56" s="14">
        <v>1</v>
      </c>
      <c r="E56" s="121" t="s">
        <v>60</v>
      </c>
      <c r="F56" s="35">
        <f t="shared" ref="F56" si="101">D56*C56*B56</f>
        <v>2250</v>
      </c>
      <c r="G56" s="36">
        <v>0</v>
      </c>
      <c r="H56" s="37">
        <f t="shared" ref="H56" si="102">SUM(F56:G56)</f>
        <v>2250</v>
      </c>
      <c r="I56" s="131">
        <f>(12)</f>
        <v>12</v>
      </c>
      <c r="J56" s="36">
        <f>C56*$B$7</f>
        <v>257.5</v>
      </c>
      <c r="K56" s="14">
        <v>1</v>
      </c>
      <c r="L56" s="35">
        <f t="shared" ref="L56" si="103">I56*J56*K56</f>
        <v>3090</v>
      </c>
      <c r="M56" s="36">
        <v>0</v>
      </c>
      <c r="N56" s="37">
        <f t="shared" ref="N56" si="104">SUM(L56:M56)</f>
        <v>3090</v>
      </c>
      <c r="O56" s="131">
        <v>12</v>
      </c>
      <c r="P56" s="36">
        <f t="shared" ref="P56" si="105">C56*$B$7*$B$7</f>
        <v>265.22500000000002</v>
      </c>
      <c r="Q56" s="14">
        <v>1</v>
      </c>
      <c r="R56" s="35">
        <f t="shared" ref="R56" si="106">O56*P56*Q56</f>
        <v>3182.7000000000003</v>
      </c>
      <c r="S56" s="36">
        <v>0</v>
      </c>
      <c r="T56" s="37">
        <f t="shared" ref="T56" si="107">SUM(R56:S56)</f>
        <v>3182.7000000000003</v>
      </c>
      <c r="U56" s="131">
        <v>7</v>
      </c>
      <c r="V56" s="36">
        <f t="shared" ref="V56" si="108">C56*$B$7*$B$7*$B$7</f>
        <v>273.18175000000002</v>
      </c>
      <c r="W56" s="14">
        <v>1</v>
      </c>
      <c r="X56" s="35">
        <f t="shared" ref="X56" si="109">U56*V56*W56</f>
        <v>1912.2722500000002</v>
      </c>
      <c r="Y56" s="36">
        <v>0</v>
      </c>
      <c r="Z56" s="37">
        <f t="shared" ref="Z56" si="110">SUM(X56:Y56)</f>
        <v>1912.2722500000002</v>
      </c>
      <c r="AA56" s="38">
        <f t="shared" ref="AA56" si="111">F56+L56+R56+X56</f>
        <v>10434.972250000001</v>
      </c>
      <c r="AB56" s="36">
        <f t="shared" ref="AB56" si="112">G56+M56+S56+Y56</f>
        <v>0</v>
      </c>
      <c r="AC56" s="38">
        <f>SUM(AA56:AB56)</f>
        <v>10434.972250000001</v>
      </c>
    </row>
    <row r="57" spans="1:29">
      <c r="A57" s="72" t="s">
        <v>71</v>
      </c>
      <c r="B57" s="131">
        <f>$B$56</f>
        <v>9</v>
      </c>
      <c r="C57" s="36">
        <v>80</v>
      </c>
      <c r="D57" s="14">
        <v>3</v>
      </c>
      <c r="E57" s="121" t="s">
        <v>62</v>
      </c>
      <c r="F57" s="35">
        <f>D57*C57*B57</f>
        <v>2160</v>
      </c>
      <c r="G57" s="36">
        <v>0</v>
      </c>
      <c r="H57" s="37">
        <f t="shared" ref="H57:H59" si="113">SUM(F57:G57)</f>
        <v>2160</v>
      </c>
      <c r="I57" s="131">
        <f>$I$56</f>
        <v>12</v>
      </c>
      <c r="J57" s="36">
        <f>C57*$B$7</f>
        <v>82.4</v>
      </c>
      <c r="K57" s="14">
        <v>3</v>
      </c>
      <c r="L57" s="35">
        <f t="shared" ref="L57:L59" si="114">I57*J57*K57</f>
        <v>2966.4</v>
      </c>
      <c r="M57" s="36">
        <v>0</v>
      </c>
      <c r="N57" s="37">
        <f t="shared" ref="N57:N59" si="115">SUM(L57:M57)</f>
        <v>2966.4</v>
      </c>
      <c r="O57" s="131">
        <f>$O$56</f>
        <v>12</v>
      </c>
      <c r="P57" s="36">
        <f>C57*$B$7*$B$7</f>
        <v>84.872000000000014</v>
      </c>
      <c r="Q57" s="14">
        <v>3</v>
      </c>
      <c r="R57" s="35">
        <f t="shared" ref="R57:R59" si="116">O57*P57*Q57</f>
        <v>3055.3920000000007</v>
      </c>
      <c r="S57" s="36">
        <v>0</v>
      </c>
      <c r="T57" s="37">
        <f t="shared" ref="T57:T59" si="117">SUM(R57:S57)</f>
        <v>3055.3920000000007</v>
      </c>
      <c r="U57" s="131">
        <f>$U$56</f>
        <v>7</v>
      </c>
      <c r="V57" s="36">
        <f>C57*$B$7*$B$7*$B$7</f>
        <v>87.418160000000015</v>
      </c>
      <c r="W57" s="14">
        <v>3</v>
      </c>
      <c r="X57" s="35">
        <f t="shared" ref="X57:X59" si="118">U57*V57*W57</f>
        <v>1835.7813600000002</v>
      </c>
      <c r="Y57" s="36">
        <v>0</v>
      </c>
      <c r="Z57" s="37">
        <f t="shared" ref="Z57:Z59" si="119">SUM(X57:Y57)</f>
        <v>1835.7813600000002</v>
      </c>
      <c r="AA57" s="38">
        <f t="shared" ref="AA57:AA59" si="120">F57+L57+R57+X57</f>
        <v>10017.57336</v>
      </c>
      <c r="AB57" s="36">
        <f t="shared" ref="AB57:AB59" si="121">G57+M57+S57+Y57</f>
        <v>0</v>
      </c>
      <c r="AC57" s="38">
        <f t="shared" ref="AC57:AC59" si="122">SUM(AA57:AB57)</f>
        <v>10017.57336</v>
      </c>
    </row>
    <row r="58" spans="1:29">
      <c r="A58" s="72" t="s">
        <v>72</v>
      </c>
      <c r="B58" s="131">
        <f>$B$56</f>
        <v>9</v>
      </c>
      <c r="C58" s="36">
        <v>100</v>
      </c>
      <c r="D58" s="14">
        <v>3</v>
      </c>
      <c r="E58" s="121" t="s">
        <v>64</v>
      </c>
      <c r="F58" s="35">
        <f t="shared" ref="F58:F59" si="123">D58*C58*B58</f>
        <v>2700</v>
      </c>
      <c r="G58" s="36">
        <v>0</v>
      </c>
      <c r="H58" s="37">
        <f t="shared" si="113"/>
        <v>2700</v>
      </c>
      <c r="I58" s="131">
        <f>$I$56</f>
        <v>12</v>
      </c>
      <c r="J58" s="36">
        <f t="shared" ref="J58:J59" si="124">C58*$B$7</f>
        <v>103</v>
      </c>
      <c r="K58" s="14">
        <v>3</v>
      </c>
      <c r="L58" s="35">
        <f t="shared" si="114"/>
        <v>3708</v>
      </c>
      <c r="M58" s="36">
        <v>0</v>
      </c>
      <c r="N58" s="37">
        <f t="shared" si="115"/>
        <v>3708</v>
      </c>
      <c r="O58" s="131">
        <f>$O$56</f>
        <v>12</v>
      </c>
      <c r="P58" s="36">
        <f t="shared" ref="P58:P59" si="125">C58*$B$7*$B$7</f>
        <v>106.09</v>
      </c>
      <c r="Q58" s="14">
        <v>3</v>
      </c>
      <c r="R58" s="35">
        <f t="shared" si="116"/>
        <v>3819.24</v>
      </c>
      <c r="S58" s="36">
        <v>0</v>
      </c>
      <c r="T58" s="37">
        <f t="shared" si="117"/>
        <v>3819.24</v>
      </c>
      <c r="U58" s="131">
        <f>$U$56</f>
        <v>7</v>
      </c>
      <c r="V58" s="36">
        <f t="shared" ref="V58:V59" si="126">C58*$B$7*$B$7*$B$7</f>
        <v>109.2727</v>
      </c>
      <c r="W58" s="14">
        <v>3</v>
      </c>
      <c r="X58" s="35">
        <f t="shared" si="118"/>
        <v>2294.7267000000002</v>
      </c>
      <c r="Y58" s="36">
        <v>0</v>
      </c>
      <c r="Z58" s="37">
        <f t="shared" si="119"/>
        <v>2294.7267000000002</v>
      </c>
      <c r="AA58" s="38">
        <f t="shared" si="120"/>
        <v>12521.966700000001</v>
      </c>
      <c r="AB58" s="36">
        <f t="shared" si="121"/>
        <v>0</v>
      </c>
      <c r="AC58" s="38">
        <f t="shared" si="122"/>
        <v>12521.966700000001</v>
      </c>
    </row>
    <row r="59" spans="1:29">
      <c r="A59" s="72" t="s">
        <v>73</v>
      </c>
      <c r="B59" s="131">
        <f>$B$56</f>
        <v>9</v>
      </c>
      <c r="C59" s="36">
        <v>25</v>
      </c>
      <c r="D59" s="14">
        <v>1</v>
      </c>
      <c r="E59" s="121" t="s">
        <v>60</v>
      </c>
      <c r="F59" s="35">
        <f t="shared" si="123"/>
        <v>225</v>
      </c>
      <c r="G59" s="36">
        <v>0</v>
      </c>
      <c r="H59" s="37">
        <f t="shared" si="113"/>
        <v>225</v>
      </c>
      <c r="I59" s="131">
        <f>$I$56</f>
        <v>12</v>
      </c>
      <c r="J59" s="36">
        <f t="shared" si="124"/>
        <v>25.75</v>
      </c>
      <c r="K59" s="14">
        <v>1</v>
      </c>
      <c r="L59" s="35">
        <f t="shared" si="114"/>
        <v>309</v>
      </c>
      <c r="M59" s="36">
        <v>0</v>
      </c>
      <c r="N59" s="37">
        <f t="shared" si="115"/>
        <v>309</v>
      </c>
      <c r="O59" s="131">
        <f>$O$56</f>
        <v>12</v>
      </c>
      <c r="P59" s="36">
        <f t="shared" si="125"/>
        <v>26.522500000000001</v>
      </c>
      <c r="Q59" s="14">
        <v>1</v>
      </c>
      <c r="R59" s="35">
        <f t="shared" si="116"/>
        <v>318.27</v>
      </c>
      <c r="S59" s="36">
        <v>0</v>
      </c>
      <c r="T59" s="37">
        <f t="shared" si="117"/>
        <v>318.27</v>
      </c>
      <c r="U59" s="131">
        <f>$U$56</f>
        <v>7</v>
      </c>
      <c r="V59" s="36">
        <f t="shared" si="126"/>
        <v>27.318175</v>
      </c>
      <c r="W59" s="14">
        <v>1</v>
      </c>
      <c r="X59" s="35">
        <f t="shared" si="118"/>
        <v>191.227225</v>
      </c>
      <c r="Y59" s="36">
        <v>0</v>
      </c>
      <c r="Z59" s="37">
        <f t="shared" si="119"/>
        <v>191.227225</v>
      </c>
      <c r="AA59" s="38">
        <f t="shared" si="120"/>
        <v>1043.4972250000001</v>
      </c>
      <c r="AB59" s="36">
        <f t="shared" si="121"/>
        <v>0</v>
      </c>
      <c r="AC59" s="38">
        <f t="shared" si="122"/>
        <v>1043.4972250000001</v>
      </c>
    </row>
    <row r="60" spans="1:29">
      <c r="A60" s="72"/>
      <c r="B60" s="131"/>
      <c r="C60" s="36"/>
      <c r="D60" s="14"/>
      <c r="E60" s="121"/>
      <c r="F60" s="35"/>
      <c r="G60" s="36"/>
      <c r="H60" s="37"/>
      <c r="I60" s="131"/>
      <c r="J60" s="36"/>
      <c r="K60" s="14"/>
      <c r="L60" s="35"/>
      <c r="M60" s="36"/>
      <c r="N60" s="37"/>
      <c r="O60" s="131"/>
      <c r="P60" s="36"/>
      <c r="Q60" s="14"/>
      <c r="R60" s="35"/>
      <c r="S60" s="36"/>
      <c r="T60" s="37"/>
      <c r="U60" s="131"/>
      <c r="V60" s="36"/>
      <c r="W60" s="14"/>
      <c r="X60" s="35"/>
      <c r="Y60" s="36"/>
      <c r="Z60" s="37"/>
      <c r="AA60" s="38"/>
      <c r="AB60" s="36"/>
      <c r="AC60" s="38"/>
    </row>
    <row r="61" spans="1:29">
      <c r="A61" s="72"/>
      <c r="B61" s="131"/>
      <c r="C61" s="36"/>
      <c r="D61" s="14"/>
      <c r="E61" s="121"/>
      <c r="F61" s="35"/>
      <c r="G61" s="36"/>
      <c r="H61" s="36"/>
      <c r="I61" s="131"/>
      <c r="J61" s="36"/>
      <c r="K61" s="14"/>
      <c r="L61" s="35"/>
      <c r="M61" s="36"/>
      <c r="N61" s="36"/>
      <c r="O61" s="131"/>
      <c r="P61" s="36"/>
      <c r="Q61" s="14"/>
      <c r="R61" s="35"/>
      <c r="S61" s="36"/>
      <c r="T61" s="36"/>
      <c r="U61" s="131"/>
      <c r="V61" s="36"/>
      <c r="W61" s="14"/>
      <c r="X61" s="35"/>
      <c r="Y61" s="36"/>
      <c r="Z61" s="36"/>
      <c r="AA61" s="38"/>
      <c r="AB61" s="36"/>
      <c r="AC61" s="38"/>
    </row>
    <row r="62" spans="1:29" s="10" customFormat="1" ht="12.3">
      <c r="A62" s="73" t="s">
        <v>74</v>
      </c>
      <c r="B62" s="134"/>
      <c r="C62" s="119"/>
      <c r="D62" s="135"/>
      <c r="E62" s="119"/>
      <c r="F62" s="40">
        <f>SUM(F55:F61)</f>
        <v>7335</v>
      </c>
      <c r="G62" s="40">
        <f>SUM(G55:G61)</f>
        <v>0</v>
      </c>
      <c r="H62" s="40">
        <f>SUM(H55:H61)</f>
        <v>7335</v>
      </c>
      <c r="I62" s="134"/>
      <c r="J62" s="41"/>
      <c r="K62" s="119"/>
      <c r="L62" s="40">
        <f>SUM(L55:L61)</f>
        <v>10073.4</v>
      </c>
      <c r="M62" s="40">
        <f>SUM(M55:M61)</f>
        <v>0</v>
      </c>
      <c r="N62" s="40">
        <f>SUM(N55:N61)</f>
        <v>10073.4</v>
      </c>
      <c r="O62" s="134"/>
      <c r="P62" s="119"/>
      <c r="Q62" s="119"/>
      <c r="R62" s="40">
        <f>SUM(R55:R61)</f>
        <v>10375.602000000001</v>
      </c>
      <c r="S62" s="40">
        <f>SUM(S55:S61)</f>
        <v>0</v>
      </c>
      <c r="T62" s="40">
        <f>SUM(T55:T61)</f>
        <v>10375.602000000001</v>
      </c>
      <c r="U62" s="134"/>
      <c r="V62" s="119"/>
      <c r="W62" s="119"/>
      <c r="X62" s="40">
        <f>SUM(X55:X61)</f>
        <v>6234.0075349999997</v>
      </c>
      <c r="Y62" s="40">
        <f>SUM(Y55:Y61)</f>
        <v>0</v>
      </c>
      <c r="Z62" s="40">
        <f>SUM(Z55:Z61)</f>
        <v>6234.0075349999997</v>
      </c>
      <c r="AA62" s="43">
        <f>SUM(AA55:AA61)</f>
        <v>34018.009535000005</v>
      </c>
      <c r="AB62" s="41">
        <f>SUM(AB55:AB61)</f>
        <v>0</v>
      </c>
      <c r="AC62" s="43">
        <f>SUM(AC55:AC61)</f>
        <v>34018.009535000005</v>
      </c>
    </row>
    <row r="63" spans="1:29">
      <c r="A63" s="80"/>
      <c r="B63" s="120"/>
      <c r="C63" s="121"/>
      <c r="D63" s="121"/>
      <c r="E63" s="121"/>
      <c r="F63" s="35"/>
      <c r="G63" s="36"/>
      <c r="H63" s="37"/>
      <c r="I63" s="139"/>
      <c r="J63" s="121"/>
      <c r="K63" s="121"/>
      <c r="L63" s="35"/>
      <c r="M63" s="36"/>
      <c r="N63" s="37"/>
      <c r="O63" s="120"/>
      <c r="P63" s="121"/>
      <c r="Q63" s="121"/>
      <c r="R63" s="35"/>
      <c r="S63" s="36"/>
      <c r="T63" s="37"/>
      <c r="U63" s="120"/>
      <c r="V63" s="121"/>
      <c r="W63" s="121"/>
      <c r="X63" s="35"/>
      <c r="Y63" s="36"/>
      <c r="Z63" s="37"/>
      <c r="AA63" s="38"/>
      <c r="AB63" s="36"/>
      <c r="AC63" s="38"/>
    </row>
    <row r="64" spans="1:29">
      <c r="A64" s="47" t="s">
        <v>75</v>
      </c>
      <c r="B64" s="123"/>
      <c r="C64" s="124"/>
      <c r="D64" s="124"/>
      <c r="E64" s="124"/>
      <c r="F64" s="48">
        <f>F62+F52</f>
        <v>13735</v>
      </c>
      <c r="G64" s="48">
        <f>G62+G52</f>
        <v>0</v>
      </c>
      <c r="H64" s="48">
        <f>H62+H52</f>
        <v>13735</v>
      </c>
      <c r="I64" s="123"/>
      <c r="J64" s="124"/>
      <c r="K64" s="124"/>
      <c r="L64" s="48">
        <f>L62+L52</f>
        <v>16601.400000000001</v>
      </c>
      <c r="M64" s="48">
        <f>M62+M52</f>
        <v>0</v>
      </c>
      <c r="N64" s="48">
        <f>N62+N52</f>
        <v>16601.400000000001</v>
      </c>
      <c r="O64" s="123"/>
      <c r="P64" s="124"/>
      <c r="Q64" s="124"/>
      <c r="R64" s="48">
        <f>R62+R52</f>
        <v>17034.162</v>
      </c>
      <c r="S64" s="48">
        <f>S62+S52</f>
        <v>0</v>
      </c>
      <c r="T64" s="48">
        <f>T62+T52</f>
        <v>17034.162</v>
      </c>
      <c r="U64" s="123"/>
      <c r="V64" s="124"/>
      <c r="W64" s="124"/>
      <c r="X64" s="48">
        <f>X62+X52</f>
        <v>13025.738734999999</v>
      </c>
      <c r="Y64" s="48">
        <f>Y62+Y52</f>
        <v>0</v>
      </c>
      <c r="Z64" s="48">
        <f>Z62+Z52</f>
        <v>13025.738734999999</v>
      </c>
      <c r="AA64" s="69">
        <f>AA62+AA52</f>
        <v>60396.300735000004</v>
      </c>
      <c r="AB64" s="223">
        <f>AB62+AB52</f>
        <v>0</v>
      </c>
      <c r="AC64" s="69">
        <f>AC62+AC52</f>
        <v>60396.300735000004</v>
      </c>
    </row>
    <row r="65" spans="1:29">
      <c r="A65" s="81"/>
      <c r="B65" s="140"/>
      <c r="C65" s="141"/>
      <c r="D65" s="141"/>
      <c r="E65" s="141"/>
      <c r="F65" s="50"/>
      <c r="G65" s="51"/>
      <c r="H65" s="52"/>
      <c r="I65" s="140"/>
      <c r="J65" s="141"/>
      <c r="K65" s="141"/>
      <c r="L65" s="50"/>
      <c r="M65" s="51"/>
      <c r="N65" s="52"/>
      <c r="O65" s="140"/>
      <c r="P65" s="141"/>
      <c r="Q65" s="141"/>
      <c r="R65" s="50"/>
      <c r="S65" s="51"/>
      <c r="T65" s="52"/>
      <c r="U65" s="140"/>
      <c r="V65" s="141"/>
      <c r="W65" s="141"/>
      <c r="X65" s="50"/>
      <c r="Y65" s="51"/>
      <c r="Z65" s="52"/>
      <c r="AA65" s="53"/>
      <c r="AB65" s="51"/>
      <c r="AC65" s="53"/>
    </row>
    <row r="66" spans="1:29">
      <c r="A66" s="54" t="s">
        <v>76</v>
      </c>
      <c r="B66" s="127"/>
      <c r="C66" s="128"/>
      <c r="D66" s="128"/>
      <c r="E66" s="128"/>
      <c r="F66" s="55"/>
      <c r="G66" s="56"/>
      <c r="H66" s="57"/>
      <c r="I66" s="127"/>
      <c r="J66" s="128"/>
      <c r="K66" s="128"/>
      <c r="L66" s="55"/>
      <c r="M66" s="56"/>
      <c r="N66" s="57"/>
      <c r="O66" s="127"/>
      <c r="P66" s="128"/>
      <c r="Q66" s="128"/>
      <c r="R66" s="55"/>
      <c r="S66" s="56"/>
      <c r="T66" s="57"/>
      <c r="U66" s="127"/>
      <c r="V66" s="128"/>
      <c r="W66" s="128"/>
      <c r="X66" s="55"/>
      <c r="Y66" s="56"/>
      <c r="Z66" s="57"/>
      <c r="AA66" s="58"/>
      <c r="AB66" s="56"/>
      <c r="AC66" s="58"/>
    </row>
    <row r="67" spans="1:29">
      <c r="A67" s="59"/>
      <c r="B67" s="131"/>
      <c r="C67" s="142"/>
      <c r="D67" s="142"/>
      <c r="E67" s="142"/>
      <c r="F67" s="28"/>
      <c r="G67" s="61"/>
      <c r="H67" s="70"/>
      <c r="I67" s="143"/>
      <c r="J67" s="142"/>
      <c r="K67" s="142"/>
      <c r="L67" s="60"/>
      <c r="M67" s="61"/>
      <c r="N67" s="70"/>
      <c r="O67" s="143"/>
      <c r="P67" s="142"/>
      <c r="Q67" s="142"/>
      <c r="R67" s="60"/>
      <c r="S67" s="61"/>
      <c r="T67" s="70"/>
      <c r="U67" s="143"/>
      <c r="V67" s="142"/>
      <c r="W67" s="142"/>
      <c r="X67" s="60"/>
      <c r="Y67" s="61"/>
      <c r="Z67" s="70"/>
      <c r="AA67" s="38"/>
      <c r="AB67" s="61"/>
      <c r="AC67" s="62"/>
    </row>
    <row r="68" spans="1:29">
      <c r="A68" s="130" t="s">
        <v>77</v>
      </c>
      <c r="B68" s="131">
        <v>0</v>
      </c>
      <c r="C68" s="36">
        <v>0</v>
      </c>
      <c r="D68" s="122"/>
      <c r="E68" s="121">
        <v>0</v>
      </c>
      <c r="F68" s="35">
        <f>C68*B68</f>
        <v>0</v>
      </c>
      <c r="G68" s="36">
        <v>0</v>
      </c>
      <c r="H68" s="37">
        <f>SUM(F68:G68)</f>
        <v>0</v>
      </c>
      <c r="I68" s="131">
        <v>0</v>
      </c>
      <c r="J68" s="36">
        <f>C68</f>
        <v>0</v>
      </c>
      <c r="K68" s="122"/>
      <c r="L68" s="35">
        <f>I68*J68</f>
        <v>0</v>
      </c>
      <c r="M68" s="36">
        <v>0</v>
      </c>
      <c r="N68" s="37">
        <f>SUM(L68:M68)</f>
        <v>0</v>
      </c>
      <c r="O68" s="131">
        <v>0</v>
      </c>
      <c r="P68" s="36">
        <f>C68</f>
        <v>0</v>
      </c>
      <c r="Q68" s="122"/>
      <c r="R68" s="35">
        <f>P68*O68</f>
        <v>0</v>
      </c>
      <c r="S68" s="36">
        <v>0</v>
      </c>
      <c r="T68" s="37">
        <f>SUM(R68:S68)</f>
        <v>0</v>
      </c>
      <c r="U68" s="131">
        <v>0</v>
      </c>
      <c r="V68" s="36">
        <f>C68</f>
        <v>0</v>
      </c>
      <c r="W68" s="122"/>
      <c r="X68" s="35">
        <f>U68*V68</f>
        <v>0</v>
      </c>
      <c r="Y68" s="36">
        <v>0</v>
      </c>
      <c r="Z68" s="37">
        <f>SUM(X68:Y68)</f>
        <v>0</v>
      </c>
      <c r="AA68" s="38">
        <f t="shared" ref="AA68" si="127">F68+L68+R68+X68</f>
        <v>0</v>
      </c>
      <c r="AB68" s="36">
        <f t="shared" ref="AB68" si="128">G68+M68+S68+Y68</f>
        <v>0</v>
      </c>
      <c r="AC68" s="38">
        <f>SUM(AA68:AB68)</f>
        <v>0</v>
      </c>
    </row>
    <row r="69" spans="1:29">
      <c r="A69" s="82"/>
      <c r="B69" s="144"/>
      <c r="C69" s="36"/>
      <c r="D69" s="145"/>
      <c r="E69" s="145"/>
      <c r="F69" s="83"/>
      <c r="G69" s="84"/>
      <c r="H69" s="85"/>
      <c r="I69" s="144"/>
      <c r="J69" s="145"/>
      <c r="K69" s="145"/>
      <c r="L69" s="83"/>
      <c r="M69" s="84"/>
      <c r="N69" s="85"/>
      <c r="O69" s="144"/>
      <c r="P69" s="145"/>
      <c r="Q69" s="145"/>
      <c r="R69" s="83"/>
      <c r="S69" s="84"/>
      <c r="T69" s="85"/>
      <c r="U69" s="144"/>
      <c r="V69" s="145"/>
      <c r="W69" s="145"/>
      <c r="X69" s="83"/>
      <c r="Y69" s="84"/>
      <c r="Z69" s="85"/>
      <c r="AA69" s="86"/>
      <c r="AB69" s="84"/>
      <c r="AC69" s="86"/>
    </row>
    <row r="70" spans="1:29" s="9" customFormat="1" ht="12.3">
      <c r="A70" s="47" t="s">
        <v>78</v>
      </c>
      <c r="B70" s="123"/>
      <c r="C70" s="124"/>
      <c r="D70" s="124"/>
      <c r="E70" s="124"/>
      <c r="F70" s="48">
        <f>SUM(F68:F69)</f>
        <v>0</v>
      </c>
      <c r="G70" s="48">
        <f>SUM(G68:G69)</f>
        <v>0</v>
      </c>
      <c r="H70" s="48">
        <f>SUM(H68:H69)</f>
        <v>0</v>
      </c>
      <c r="I70" s="123"/>
      <c r="J70" s="124"/>
      <c r="K70" s="124"/>
      <c r="L70" s="48">
        <f>SUM(L68:L69)</f>
        <v>0</v>
      </c>
      <c r="M70" s="48">
        <f>SUM(M68:M69)</f>
        <v>0</v>
      </c>
      <c r="N70" s="48">
        <f>SUM(N68:N69)</f>
        <v>0</v>
      </c>
      <c r="O70" s="123"/>
      <c r="P70" s="124"/>
      <c r="Q70" s="124"/>
      <c r="R70" s="48">
        <f>SUM(R68:R69)</f>
        <v>0</v>
      </c>
      <c r="S70" s="48">
        <f>SUM(S68:S69)</f>
        <v>0</v>
      </c>
      <c r="T70" s="48">
        <f>SUM(T68:T69)</f>
        <v>0</v>
      </c>
      <c r="U70" s="123"/>
      <c r="V70" s="124"/>
      <c r="W70" s="124"/>
      <c r="X70" s="48">
        <f>SUM(X68:X69)</f>
        <v>0</v>
      </c>
      <c r="Y70" s="48">
        <f>SUM(Y68:Y69)</f>
        <v>0</v>
      </c>
      <c r="Z70" s="48">
        <f>SUM(Z68:Z69)</f>
        <v>0</v>
      </c>
      <c r="AA70" s="69">
        <f>SUM(AA68:AA69)</f>
        <v>0</v>
      </c>
      <c r="AB70" s="223">
        <f>SUM(AB68:AB69)</f>
        <v>0</v>
      </c>
      <c r="AC70" s="69">
        <f>SUM(AA70:AB70)</f>
        <v>0</v>
      </c>
    </row>
    <row r="71" spans="1:29">
      <c r="A71" s="87"/>
      <c r="B71" s="125"/>
      <c r="C71" s="126"/>
      <c r="D71" s="126"/>
      <c r="E71" s="126"/>
      <c r="F71" s="50"/>
      <c r="G71" s="51"/>
      <c r="H71" s="52"/>
      <c r="I71" s="125"/>
      <c r="J71" s="126"/>
      <c r="K71" s="126"/>
      <c r="L71" s="50"/>
      <c r="M71" s="51"/>
      <c r="N71" s="52"/>
      <c r="O71" s="125"/>
      <c r="P71" s="126"/>
      <c r="Q71" s="126"/>
      <c r="R71" s="50"/>
      <c r="S71" s="51"/>
      <c r="T71" s="52"/>
      <c r="U71" s="125"/>
      <c r="V71" s="126"/>
      <c r="W71" s="126"/>
      <c r="X71" s="50"/>
      <c r="Y71" s="51"/>
      <c r="Z71" s="52"/>
      <c r="AA71" s="53"/>
      <c r="AB71" s="51"/>
      <c r="AC71" s="53"/>
    </row>
    <row r="72" spans="1:29">
      <c r="A72" s="54" t="s">
        <v>16</v>
      </c>
      <c r="B72" s="127"/>
      <c r="C72" s="128"/>
      <c r="D72" s="128"/>
      <c r="E72" s="128"/>
      <c r="F72" s="55"/>
      <c r="G72" s="56"/>
      <c r="H72" s="57"/>
      <c r="I72" s="127"/>
      <c r="J72" s="128"/>
      <c r="K72" s="128"/>
      <c r="L72" s="55"/>
      <c r="M72" s="56"/>
      <c r="N72" s="57"/>
      <c r="O72" s="127"/>
      <c r="P72" s="128"/>
      <c r="Q72" s="128"/>
      <c r="R72" s="55"/>
      <c r="S72" s="56"/>
      <c r="T72" s="57"/>
      <c r="U72" s="127"/>
      <c r="V72" s="128"/>
      <c r="W72" s="128"/>
      <c r="X72" s="55"/>
      <c r="Y72" s="56"/>
      <c r="Z72" s="57"/>
      <c r="AA72" s="58"/>
      <c r="AB72" s="56"/>
      <c r="AC72" s="58"/>
    </row>
    <row r="73" spans="1:29">
      <c r="A73" s="27"/>
      <c r="B73" s="143"/>
      <c r="C73" s="142"/>
      <c r="D73" s="142"/>
      <c r="E73" s="142"/>
      <c r="F73" s="60"/>
      <c r="G73" s="61"/>
      <c r="H73" s="70"/>
      <c r="I73" s="143"/>
      <c r="J73" s="142"/>
      <c r="K73" s="142"/>
      <c r="L73" s="60"/>
      <c r="M73" s="61"/>
      <c r="N73" s="70"/>
      <c r="O73" s="143"/>
      <c r="P73" s="142"/>
      <c r="Q73" s="142"/>
      <c r="R73" s="60"/>
      <c r="S73" s="61"/>
      <c r="T73" s="70"/>
      <c r="U73" s="143"/>
      <c r="V73" s="142"/>
      <c r="W73" s="142"/>
      <c r="X73" s="60"/>
      <c r="Y73" s="61"/>
      <c r="Z73" s="70"/>
      <c r="AA73" s="38"/>
      <c r="AB73" s="61"/>
      <c r="AC73" s="62"/>
    </row>
    <row r="74" spans="1:29">
      <c r="A74" s="71" t="s">
        <v>79</v>
      </c>
      <c r="B74" s="114"/>
      <c r="C74" s="122"/>
      <c r="D74" s="36"/>
      <c r="E74" s="122"/>
      <c r="F74" s="35"/>
      <c r="G74" s="36"/>
      <c r="H74" s="37"/>
      <c r="I74" s="131"/>
      <c r="J74" s="36"/>
      <c r="K74" s="14"/>
      <c r="L74" s="35"/>
      <c r="M74" s="36"/>
      <c r="N74" s="37"/>
      <c r="O74" s="131"/>
      <c r="P74" s="36"/>
      <c r="Q74" s="14"/>
      <c r="R74" s="35"/>
      <c r="S74" s="36"/>
      <c r="T74" s="37"/>
      <c r="U74" s="131"/>
      <c r="V74" s="36"/>
      <c r="W74" s="14"/>
      <c r="X74" s="35"/>
      <c r="Y74" s="36"/>
      <c r="Z74" s="37"/>
      <c r="AA74" s="38"/>
      <c r="AB74" s="36"/>
      <c r="AC74" s="38"/>
    </row>
    <row r="75" spans="1:29">
      <c r="A75" s="63" t="s">
        <v>80</v>
      </c>
      <c r="B75" s="131">
        <v>2</v>
      </c>
      <c r="C75" s="36">
        <v>1200</v>
      </c>
      <c r="D75" s="36">
        <v>1</v>
      </c>
      <c r="E75" s="121" t="s">
        <v>81</v>
      </c>
      <c r="F75" s="35">
        <f>C75*B75</f>
        <v>2400</v>
      </c>
      <c r="G75" s="36">
        <v>0</v>
      </c>
      <c r="H75" s="37">
        <f t="shared" ref="H75:H80" si="129">SUM(F75:G75)</f>
        <v>2400</v>
      </c>
      <c r="I75" s="131">
        <v>0</v>
      </c>
      <c r="J75" s="36">
        <f>C75*$B$6</f>
        <v>1224</v>
      </c>
      <c r="K75" s="14">
        <v>0</v>
      </c>
      <c r="L75" s="35">
        <f>I75*J75</f>
        <v>0</v>
      </c>
      <c r="M75" s="36">
        <v>0</v>
      </c>
      <c r="N75" s="37">
        <f t="shared" ref="N75:N80" si="130">SUM(L75:M75)</f>
        <v>0</v>
      </c>
      <c r="O75" s="35">
        <f t="shared" ref="O75:O80" si="131">L75*M75*N75</f>
        <v>0</v>
      </c>
      <c r="P75" s="36">
        <f>C75*$B$6*$B$6</f>
        <v>1248.48</v>
      </c>
      <c r="Q75" s="14">
        <v>0</v>
      </c>
      <c r="R75" s="35">
        <f>P75*O75</f>
        <v>0</v>
      </c>
      <c r="S75" s="36">
        <v>0</v>
      </c>
      <c r="T75" s="37">
        <f t="shared" ref="T75:T80" si="132">SUM(R75:S75)</f>
        <v>0</v>
      </c>
      <c r="U75" s="35">
        <f t="shared" ref="U75:U80" si="133">R75*S75*T75</f>
        <v>0</v>
      </c>
      <c r="V75" s="36">
        <f>C75*$B$6*$B$6*$B$6</f>
        <v>1273.4496000000001</v>
      </c>
      <c r="W75" s="14">
        <v>0</v>
      </c>
      <c r="X75" s="35">
        <f>V75*U75</f>
        <v>0</v>
      </c>
      <c r="Y75" s="36">
        <v>0</v>
      </c>
      <c r="Z75" s="37">
        <f t="shared" ref="Z75:Z80" si="134">SUM(X75:Y75)</f>
        <v>0</v>
      </c>
      <c r="AA75" s="38">
        <f t="shared" ref="AA75" si="135">F75+L75+R75+X75</f>
        <v>2400</v>
      </c>
      <c r="AB75" s="36">
        <f t="shared" ref="AB75" si="136">G75+M75+S75+Y75</f>
        <v>0</v>
      </c>
      <c r="AC75" s="38">
        <f t="shared" ref="AC75:AC80" si="137">SUM(AA75:AB75)</f>
        <v>2400</v>
      </c>
    </row>
    <row r="76" spans="1:29">
      <c r="A76" s="63" t="s">
        <v>82</v>
      </c>
      <c r="B76" s="131">
        <v>1</v>
      </c>
      <c r="C76" s="36">
        <v>150</v>
      </c>
      <c r="D76" s="36">
        <v>12</v>
      </c>
      <c r="E76" s="121" t="s">
        <v>49</v>
      </c>
      <c r="F76" s="35">
        <f>C76*B76*D76</f>
        <v>1800</v>
      </c>
      <c r="G76" s="36">
        <v>0</v>
      </c>
      <c r="H76" s="37">
        <f t="shared" ref="H76" si="138">SUM(F76:G76)</f>
        <v>1800</v>
      </c>
      <c r="I76" s="131">
        <v>1</v>
      </c>
      <c r="J76" s="36">
        <f t="shared" ref="J76" si="139">C76*$B$6</f>
        <v>153</v>
      </c>
      <c r="K76" s="14">
        <v>12</v>
      </c>
      <c r="L76" s="35">
        <f>I76*J76*K76</f>
        <v>1836</v>
      </c>
      <c r="M76" s="36">
        <v>0</v>
      </c>
      <c r="N76" s="37">
        <f t="shared" ref="N76" si="140">SUM(L76:M76)</f>
        <v>1836</v>
      </c>
      <c r="O76" s="35">
        <v>1</v>
      </c>
      <c r="P76" s="36">
        <f t="shared" ref="P76" si="141">C76*$B$6*$B$6</f>
        <v>156.06</v>
      </c>
      <c r="Q76" s="14">
        <v>12</v>
      </c>
      <c r="R76" s="35">
        <f>P76*O76*Q76</f>
        <v>1872.72</v>
      </c>
      <c r="S76" s="36">
        <v>0</v>
      </c>
      <c r="T76" s="37">
        <f t="shared" ref="T76" si="142">SUM(R76:S76)</f>
        <v>1872.72</v>
      </c>
      <c r="U76" s="35">
        <v>1</v>
      </c>
      <c r="V76" s="36">
        <f t="shared" ref="V76" si="143">C76*$B$6*$B$6*$B$6</f>
        <v>159.18120000000002</v>
      </c>
      <c r="W76" s="247">
        <v>7.5</v>
      </c>
      <c r="X76" s="35">
        <f>V76*U76*W76</f>
        <v>1193.8590000000002</v>
      </c>
      <c r="Y76" s="36">
        <v>0</v>
      </c>
      <c r="Z76" s="37">
        <f t="shared" ref="Z76" si="144">SUM(X76:Y76)</f>
        <v>1193.8590000000002</v>
      </c>
      <c r="AA76" s="38">
        <f t="shared" ref="AA76" si="145">F76+L76+R76+X76</f>
        <v>6702.5790000000006</v>
      </c>
      <c r="AB76" s="36">
        <f t="shared" ref="AB76" si="146">G76+M76+S76+Y76</f>
        <v>0</v>
      </c>
      <c r="AC76" s="38">
        <f t="shared" ref="AC76" si="147">SUM(AA76:AB76)</f>
        <v>6702.5790000000006</v>
      </c>
    </row>
    <row r="77" spans="1:29" s="10" customFormat="1" ht="12.3">
      <c r="A77" s="73" t="s">
        <v>83</v>
      </c>
      <c r="B77" s="134"/>
      <c r="C77" s="119"/>
      <c r="D77" s="135"/>
      <c r="E77" s="119"/>
      <c r="F77" s="40">
        <f>SUM(F75:F76)</f>
        <v>4200</v>
      </c>
      <c r="G77" s="41">
        <f>SUM(G75:G76)</f>
        <v>0</v>
      </c>
      <c r="H77" s="42">
        <f>SUM(H75:H76)</f>
        <v>4200</v>
      </c>
      <c r="I77" s="134"/>
      <c r="J77" s="41"/>
      <c r="K77" s="119"/>
      <c r="L77" s="40">
        <f>SUM(L75:L76)</f>
        <v>1836</v>
      </c>
      <c r="M77" s="41">
        <f>SUM(M75:M76)</f>
        <v>0</v>
      </c>
      <c r="N77" s="42">
        <f>SUM(N75:N76)</f>
        <v>1836</v>
      </c>
      <c r="O77" s="134"/>
      <c r="P77" s="119"/>
      <c r="Q77" s="119"/>
      <c r="R77" s="40">
        <f>SUM(R75:R76)</f>
        <v>1872.72</v>
      </c>
      <c r="S77" s="41">
        <f>SUM(S75:S76)</f>
        <v>0</v>
      </c>
      <c r="T77" s="42">
        <f>SUM(T75:T76)</f>
        <v>1872.72</v>
      </c>
      <c r="U77" s="134"/>
      <c r="V77" s="119"/>
      <c r="W77" s="119"/>
      <c r="X77" s="40">
        <f>SUM(X75:X76)</f>
        <v>1193.8590000000002</v>
      </c>
      <c r="Y77" s="41">
        <f>SUM(Y75:Y76)</f>
        <v>0</v>
      </c>
      <c r="Z77" s="42">
        <f>SUM(Z75:Z76)</f>
        <v>1193.8590000000002</v>
      </c>
      <c r="AA77" s="43">
        <f>SUM(AA75:AA76)</f>
        <v>9102.5790000000015</v>
      </c>
      <c r="AB77" s="43">
        <f>SUM(AB75:AB76)</f>
        <v>0</v>
      </c>
      <c r="AC77" s="43">
        <f>SUM(AA77:AB77)</f>
        <v>9102.5790000000015</v>
      </c>
    </row>
    <row r="78" spans="1:29">
      <c r="A78" s="63"/>
      <c r="B78" s="131"/>
      <c r="C78" s="36"/>
      <c r="D78" s="122"/>
      <c r="E78" s="121"/>
      <c r="F78" s="35"/>
      <c r="G78" s="36"/>
      <c r="H78" s="37"/>
      <c r="I78" s="131"/>
      <c r="J78" s="36"/>
      <c r="K78" s="14"/>
      <c r="L78" s="35"/>
      <c r="M78" s="36"/>
      <c r="N78" s="37"/>
      <c r="O78" s="35"/>
      <c r="P78" s="36"/>
      <c r="Q78" s="14"/>
      <c r="R78" s="35"/>
      <c r="S78" s="36"/>
      <c r="T78" s="37"/>
      <c r="U78" s="35"/>
      <c r="V78" s="36"/>
      <c r="W78" s="14"/>
      <c r="X78" s="35"/>
      <c r="Y78" s="36"/>
      <c r="Z78" s="37"/>
      <c r="AA78" s="38"/>
      <c r="AB78" s="36"/>
      <c r="AC78" s="38"/>
    </row>
    <row r="79" spans="1:29">
      <c r="A79" s="71" t="s">
        <v>84</v>
      </c>
      <c r="B79" s="114"/>
      <c r="C79" s="122"/>
      <c r="D79" s="122"/>
      <c r="E79" s="122"/>
      <c r="F79" s="35"/>
      <c r="G79" s="36"/>
      <c r="H79" s="37"/>
      <c r="I79" s="114"/>
      <c r="J79" s="36"/>
      <c r="K79" s="14"/>
      <c r="L79" s="35"/>
      <c r="M79" s="36"/>
      <c r="N79" s="37"/>
      <c r="O79" s="35"/>
      <c r="P79" s="36"/>
      <c r="Q79" s="122"/>
      <c r="R79" s="35"/>
      <c r="S79" s="36"/>
      <c r="T79" s="37"/>
      <c r="U79" s="35"/>
      <c r="V79" s="36"/>
      <c r="W79" s="122"/>
      <c r="X79" s="35"/>
      <c r="Y79" s="36"/>
      <c r="Z79" s="37"/>
      <c r="AA79" s="38"/>
      <c r="AB79" s="36"/>
      <c r="AC79" s="38"/>
    </row>
    <row r="80" spans="1:29">
      <c r="A80" s="63" t="s">
        <v>85</v>
      </c>
      <c r="B80" s="131">
        <v>9</v>
      </c>
      <c r="C80" s="36">
        <v>1200</v>
      </c>
      <c r="D80" s="1">
        <v>1</v>
      </c>
      <c r="E80" s="121" t="s">
        <v>81</v>
      </c>
      <c r="F80" s="35">
        <f>C80*B80</f>
        <v>10800</v>
      </c>
      <c r="G80" s="36">
        <v>0</v>
      </c>
      <c r="H80" s="37">
        <f t="shared" si="129"/>
        <v>10800</v>
      </c>
      <c r="I80" s="131">
        <v>0</v>
      </c>
      <c r="J80" s="36">
        <f>C80*$B$7</f>
        <v>1236</v>
      </c>
      <c r="K80" s="1">
        <v>1</v>
      </c>
      <c r="L80" s="35">
        <f t="shared" ref="L80" si="148">I80*J80</f>
        <v>0</v>
      </c>
      <c r="M80" s="36">
        <v>0</v>
      </c>
      <c r="N80" s="37">
        <f t="shared" si="130"/>
        <v>0</v>
      </c>
      <c r="O80" s="35">
        <f t="shared" si="131"/>
        <v>0</v>
      </c>
      <c r="P80" s="36">
        <f>C80*$B$7*$B$7</f>
        <v>1273.08</v>
      </c>
      <c r="Q80" s="1">
        <v>1</v>
      </c>
      <c r="R80" s="35">
        <f t="shared" ref="R80" si="149">P80*O80</f>
        <v>0</v>
      </c>
      <c r="S80" s="36">
        <v>0</v>
      </c>
      <c r="T80" s="37">
        <f t="shared" si="132"/>
        <v>0</v>
      </c>
      <c r="U80" s="35">
        <f t="shared" si="133"/>
        <v>0</v>
      </c>
      <c r="V80" s="36">
        <f>C80*$B$7*$B$7*$B$7</f>
        <v>1311.2724000000001</v>
      </c>
      <c r="W80" s="1">
        <v>0</v>
      </c>
      <c r="X80" s="35">
        <f t="shared" ref="X80" si="150">V80*U80</f>
        <v>0</v>
      </c>
      <c r="Y80" s="36">
        <v>0</v>
      </c>
      <c r="Z80" s="37">
        <f t="shared" si="134"/>
        <v>0</v>
      </c>
      <c r="AA80" s="38">
        <f t="shared" ref="AA80" si="151">F80+L80+R80+X80</f>
        <v>10800</v>
      </c>
      <c r="AB80" s="36">
        <f t="shared" ref="AB80" si="152">G80+M80+S80+Y80</f>
        <v>0</v>
      </c>
      <c r="AC80" s="38">
        <f t="shared" si="137"/>
        <v>10800</v>
      </c>
    </row>
    <row r="81" spans="1:29">
      <c r="A81" s="63" t="s">
        <v>86</v>
      </c>
      <c r="B81" s="131">
        <v>1</v>
      </c>
      <c r="C81" s="36">
        <v>5000</v>
      </c>
      <c r="D81" s="1">
        <v>1</v>
      </c>
      <c r="E81" s="121" t="s">
        <v>81</v>
      </c>
      <c r="F81" s="35">
        <f t="shared" ref="F81" si="153">C81*B81</f>
        <v>5000</v>
      </c>
      <c r="G81" s="36">
        <v>0</v>
      </c>
      <c r="H81" s="37">
        <f t="shared" ref="H81" si="154">SUM(F81:G81)</f>
        <v>5000</v>
      </c>
      <c r="I81" s="131">
        <v>0</v>
      </c>
      <c r="J81" s="36">
        <f t="shared" ref="J81:J82" si="155">C81*$B$7</f>
        <v>5150</v>
      </c>
      <c r="K81" s="1">
        <v>1</v>
      </c>
      <c r="L81" s="35">
        <f t="shared" ref="L81" si="156">I81*J81</f>
        <v>0</v>
      </c>
      <c r="M81" s="36">
        <v>0</v>
      </c>
      <c r="N81" s="37">
        <f>SUM(L81:M81)</f>
        <v>0</v>
      </c>
      <c r="O81" s="35">
        <f t="shared" ref="O81" si="157">L81*M81*N81</f>
        <v>0</v>
      </c>
      <c r="P81" s="36">
        <f t="shared" ref="P81:P82" si="158">C81*$B$7*$B$7</f>
        <v>5304.5</v>
      </c>
      <c r="Q81" s="1">
        <v>1</v>
      </c>
      <c r="R81" s="35">
        <f t="shared" ref="R81" si="159">P81*O81</f>
        <v>0</v>
      </c>
      <c r="S81" s="36">
        <v>0</v>
      </c>
      <c r="T81" s="37">
        <f t="shared" ref="T81" si="160">SUM(R81:S81)</f>
        <v>0</v>
      </c>
      <c r="U81" s="35">
        <f t="shared" ref="U81" si="161">R81*S81*T81</f>
        <v>0</v>
      </c>
      <c r="V81" s="36">
        <f t="shared" ref="V81:V82" si="162">C81*$B$7*$B$7*$B$7</f>
        <v>5463.6350000000002</v>
      </c>
      <c r="W81" s="1">
        <v>1</v>
      </c>
      <c r="X81" s="35">
        <f t="shared" ref="X81" si="163">V81*U81</f>
        <v>0</v>
      </c>
      <c r="Y81" s="36">
        <v>0</v>
      </c>
      <c r="Z81" s="37">
        <f t="shared" ref="Z81" si="164">SUM(X81:Y81)</f>
        <v>0</v>
      </c>
      <c r="AA81" s="38">
        <f t="shared" ref="AA81:AA82" si="165">F81+L81+R81+X81</f>
        <v>5000</v>
      </c>
      <c r="AB81" s="36">
        <f t="shared" ref="AB81:AB82" si="166">G81+M81+S81+Y81</f>
        <v>0</v>
      </c>
      <c r="AC81" s="38">
        <f t="shared" ref="AC81:AC82" si="167">SUM(AA81:AB81)</f>
        <v>5000</v>
      </c>
    </row>
    <row r="82" spans="1:29">
      <c r="A82" s="63" t="s">
        <v>87</v>
      </c>
      <c r="B82" s="131">
        <v>1</v>
      </c>
      <c r="C82" s="36">
        <v>250</v>
      </c>
      <c r="D82" s="1">
        <v>8</v>
      </c>
      <c r="E82" s="121" t="s">
        <v>49</v>
      </c>
      <c r="F82" s="35">
        <f>D82*C82*B82</f>
        <v>2000</v>
      </c>
      <c r="G82" s="36">
        <v>0</v>
      </c>
      <c r="H82" s="37">
        <f t="shared" ref="H82" si="168">SUM(F82:G82)</f>
        <v>2000</v>
      </c>
      <c r="I82" s="131">
        <v>1</v>
      </c>
      <c r="J82" s="36">
        <f t="shared" si="155"/>
        <v>257.5</v>
      </c>
      <c r="K82" s="14">
        <v>12</v>
      </c>
      <c r="L82" s="35">
        <f>K82*I82*J82</f>
        <v>3090</v>
      </c>
      <c r="M82" s="36">
        <v>0</v>
      </c>
      <c r="N82" s="37">
        <f t="shared" ref="N82" si="169">SUM(L82:M82)</f>
        <v>3090</v>
      </c>
      <c r="O82" s="35">
        <v>1</v>
      </c>
      <c r="P82" s="36">
        <f t="shared" si="158"/>
        <v>265.22500000000002</v>
      </c>
      <c r="Q82" s="1">
        <v>12</v>
      </c>
      <c r="R82" s="35">
        <f>P82*Q82*O82</f>
        <v>3182.7000000000003</v>
      </c>
      <c r="S82" s="36">
        <v>0</v>
      </c>
      <c r="T82" s="37">
        <f t="shared" ref="T82" si="170">SUM(R82:S82)</f>
        <v>3182.7000000000003</v>
      </c>
      <c r="U82" s="35">
        <v>1</v>
      </c>
      <c r="V82" s="36">
        <f t="shared" si="162"/>
        <v>273.18175000000002</v>
      </c>
      <c r="W82" s="1">
        <v>7.5</v>
      </c>
      <c r="X82" s="35">
        <f>V82*U82*W82</f>
        <v>2048.8631250000003</v>
      </c>
      <c r="Y82" s="36">
        <v>0</v>
      </c>
      <c r="Z82" s="37">
        <f t="shared" ref="Z82" si="171">SUM(X82:Y82)</f>
        <v>2048.8631250000003</v>
      </c>
      <c r="AA82" s="38">
        <f t="shared" si="165"/>
        <v>10321.563125000001</v>
      </c>
      <c r="AB82" s="36">
        <f t="shared" si="166"/>
        <v>0</v>
      </c>
      <c r="AC82" s="38">
        <f t="shared" si="167"/>
        <v>10321.563125000001</v>
      </c>
    </row>
    <row r="83" spans="1:29" s="10" customFormat="1" ht="12.3">
      <c r="A83" s="73" t="s">
        <v>89</v>
      </c>
      <c r="B83" s="134"/>
      <c r="C83" s="119"/>
      <c r="D83" s="135"/>
      <c r="E83" s="119"/>
      <c r="F83" s="40">
        <f>SUM(F80:F82)</f>
        <v>17800</v>
      </c>
      <c r="G83" s="40">
        <f>SUM(G80:G82)</f>
        <v>0</v>
      </c>
      <c r="H83" s="40">
        <f>SUM(H80:H82)</f>
        <v>17800</v>
      </c>
      <c r="I83" s="134"/>
      <c r="J83" s="41"/>
      <c r="K83" s="119"/>
      <c r="L83" s="40">
        <f>SUM(L80:L82)</f>
        <v>3090</v>
      </c>
      <c r="M83" s="40">
        <f>SUM(M80:M82)</f>
        <v>0</v>
      </c>
      <c r="N83" s="40">
        <f>SUM(N80:N82)</f>
        <v>3090</v>
      </c>
      <c r="O83" s="134"/>
      <c r="P83" s="119"/>
      <c r="Q83" s="119"/>
      <c r="R83" s="40">
        <f>SUM(R80:R82)</f>
        <v>3182.7000000000003</v>
      </c>
      <c r="S83" s="40">
        <f>SUM(S80:S82)</f>
        <v>0</v>
      </c>
      <c r="T83" s="40">
        <f>SUM(T80:T82)</f>
        <v>3182.7000000000003</v>
      </c>
      <c r="U83" s="134"/>
      <c r="V83" s="119"/>
      <c r="W83" s="119"/>
      <c r="X83" s="40">
        <f>SUM(X80:X82)</f>
        <v>2048.8631250000003</v>
      </c>
      <c r="Y83" s="40">
        <f>SUM(Y80:Y82)</f>
        <v>0</v>
      </c>
      <c r="Z83" s="40">
        <f>SUM(Z80:Z82)</f>
        <v>2048.8631250000003</v>
      </c>
      <c r="AA83" s="43">
        <f>SUM(AA80:AA82)</f>
        <v>26121.563125000001</v>
      </c>
      <c r="AB83" s="41">
        <f>SUM(AB80:AB82)</f>
        <v>0</v>
      </c>
      <c r="AC83" s="43">
        <f>SUM(AC80:AC82)</f>
        <v>26121.563125000001</v>
      </c>
    </row>
    <row r="84" spans="1:29">
      <c r="A84" s="82"/>
      <c r="B84" s="144"/>
      <c r="C84" s="145"/>
      <c r="D84" s="145"/>
      <c r="E84" s="145"/>
      <c r="F84" s="83"/>
      <c r="G84" s="84"/>
      <c r="H84" s="85"/>
      <c r="I84" s="144"/>
      <c r="J84" s="145"/>
      <c r="K84" s="145"/>
      <c r="L84" s="83"/>
      <c r="M84" s="84"/>
      <c r="N84" s="85"/>
      <c r="O84" s="144"/>
      <c r="P84" s="145"/>
      <c r="Q84" s="145"/>
      <c r="R84" s="83"/>
      <c r="S84" s="84"/>
      <c r="T84" s="85"/>
      <c r="U84" s="144"/>
      <c r="V84" s="145"/>
      <c r="W84" s="145"/>
      <c r="X84" s="83"/>
      <c r="Y84" s="84"/>
      <c r="Z84" s="85"/>
      <c r="AA84" s="86"/>
      <c r="AB84" s="84"/>
      <c r="AC84" s="86"/>
    </row>
    <row r="85" spans="1:29" s="9" customFormat="1" ht="12.3">
      <c r="A85" s="47" t="s">
        <v>90</v>
      </c>
      <c r="B85" s="123"/>
      <c r="C85" s="124"/>
      <c r="D85" s="124"/>
      <c r="E85" s="124"/>
      <c r="F85" s="48">
        <f>F83+F77</f>
        <v>22000</v>
      </c>
      <c r="G85" s="48">
        <f>G83+G77</f>
        <v>0</v>
      </c>
      <c r="H85" s="48">
        <f>H83+H77</f>
        <v>22000</v>
      </c>
      <c r="I85" s="123"/>
      <c r="J85" s="124"/>
      <c r="K85" s="124"/>
      <c r="L85" s="48">
        <f>L83+L77</f>
        <v>4926</v>
      </c>
      <c r="M85" s="48">
        <f>M83+M77</f>
        <v>0</v>
      </c>
      <c r="N85" s="48">
        <f>N83+N77</f>
        <v>4926</v>
      </c>
      <c r="O85" s="123"/>
      <c r="P85" s="124"/>
      <c r="Q85" s="124"/>
      <c r="R85" s="48">
        <f>R83+R77</f>
        <v>5055.42</v>
      </c>
      <c r="S85" s="48">
        <f>S83+S77</f>
        <v>0</v>
      </c>
      <c r="T85" s="48">
        <f>T83+T77</f>
        <v>5055.42</v>
      </c>
      <c r="U85" s="123"/>
      <c r="V85" s="124"/>
      <c r="W85" s="124"/>
      <c r="X85" s="48">
        <f>X83+X77</f>
        <v>3242.7221250000002</v>
      </c>
      <c r="Y85" s="48">
        <f>Y83+Y77</f>
        <v>0</v>
      </c>
      <c r="Z85" s="48">
        <f>Z83+Z77</f>
        <v>3242.7221250000002</v>
      </c>
      <c r="AA85" s="69">
        <f>AA83+AA77</f>
        <v>35224.142124999998</v>
      </c>
      <c r="AB85" s="69">
        <f>AB83+AB77</f>
        <v>0</v>
      </c>
      <c r="AC85" s="69">
        <f>AB85+AA85</f>
        <v>35224.142124999998</v>
      </c>
    </row>
    <row r="86" spans="1:29">
      <c r="A86" s="87"/>
      <c r="B86" s="125"/>
      <c r="C86" s="126"/>
      <c r="D86" s="126"/>
      <c r="E86" s="126"/>
      <c r="F86" s="50"/>
      <c r="G86" s="51"/>
      <c r="H86" s="52"/>
      <c r="I86" s="125"/>
      <c r="J86" s="126"/>
      <c r="K86" s="126"/>
      <c r="L86" s="50"/>
      <c r="M86" s="51"/>
      <c r="N86" s="52"/>
      <c r="O86" s="125"/>
      <c r="P86" s="126"/>
      <c r="Q86" s="126"/>
      <c r="R86" s="50"/>
      <c r="S86" s="51"/>
      <c r="T86" s="52"/>
      <c r="U86" s="125"/>
      <c r="V86" s="126"/>
      <c r="W86" s="126"/>
      <c r="X86" s="50"/>
      <c r="Y86" s="51"/>
      <c r="Z86" s="52"/>
      <c r="AA86" s="53"/>
      <c r="AB86" s="51"/>
      <c r="AC86" s="53"/>
    </row>
    <row r="87" spans="1:29">
      <c r="A87" s="54" t="s">
        <v>17</v>
      </c>
      <c r="B87" s="127"/>
      <c r="C87" s="128"/>
      <c r="D87" s="128"/>
      <c r="E87" s="128"/>
      <c r="F87" s="55"/>
      <c r="G87" s="56"/>
      <c r="H87" s="57"/>
      <c r="I87" s="127"/>
      <c r="J87" s="128"/>
      <c r="K87" s="128"/>
      <c r="L87" s="55"/>
      <c r="M87" s="56"/>
      <c r="N87" s="57"/>
      <c r="O87" s="127"/>
      <c r="P87" s="128"/>
      <c r="Q87" s="128"/>
      <c r="R87" s="55"/>
      <c r="S87" s="56"/>
      <c r="T87" s="57"/>
      <c r="U87" s="127"/>
      <c r="V87" s="128"/>
      <c r="W87" s="128"/>
      <c r="X87" s="55"/>
      <c r="Y87" s="56"/>
      <c r="Z87" s="57"/>
      <c r="AA87" s="58"/>
      <c r="AB87" s="56"/>
      <c r="AC87" s="58"/>
    </row>
    <row r="88" spans="1:29">
      <c r="A88" s="45"/>
      <c r="B88" s="114"/>
      <c r="C88" s="122"/>
      <c r="D88" s="122"/>
      <c r="E88" s="122"/>
      <c r="F88" s="35"/>
      <c r="G88" s="36"/>
      <c r="H88" s="37"/>
      <c r="I88" s="114"/>
      <c r="J88" s="122"/>
      <c r="K88" s="122"/>
      <c r="L88" s="35"/>
      <c r="M88" s="36"/>
      <c r="N88" s="37"/>
      <c r="O88" s="114"/>
      <c r="P88" s="122"/>
      <c r="Q88" s="122"/>
      <c r="R88" s="35"/>
      <c r="S88" s="36"/>
      <c r="T88" s="37"/>
      <c r="U88" s="114"/>
      <c r="V88" s="122"/>
      <c r="W88" s="122"/>
      <c r="X88" s="35"/>
      <c r="Y88" s="36"/>
      <c r="Z88" s="37"/>
      <c r="AA88" s="38"/>
      <c r="AB88" s="36"/>
      <c r="AC88" s="38"/>
    </row>
    <row r="89" spans="1:29">
      <c r="A89" s="45" t="s">
        <v>91</v>
      </c>
      <c r="B89" s="114"/>
      <c r="C89" s="122"/>
      <c r="D89" s="122"/>
      <c r="E89" s="122"/>
      <c r="F89" s="35"/>
      <c r="G89" s="36"/>
      <c r="H89" s="37"/>
      <c r="I89" s="114"/>
      <c r="J89" s="122"/>
      <c r="K89" s="122"/>
      <c r="L89" s="35"/>
      <c r="M89" s="36"/>
      <c r="N89" s="37"/>
      <c r="O89" s="114"/>
      <c r="P89" s="122"/>
      <c r="Q89" s="122"/>
      <c r="R89" s="35"/>
      <c r="S89" s="36"/>
      <c r="T89" s="37"/>
      <c r="U89" s="114"/>
      <c r="V89" s="122"/>
      <c r="W89" s="122"/>
      <c r="X89" s="35"/>
      <c r="Y89" s="36"/>
      <c r="Z89" s="37"/>
      <c r="AA89" s="38"/>
      <c r="AB89" s="36"/>
      <c r="AC89" s="38"/>
    </row>
    <row r="90" spans="1:29" s="236" customFormat="1">
      <c r="A90" s="63" t="s">
        <v>131</v>
      </c>
      <c r="B90" s="130">
        <v>1</v>
      </c>
      <c r="C90" s="14">
        <v>43000</v>
      </c>
      <c r="D90" s="1">
        <v>1</v>
      </c>
      <c r="E90" s="1" t="s">
        <v>81</v>
      </c>
      <c r="F90" s="35">
        <f>D90*C90*B90</f>
        <v>43000</v>
      </c>
      <c r="G90" s="36">
        <v>0</v>
      </c>
      <c r="H90" s="37">
        <f>SUM(F90:G90)</f>
        <v>43000</v>
      </c>
      <c r="I90" s="130">
        <v>1</v>
      </c>
      <c r="J90" s="36">
        <v>340000</v>
      </c>
      <c r="K90" s="1">
        <v>1</v>
      </c>
      <c r="L90" s="35">
        <f>K90*J90*I90</f>
        <v>340000</v>
      </c>
      <c r="M90" s="36">
        <v>0</v>
      </c>
      <c r="N90" s="37">
        <f>SUM(L90:M90)</f>
        <v>340000</v>
      </c>
      <c r="O90" s="130">
        <v>1</v>
      </c>
      <c r="P90" s="36">
        <f>J90</f>
        <v>340000</v>
      </c>
      <c r="Q90" s="1">
        <v>1</v>
      </c>
      <c r="R90" s="35">
        <f>Q90*P90*O90</f>
        <v>340000</v>
      </c>
      <c r="S90" s="36">
        <v>0</v>
      </c>
      <c r="T90" s="37">
        <f>SUM(R90:S90)</f>
        <v>340000</v>
      </c>
      <c r="U90" s="130">
        <v>1</v>
      </c>
      <c r="V90" s="36">
        <v>77000</v>
      </c>
      <c r="W90" s="1">
        <v>1</v>
      </c>
      <c r="X90" s="35">
        <f>W90*V90*U90</f>
        <v>77000</v>
      </c>
      <c r="Y90" s="36">
        <v>0</v>
      </c>
      <c r="Z90" s="37">
        <f>SUM(X90:Y90)</f>
        <v>77000</v>
      </c>
      <c r="AA90" s="38">
        <f t="shared" ref="AA90" si="172">F90+L90+R90+X90</f>
        <v>800000</v>
      </c>
      <c r="AB90" s="36">
        <f t="shared" ref="AB90" si="173">G90+M90+S90+Y90</f>
        <v>0</v>
      </c>
      <c r="AC90" s="38">
        <f t="shared" ref="AC90" si="174">SUM(AA90:AB90)</f>
        <v>800000</v>
      </c>
    </row>
    <row r="91" spans="1:29" s="236" customFormat="1">
      <c r="A91" s="63" t="s">
        <v>92</v>
      </c>
      <c r="B91" s="130">
        <v>1</v>
      </c>
      <c r="C91" s="14">
        <v>40000</v>
      </c>
      <c r="D91" s="1">
        <v>1</v>
      </c>
      <c r="E91" s="1" t="s">
        <v>81</v>
      </c>
      <c r="F91" s="35">
        <f>D91*C91*B91</f>
        <v>40000</v>
      </c>
      <c r="G91" s="36">
        <v>0</v>
      </c>
      <c r="H91" s="37">
        <f>SUM(F91:G91)</f>
        <v>40000</v>
      </c>
      <c r="I91" s="130">
        <v>0</v>
      </c>
      <c r="J91" s="36">
        <f>C91</f>
        <v>40000</v>
      </c>
      <c r="K91" s="1">
        <v>0</v>
      </c>
      <c r="L91" s="35">
        <f>K91*J91*I91</f>
        <v>0</v>
      </c>
      <c r="M91" s="36">
        <v>0</v>
      </c>
      <c r="N91" s="37">
        <f>SUM(L91:M91)</f>
        <v>0</v>
      </c>
      <c r="O91" s="130">
        <v>0</v>
      </c>
      <c r="P91" s="36">
        <f>C91</f>
        <v>40000</v>
      </c>
      <c r="Q91" s="1">
        <v>0</v>
      </c>
      <c r="R91" s="35">
        <f>Q91*P91*O91</f>
        <v>0</v>
      </c>
      <c r="S91" s="36">
        <v>0</v>
      </c>
      <c r="T91" s="37">
        <f>SUM(R91:S91)</f>
        <v>0</v>
      </c>
      <c r="U91" s="130">
        <v>0</v>
      </c>
      <c r="V91" s="36">
        <f>C91</f>
        <v>40000</v>
      </c>
      <c r="W91" s="1">
        <v>0</v>
      </c>
      <c r="X91" s="35">
        <f>W91*V91*U91</f>
        <v>0</v>
      </c>
      <c r="Y91" s="36">
        <v>0</v>
      </c>
      <c r="Z91" s="37">
        <f>SUM(X91:Y91)</f>
        <v>0</v>
      </c>
      <c r="AA91" s="38">
        <f t="shared" ref="AA91:AA92" si="175">F91+L91+R91+X91</f>
        <v>40000</v>
      </c>
      <c r="AB91" s="36">
        <f t="shared" ref="AB91:AB92" si="176">G91+M91+S91+Y91</f>
        <v>0</v>
      </c>
      <c r="AC91" s="38">
        <f t="shared" ref="AC91:AC92" si="177">SUM(AA91:AB91)</f>
        <v>40000</v>
      </c>
    </row>
    <row r="92" spans="1:29" s="236" customFormat="1">
      <c r="A92" s="63" t="s">
        <v>93</v>
      </c>
      <c r="B92" s="130">
        <v>1</v>
      </c>
      <c r="C92" s="14">
        <v>20000</v>
      </c>
      <c r="D92" s="1">
        <v>1</v>
      </c>
      <c r="E92" s="1" t="s">
        <v>81</v>
      </c>
      <c r="F92" s="35">
        <f>D92*C92*B92</f>
        <v>20000</v>
      </c>
      <c r="G92" s="36">
        <v>0</v>
      </c>
      <c r="H92" s="37">
        <f>SUM(F92:G92)</f>
        <v>20000</v>
      </c>
      <c r="I92" s="130">
        <v>0</v>
      </c>
      <c r="J92" s="36">
        <f>C92</f>
        <v>20000</v>
      </c>
      <c r="K92" s="1">
        <v>0</v>
      </c>
      <c r="L92" s="35">
        <f>K92*J92*I92</f>
        <v>0</v>
      </c>
      <c r="M92" s="36">
        <v>0</v>
      </c>
      <c r="N92" s="37">
        <f>SUM(L92:M92)</f>
        <v>0</v>
      </c>
      <c r="O92" s="130">
        <v>0</v>
      </c>
      <c r="P92" s="36">
        <f>C92</f>
        <v>20000</v>
      </c>
      <c r="Q92" s="1">
        <v>0</v>
      </c>
      <c r="R92" s="35">
        <f>Q92*P92*O92</f>
        <v>0</v>
      </c>
      <c r="S92" s="36">
        <v>0</v>
      </c>
      <c r="T92" s="37">
        <f>SUM(R92:S92)</f>
        <v>0</v>
      </c>
      <c r="U92" s="130">
        <v>0</v>
      </c>
      <c r="V92" s="36">
        <f>C92</f>
        <v>20000</v>
      </c>
      <c r="W92" s="1">
        <v>0</v>
      </c>
      <c r="X92" s="35">
        <f>W92*V92*U92</f>
        <v>0</v>
      </c>
      <c r="Y92" s="36">
        <v>0</v>
      </c>
      <c r="Z92" s="37">
        <f>SUM(X92:Y92)</f>
        <v>0</v>
      </c>
      <c r="AA92" s="38">
        <f t="shared" si="175"/>
        <v>20000</v>
      </c>
      <c r="AB92" s="36">
        <f t="shared" si="176"/>
        <v>0</v>
      </c>
      <c r="AC92" s="38">
        <f t="shared" si="177"/>
        <v>20000</v>
      </c>
    </row>
    <row r="93" spans="1:29">
      <c r="A93" s="64"/>
      <c r="B93" s="65"/>
      <c r="C93" s="66"/>
      <c r="D93" s="66"/>
      <c r="E93" s="66"/>
      <c r="F93" s="83"/>
      <c r="G93" s="84"/>
      <c r="H93" s="85"/>
      <c r="I93" s="65"/>
      <c r="J93" s="66"/>
      <c r="K93" s="66"/>
      <c r="L93" s="83"/>
      <c r="M93" s="84"/>
      <c r="N93" s="85"/>
      <c r="O93" s="65"/>
      <c r="P93" s="66"/>
      <c r="Q93" s="66"/>
      <c r="R93" s="83"/>
      <c r="S93" s="84"/>
      <c r="T93" s="85"/>
      <c r="U93" s="65"/>
      <c r="V93" s="66"/>
      <c r="W93" s="66"/>
      <c r="X93" s="83"/>
      <c r="Y93" s="84"/>
      <c r="Z93" s="85"/>
      <c r="AA93" s="86"/>
      <c r="AB93" s="84"/>
      <c r="AC93" s="86"/>
    </row>
    <row r="94" spans="1:29" s="9" customFormat="1" ht="12.3">
      <c r="A94" s="88" t="s">
        <v>94</v>
      </c>
      <c r="B94" s="146"/>
      <c r="C94" s="147"/>
      <c r="D94" s="147"/>
      <c r="E94" s="147"/>
      <c r="F94" s="48">
        <f>SUM(F90:F92)</f>
        <v>103000</v>
      </c>
      <c r="G94" s="48">
        <f t="shared" ref="G94:H94" si="178">SUM(G90:G92)</f>
        <v>0</v>
      </c>
      <c r="H94" s="48">
        <f t="shared" si="178"/>
        <v>103000</v>
      </c>
      <c r="I94" s="146"/>
      <c r="J94" s="147"/>
      <c r="K94" s="147"/>
      <c r="L94" s="48">
        <f>SUM(L90:L92)</f>
        <v>340000</v>
      </c>
      <c r="M94" s="48">
        <f t="shared" ref="M94:N94" si="179">SUM(M90:M92)</f>
        <v>0</v>
      </c>
      <c r="N94" s="48">
        <f t="shared" si="179"/>
        <v>340000</v>
      </c>
      <c r="O94" s="146"/>
      <c r="P94" s="147"/>
      <c r="Q94" s="147"/>
      <c r="R94" s="48">
        <f>SUM(R90:R92)</f>
        <v>340000</v>
      </c>
      <c r="S94" s="48">
        <f t="shared" ref="S94:T94" si="180">SUM(S90:S92)</f>
        <v>0</v>
      </c>
      <c r="T94" s="48">
        <f t="shared" si="180"/>
        <v>340000</v>
      </c>
      <c r="U94" s="146"/>
      <c r="V94" s="147"/>
      <c r="W94" s="147"/>
      <c r="X94" s="48">
        <f>SUM(X90:X92)</f>
        <v>77000</v>
      </c>
      <c r="Y94" s="48">
        <f t="shared" ref="Y94:Z94" si="181">SUM(Y90:Y92)</f>
        <v>0</v>
      </c>
      <c r="Z94" s="48">
        <f t="shared" si="181"/>
        <v>77000</v>
      </c>
      <c r="AA94" s="48">
        <f>SUM(AA90:AA92)</f>
        <v>860000</v>
      </c>
      <c r="AB94" s="48">
        <f t="shared" ref="AB94:AC94" si="182">SUM(AB90:AB92)</f>
        <v>0</v>
      </c>
      <c r="AC94" s="48">
        <f t="shared" si="182"/>
        <v>860000</v>
      </c>
    </row>
    <row r="95" spans="1:29" s="9" customFormat="1" ht="12.3">
      <c r="A95" s="89"/>
      <c r="B95" s="148"/>
      <c r="C95" s="149"/>
      <c r="D95" s="149"/>
      <c r="E95" s="149"/>
      <c r="F95" s="90"/>
      <c r="G95" s="91"/>
      <c r="H95" s="92"/>
      <c r="I95" s="148"/>
      <c r="J95" s="149"/>
      <c r="K95" s="149"/>
      <c r="L95" s="90"/>
      <c r="M95" s="91"/>
      <c r="N95" s="92"/>
      <c r="O95" s="148"/>
      <c r="P95" s="149"/>
      <c r="Q95" s="149"/>
      <c r="R95" s="90"/>
      <c r="S95" s="91"/>
      <c r="T95" s="92"/>
      <c r="U95" s="148"/>
      <c r="V95" s="149"/>
      <c r="W95" s="149"/>
      <c r="X95" s="90"/>
      <c r="Y95" s="91"/>
      <c r="Z95" s="92"/>
      <c r="AA95" s="93"/>
      <c r="AB95" s="91"/>
      <c r="AC95" s="93"/>
    </row>
    <row r="96" spans="1:29">
      <c r="A96" s="94" t="s">
        <v>18</v>
      </c>
      <c r="B96" s="150"/>
      <c r="C96" s="151"/>
      <c r="D96" s="151"/>
      <c r="E96" s="151"/>
      <c r="F96" s="55"/>
      <c r="G96" s="56"/>
      <c r="H96" s="57"/>
      <c r="I96" s="150"/>
      <c r="J96" s="151"/>
      <c r="K96" s="151"/>
      <c r="L96" s="55"/>
      <c r="M96" s="56"/>
      <c r="N96" s="57"/>
      <c r="O96" s="150"/>
      <c r="P96" s="151"/>
      <c r="Q96" s="151"/>
      <c r="R96" s="55"/>
      <c r="S96" s="56"/>
      <c r="T96" s="57"/>
      <c r="U96" s="150"/>
      <c r="V96" s="151"/>
      <c r="W96" s="151"/>
      <c r="X96" s="55"/>
      <c r="Y96" s="56"/>
      <c r="Z96" s="57"/>
      <c r="AA96" s="58"/>
      <c r="AB96" s="56"/>
      <c r="AC96" s="58"/>
    </row>
    <row r="97" spans="1:29">
      <c r="A97" s="27"/>
      <c r="B97" s="143"/>
      <c r="C97" s="142"/>
      <c r="D97" s="142"/>
      <c r="E97" s="142"/>
      <c r="F97" s="60"/>
      <c r="G97" s="61"/>
      <c r="H97" s="70"/>
      <c r="I97" s="143"/>
      <c r="J97" s="142"/>
      <c r="K97" s="142"/>
      <c r="L97" s="60"/>
      <c r="M97" s="61"/>
      <c r="N97" s="70"/>
      <c r="O97" s="143"/>
      <c r="P97" s="142"/>
      <c r="Q97" s="142"/>
      <c r="R97" s="60"/>
      <c r="S97" s="61"/>
      <c r="T97" s="70"/>
      <c r="U97" s="143"/>
      <c r="V97" s="142"/>
      <c r="W97" s="142"/>
      <c r="X97" s="60"/>
      <c r="Y97" s="61"/>
      <c r="Z97" s="70"/>
      <c r="AA97" s="62"/>
      <c r="AB97" s="61"/>
      <c r="AC97" s="62"/>
    </row>
    <row r="98" spans="1:29">
      <c r="A98" s="45" t="s">
        <v>95</v>
      </c>
      <c r="B98" s="130"/>
      <c r="C98" s="14"/>
      <c r="F98" s="35"/>
      <c r="G98" s="36"/>
      <c r="H98" s="37"/>
      <c r="I98" s="130"/>
      <c r="L98" s="35"/>
      <c r="M98" s="36"/>
      <c r="N98" s="37"/>
      <c r="O98" s="130"/>
      <c r="R98" s="35"/>
      <c r="S98" s="36"/>
      <c r="T98" s="37"/>
      <c r="U98" s="130"/>
      <c r="X98" s="35"/>
      <c r="Y98" s="36"/>
      <c r="Z98" s="37"/>
      <c r="AA98" s="38"/>
      <c r="AB98" s="36"/>
      <c r="AC98" s="38"/>
    </row>
    <row r="99" spans="1:29">
      <c r="A99" s="63" t="s">
        <v>96</v>
      </c>
      <c r="B99" s="131">
        <v>1</v>
      </c>
      <c r="C99" s="14">
        <v>250</v>
      </c>
      <c r="D99" s="14">
        <v>12</v>
      </c>
      <c r="E99" s="121" t="s">
        <v>49</v>
      </c>
      <c r="F99" s="35">
        <f>D99*C99*B99</f>
        <v>3000</v>
      </c>
      <c r="G99" s="36">
        <v>0</v>
      </c>
      <c r="H99" s="37">
        <f>SUM(F99:G99)</f>
        <v>3000</v>
      </c>
      <c r="I99" s="131">
        <v>1</v>
      </c>
      <c r="J99" s="36">
        <f>C99*$B$6</f>
        <v>255</v>
      </c>
      <c r="K99" s="14">
        <v>12</v>
      </c>
      <c r="L99" s="35">
        <f>I99*J99*K99</f>
        <v>3060</v>
      </c>
      <c r="M99" s="36">
        <v>0</v>
      </c>
      <c r="N99" s="37">
        <f>SUM(L99:M99)</f>
        <v>3060</v>
      </c>
      <c r="O99" s="131">
        <v>1</v>
      </c>
      <c r="P99" s="36">
        <f>C99*$B$6*$B$6</f>
        <v>260.10000000000002</v>
      </c>
      <c r="Q99" s="14">
        <v>12</v>
      </c>
      <c r="R99" s="35">
        <f t="shared" ref="R99" si="183">O99*P99*Q99</f>
        <v>3121.2000000000003</v>
      </c>
      <c r="S99" s="36">
        <v>0</v>
      </c>
      <c r="T99" s="37">
        <f>SUM(R99:S99)</f>
        <v>3121.2000000000003</v>
      </c>
      <c r="U99" s="131">
        <v>1</v>
      </c>
      <c r="V99" s="36">
        <f>C99*$B$6*$B$6*$B$6</f>
        <v>265.30200000000002</v>
      </c>
      <c r="W99" s="247">
        <v>7.5</v>
      </c>
      <c r="X99" s="35">
        <f t="shared" ref="X99" si="184">U99*V99*W99</f>
        <v>1989.7650000000001</v>
      </c>
      <c r="Y99" s="36">
        <v>0</v>
      </c>
      <c r="Z99" s="37">
        <f t="shared" ref="Z99" si="185">SUM(X99:Y99)</f>
        <v>1989.7650000000001</v>
      </c>
      <c r="AA99" s="38">
        <f t="shared" ref="AA99:AA100" si="186">F99+L99+R99+X99</f>
        <v>11170.965</v>
      </c>
      <c r="AB99" s="36">
        <f t="shared" ref="AB99:AB100" si="187">G99+M99+S99+Y99</f>
        <v>0</v>
      </c>
      <c r="AC99" s="38">
        <f>SUM(AA99:AB99)</f>
        <v>11170.965</v>
      </c>
    </row>
    <row r="100" spans="1:29">
      <c r="A100" s="63" t="s">
        <v>97</v>
      </c>
      <c r="B100" s="131">
        <v>1</v>
      </c>
      <c r="C100" s="14">
        <v>1000</v>
      </c>
      <c r="D100" s="14">
        <v>1</v>
      </c>
      <c r="E100" s="121" t="s">
        <v>88</v>
      </c>
      <c r="F100" s="35">
        <f>D100*C100*B100</f>
        <v>1000</v>
      </c>
      <c r="G100" s="36">
        <v>0</v>
      </c>
      <c r="H100" s="37">
        <f>SUM(F100:G100)</f>
        <v>1000</v>
      </c>
      <c r="I100" s="131">
        <v>1</v>
      </c>
      <c r="J100" s="36">
        <f>C100*$B$6</f>
        <v>1020</v>
      </c>
      <c r="K100" s="14">
        <v>1</v>
      </c>
      <c r="L100" s="35">
        <f>I100*J100*K100</f>
        <v>1020</v>
      </c>
      <c r="M100" s="36">
        <v>0</v>
      </c>
      <c r="N100" s="37">
        <f>SUM(L100:M100)</f>
        <v>1020</v>
      </c>
      <c r="O100" s="131">
        <v>1</v>
      </c>
      <c r="P100" s="36">
        <f t="shared" ref="P100" si="188">C100*$B$6*$B$6</f>
        <v>1040.4000000000001</v>
      </c>
      <c r="Q100" s="14">
        <v>1</v>
      </c>
      <c r="R100" s="35">
        <f t="shared" ref="R100" si="189">O100*P100*Q100</f>
        <v>1040.4000000000001</v>
      </c>
      <c r="S100" s="36">
        <v>0</v>
      </c>
      <c r="T100" s="37">
        <f>SUM(R100:S100)</f>
        <v>1040.4000000000001</v>
      </c>
      <c r="U100" s="131">
        <v>1</v>
      </c>
      <c r="V100" s="36">
        <f t="shared" ref="V100" si="190">C100*$B$6*$B$6*$B$6</f>
        <v>1061.2080000000001</v>
      </c>
      <c r="W100" s="14">
        <v>1</v>
      </c>
      <c r="X100" s="35">
        <f t="shared" ref="X100" si="191">U100*V100*W100</f>
        <v>1061.2080000000001</v>
      </c>
      <c r="Y100" s="36">
        <v>0</v>
      </c>
      <c r="Z100" s="37">
        <f t="shared" ref="Z100:Z108" si="192">SUM(X100:Y100)</f>
        <v>1061.2080000000001</v>
      </c>
      <c r="AA100" s="38">
        <f t="shared" si="186"/>
        <v>4121.6080000000002</v>
      </c>
      <c r="AB100" s="36">
        <f t="shared" si="187"/>
        <v>0</v>
      </c>
      <c r="AC100" s="38">
        <f>SUM(AA100:AB100)</f>
        <v>4121.6080000000002</v>
      </c>
    </row>
    <row r="101" spans="1:29" s="10" customFormat="1" ht="12.3">
      <c r="A101" s="227" t="s">
        <v>98</v>
      </c>
      <c r="B101" s="135"/>
      <c r="C101" s="119"/>
      <c r="D101" s="135"/>
      <c r="E101" s="119"/>
      <c r="F101" s="40">
        <f>SUM(F99:F100)</f>
        <v>4000</v>
      </c>
      <c r="G101" s="40">
        <f>SUM(G99:G100)</f>
        <v>0</v>
      </c>
      <c r="H101" s="42">
        <f>SUM(H99:H100)</f>
        <v>4000</v>
      </c>
      <c r="I101" s="135"/>
      <c r="J101" s="41"/>
      <c r="K101" s="119"/>
      <c r="L101" s="40">
        <f>SUM(L99:L100)</f>
        <v>4080</v>
      </c>
      <c r="M101" s="40">
        <f>SUM(M99:M100)</f>
        <v>0</v>
      </c>
      <c r="N101" s="42">
        <f>SUM(N99:N100)</f>
        <v>4080</v>
      </c>
      <c r="O101" s="135"/>
      <c r="P101" s="119"/>
      <c r="Q101" s="119"/>
      <c r="R101" s="40">
        <f>SUM(R99:R100)</f>
        <v>4161.6000000000004</v>
      </c>
      <c r="S101" s="40">
        <f>SUM(S99:S100)</f>
        <v>0</v>
      </c>
      <c r="T101" s="42">
        <f>SUM(T99:T100)</f>
        <v>4161.6000000000004</v>
      </c>
      <c r="U101" s="135"/>
      <c r="V101" s="119"/>
      <c r="W101" s="119"/>
      <c r="X101" s="40">
        <f>SUM(X99:X100)</f>
        <v>3050.973</v>
      </c>
      <c r="Y101" s="40">
        <f>SUM(Y99:Y100)</f>
        <v>0</v>
      </c>
      <c r="Z101" s="42">
        <f>SUM(Z99:Z100)</f>
        <v>3050.973</v>
      </c>
      <c r="AA101" s="43">
        <f>SUM(AA99:AA100)</f>
        <v>15292.573</v>
      </c>
      <c r="AB101" s="41">
        <f>SUM(AB99:AB100)</f>
        <v>0</v>
      </c>
      <c r="AC101" s="43">
        <f>SUM(AC99:AC100)</f>
        <v>15292.573</v>
      </c>
    </row>
    <row r="102" spans="1:29">
      <c r="A102" s="45"/>
      <c r="B102" s="114"/>
      <c r="C102" s="122"/>
      <c r="D102" s="122"/>
      <c r="E102" s="122"/>
      <c r="F102" s="35"/>
      <c r="G102" s="36"/>
      <c r="H102" s="37"/>
      <c r="I102" s="114"/>
      <c r="J102" s="122"/>
      <c r="K102" s="122"/>
      <c r="L102" s="35"/>
      <c r="M102" s="36"/>
      <c r="N102" s="37"/>
      <c r="O102" s="114"/>
      <c r="P102" s="122"/>
      <c r="Q102" s="122"/>
      <c r="R102" s="35"/>
      <c r="S102" s="36"/>
      <c r="T102" s="37"/>
      <c r="U102" s="114"/>
      <c r="V102" s="122"/>
      <c r="W102" s="122"/>
      <c r="X102" s="35"/>
      <c r="Y102" s="36"/>
      <c r="Z102" s="37"/>
      <c r="AA102" s="38"/>
      <c r="AB102" s="36"/>
      <c r="AC102" s="38"/>
    </row>
    <row r="103" spans="1:29">
      <c r="A103" s="45" t="s">
        <v>99</v>
      </c>
      <c r="B103" s="130"/>
      <c r="C103" s="14"/>
      <c r="F103" s="35"/>
      <c r="G103" s="36"/>
      <c r="H103" s="37"/>
      <c r="I103" s="130"/>
      <c r="L103" s="35"/>
      <c r="M103" s="36"/>
      <c r="N103" s="37"/>
      <c r="O103" s="130"/>
      <c r="R103" s="35"/>
      <c r="S103" s="36"/>
      <c r="T103" s="37"/>
      <c r="U103" s="130"/>
      <c r="X103" s="35"/>
      <c r="Y103" s="36"/>
      <c r="Z103" s="37"/>
      <c r="AA103" s="38"/>
      <c r="AB103" s="36"/>
      <c r="AC103" s="38"/>
    </row>
    <row r="104" spans="1:29">
      <c r="A104" s="63" t="s">
        <v>100</v>
      </c>
      <c r="B104" s="131">
        <v>1</v>
      </c>
      <c r="C104" s="14">
        <v>325</v>
      </c>
      <c r="D104" s="14">
        <v>9</v>
      </c>
      <c r="E104" s="121" t="s">
        <v>49</v>
      </c>
      <c r="F104" s="35">
        <f t="shared" ref="F104" si="193">D104*C104*B104</f>
        <v>2925</v>
      </c>
      <c r="G104" s="36">
        <v>0</v>
      </c>
      <c r="H104" s="37">
        <f t="shared" ref="H104" si="194">SUM(F104:G104)</f>
        <v>2925</v>
      </c>
      <c r="I104" s="131">
        <v>1</v>
      </c>
      <c r="J104" s="36">
        <f t="shared" ref="J104:J112" si="195">C104*$B$7</f>
        <v>334.75</v>
      </c>
      <c r="K104" s="14">
        <v>12</v>
      </c>
      <c r="L104" s="35">
        <f t="shared" ref="L104" si="196">I104*J104*K104</f>
        <v>4017</v>
      </c>
      <c r="M104" s="36">
        <v>0</v>
      </c>
      <c r="N104" s="37">
        <f t="shared" ref="N104" si="197">SUM(L104:M104)</f>
        <v>4017</v>
      </c>
      <c r="O104" s="131">
        <v>1</v>
      </c>
      <c r="P104" s="36">
        <f t="shared" ref="P104:P112" si="198">C104*$B$7*$B$7</f>
        <v>344.79250000000002</v>
      </c>
      <c r="Q104" s="14">
        <v>12</v>
      </c>
      <c r="R104" s="35">
        <f t="shared" ref="R104" si="199">Q104*P104*O104</f>
        <v>4137.51</v>
      </c>
      <c r="S104" s="36">
        <v>0</v>
      </c>
      <c r="T104" s="37">
        <f t="shared" ref="T104" si="200">SUM(R104:S104)</f>
        <v>4137.51</v>
      </c>
      <c r="U104" s="131">
        <v>1</v>
      </c>
      <c r="V104" s="36">
        <f t="shared" ref="V104:V112" si="201">C104*$B$7*$B$7*$B$7</f>
        <v>355.13627500000001</v>
      </c>
      <c r="W104" s="14">
        <v>3</v>
      </c>
      <c r="X104" s="35">
        <f t="shared" ref="X104" si="202">W104*V104*U104</f>
        <v>1065.408825</v>
      </c>
      <c r="Y104" s="36">
        <v>0</v>
      </c>
      <c r="Z104" s="37">
        <f t="shared" ref="Z104" si="203">SUM(X104:Y104)</f>
        <v>1065.408825</v>
      </c>
      <c r="AA104" s="38">
        <f t="shared" ref="AA104:AA112" si="204">F104+L104+R104+X104</f>
        <v>12144.918825000001</v>
      </c>
      <c r="AB104" s="36">
        <f t="shared" ref="AB104:AB112" si="205">G104+M104+S104+Y104</f>
        <v>0</v>
      </c>
      <c r="AC104" s="38">
        <f t="shared" ref="AC104" si="206">SUM(AA104:AB104)</f>
        <v>12144.918825000001</v>
      </c>
    </row>
    <row r="105" spans="1:29">
      <c r="A105" s="63" t="s">
        <v>101</v>
      </c>
      <c r="B105" s="131">
        <v>1</v>
      </c>
      <c r="C105" s="14">
        <v>25</v>
      </c>
      <c r="D105" s="14">
        <v>6</v>
      </c>
      <c r="E105" s="121" t="s">
        <v>49</v>
      </c>
      <c r="F105" s="35">
        <f t="shared" ref="F105:F112" si="207">D105*C105*B105</f>
        <v>150</v>
      </c>
      <c r="G105" s="36">
        <v>0</v>
      </c>
      <c r="H105" s="37">
        <f t="shared" ref="H105" si="208">SUM(F105:G105)</f>
        <v>150</v>
      </c>
      <c r="I105" s="131">
        <v>1</v>
      </c>
      <c r="J105" s="36">
        <f t="shared" si="195"/>
        <v>25.75</v>
      </c>
      <c r="K105" s="14">
        <v>12</v>
      </c>
      <c r="L105" s="35">
        <f t="shared" ref="L105:L112" si="209">I105*J105*K105</f>
        <v>309</v>
      </c>
      <c r="M105" s="36">
        <v>0</v>
      </c>
      <c r="N105" s="37">
        <f t="shared" ref="N105" si="210">SUM(L105:M105)</f>
        <v>309</v>
      </c>
      <c r="O105" s="131">
        <v>1</v>
      </c>
      <c r="P105" s="36">
        <f t="shared" si="198"/>
        <v>26.522500000000001</v>
      </c>
      <c r="Q105" s="14">
        <v>12</v>
      </c>
      <c r="R105" s="35">
        <f t="shared" ref="R105:R112" si="211">Q105*P105*O105</f>
        <v>318.27</v>
      </c>
      <c r="S105" s="36">
        <v>0</v>
      </c>
      <c r="T105" s="37">
        <f t="shared" ref="T105" si="212">SUM(R105:S105)</f>
        <v>318.27</v>
      </c>
      <c r="U105" s="131">
        <v>1</v>
      </c>
      <c r="V105" s="36">
        <f t="shared" si="201"/>
        <v>27.318175</v>
      </c>
      <c r="W105" s="14">
        <v>3</v>
      </c>
      <c r="X105" s="35">
        <f t="shared" ref="X105:X111" si="213">W105*V105*U105</f>
        <v>81.954525000000004</v>
      </c>
      <c r="Y105" s="36">
        <v>0</v>
      </c>
      <c r="Z105" s="37">
        <f t="shared" ref="Z105" si="214">SUM(X105:Y105)</f>
        <v>81.954525000000004</v>
      </c>
      <c r="AA105" s="38">
        <f t="shared" si="204"/>
        <v>859.22452499999997</v>
      </c>
      <c r="AB105" s="36">
        <f t="shared" si="205"/>
        <v>0</v>
      </c>
      <c r="AC105" s="38">
        <f t="shared" ref="AC105" si="215">SUM(AA105:AB105)</f>
        <v>859.22452499999997</v>
      </c>
    </row>
    <row r="106" spans="1:29">
      <c r="A106" s="63" t="s">
        <v>102</v>
      </c>
      <c r="B106" s="131">
        <v>1</v>
      </c>
      <c r="C106" s="14">
        <v>150</v>
      </c>
      <c r="D106" s="14">
        <v>9</v>
      </c>
      <c r="E106" s="121" t="s">
        <v>49</v>
      </c>
      <c r="F106" s="35">
        <f t="shared" si="207"/>
        <v>1350</v>
      </c>
      <c r="G106" s="36">
        <v>0</v>
      </c>
      <c r="H106" s="37">
        <f t="shared" ref="H106" si="216">SUM(F106:G106)</f>
        <v>1350</v>
      </c>
      <c r="I106" s="131">
        <v>1</v>
      </c>
      <c r="J106" s="36">
        <f t="shared" si="195"/>
        <v>154.5</v>
      </c>
      <c r="K106" s="14">
        <v>12</v>
      </c>
      <c r="L106" s="35">
        <f t="shared" si="209"/>
        <v>1854</v>
      </c>
      <c r="M106" s="36">
        <v>0</v>
      </c>
      <c r="N106" s="37">
        <f t="shared" ref="N106" si="217">SUM(L106:M106)</f>
        <v>1854</v>
      </c>
      <c r="O106" s="131">
        <v>1</v>
      </c>
      <c r="P106" s="36">
        <f t="shared" si="198"/>
        <v>159.13499999999999</v>
      </c>
      <c r="Q106" s="14">
        <v>12</v>
      </c>
      <c r="R106" s="35">
        <f t="shared" si="211"/>
        <v>1909.62</v>
      </c>
      <c r="S106" s="36">
        <v>0</v>
      </c>
      <c r="T106" s="37">
        <f t="shared" ref="T106" si="218">SUM(R106:S106)</f>
        <v>1909.62</v>
      </c>
      <c r="U106" s="131">
        <v>1</v>
      </c>
      <c r="V106" s="36">
        <f t="shared" si="201"/>
        <v>163.90905000000001</v>
      </c>
      <c r="W106" s="14">
        <v>3</v>
      </c>
      <c r="X106" s="35">
        <f t="shared" si="213"/>
        <v>491.72715000000005</v>
      </c>
      <c r="Y106" s="36">
        <v>0</v>
      </c>
      <c r="Z106" s="37">
        <f t="shared" ref="Z106" si="219">SUM(X106:Y106)</f>
        <v>491.72715000000005</v>
      </c>
      <c r="AA106" s="38">
        <f t="shared" si="204"/>
        <v>5605.3471499999996</v>
      </c>
      <c r="AB106" s="36">
        <f t="shared" si="205"/>
        <v>0</v>
      </c>
      <c r="AC106" s="38">
        <f t="shared" ref="AC106" si="220">SUM(AA106:AB106)</f>
        <v>5605.3471499999996</v>
      </c>
    </row>
    <row r="107" spans="1:29">
      <c r="A107" s="63" t="s">
        <v>103</v>
      </c>
      <c r="B107" s="131">
        <v>1</v>
      </c>
      <c r="C107" s="14">
        <v>500</v>
      </c>
      <c r="D107" s="14">
        <v>1</v>
      </c>
      <c r="E107" s="121" t="s">
        <v>88</v>
      </c>
      <c r="F107" s="35">
        <f t="shared" si="207"/>
        <v>500</v>
      </c>
      <c r="G107" s="36">
        <v>0</v>
      </c>
      <c r="H107" s="37">
        <f t="shared" ref="H107" si="221">SUM(F107:G107)</f>
        <v>500</v>
      </c>
      <c r="I107" s="131">
        <v>1</v>
      </c>
      <c r="J107" s="36">
        <f t="shared" si="195"/>
        <v>515</v>
      </c>
      <c r="K107" s="14">
        <v>1</v>
      </c>
      <c r="L107" s="35">
        <f t="shared" si="209"/>
        <v>515</v>
      </c>
      <c r="M107" s="36">
        <v>0</v>
      </c>
      <c r="N107" s="37">
        <f t="shared" ref="N107" si="222">SUM(L107:M107)</f>
        <v>515</v>
      </c>
      <c r="O107" s="131">
        <v>1</v>
      </c>
      <c r="P107" s="36">
        <f t="shared" si="198"/>
        <v>530.45000000000005</v>
      </c>
      <c r="Q107" s="14">
        <v>1</v>
      </c>
      <c r="R107" s="35">
        <f t="shared" si="211"/>
        <v>530.45000000000005</v>
      </c>
      <c r="S107" s="36">
        <v>0</v>
      </c>
      <c r="T107" s="37">
        <f t="shared" ref="T107" si="223">SUM(R107:S107)</f>
        <v>530.45000000000005</v>
      </c>
      <c r="U107" s="131">
        <v>1</v>
      </c>
      <c r="V107" s="36">
        <f t="shared" si="201"/>
        <v>546.36350000000004</v>
      </c>
      <c r="W107" s="14">
        <v>1</v>
      </c>
      <c r="X107" s="35">
        <f t="shared" si="213"/>
        <v>546.36350000000004</v>
      </c>
      <c r="Y107" s="36">
        <v>0</v>
      </c>
      <c r="Z107" s="37">
        <f t="shared" ref="Z107" si="224">SUM(X107:Y107)</f>
        <v>546.36350000000004</v>
      </c>
      <c r="AA107" s="38">
        <f t="shared" si="204"/>
        <v>2091.8135000000002</v>
      </c>
      <c r="AB107" s="36">
        <f t="shared" si="205"/>
        <v>0</v>
      </c>
      <c r="AC107" s="38">
        <f t="shared" ref="AC107" si="225">SUM(AA107:AB107)</f>
        <v>2091.8135000000002</v>
      </c>
    </row>
    <row r="108" spans="1:29">
      <c r="A108" s="63" t="s">
        <v>104</v>
      </c>
      <c r="B108" s="131">
        <v>1</v>
      </c>
      <c r="C108" s="14">
        <v>150</v>
      </c>
      <c r="D108" s="14">
        <v>6</v>
      </c>
      <c r="E108" s="121" t="s">
        <v>49</v>
      </c>
      <c r="F108" s="35">
        <f t="shared" si="207"/>
        <v>900</v>
      </c>
      <c r="G108" s="36">
        <v>0</v>
      </c>
      <c r="H108" s="37">
        <f t="shared" ref="H108:H110" si="226">SUM(F108:G108)</f>
        <v>900</v>
      </c>
      <c r="I108" s="131">
        <v>1</v>
      </c>
      <c r="J108" s="36">
        <f t="shared" si="195"/>
        <v>154.5</v>
      </c>
      <c r="K108" s="14">
        <v>12</v>
      </c>
      <c r="L108" s="35">
        <f t="shared" si="209"/>
        <v>1854</v>
      </c>
      <c r="M108" s="36">
        <v>0</v>
      </c>
      <c r="N108" s="37">
        <f t="shared" ref="N108" si="227">SUM(L108:M108)</f>
        <v>1854</v>
      </c>
      <c r="O108" s="131">
        <v>1</v>
      </c>
      <c r="P108" s="36">
        <f t="shared" si="198"/>
        <v>159.13499999999999</v>
      </c>
      <c r="Q108" s="14">
        <v>12</v>
      </c>
      <c r="R108" s="35">
        <f t="shared" si="211"/>
        <v>1909.62</v>
      </c>
      <c r="S108" s="36">
        <v>0</v>
      </c>
      <c r="T108" s="37">
        <f t="shared" ref="T108:T110" si="228">SUM(R108:S108)</f>
        <v>1909.62</v>
      </c>
      <c r="U108" s="131">
        <v>1</v>
      </c>
      <c r="V108" s="36">
        <f t="shared" si="201"/>
        <v>163.90905000000001</v>
      </c>
      <c r="W108" s="14">
        <v>3</v>
      </c>
      <c r="X108" s="35">
        <f t="shared" si="213"/>
        <v>491.72715000000005</v>
      </c>
      <c r="Y108" s="36">
        <v>0</v>
      </c>
      <c r="Z108" s="37">
        <f t="shared" si="192"/>
        <v>491.72715000000005</v>
      </c>
      <c r="AA108" s="38">
        <f t="shared" si="204"/>
        <v>5155.3471499999996</v>
      </c>
      <c r="AB108" s="36">
        <f t="shared" si="205"/>
        <v>0</v>
      </c>
      <c r="AC108" s="38">
        <f t="shared" ref="AC108:AC110" si="229">SUM(AA108:AB108)</f>
        <v>5155.3471499999996</v>
      </c>
    </row>
    <row r="109" spans="1:29">
      <c r="A109" s="63" t="s">
        <v>105</v>
      </c>
      <c r="B109" s="131">
        <v>1</v>
      </c>
      <c r="C109" s="14">
        <v>350</v>
      </c>
      <c r="D109" s="14">
        <v>6</v>
      </c>
      <c r="E109" s="121" t="s">
        <v>49</v>
      </c>
      <c r="F109" s="35">
        <f t="shared" si="207"/>
        <v>2100</v>
      </c>
      <c r="G109" s="36">
        <v>0</v>
      </c>
      <c r="H109" s="210">
        <f t="shared" si="226"/>
        <v>2100</v>
      </c>
      <c r="I109" s="208">
        <v>1</v>
      </c>
      <c r="J109" s="36">
        <f t="shared" si="195"/>
        <v>360.5</v>
      </c>
      <c r="K109" s="14">
        <v>12</v>
      </c>
      <c r="L109" s="35">
        <f t="shared" si="209"/>
        <v>4326</v>
      </c>
      <c r="M109" s="36">
        <v>0</v>
      </c>
      <c r="N109" s="37">
        <f t="shared" ref="N109:N110" si="230">SUM(L109:M109)</f>
        <v>4326</v>
      </c>
      <c r="O109" s="131">
        <v>1</v>
      </c>
      <c r="P109" s="36">
        <f t="shared" si="198"/>
        <v>371.315</v>
      </c>
      <c r="Q109" s="14">
        <v>12</v>
      </c>
      <c r="R109" s="35">
        <f t="shared" si="211"/>
        <v>4455.78</v>
      </c>
      <c r="S109" s="36">
        <v>0</v>
      </c>
      <c r="T109" s="37">
        <f t="shared" si="228"/>
        <v>4455.78</v>
      </c>
      <c r="U109" s="131">
        <v>1</v>
      </c>
      <c r="V109" s="36">
        <f t="shared" si="201"/>
        <v>382.45445000000001</v>
      </c>
      <c r="W109" s="14">
        <v>3</v>
      </c>
      <c r="X109" s="35">
        <f t="shared" si="213"/>
        <v>1147.3633500000001</v>
      </c>
      <c r="Y109" s="36">
        <v>0</v>
      </c>
      <c r="Z109" s="37">
        <f t="shared" ref="Z109:Z110" si="231">SUM(X109:Y109)</f>
        <v>1147.3633500000001</v>
      </c>
      <c r="AA109" s="38">
        <f t="shared" si="204"/>
        <v>12029.143349999998</v>
      </c>
      <c r="AB109" s="36">
        <f t="shared" si="205"/>
        <v>0</v>
      </c>
      <c r="AC109" s="38">
        <f t="shared" si="229"/>
        <v>12029.143349999998</v>
      </c>
    </row>
    <row r="110" spans="1:29">
      <c r="A110" s="63" t="s">
        <v>106</v>
      </c>
      <c r="B110" s="131">
        <v>1</v>
      </c>
      <c r="C110" s="14">
        <v>750</v>
      </c>
      <c r="D110" s="14">
        <v>6</v>
      </c>
      <c r="E110" s="121" t="s">
        <v>49</v>
      </c>
      <c r="F110" s="35">
        <f t="shared" si="207"/>
        <v>4500</v>
      </c>
      <c r="G110" s="36">
        <v>0</v>
      </c>
      <c r="H110" s="210">
        <f t="shared" si="226"/>
        <v>4500</v>
      </c>
      <c r="I110" s="208">
        <v>1</v>
      </c>
      <c r="J110" s="36">
        <f t="shared" si="195"/>
        <v>772.5</v>
      </c>
      <c r="K110" s="14">
        <v>12</v>
      </c>
      <c r="L110" s="35">
        <f t="shared" si="209"/>
        <v>9270</v>
      </c>
      <c r="M110" s="36">
        <v>0</v>
      </c>
      <c r="N110" s="37">
        <f t="shared" si="230"/>
        <v>9270</v>
      </c>
      <c r="O110" s="131">
        <v>1</v>
      </c>
      <c r="P110" s="36">
        <f t="shared" si="198"/>
        <v>795.67500000000007</v>
      </c>
      <c r="Q110" s="14">
        <v>12</v>
      </c>
      <c r="R110" s="35">
        <f t="shared" si="211"/>
        <v>9548.1</v>
      </c>
      <c r="S110" s="36">
        <v>0</v>
      </c>
      <c r="T110" s="37">
        <f t="shared" si="228"/>
        <v>9548.1</v>
      </c>
      <c r="U110" s="131">
        <v>1</v>
      </c>
      <c r="V110" s="36">
        <f t="shared" si="201"/>
        <v>819.54525000000012</v>
      </c>
      <c r="W110" s="14">
        <v>3</v>
      </c>
      <c r="X110" s="35">
        <f t="shared" si="213"/>
        <v>2458.6357500000004</v>
      </c>
      <c r="Y110" s="36">
        <v>0</v>
      </c>
      <c r="Z110" s="37">
        <f t="shared" si="231"/>
        <v>2458.6357500000004</v>
      </c>
      <c r="AA110" s="38">
        <f t="shared" si="204"/>
        <v>25776.73575</v>
      </c>
      <c r="AB110" s="36">
        <f t="shared" si="205"/>
        <v>0</v>
      </c>
      <c r="AC110" s="38">
        <f t="shared" si="229"/>
        <v>25776.73575</v>
      </c>
    </row>
    <row r="111" spans="1:29" s="236" customFormat="1">
      <c r="A111" s="63" t="s">
        <v>107</v>
      </c>
      <c r="B111" s="131">
        <v>1</v>
      </c>
      <c r="C111" s="14">
        <v>100</v>
      </c>
      <c r="D111" s="14">
        <v>9</v>
      </c>
      <c r="E111" s="121" t="s">
        <v>49</v>
      </c>
      <c r="F111" s="35">
        <f t="shared" si="207"/>
        <v>900</v>
      </c>
      <c r="G111" s="36">
        <v>0</v>
      </c>
      <c r="H111" s="210">
        <f t="shared" ref="H111" si="232">SUM(F111:G111)</f>
        <v>900</v>
      </c>
      <c r="I111" s="208">
        <v>1</v>
      </c>
      <c r="J111" s="36">
        <f t="shared" si="195"/>
        <v>103</v>
      </c>
      <c r="K111" s="14">
        <v>12</v>
      </c>
      <c r="L111" s="35">
        <f t="shared" si="209"/>
        <v>1236</v>
      </c>
      <c r="M111" s="36">
        <v>0</v>
      </c>
      <c r="N111" s="37">
        <f t="shared" ref="N111" si="233">SUM(L111:M111)</f>
        <v>1236</v>
      </c>
      <c r="O111" s="131">
        <v>1</v>
      </c>
      <c r="P111" s="36">
        <f t="shared" si="198"/>
        <v>106.09</v>
      </c>
      <c r="Q111" s="14">
        <v>12</v>
      </c>
      <c r="R111" s="35">
        <f t="shared" si="211"/>
        <v>1273.08</v>
      </c>
      <c r="S111" s="36">
        <v>0</v>
      </c>
      <c r="T111" s="37">
        <f t="shared" ref="T111" si="234">SUM(R111:S111)</f>
        <v>1273.08</v>
      </c>
      <c r="U111" s="131">
        <v>1</v>
      </c>
      <c r="V111" s="36">
        <f t="shared" si="201"/>
        <v>109.2727</v>
      </c>
      <c r="W111" s="14">
        <v>3</v>
      </c>
      <c r="X111" s="35">
        <f t="shared" si="213"/>
        <v>327.81810000000002</v>
      </c>
      <c r="Y111" s="36">
        <v>0</v>
      </c>
      <c r="Z111" s="37">
        <f t="shared" ref="Z111" si="235">SUM(X111:Y111)</f>
        <v>327.81810000000002</v>
      </c>
      <c r="AA111" s="38">
        <f t="shared" si="204"/>
        <v>3736.8980999999999</v>
      </c>
      <c r="AB111" s="36">
        <f t="shared" si="205"/>
        <v>0</v>
      </c>
      <c r="AC111" s="38">
        <f t="shared" ref="AC111" si="236">SUM(AA111:AB111)</f>
        <v>3736.8980999999999</v>
      </c>
    </row>
    <row r="112" spans="1:29">
      <c r="A112" s="63" t="s">
        <v>108</v>
      </c>
      <c r="B112" s="131">
        <v>1</v>
      </c>
      <c r="C112" s="14">
        <v>1000</v>
      </c>
      <c r="D112" s="14">
        <v>1</v>
      </c>
      <c r="E112" s="121" t="s">
        <v>88</v>
      </c>
      <c r="F112" s="35">
        <f t="shared" si="207"/>
        <v>1000</v>
      </c>
      <c r="G112" s="36">
        <v>0</v>
      </c>
      <c r="H112" s="210">
        <f t="shared" ref="H112" si="237">SUM(F112:G112)</f>
        <v>1000</v>
      </c>
      <c r="I112" s="208">
        <v>1</v>
      </c>
      <c r="J112" s="36">
        <f t="shared" si="195"/>
        <v>1030</v>
      </c>
      <c r="K112" s="14">
        <v>1</v>
      </c>
      <c r="L112" s="35">
        <f t="shared" si="209"/>
        <v>1030</v>
      </c>
      <c r="M112" s="36">
        <v>0</v>
      </c>
      <c r="N112" s="37">
        <f t="shared" ref="N112" si="238">SUM(L112:M112)</f>
        <v>1030</v>
      </c>
      <c r="O112" s="131">
        <v>1</v>
      </c>
      <c r="P112" s="36">
        <f t="shared" si="198"/>
        <v>1060.9000000000001</v>
      </c>
      <c r="Q112" s="14">
        <v>1</v>
      </c>
      <c r="R112" s="35">
        <f t="shared" si="211"/>
        <v>1060.9000000000001</v>
      </c>
      <c r="S112" s="36">
        <v>0</v>
      </c>
      <c r="T112" s="37">
        <f t="shared" ref="T112" si="239">SUM(R112:S112)</f>
        <v>1060.9000000000001</v>
      </c>
      <c r="U112" s="131">
        <v>1</v>
      </c>
      <c r="V112" s="36">
        <f t="shared" si="201"/>
        <v>1092.7270000000001</v>
      </c>
      <c r="W112" s="14">
        <v>1</v>
      </c>
      <c r="X112" s="35">
        <f>W112*V112*U112</f>
        <v>1092.7270000000001</v>
      </c>
      <c r="Y112" s="36">
        <v>0</v>
      </c>
      <c r="Z112" s="37">
        <f t="shared" ref="Z112" si="240">SUM(X112:Y112)</f>
        <v>1092.7270000000001</v>
      </c>
      <c r="AA112" s="38">
        <f t="shared" si="204"/>
        <v>4183.6270000000004</v>
      </c>
      <c r="AB112" s="36">
        <f t="shared" si="205"/>
        <v>0</v>
      </c>
      <c r="AC112" s="38">
        <f t="shared" ref="AC112" si="241">SUM(AA112:AB112)</f>
        <v>4183.6270000000004</v>
      </c>
    </row>
    <row r="113" spans="1:29">
      <c r="A113" s="120"/>
      <c r="B113" s="208"/>
      <c r="C113" s="14"/>
      <c r="D113" s="14"/>
      <c r="E113" s="121"/>
      <c r="F113" s="35"/>
      <c r="G113" s="36"/>
      <c r="H113" s="210"/>
      <c r="I113" s="208"/>
      <c r="J113" s="36"/>
      <c r="K113" s="14"/>
      <c r="L113" s="35"/>
      <c r="M113" s="36"/>
      <c r="N113" s="36"/>
      <c r="O113" s="213"/>
      <c r="P113" s="36"/>
      <c r="Q113" s="214"/>
      <c r="R113" s="35"/>
      <c r="S113" s="36"/>
      <c r="T113" s="36"/>
      <c r="U113" s="213"/>
      <c r="V113" s="36"/>
      <c r="W113" s="214"/>
      <c r="X113" s="35"/>
      <c r="Y113" s="36"/>
      <c r="Z113" s="36"/>
      <c r="AA113" s="38"/>
      <c r="AB113" s="36"/>
      <c r="AC113" s="38"/>
    </row>
    <row r="114" spans="1:29">
      <c r="A114" s="204" t="s">
        <v>109</v>
      </c>
      <c r="B114" s="205"/>
      <c r="C114" s="225"/>
      <c r="D114" s="225"/>
      <c r="E114" s="228"/>
      <c r="F114" s="206"/>
      <c r="G114" s="212"/>
      <c r="H114" s="211"/>
      <c r="I114" s="209"/>
      <c r="J114" s="212"/>
      <c r="K114" s="225"/>
      <c r="L114" s="206"/>
      <c r="M114" s="212"/>
      <c r="N114" s="212"/>
      <c r="O114" s="215"/>
      <c r="P114" s="212"/>
      <c r="Q114" s="216"/>
      <c r="R114" s="206"/>
      <c r="S114" s="212"/>
      <c r="T114" s="212"/>
      <c r="U114" s="215"/>
      <c r="V114" s="212"/>
      <c r="W114" s="216"/>
      <c r="X114" s="206"/>
      <c r="Y114" s="212"/>
      <c r="Z114" s="212"/>
      <c r="AA114" s="207"/>
      <c r="AB114" s="212"/>
      <c r="AC114" s="207"/>
    </row>
    <row r="115" spans="1:29" s="236" customFormat="1">
      <c r="A115" s="63" t="s">
        <v>110</v>
      </c>
      <c r="B115" s="131">
        <v>500</v>
      </c>
      <c r="C115" s="36">
        <v>25</v>
      </c>
      <c r="D115" s="1">
        <v>1</v>
      </c>
      <c r="E115" s="121" t="s">
        <v>111</v>
      </c>
      <c r="F115" s="35">
        <v>0</v>
      </c>
      <c r="G115" s="36">
        <f>D115*C115*B115</f>
        <v>12500</v>
      </c>
      <c r="H115" s="37">
        <f t="shared" ref="H115" si="242">SUM(F115:G115)</f>
        <v>12500</v>
      </c>
      <c r="I115" s="131">
        <v>750</v>
      </c>
      <c r="J115" s="36">
        <f>C115</f>
        <v>25</v>
      </c>
      <c r="K115" s="14">
        <v>1</v>
      </c>
      <c r="L115" s="35">
        <v>0</v>
      </c>
      <c r="M115" s="36">
        <f>K115*J115*I115</f>
        <v>18750</v>
      </c>
      <c r="N115" s="37">
        <f t="shared" ref="N115" si="243">SUM(L115:M115)</f>
        <v>18750</v>
      </c>
      <c r="O115" s="35">
        <v>750</v>
      </c>
      <c r="P115" s="36">
        <f>C115</f>
        <v>25</v>
      </c>
      <c r="Q115" s="1">
        <v>1</v>
      </c>
      <c r="R115" s="35">
        <v>0</v>
      </c>
      <c r="S115" s="36">
        <f>Q115*P115*O115</f>
        <v>18750</v>
      </c>
      <c r="T115" s="37">
        <f t="shared" ref="T115" si="244">SUM(R115:S115)</f>
        <v>18750</v>
      </c>
      <c r="U115" s="35">
        <v>500</v>
      </c>
      <c r="V115" s="36">
        <f>C115</f>
        <v>25</v>
      </c>
      <c r="W115" s="1">
        <v>1</v>
      </c>
      <c r="X115" s="35">
        <v>0</v>
      </c>
      <c r="Y115" s="36">
        <f>W115*V115*U115</f>
        <v>12500</v>
      </c>
      <c r="Z115" s="37">
        <f t="shared" ref="Z115" si="245">SUM(X115:Y115)</f>
        <v>12500</v>
      </c>
      <c r="AA115" s="38">
        <f t="shared" ref="AA115:AB120" si="246">F115+L115+R115+X115</f>
        <v>0</v>
      </c>
      <c r="AB115" s="36">
        <f t="shared" si="246"/>
        <v>62500</v>
      </c>
      <c r="AC115" s="38">
        <f t="shared" ref="AC115:AC116" si="247">SUM(AA115:AB115)</f>
        <v>62500</v>
      </c>
    </row>
    <row r="116" spans="1:29">
      <c r="A116" s="63" t="s">
        <v>112</v>
      </c>
      <c r="B116" s="131">
        <v>1</v>
      </c>
      <c r="C116" s="36">
        <v>15000</v>
      </c>
      <c r="D116" s="14">
        <v>1</v>
      </c>
      <c r="E116" s="121" t="s">
        <v>113</v>
      </c>
      <c r="F116" s="35">
        <f t="shared" ref="F116" si="248">C116*B116</f>
        <v>15000</v>
      </c>
      <c r="G116" s="36">
        <f>B116*D116*6500</f>
        <v>6500</v>
      </c>
      <c r="H116" s="37">
        <f t="shared" ref="H116" si="249">SUM(F116:G116)</f>
        <v>21500</v>
      </c>
      <c r="I116" s="131">
        <v>9</v>
      </c>
      <c r="J116" s="36">
        <f t="shared" ref="J116" si="250">C116</f>
        <v>15000</v>
      </c>
      <c r="K116" s="14">
        <v>1</v>
      </c>
      <c r="L116" s="35">
        <f t="shared" ref="L116" si="251">I116*J116</f>
        <v>135000</v>
      </c>
      <c r="M116" s="36">
        <f>I116*K116*6500</f>
        <v>58500</v>
      </c>
      <c r="N116" s="37">
        <f t="shared" ref="N116" si="252">SUM(L116:M116)</f>
        <v>193500</v>
      </c>
      <c r="O116" s="35">
        <v>0</v>
      </c>
      <c r="P116" s="36">
        <f t="shared" ref="P116" si="253">C116</f>
        <v>15000</v>
      </c>
      <c r="Q116" s="14">
        <v>1</v>
      </c>
      <c r="R116" s="35">
        <f t="shared" ref="R116" si="254">P116*O116</f>
        <v>0</v>
      </c>
      <c r="S116" s="36">
        <f>Q116*O116*5000</f>
        <v>0</v>
      </c>
      <c r="T116" s="37">
        <f t="shared" ref="T116" si="255">SUM(R116:S116)</f>
        <v>0</v>
      </c>
      <c r="U116" s="35">
        <v>0</v>
      </c>
      <c r="V116" s="36">
        <f t="shared" ref="V116" si="256">C116</f>
        <v>15000</v>
      </c>
      <c r="W116" s="14">
        <v>0</v>
      </c>
      <c r="X116" s="35">
        <f t="shared" ref="X116" si="257">V116*U116</f>
        <v>0</v>
      </c>
      <c r="Y116" s="36">
        <v>0</v>
      </c>
      <c r="Z116" s="37">
        <f t="shared" ref="Z116" si="258">SUM(X116:Y116)</f>
        <v>0</v>
      </c>
      <c r="AA116" s="38">
        <f t="shared" si="246"/>
        <v>150000</v>
      </c>
      <c r="AB116" s="36">
        <f t="shared" si="246"/>
        <v>65000</v>
      </c>
      <c r="AC116" s="38">
        <f t="shared" si="247"/>
        <v>215000</v>
      </c>
    </row>
    <row r="117" spans="1:29">
      <c r="A117" s="63" t="s">
        <v>114</v>
      </c>
      <c r="B117" s="131">
        <v>1</v>
      </c>
      <c r="C117" s="36">
        <v>20000</v>
      </c>
      <c r="D117" s="14">
        <v>1</v>
      </c>
      <c r="E117" s="121" t="s">
        <v>81</v>
      </c>
      <c r="F117" s="35">
        <v>0</v>
      </c>
      <c r="G117" s="36">
        <f>B117*C117</f>
        <v>20000</v>
      </c>
      <c r="H117" s="37">
        <f>SUM(F117:G117)</f>
        <v>20000</v>
      </c>
      <c r="I117" s="131">
        <v>0</v>
      </c>
      <c r="J117" s="36">
        <f>C117</f>
        <v>20000</v>
      </c>
      <c r="K117" s="14">
        <v>1</v>
      </c>
      <c r="L117" s="35">
        <f>I117*J117</f>
        <v>0</v>
      </c>
      <c r="M117" s="36">
        <v>0</v>
      </c>
      <c r="N117" s="37">
        <f>SUM(L117:M117)</f>
        <v>0</v>
      </c>
      <c r="O117" s="35">
        <v>0</v>
      </c>
      <c r="P117" s="36">
        <f>C117</f>
        <v>20000</v>
      </c>
      <c r="Q117" s="14">
        <v>1</v>
      </c>
      <c r="R117" s="35">
        <f>P117*O117</f>
        <v>0</v>
      </c>
      <c r="S117" s="36">
        <v>0</v>
      </c>
      <c r="T117" s="37">
        <f>SUM(R117:S117)</f>
        <v>0</v>
      </c>
      <c r="U117" s="35">
        <v>0</v>
      </c>
      <c r="V117" s="36">
        <f>C117</f>
        <v>20000</v>
      </c>
      <c r="W117" s="14">
        <v>1</v>
      </c>
      <c r="X117" s="35">
        <f>V117*U117</f>
        <v>0</v>
      </c>
      <c r="Y117" s="36">
        <v>0</v>
      </c>
      <c r="Z117" s="37">
        <f>SUM(X117:Y117)</f>
        <v>0</v>
      </c>
      <c r="AA117" s="38">
        <f t="shared" si="246"/>
        <v>0</v>
      </c>
      <c r="AB117" s="36">
        <f t="shared" si="246"/>
        <v>20000</v>
      </c>
      <c r="AC117" s="38">
        <f>SUM(AA117:AB117)</f>
        <v>20000</v>
      </c>
    </row>
    <row r="118" spans="1:29">
      <c r="A118" s="63" t="s">
        <v>115</v>
      </c>
      <c r="B118" s="131">
        <v>1</v>
      </c>
      <c r="C118" s="36">
        <v>1000</v>
      </c>
      <c r="D118" s="14">
        <v>1</v>
      </c>
      <c r="E118" s="121" t="s">
        <v>81</v>
      </c>
      <c r="F118" s="35">
        <f t="shared" ref="F118" si="259">C118*B118</f>
        <v>1000</v>
      </c>
      <c r="G118" s="36">
        <v>0</v>
      </c>
      <c r="H118" s="37">
        <f t="shared" ref="H118:H119" si="260">SUM(F118:G118)</f>
        <v>1000</v>
      </c>
      <c r="I118" s="131">
        <v>1</v>
      </c>
      <c r="J118" s="36">
        <f t="shared" ref="J118:J119" si="261">C118</f>
        <v>1000</v>
      </c>
      <c r="K118" s="14">
        <v>0</v>
      </c>
      <c r="L118" s="35">
        <f t="shared" ref="L118" si="262">I118*J118</f>
        <v>1000</v>
      </c>
      <c r="M118" s="36">
        <v>0</v>
      </c>
      <c r="N118" s="37">
        <f t="shared" ref="N118:N119" si="263">SUM(L118:M118)</f>
        <v>1000</v>
      </c>
      <c r="O118" s="35">
        <v>0</v>
      </c>
      <c r="P118" s="36">
        <f t="shared" ref="P118:P119" si="264">C118</f>
        <v>1000</v>
      </c>
      <c r="Q118" s="14">
        <v>0</v>
      </c>
      <c r="R118" s="35">
        <f t="shared" ref="R118" si="265">P118*O118</f>
        <v>0</v>
      </c>
      <c r="S118" s="36">
        <v>0</v>
      </c>
      <c r="T118" s="37">
        <f t="shared" ref="T118:T119" si="266">SUM(R118:S118)</f>
        <v>0</v>
      </c>
      <c r="U118" s="35">
        <v>0</v>
      </c>
      <c r="V118" s="36">
        <f t="shared" ref="V118:V119" si="267">C118</f>
        <v>1000</v>
      </c>
      <c r="W118" s="14">
        <v>0</v>
      </c>
      <c r="X118" s="35">
        <f t="shared" ref="X118" si="268">V118*U118</f>
        <v>0</v>
      </c>
      <c r="Y118" s="36">
        <v>0</v>
      </c>
      <c r="Z118" s="37">
        <f t="shared" ref="Z118:Z119" si="269">SUM(X118:Y118)</f>
        <v>0</v>
      </c>
      <c r="AA118" s="38">
        <f t="shared" ref="AA118:AA119" si="270">F118+L118+R118+X118</f>
        <v>2000</v>
      </c>
      <c r="AB118" s="36">
        <f t="shared" ref="AB118:AB119" si="271">G118+M118+S118+Y118</f>
        <v>0</v>
      </c>
      <c r="AC118" s="38">
        <f t="shared" ref="AC118:AC119" si="272">SUM(AA118:AB118)</f>
        <v>2000</v>
      </c>
    </row>
    <row r="119" spans="1:29">
      <c r="A119" s="63" t="s">
        <v>116</v>
      </c>
      <c r="B119" s="131">
        <v>1</v>
      </c>
      <c r="C119" s="36">
        <v>1000</v>
      </c>
      <c r="D119" s="14">
        <v>1</v>
      </c>
      <c r="E119" s="121" t="s">
        <v>88</v>
      </c>
      <c r="F119" s="35">
        <v>0</v>
      </c>
      <c r="G119" s="36">
        <f>B119*C119</f>
        <v>1000</v>
      </c>
      <c r="H119" s="37">
        <f t="shared" si="260"/>
        <v>1000</v>
      </c>
      <c r="I119" s="131">
        <v>1</v>
      </c>
      <c r="J119" s="36">
        <f t="shared" si="261"/>
        <v>1000</v>
      </c>
      <c r="K119" s="14">
        <v>1</v>
      </c>
      <c r="L119" s="35">
        <v>0</v>
      </c>
      <c r="M119" s="36">
        <f>I119*J119</f>
        <v>1000</v>
      </c>
      <c r="N119" s="37">
        <f t="shared" si="263"/>
        <v>1000</v>
      </c>
      <c r="O119" s="35">
        <v>1</v>
      </c>
      <c r="P119" s="36">
        <f t="shared" si="264"/>
        <v>1000</v>
      </c>
      <c r="Q119" s="14">
        <v>1</v>
      </c>
      <c r="R119" s="35">
        <v>0</v>
      </c>
      <c r="S119" s="36">
        <f>+O119*P119</f>
        <v>1000</v>
      </c>
      <c r="T119" s="37">
        <f t="shared" si="266"/>
        <v>1000</v>
      </c>
      <c r="U119" s="35">
        <v>1</v>
      </c>
      <c r="V119" s="36">
        <f t="shared" si="267"/>
        <v>1000</v>
      </c>
      <c r="W119" s="14">
        <v>1</v>
      </c>
      <c r="X119" s="35">
        <v>0</v>
      </c>
      <c r="Y119" s="36">
        <f>+U119*V119</f>
        <v>1000</v>
      </c>
      <c r="Z119" s="37">
        <f t="shared" si="269"/>
        <v>1000</v>
      </c>
      <c r="AA119" s="38">
        <f t="shared" si="270"/>
        <v>0</v>
      </c>
      <c r="AB119" s="36">
        <f t="shared" si="271"/>
        <v>4000</v>
      </c>
      <c r="AC119" s="38">
        <f t="shared" si="272"/>
        <v>4000</v>
      </c>
    </row>
    <row r="120" spans="1:29">
      <c r="A120" s="63" t="s">
        <v>117</v>
      </c>
      <c r="B120" s="131">
        <v>2</v>
      </c>
      <c r="C120" s="36">
        <v>250</v>
      </c>
      <c r="D120" s="14">
        <v>1</v>
      </c>
      <c r="E120" s="121" t="s">
        <v>118</v>
      </c>
      <c r="F120" s="35">
        <f t="shared" ref="F120" si="273">C120*B120</f>
        <v>500</v>
      </c>
      <c r="G120" s="36">
        <v>0</v>
      </c>
      <c r="H120" s="37">
        <f t="shared" ref="H120" si="274">SUM(F120:G120)</f>
        <v>500</v>
      </c>
      <c r="I120" s="131">
        <v>4</v>
      </c>
      <c r="J120" s="36">
        <f t="shared" ref="J120" si="275">C120</f>
        <v>250</v>
      </c>
      <c r="K120" s="14">
        <v>1</v>
      </c>
      <c r="L120" s="35">
        <f t="shared" ref="L120" si="276">I120*J120</f>
        <v>1000</v>
      </c>
      <c r="M120" s="36">
        <v>0</v>
      </c>
      <c r="N120" s="37">
        <f t="shared" ref="N120" si="277">SUM(L120:M120)</f>
        <v>1000</v>
      </c>
      <c r="O120" s="35">
        <v>4</v>
      </c>
      <c r="P120" s="36">
        <f t="shared" ref="P120" si="278">C120</f>
        <v>250</v>
      </c>
      <c r="Q120" s="14">
        <v>1</v>
      </c>
      <c r="R120" s="35">
        <f t="shared" ref="R120" si="279">P120*O120</f>
        <v>1000</v>
      </c>
      <c r="S120" s="36">
        <v>0</v>
      </c>
      <c r="T120" s="37">
        <f t="shared" ref="T120" si="280">SUM(R120:S120)</f>
        <v>1000</v>
      </c>
      <c r="U120" s="35">
        <v>2</v>
      </c>
      <c r="V120" s="36">
        <f t="shared" ref="V120" si="281">C120</f>
        <v>250</v>
      </c>
      <c r="W120" s="14">
        <v>0</v>
      </c>
      <c r="X120" s="35">
        <f t="shared" ref="X120" si="282">V120*U120</f>
        <v>500</v>
      </c>
      <c r="Y120" s="36">
        <v>0</v>
      </c>
      <c r="Z120" s="37">
        <f t="shared" ref="Z120" si="283">SUM(X120:Y120)</f>
        <v>500</v>
      </c>
      <c r="AA120" s="38">
        <f t="shared" si="246"/>
        <v>3000</v>
      </c>
      <c r="AB120" s="36">
        <f t="shared" si="246"/>
        <v>0</v>
      </c>
      <c r="AC120" s="38">
        <f t="shared" ref="AC120" si="284">SUM(AA120:AB120)</f>
        <v>3000</v>
      </c>
    </row>
    <row r="121" spans="1:29">
      <c r="A121" s="63" t="s">
        <v>119</v>
      </c>
      <c r="B121" s="131">
        <v>2</v>
      </c>
      <c r="C121" s="36">
        <v>2500</v>
      </c>
      <c r="D121" s="14">
        <v>1</v>
      </c>
      <c r="E121" s="121" t="s">
        <v>88</v>
      </c>
      <c r="F121" s="35">
        <f t="shared" ref="F121" si="285">C121*B121</f>
        <v>5000</v>
      </c>
      <c r="G121" s="36">
        <v>0</v>
      </c>
      <c r="H121" s="37">
        <f t="shared" ref="H121" si="286">SUM(F121:G121)</f>
        <v>5000</v>
      </c>
      <c r="I121" s="131">
        <v>2</v>
      </c>
      <c r="J121" s="36">
        <f t="shared" ref="J121" si="287">C121</f>
        <v>2500</v>
      </c>
      <c r="K121" s="14">
        <v>1</v>
      </c>
      <c r="L121" s="35">
        <f t="shared" ref="L121" si="288">I121*J121</f>
        <v>5000</v>
      </c>
      <c r="M121" s="36">
        <v>0</v>
      </c>
      <c r="N121" s="37">
        <f t="shared" ref="N121" si="289">SUM(L121:M121)</f>
        <v>5000</v>
      </c>
      <c r="O121" s="35">
        <v>2</v>
      </c>
      <c r="P121" s="36">
        <f t="shared" ref="P121" si="290">C121</f>
        <v>2500</v>
      </c>
      <c r="Q121" s="14">
        <v>1</v>
      </c>
      <c r="R121" s="35">
        <f t="shared" ref="R121" si="291">P121*O121</f>
        <v>5000</v>
      </c>
      <c r="S121" s="36">
        <v>0</v>
      </c>
      <c r="T121" s="37">
        <f t="shared" ref="T121" si="292">SUM(R121:S121)</f>
        <v>5000</v>
      </c>
      <c r="U121" s="35">
        <v>2</v>
      </c>
      <c r="V121" s="36">
        <f t="shared" ref="V121" si="293">C121</f>
        <v>2500</v>
      </c>
      <c r="W121" s="14">
        <v>1</v>
      </c>
      <c r="X121" s="35">
        <f t="shared" ref="X121" si="294">V121*U121</f>
        <v>5000</v>
      </c>
      <c r="Y121" s="36">
        <v>0</v>
      </c>
      <c r="Z121" s="37">
        <f t="shared" ref="Z121" si="295">SUM(X121:Y121)</f>
        <v>5000</v>
      </c>
      <c r="AA121" s="38">
        <f t="shared" ref="AA121" si="296">F121+L121+R121+X121</f>
        <v>20000</v>
      </c>
      <c r="AB121" s="36">
        <f t="shared" ref="AB121" si="297">G121+M121+S121+Y121</f>
        <v>0</v>
      </c>
      <c r="AC121" s="38">
        <f t="shared" ref="AC121" si="298">SUM(AA121:AB121)</f>
        <v>20000</v>
      </c>
    </row>
    <row r="122" spans="1:29">
      <c r="A122" s="63" t="s">
        <v>120</v>
      </c>
      <c r="B122" s="131">
        <v>0</v>
      </c>
      <c r="C122" s="36">
        <v>40000</v>
      </c>
      <c r="D122" s="14">
        <v>1</v>
      </c>
      <c r="E122" s="121" t="s">
        <v>121</v>
      </c>
      <c r="F122" s="35">
        <f t="shared" ref="F122" si="299">C122*B122</f>
        <v>0</v>
      </c>
      <c r="G122" s="36">
        <v>0</v>
      </c>
      <c r="H122" s="37">
        <f t="shared" ref="H122" si="300">SUM(F122:G122)</f>
        <v>0</v>
      </c>
      <c r="I122" s="131">
        <v>0</v>
      </c>
      <c r="J122" s="36">
        <f t="shared" ref="J122" si="301">C122</f>
        <v>40000</v>
      </c>
      <c r="K122" s="14">
        <v>1</v>
      </c>
      <c r="L122" s="35">
        <f t="shared" ref="L122" si="302">I122*J122</f>
        <v>0</v>
      </c>
      <c r="M122" s="36">
        <v>0</v>
      </c>
      <c r="N122" s="37">
        <f t="shared" ref="N122" si="303">SUM(L122:M122)</f>
        <v>0</v>
      </c>
      <c r="O122" s="35">
        <v>0</v>
      </c>
      <c r="P122" s="36">
        <f t="shared" ref="P122" si="304">C122</f>
        <v>40000</v>
      </c>
      <c r="Q122" s="14">
        <v>1</v>
      </c>
      <c r="R122" s="35">
        <f t="shared" ref="R122" si="305">P122*O122</f>
        <v>0</v>
      </c>
      <c r="S122" s="36">
        <v>0</v>
      </c>
      <c r="T122" s="37">
        <f t="shared" ref="T122" si="306">SUM(R122:S122)</f>
        <v>0</v>
      </c>
      <c r="U122" s="35">
        <v>1</v>
      </c>
      <c r="V122" s="36">
        <f t="shared" ref="V122" si="307">C122</f>
        <v>40000</v>
      </c>
      <c r="W122" s="14">
        <v>1</v>
      </c>
      <c r="X122" s="35">
        <f t="shared" ref="X122" si="308">V122*U122</f>
        <v>40000</v>
      </c>
      <c r="Y122" s="36">
        <v>0</v>
      </c>
      <c r="Z122" s="37">
        <f t="shared" ref="Z122" si="309">SUM(X122:Y122)</f>
        <v>40000</v>
      </c>
      <c r="AA122" s="38">
        <f t="shared" ref="AA122" si="310">F122+L122+R122+X122</f>
        <v>40000</v>
      </c>
      <c r="AB122" s="36">
        <f t="shared" ref="AB122" si="311">G122+M122+S122+Y122</f>
        <v>0</v>
      </c>
      <c r="AC122" s="38">
        <f t="shared" ref="AC122" si="312">SUM(AA122:AB122)</f>
        <v>40000</v>
      </c>
    </row>
    <row r="123" spans="1:29">
      <c r="A123" s="63"/>
      <c r="B123" s="131"/>
      <c r="C123" s="36"/>
      <c r="D123" s="14"/>
      <c r="E123" s="121"/>
      <c r="F123" s="35"/>
      <c r="G123" s="36"/>
      <c r="H123" s="36"/>
      <c r="I123" s="208"/>
      <c r="J123" s="36"/>
      <c r="K123" s="14"/>
      <c r="L123" s="35"/>
      <c r="M123" s="36"/>
      <c r="N123" s="36"/>
      <c r="O123" s="35"/>
      <c r="P123" s="36"/>
      <c r="Q123" s="14"/>
      <c r="R123" s="35"/>
      <c r="S123" s="36"/>
      <c r="T123" s="36"/>
      <c r="U123" s="35"/>
      <c r="V123" s="36"/>
      <c r="W123" s="14"/>
      <c r="X123" s="35"/>
      <c r="Y123" s="36"/>
      <c r="Z123" s="36"/>
      <c r="AA123" s="38"/>
      <c r="AB123" s="36"/>
      <c r="AC123" s="38"/>
    </row>
    <row r="124" spans="1:29" ht="24.9">
      <c r="A124" s="204" t="s">
        <v>122</v>
      </c>
      <c r="B124" s="205"/>
      <c r="C124" s="225"/>
      <c r="D124" s="225"/>
      <c r="E124" s="228"/>
      <c r="F124" s="206"/>
      <c r="G124" s="212"/>
      <c r="H124" s="211"/>
      <c r="I124" s="209"/>
      <c r="J124" s="212"/>
      <c r="K124" s="225"/>
      <c r="L124" s="206"/>
      <c r="M124" s="212"/>
      <c r="N124" s="212"/>
      <c r="O124" s="215"/>
      <c r="P124" s="212"/>
      <c r="Q124" s="216"/>
      <c r="R124" s="206"/>
      <c r="S124" s="212"/>
      <c r="T124" s="212"/>
      <c r="U124" s="215"/>
      <c r="V124" s="212"/>
      <c r="W124" s="216"/>
      <c r="X124" s="206"/>
      <c r="Y124" s="212"/>
      <c r="Z124" s="212"/>
      <c r="AA124" s="207"/>
      <c r="AB124" s="212"/>
      <c r="AC124" s="207"/>
    </row>
    <row r="125" spans="1:29">
      <c r="A125" s="63" t="s">
        <v>123</v>
      </c>
      <c r="B125" s="130">
        <v>1</v>
      </c>
      <c r="C125" s="36">
        <v>3500</v>
      </c>
      <c r="D125" s="14">
        <v>1</v>
      </c>
      <c r="E125" s="121" t="s">
        <v>88</v>
      </c>
      <c r="F125" s="35">
        <f>D125*C125*B125</f>
        <v>3500</v>
      </c>
      <c r="G125" s="36">
        <v>0</v>
      </c>
      <c r="H125" s="37">
        <f>SUM(F125:G125)</f>
        <v>3500</v>
      </c>
      <c r="I125" s="130">
        <v>1</v>
      </c>
      <c r="J125" s="36">
        <f>C125*$B$6</f>
        <v>3570</v>
      </c>
      <c r="K125" s="1">
        <v>1</v>
      </c>
      <c r="L125" s="35">
        <f>K125*J125*I125</f>
        <v>3570</v>
      </c>
      <c r="M125" s="36">
        <v>0</v>
      </c>
      <c r="N125" s="37">
        <f>SUM(L125:M125)</f>
        <v>3570</v>
      </c>
      <c r="O125" s="130">
        <v>1</v>
      </c>
      <c r="P125" s="36">
        <f>C125*$B$6*$B$6</f>
        <v>3641.4</v>
      </c>
      <c r="Q125" s="1">
        <v>1</v>
      </c>
      <c r="R125" s="35">
        <f>Q125*P125*O125</f>
        <v>3641.4</v>
      </c>
      <c r="S125" s="36">
        <v>0</v>
      </c>
      <c r="T125" s="37">
        <f>SUM(R125:R125)</f>
        <v>3641.4</v>
      </c>
      <c r="U125" s="130">
        <v>1</v>
      </c>
      <c r="V125" s="36">
        <f t="shared" ref="V125:V129" si="313">C125*$B$6*$B$6*$B$6</f>
        <v>3714.2280000000001</v>
      </c>
      <c r="W125" s="1">
        <v>0.5</v>
      </c>
      <c r="X125" s="35">
        <f>W125*V125*U125</f>
        <v>1857.114</v>
      </c>
      <c r="Y125" s="36">
        <v>0</v>
      </c>
      <c r="Z125" s="37">
        <f>SUM(X125:Y125)</f>
        <v>1857.114</v>
      </c>
      <c r="AA125" s="38">
        <f t="shared" ref="AA125" si="314">F125+L125+R125+X125</f>
        <v>12568.513999999999</v>
      </c>
      <c r="AB125" s="36">
        <f t="shared" ref="AB125" si="315">G125+M125+S125+Y125</f>
        <v>0</v>
      </c>
      <c r="AC125" s="38">
        <f t="shared" ref="AC125:AC127" si="316">SUM(AA125:AB125)</f>
        <v>12568.513999999999</v>
      </c>
    </row>
    <row r="126" spans="1:29">
      <c r="A126" s="63" t="s">
        <v>124</v>
      </c>
      <c r="B126" s="131">
        <v>1</v>
      </c>
      <c r="C126" s="36">
        <v>1500</v>
      </c>
      <c r="D126" s="14">
        <v>1</v>
      </c>
      <c r="E126" s="121" t="s">
        <v>81</v>
      </c>
      <c r="F126" s="35">
        <f t="shared" ref="F126" si="317">C126*B126</f>
        <v>1500</v>
      </c>
      <c r="G126" s="36">
        <v>0</v>
      </c>
      <c r="H126" s="37">
        <f t="shared" ref="H126:H127" si="318">SUM(F126:G126)</f>
        <v>1500</v>
      </c>
      <c r="I126" s="131">
        <v>0</v>
      </c>
      <c r="J126" s="36">
        <f t="shared" ref="J126:J129" si="319">C126*$B$6</f>
        <v>1530</v>
      </c>
      <c r="K126" s="1">
        <v>1</v>
      </c>
      <c r="L126" s="35">
        <f t="shared" ref="L126:L127" si="320">I126*J126</f>
        <v>0</v>
      </c>
      <c r="M126" s="36">
        <v>0</v>
      </c>
      <c r="N126" s="37">
        <f t="shared" ref="N126:N127" si="321">SUM(L126:M126)</f>
        <v>0</v>
      </c>
      <c r="O126" s="35">
        <v>0</v>
      </c>
      <c r="P126" s="36">
        <f t="shared" ref="P126:P129" si="322">C126*$B$6*$B$6</f>
        <v>1560.6000000000001</v>
      </c>
      <c r="Q126" s="1">
        <v>1</v>
      </c>
      <c r="R126" s="35">
        <f t="shared" ref="R126:R127" si="323">P126*O126</f>
        <v>0</v>
      </c>
      <c r="S126" s="36">
        <v>0</v>
      </c>
      <c r="T126" s="37">
        <f t="shared" ref="T126:T127" si="324">SUM(R126:S126)</f>
        <v>0</v>
      </c>
      <c r="U126" s="35">
        <v>0</v>
      </c>
      <c r="V126" s="36">
        <f t="shared" si="313"/>
        <v>1591.8120000000001</v>
      </c>
      <c r="W126" s="1">
        <v>1</v>
      </c>
      <c r="X126" s="35">
        <f t="shared" ref="X126:X127" si="325">V126*U126</f>
        <v>0</v>
      </c>
      <c r="Y126" s="36">
        <v>0</v>
      </c>
      <c r="Z126" s="37">
        <f t="shared" ref="Z126:Z127" si="326">SUM(X126:Y126)</f>
        <v>0</v>
      </c>
      <c r="AA126" s="38">
        <f t="shared" ref="AA126:AA129" si="327">F126+L126+R126+X126</f>
        <v>1500</v>
      </c>
      <c r="AB126" s="36">
        <f t="shared" ref="AB126:AB129" si="328">G126+M126+S126+Y126</f>
        <v>0</v>
      </c>
      <c r="AC126" s="38">
        <f t="shared" si="316"/>
        <v>1500</v>
      </c>
    </row>
    <row r="127" spans="1:29">
      <c r="A127" s="63" t="s">
        <v>125</v>
      </c>
      <c r="B127" s="131">
        <v>4</v>
      </c>
      <c r="C127" s="36">
        <v>250</v>
      </c>
      <c r="D127" s="14">
        <v>1</v>
      </c>
      <c r="E127" s="121" t="s">
        <v>121</v>
      </c>
      <c r="F127" s="35">
        <f>C127*B127</f>
        <v>1000</v>
      </c>
      <c r="G127" s="36">
        <v>0</v>
      </c>
      <c r="H127" s="37">
        <f t="shared" si="318"/>
        <v>1000</v>
      </c>
      <c r="I127" s="131">
        <v>4</v>
      </c>
      <c r="J127" s="36">
        <f t="shared" si="319"/>
        <v>255</v>
      </c>
      <c r="K127" s="1">
        <v>1</v>
      </c>
      <c r="L127" s="35">
        <f t="shared" si="320"/>
        <v>1020</v>
      </c>
      <c r="M127" s="36">
        <v>0</v>
      </c>
      <c r="N127" s="37">
        <f t="shared" si="321"/>
        <v>1020</v>
      </c>
      <c r="O127" s="35">
        <v>4</v>
      </c>
      <c r="P127" s="36">
        <f t="shared" si="322"/>
        <v>260.10000000000002</v>
      </c>
      <c r="Q127" s="1">
        <v>1</v>
      </c>
      <c r="R127" s="35">
        <f t="shared" si="323"/>
        <v>1040.4000000000001</v>
      </c>
      <c r="S127" s="36">
        <v>0</v>
      </c>
      <c r="T127" s="37">
        <f t="shared" si="324"/>
        <v>1040.4000000000001</v>
      </c>
      <c r="U127" s="35">
        <v>2</v>
      </c>
      <c r="V127" s="36">
        <f t="shared" si="313"/>
        <v>265.30200000000002</v>
      </c>
      <c r="W127" s="1">
        <v>1</v>
      </c>
      <c r="X127" s="35">
        <f t="shared" si="325"/>
        <v>530.60400000000004</v>
      </c>
      <c r="Y127" s="36">
        <v>0</v>
      </c>
      <c r="Z127" s="37">
        <f t="shared" si="326"/>
        <v>530.60400000000004</v>
      </c>
      <c r="AA127" s="38">
        <f t="shared" si="327"/>
        <v>3591.0039999999999</v>
      </c>
      <c r="AB127" s="36">
        <f t="shared" si="328"/>
        <v>0</v>
      </c>
      <c r="AC127" s="38">
        <f t="shared" si="316"/>
        <v>3591.0039999999999</v>
      </c>
    </row>
    <row r="128" spans="1:29">
      <c r="A128" s="63" t="s">
        <v>126</v>
      </c>
      <c r="B128" s="131">
        <v>1</v>
      </c>
      <c r="C128" s="36">
        <v>1000</v>
      </c>
      <c r="D128" s="14">
        <v>1</v>
      </c>
      <c r="E128" s="121" t="s">
        <v>127</v>
      </c>
      <c r="F128" s="35">
        <f t="shared" ref="F128:F129" si="329">C128*B128</f>
        <v>1000</v>
      </c>
      <c r="G128" s="36">
        <v>0</v>
      </c>
      <c r="H128" s="37">
        <f t="shared" ref="H128:H129" si="330">SUM(F128:G128)</f>
        <v>1000</v>
      </c>
      <c r="I128" s="131">
        <v>0</v>
      </c>
      <c r="J128" s="36">
        <f t="shared" si="319"/>
        <v>1020</v>
      </c>
      <c r="K128" s="1">
        <v>1</v>
      </c>
      <c r="L128" s="35">
        <f t="shared" ref="L128:L129" si="331">I128*J128</f>
        <v>0</v>
      </c>
      <c r="M128" s="36">
        <v>0</v>
      </c>
      <c r="N128" s="37">
        <f t="shared" ref="N128:N129" si="332">SUM(L128:M128)</f>
        <v>0</v>
      </c>
      <c r="O128" s="35">
        <v>0</v>
      </c>
      <c r="P128" s="36">
        <f t="shared" si="322"/>
        <v>1040.4000000000001</v>
      </c>
      <c r="Q128" s="1">
        <v>1</v>
      </c>
      <c r="R128" s="35">
        <f t="shared" ref="R128:R129" si="333">P128*O128</f>
        <v>0</v>
      </c>
      <c r="S128" s="36">
        <v>0</v>
      </c>
      <c r="T128" s="37">
        <f t="shared" ref="T128:T129" si="334">SUM(R128:S128)</f>
        <v>0</v>
      </c>
      <c r="U128" s="35">
        <v>0</v>
      </c>
      <c r="V128" s="36">
        <f t="shared" si="313"/>
        <v>1061.2080000000001</v>
      </c>
      <c r="W128" s="1">
        <v>1</v>
      </c>
      <c r="X128" s="35">
        <f t="shared" ref="X128:X129" si="335">V128*U128</f>
        <v>0</v>
      </c>
      <c r="Y128" s="36">
        <v>0</v>
      </c>
      <c r="Z128" s="37">
        <f t="shared" ref="Z128:Z129" si="336">SUM(X128:Y128)</f>
        <v>0</v>
      </c>
      <c r="AA128" s="38">
        <f t="shared" si="327"/>
        <v>1000</v>
      </c>
      <c r="AB128" s="36">
        <f t="shared" si="328"/>
        <v>0</v>
      </c>
      <c r="AC128" s="38">
        <f t="shared" ref="AC128:AC129" si="337">SUM(AA128:AB128)</f>
        <v>1000</v>
      </c>
    </row>
    <row r="129" spans="1:29">
      <c r="A129" s="63" t="s">
        <v>128</v>
      </c>
      <c r="B129" s="131">
        <v>1</v>
      </c>
      <c r="C129" s="36">
        <v>1000</v>
      </c>
      <c r="D129" s="14">
        <v>1</v>
      </c>
      <c r="E129" s="121" t="s">
        <v>121</v>
      </c>
      <c r="F129" s="35">
        <f t="shared" si="329"/>
        <v>1000</v>
      </c>
      <c r="G129" s="36">
        <v>0</v>
      </c>
      <c r="H129" s="37">
        <f t="shared" si="330"/>
        <v>1000</v>
      </c>
      <c r="I129" s="131">
        <v>0</v>
      </c>
      <c r="J129" s="36">
        <f t="shared" si="319"/>
        <v>1020</v>
      </c>
      <c r="K129" s="1">
        <v>1</v>
      </c>
      <c r="L129" s="35">
        <f t="shared" si="331"/>
        <v>0</v>
      </c>
      <c r="M129" s="36">
        <v>0</v>
      </c>
      <c r="N129" s="37">
        <f t="shared" si="332"/>
        <v>0</v>
      </c>
      <c r="O129" s="35">
        <v>0</v>
      </c>
      <c r="P129" s="36">
        <f t="shared" si="322"/>
        <v>1040.4000000000001</v>
      </c>
      <c r="Q129" s="1">
        <v>1</v>
      </c>
      <c r="R129" s="35">
        <f t="shared" si="333"/>
        <v>0</v>
      </c>
      <c r="S129" s="36">
        <v>0</v>
      </c>
      <c r="T129" s="37">
        <f t="shared" si="334"/>
        <v>0</v>
      </c>
      <c r="U129" s="35">
        <v>0</v>
      </c>
      <c r="V129" s="36">
        <f t="shared" si="313"/>
        <v>1061.2080000000001</v>
      </c>
      <c r="W129" s="1">
        <v>1</v>
      </c>
      <c r="X129" s="35">
        <f t="shared" si="335"/>
        <v>0</v>
      </c>
      <c r="Y129" s="36">
        <v>0</v>
      </c>
      <c r="Z129" s="37">
        <f t="shared" si="336"/>
        <v>0</v>
      </c>
      <c r="AA129" s="38">
        <f t="shared" si="327"/>
        <v>1000</v>
      </c>
      <c r="AB129" s="36">
        <f t="shared" si="328"/>
        <v>0</v>
      </c>
      <c r="AC129" s="38">
        <f t="shared" si="337"/>
        <v>1000</v>
      </c>
    </row>
    <row r="130" spans="1:29" s="10" customFormat="1">
      <c r="A130" s="227" t="s">
        <v>129</v>
      </c>
      <c r="B130" s="135"/>
      <c r="C130" s="119"/>
      <c r="D130" s="135"/>
      <c r="E130" s="119"/>
      <c r="F130" s="40">
        <f>SUM(F104:F129)</f>
        <v>43825</v>
      </c>
      <c r="G130" s="40">
        <f>SUM(G104:G129)</f>
        <v>40000</v>
      </c>
      <c r="H130" s="40">
        <f>SUM(H104:H129)</f>
        <v>83825</v>
      </c>
      <c r="I130" s="135"/>
      <c r="J130" s="41"/>
      <c r="K130" s="119"/>
      <c r="L130" s="40">
        <f>SUM(L104:L129)</f>
        <v>171001</v>
      </c>
      <c r="M130" s="40">
        <f>SUM(M104:M129)</f>
        <v>78250</v>
      </c>
      <c r="N130" s="40">
        <f>SUM(N104:N129)</f>
        <v>249251</v>
      </c>
      <c r="O130" s="217"/>
      <c r="P130" s="119"/>
      <c r="Q130" s="218"/>
      <c r="R130" s="40">
        <f>SUM(R104:R129)</f>
        <v>35825.130000000005</v>
      </c>
      <c r="S130" s="40">
        <f>SUM(S104:S129)</f>
        <v>19750</v>
      </c>
      <c r="T130" s="40">
        <f>SUM(T104:T129)</f>
        <v>55575.130000000005</v>
      </c>
      <c r="U130" s="217"/>
      <c r="V130" s="119"/>
      <c r="W130" s="1"/>
      <c r="X130" s="40">
        <f>SUM(X104:X129)</f>
        <v>55591.443350000001</v>
      </c>
      <c r="Y130" s="40">
        <f>SUM(Y104:Y129)</f>
        <v>13500</v>
      </c>
      <c r="Z130" s="40">
        <f>SUM(Z104:Z129)</f>
        <v>69091.443350000001</v>
      </c>
      <c r="AA130" s="43">
        <f>SUM(AA104:AA129)</f>
        <v>306242.57335000008</v>
      </c>
      <c r="AB130" s="41">
        <f>SUM(AB104:AB129)</f>
        <v>151500</v>
      </c>
      <c r="AC130" s="43">
        <f>SUM(AC104:AC129)</f>
        <v>457742.57335000008</v>
      </c>
    </row>
    <row r="131" spans="1:29">
      <c r="A131" s="80"/>
      <c r="B131" s="130"/>
      <c r="F131" s="35"/>
      <c r="G131" s="36"/>
      <c r="H131" s="37"/>
      <c r="I131" s="130"/>
      <c r="L131" s="35"/>
      <c r="M131" s="36"/>
      <c r="N131" s="36"/>
      <c r="O131" s="67"/>
      <c r="P131" s="66"/>
      <c r="Q131" s="219"/>
      <c r="R131" s="35"/>
      <c r="S131" s="36"/>
      <c r="T131" s="36"/>
      <c r="U131" s="67"/>
      <c r="V131" s="66"/>
      <c r="W131" s="219"/>
      <c r="X131" s="35"/>
      <c r="Y131" s="36"/>
      <c r="Z131" s="37"/>
      <c r="AA131" s="38"/>
      <c r="AB131" s="36"/>
      <c r="AC131" s="38"/>
    </row>
    <row r="132" spans="1:29" s="9" customFormat="1" ht="12.3">
      <c r="A132" s="88" t="s">
        <v>130</v>
      </c>
      <c r="B132" s="146"/>
      <c r="C132" s="147"/>
      <c r="D132" s="147"/>
      <c r="E132" s="147"/>
      <c r="F132" s="48">
        <f>F130+F101</f>
        <v>47825</v>
      </c>
      <c r="G132" s="48">
        <f>G130+G101</f>
        <v>40000</v>
      </c>
      <c r="H132" s="48">
        <f>H130+H101</f>
        <v>87825</v>
      </c>
      <c r="I132" s="146"/>
      <c r="J132" s="147"/>
      <c r="K132" s="147"/>
      <c r="L132" s="48">
        <f>L130+L101</f>
        <v>175081</v>
      </c>
      <c r="M132" s="48">
        <f>M130+M101</f>
        <v>78250</v>
      </c>
      <c r="N132" s="48">
        <f>N130+N101</f>
        <v>253331</v>
      </c>
      <c r="O132" s="146"/>
      <c r="P132" s="147"/>
      <c r="Q132" s="147"/>
      <c r="R132" s="48">
        <f>R130+R101</f>
        <v>39986.730000000003</v>
      </c>
      <c r="S132" s="48">
        <f>S130+S101</f>
        <v>19750</v>
      </c>
      <c r="T132" s="48">
        <f>T130+T101</f>
        <v>59736.73</v>
      </c>
      <c r="U132" s="146"/>
      <c r="V132" s="147"/>
      <c r="W132" s="147"/>
      <c r="X132" s="48">
        <f>X130+X101</f>
        <v>58642.41635</v>
      </c>
      <c r="Y132" s="48">
        <f>Y130+Y101</f>
        <v>13500</v>
      </c>
      <c r="Z132" s="48">
        <f>Z130+Z101</f>
        <v>72142.41635</v>
      </c>
      <c r="AA132" s="69">
        <f>AA130+AA101</f>
        <v>321535.14635000005</v>
      </c>
      <c r="AB132" s="223">
        <f>AB130+AB101</f>
        <v>151500</v>
      </c>
      <c r="AC132" s="69">
        <f>AC130+AC101</f>
        <v>473035.14635000005</v>
      </c>
    </row>
    <row r="133" spans="1:29">
      <c r="A133" s="80"/>
      <c r="B133" s="130"/>
      <c r="F133" s="35"/>
      <c r="G133" s="36"/>
      <c r="H133" s="37"/>
      <c r="I133" s="130"/>
      <c r="L133" s="35"/>
      <c r="M133" s="36"/>
      <c r="N133" s="37"/>
      <c r="O133" s="130"/>
      <c r="R133" s="35"/>
      <c r="S133" s="36"/>
      <c r="T133" s="37"/>
      <c r="U133" s="130"/>
      <c r="X133" s="35"/>
      <c r="Y133" s="36"/>
      <c r="Z133" s="37"/>
      <c r="AA133" s="38"/>
      <c r="AB133" s="36"/>
      <c r="AC133" s="38"/>
    </row>
    <row r="134" spans="1:29" s="9" customFormat="1" ht="12.3">
      <c r="A134" s="95" t="s">
        <v>19</v>
      </c>
      <c r="B134" s="152"/>
      <c r="C134" s="153"/>
      <c r="D134" s="153"/>
      <c r="E134" s="154"/>
      <c r="F134" s="237">
        <f>F132+F94+F85+F70+F64+F41+F29</f>
        <v>382188.26250000001</v>
      </c>
      <c r="G134" s="238">
        <f>G132+G94+G85+G70+G64+G41+G29</f>
        <v>40000</v>
      </c>
      <c r="H134" s="239">
        <f>SUM(F134:G134)</f>
        <v>422188.26250000001</v>
      </c>
      <c r="I134" s="152"/>
      <c r="J134" s="153"/>
      <c r="K134" s="153"/>
      <c r="L134" s="240">
        <f>L132+L94+L85+L70+L64+L41+L29</f>
        <v>767055.52775000001</v>
      </c>
      <c r="M134" s="238">
        <f>M132+M94+M85+M70+M64+M41+M29</f>
        <v>78250</v>
      </c>
      <c r="N134" s="239">
        <f>SUM(L134:M134)</f>
        <v>845305.52775000001</v>
      </c>
      <c r="O134" s="152"/>
      <c r="P134" s="153"/>
      <c r="Q134" s="153"/>
      <c r="R134" s="241">
        <f>R132+R94+R85+R70+R64+R41+R29</f>
        <v>644045.79613749997</v>
      </c>
      <c r="S134" s="242">
        <f>S132+S94+S85+S70+S64+S41+S29</f>
        <v>19750</v>
      </c>
      <c r="T134" s="243">
        <f>T132+T94+T85+T70+T64+T41+T29</f>
        <v>663795.79613749997</v>
      </c>
      <c r="U134" s="152"/>
      <c r="V134" s="153"/>
      <c r="W134" s="153"/>
      <c r="X134" s="241">
        <f>X132+X94+X85+X70+X64+X41+X29</f>
        <v>304322.2776269532</v>
      </c>
      <c r="Y134" s="242">
        <f>Y132+Y94+Y85+Y70+Y64+Y41+Y29</f>
        <v>13500</v>
      </c>
      <c r="Z134" s="243">
        <f>Z132+Z94+Z85+Z70+Z64+Z41+Z29</f>
        <v>317822.2776269532</v>
      </c>
      <c r="AA134" s="96">
        <f t="shared" ref="AA134:AB136" si="338">X134+R134+L134+F134</f>
        <v>2097611.8640144533</v>
      </c>
      <c r="AB134" s="242">
        <f t="shared" si="338"/>
        <v>151500</v>
      </c>
      <c r="AC134" s="96">
        <f>SUM(AA134:AB134)</f>
        <v>2249111.8640144533</v>
      </c>
    </row>
    <row r="135" spans="1:29" s="9" customFormat="1">
      <c r="A135" s="95" t="s">
        <v>20</v>
      </c>
      <c r="B135" s="155">
        <v>0.2828</v>
      </c>
      <c r="C135" s="156"/>
      <c r="D135" s="156"/>
      <c r="E135" s="157"/>
      <c r="F135" s="97">
        <f>F134*$B135</f>
        <v>108082.840635</v>
      </c>
      <c r="G135" s="98">
        <v>0</v>
      </c>
      <c r="H135" s="99">
        <f>SUM(F135:G135)</f>
        <v>108082.840635</v>
      </c>
      <c r="I135" s="155"/>
      <c r="J135" s="156"/>
      <c r="K135" s="156"/>
      <c r="L135" s="97">
        <f>L134*$B135</f>
        <v>216923.30324770001</v>
      </c>
      <c r="M135" s="98">
        <v>0</v>
      </c>
      <c r="N135" s="99">
        <f>SUM(L135:M135)</f>
        <v>216923.30324770001</v>
      </c>
      <c r="O135" s="155"/>
      <c r="P135" s="156"/>
      <c r="Q135" s="156"/>
      <c r="R135" s="97">
        <f>R134*$B135</f>
        <v>182136.15114768498</v>
      </c>
      <c r="S135" s="98">
        <v>0</v>
      </c>
      <c r="T135" s="99">
        <f>SUM(R135:S135)</f>
        <v>182136.15114768498</v>
      </c>
      <c r="U135" s="155"/>
      <c r="V135" s="156"/>
      <c r="W135" s="156"/>
      <c r="X135" s="97">
        <f>X134*$B135</f>
        <v>86062.34011290237</v>
      </c>
      <c r="Y135" s="98">
        <v>0</v>
      </c>
      <c r="Z135" s="99">
        <f>SUM(X135:Y135)</f>
        <v>86062.34011290237</v>
      </c>
      <c r="AA135" s="100">
        <f t="shared" si="338"/>
        <v>593204.63514328736</v>
      </c>
      <c r="AB135" s="98">
        <f t="shared" si="338"/>
        <v>0</v>
      </c>
      <c r="AC135" s="100">
        <f>SUM(AA135:AB135)</f>
        <v>593204.63514328736</v>
      </c>
    </row>
    <row r="136" spans="1:29" ht="12.9" thickBot="1">
      <c r="A136" s="229" t="s">
        <v>7</v>
      </c>
      <c r="B136" s="158"/>
      <c r="C136" s="159"/>
      <c r="D136" s="159"/>
      <c r="E136" s="160"/>
      <c r="F136" s="244">
        <f>SUM(F134:F135)</f>
        <v>490271.10313499998</v>
      </c>
      <c r="G136" s="245">
        <f t="shared" ref="G136:Z136" si="339">SUM(G134:G135)</f>
        <v>40000</v>
      </c>
      <c r="H136" s="246">
        <f t="shared" si="339"/>
        <v>530271.10313499998</v>
      </c>
      <c r="I136" s="158"/>
      <c r="J136" s="159"/>
      <c r="K136" s="159"/>
      <c r="L136" s="244">
        <f t="shared" si="339"/>
        <v>983978.83099769999</v>
      </c>
      <c r="M136" s="245">
        <f t="shared" si="339"/>
        <v>78250</v>
      </c>
      <c r="N136" s="246">
        <f t="shared" si="339"/>
        <v>1062228.8309977001</v>
      </c>
      <c r="O136" s="158"/>
      <c r="P136" s="159"/>
      <c r="Q136" s="159"/>
      <c r="R136" s="244">
        <f>SUM(R134:R135)</f>
        <v>826181.94728518499</v>
      </c>
      <c r="S136" s="245">
        <f t="shared" si="339"/>
        <v>19750</v>
      </c>
      <c r="T136" s="246">
        <f t="shared" si="339"/>
        <v>845931.94728518499</v>
      </c>
      <c r="U136" s="158"/>
      <c r="V136" s="159"/>
      <c r="W136" s="159"/>
      <c r="X136" s="244">
        <f t="shared" si="339"/>
        <v>390384.61773985554</v>
      </c>
      <c r="Y136" s="245">
        <f t="shared" si="339"/>
        <v>13500</v>
      </c>
      <c r="Z136" s="246">
        <f t="shared" si="339"/>
        <v>403884.61773985554</v>
      </c>
      <c r="AA136" s="101">
        <f t="shared" si="338"/>
        <v>2690816.4991577403</v>
      </c>
      <c r="AB136" s="245">
        <f t="shared" si="338"/>
        <v>151500</v>
      </c>
      <c r="AC136" s="101">
        <f>SUM(AA136:AB136)</f>
        <v>2842316.4991577403</v>
      </c>
    </row>
    <row r="137" spans="1:29">
      <c r="F137" s="36"/>
      <c r="G137" s="36"/>
      <c r="H137" s="36"/>
      <c r="L137" s="36"/>
      <c r="M137" s="36"/>
      <c r="N137" s="36"/>
      <c r="R137" s="36"/>
      <c r="S137" s="36"/>
      <c r="T137" s="36"/>
      <c r="X137" s="36"/>
      <c r="Y137" s="36"/>
      <c r="Z137" s="36"/>
      <c r="AA137" s="235"/>
      <c r="AB137" s="36"/>
      <c r="AC137" s="36"/>
    </row>
    <row r="138" spans="1:29">
      <c r="F138" s="36"/>
      <c r="G138" s="36"/>
      <c r="H138" s="36"/>
      <c r="L138" s="36"/>
      <c r="M138" s="36"/>
      <c r="N138" s="36"/>
      <c r="R138" s="36"/>
      <c r="S138" s="36"/>
      <c r="T138" s="36"/>
      <c r="X138" s="36"/>
      <c r="Y138" s="36"/>
      <c r="Z138" s="36"/>
      <c r="AA138" s="36"/>
      <c r="AB138" s="36"/>
    </row>
  </sheetData>
  <mergeCells count="5">
    <mergeCell ref="O11:T11"/>
    <mergeCell ref="B1:AC1"/>
    <mergeCell ref="B2:AC2"/>
    <mergeCell ref="B3:AC3"/>
    <mergeCell ref="B4:AC4"/>
  </mergeCells>
  <phoneticPr fontId="6" type="noConversion"/>
  <pageMargins left="0.5" right="0.34" top="0.63" bottom="0.41" header="0.5" footer="0.5"/>
  <pageSetup paperSize="17" scale="50" fitToHeight="2" orientation="landscape" r:id="rId1"/>
  <headerFooter alignWithMargins="0"/>
  <ignoredErrors>
    <ignoredError sqref="H134 N134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B69EC06F-D666-4BD8-958B-374EE4D434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28FA403-D85C-47F3-BE32-D0B6924A61A1}"/>
</file>

<file path=customXml/itemProps3.xml><?xml version="1.0" encoding="utf-8"?>
<ds:datastoreItem xmlns:ds="http://schemas.openxmlformats.org/officeDocument/2006/customXml" ds:itemID="{9AA062DA-8B62-4BA9-8C72-E2D6C7D3E80D}">
  <ds:schemaRefs>
    <ds:schemaRef ds:uri="597598ab-7ee7-4757-b451-9ff4de768c87"/>
    <ds:schemaRef ds:uri="http://purl.org/dc/elements/1.1/"/>
    <ds:schemaRef ds:uri="fa8df16a-2d46-4280-8ec6-fe1bcfa472a6"/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Budget Summary</vt:lpstr>
      <vt:lpstr>Budget</vt:lpstr>
      <vt:lpstr>Budget!Print_Area</vt:lpstr>
      <vt:lpstr>'Budget Summary'!Print_Area</vt:lpstr>
    </vt:vector>
  </TitlesOfParts>
  <Manager/>
  <Company>POA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POA USER</dc:creator>
  <cp:keywords/>
  <dc:description/>
  <cp:lastModifiedBy>Danielle Martin</cp:lastModifiedBy>
  <cp:revision/>
  <dcterms:created xsi:type="dcterms:W3CDTF">2008-05-05T21:17:49Z</dcterms:created>
  <dcterms:modified xsi:type="dcterms:W3CDTF">2023-07-24T11:45:09Z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7450200</vt:r8>
  </property>
  <property fmtid="{D5CDD505-2E9C-101B-9397-08002B2CF9AE}" pid="3" name="ContentTypeId">
    <vt:lpwstr>0x0101003206C8355D678A459F2EF8957171B231</vt:lpwstr>
  </property>
  <property fmtid="{D5CDD505-2E9C-101B-9397-08002B2CF9AE}" pid="4" name="WorkbookGuid">
    <vt:lpwstr>81c244d2-920e-47a5-9d96-672fb778abcb</vt:lpwstr>
  </property>
  <property fmtid="{D5CDD505-2E9C-101B-9397-08002B2CF9AE}" pid="5" name="MediaServiceImageTags">
    <vt:lpwstr/>
  </property>
</Properties>
</file>