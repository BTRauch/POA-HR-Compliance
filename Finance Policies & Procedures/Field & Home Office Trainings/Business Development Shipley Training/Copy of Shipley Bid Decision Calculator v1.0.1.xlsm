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workbookPr/>
  <mc:AlternateContent xmlns:mc="http://schemas.openxmlformats.org/markup-compatibility/2006">
    <mc:Choice Requires="x15">
      <x15ac:absPath xmlns:x15ac="http://schemas.microsoft.com/office/spreadsheetml/2010/11/ac" url="https://shipleyassociates-my.sharepoint.com/personal/egregory_shipleywins_com/Documents/Documents/Shipley/S&amp;K/Extras/"/>
    </mc:Choice>
  </mc:AlternateContent>
  <xr:revisionPtr revIDLastSave="0" documentId="8_{2206A397-7AB9-4DFE-B303-F4EF4ACFE6A7}" xr6:coauthVersionLast="47" xr6:coauthVersionMax="47" xr10:uidLastSave="{00000000-0000-0000-0000-000000000000}"/>
  <workbookProtection lockStructure="1"/>
  <bookViews>
    <workbookView xWindow="1042" yWindow="1042" windowWidth="17280" windowHeight="10073" tabRatio="575" xr2:uid="{00000000-000D-0000-FFFF-FFFF00000000}"/>
  </bookViews>
  <sheets>
    <sheet name="Bid Decision Calculator" sheetId="1" r:id="rId1"/>
    <sheet name="Decision Parameters" sheetId="2" r:id="rId2"/>
  </sheets>
  <definedNames>
    <definedName name="_xlnm.Print_Area" localSheetId="0">'Bid Decision Calculator'!$A$13:$E$31</definedName>
    <definedName name="_xlnm.Print_Titles" localSheetId="0">'Bid Decision Calculator'!$13:$16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28" i="1" l="1"/>
  <c r="D29" i="1"/>
  <c r="A21" i="1"/>
  <c r="A22" i="1"/>
  <c r="G16" i="1"/>
  <c r="G17" i="1"/>
  <c r="G18" i="1"/>
  <c r="G19" i="1"/>
  <c r="G21" i="1"/>
  <c r="G22" i="1"/>
  <c r="G23" i="1"/>
  <c r="G24" i="1"/>
  <c r="G26" i="1"/>
  <c r="G27" i="1"/>
  <c r="G28" i="1"/>
  <c r="G29" i="1"/>
  <c r="G31" i="1"/>
  <c r="G32" i="1"/>
  <c r="G33" i="1"/>
  <c r="G34" i="1"/>
  <c r="G36" i="1"/>
  <c r="G37" i="1"/>
  <c r="G38" i="1"/>
  <c r="G39" i="1"/>
  <c r="G41" i="1"/>
  <c r="G42" i="1"/>
  <c r="G43" i="1"/>
  <c r="G44" i="1"/>
  <c r="G46" i="1"/>
  <c r="G47" i="1"/>
  <c r="G48" i="1"/>
  <c r="G49" i="1"/>
  <c r="G51" i="1"/>
  <c r="G52" i="1"/>
  <c r="G53" i="1"/>
  <c r="G54" i="1"/>
  <c r="G56" i="1"/>
  <c r="G57" i="1"/>
  <c r="G58" i="1"/>
  <c r="G59" i="1"/>
  <c r="G61" i="1"/>
  <c r="G62" i="1"/>
  <c r="G63" i="1"/>
  <c r="G64" i="1"/>
  <c r="G66" i="1"/>
  <c r="G67" i="1"/>
  <c r="G68" i="1"/>
  <c r="G69" i="1"/>
  <c r="G71" i="1"/>
  <c r="G72" i="1"/>
  <c r="G73" i="1"/>
  <c r="G74" i="1"/>
  <c r="G76" i="1"/>
  <c r="G77" i="1"/>
  <c r="G78" i="1"/>
  <c r="G79" i="1"/>
  <c r="A27" i="1"/>
  <c r="I18" i="1"/>
  <c r="I16" i="1"/>
  <c r="I17" i="1"/>
  <c r="D19" i="1" l="1"/>
  <c r="D17" i="1"/>
  <c r="E17" i="1" s="1"/>
  <c r="D20" i="1"/>
  <c r="D18" i="1"/>
  <c r="D23" i="1"/>
  <c r="E23" i="1" s="1"/>
  <c r="D21" i="1"/>
  <c r="E21" i="1" s="1"/>
  <c r="D26" i="1"/>
  <c r="E26" i="1" s="1"/>
  <c r="D24" i="1"/>
  <c r="E24" i="1" s="1"/>
  <c r="D22" i="1"/>
  <c r="E22" i="1" s="1"/>
  <c r="D27" i="1"/>
  <c r="E27" i="1" s="1"/>
  <c r="D25" i="1"/>
  <c r="E25" i="1" s="1"/>
  <c r="E20" i="1"/>
  <c r="E19" i="1"/>
  <c r="E18" i="1"/>
  <c r="E29" i="1"/>
  <c r="E28" i="1"/>
  <c r="A28" i="1"/>
  <c r="A26" i="1"/>
  <c r="A25" i="1"/>
  <c r="A24" i="1"/>
  <c r="A23" i="1"/>
  <c r="A29" i="1"/>
  <c r="A20" i="1"/>
  <c r="A19" i="1"/>
  <c r="A18" i="1"/>
  <c r="A17" i="1"/>
  <c r="E3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P. Humm</author>
    <author>David Wagner</author>
  </authors>
  <commentList>
    <comment ref="A16" authorId="0" shapeId="0" xr:uid="{00000000-0006-0000-0000-000001000000}">
      <text>
        <r>
          <rPr>
            <b/>
            <sz val="9"/>
            <color indexed="81"/>
            <rFont val="Arial"/>
            <family val="2"/>
          </rPr>
          <t>Decision Factor:</t>
        </r>
        <r>
          <rPr>
            <sz val="9"/>
            <color indexed="81"/>
            <rFont val="Arial"/>
            <family val="2"/>
          </rPr>
          <t xml:space="preserve">
Decision factors carry over from the Decision Parameters worksheet. You cannot enter them in this column.</t>
        </r>
      </text>
    </comment>
    <comment ref="B16" authorId="0" shapeId="0" xr:uid="{00000000-0006-0000-0000-000002000000}">
      <text>
        <r>
          <rPr>
            <b/>
            <sz val="9"/>
            <color indexed="81"/>
            <rFont val="Arial"/>
            <family val="2"/>
          </rPr>
          <t xml:space="preserve">Weight Increment:
</t>
        </r>
        <r>
          <rPr>
            <sz val="9"/>
            <color indexed="81"/>
            <rFont val="Arial"/>
            <family val="2"/>
          </rPr>
          <t xml:space="preserve">The default assumption is that all parameters are of equal importance in your organization's decision-making. If a factor is significantly more or less important than others, enter a weighting increment. Each positive increment is equivalent to a 10 percent higher importance. Each negative increment lowers the importance by 10 percent.
For example, an increment of +1 means the factor is 10 percent more important than average. An increment of 2.5 indicates 25 percent greater importance. Likewise, an increment of -3 signifies 30 percent lower importance.
</t>
        </r>
        <r>
          <rPr>
            <b/>
            <sz val="9"/>
            <color indexed="81"/>
            <rFont val="Arial"/>
            <family val="2"/>
          </rPr>
          <t>Hint:</t>
        </r>
        <r>
          <rPr>
            <sz val="9"/>
            <color indexed="81"/>
            <rFont val="Arial"/>
            <family val="2"/>
          </rPr>
          <t xml:space="preserve">
Rather than modifying the Decision Parameters if a particular factor does not apply to this opportunity, enter a weight increment of -10. That will reduce its contribution to the final score to zero.</t>
        </r>
      </text>
    </comment>
    <comment ref="C16" authorId="1" shapeId="0" xr:uid="{00000000-0006-0000-0000-000003000000}">
      <text>
        <r>
          <rPr>
            <b/>
            <sz val="9"/>
            <color indexed="81"/>
            <rFont val="Arial"/>
            <family val="2"/>
          </rPr>
          <t>Decision Factor Rating:</t>
        </r>
        <r>
          <rPr>
            <sz val="9"/>
            <color indexed="81"/>
            <rFont val="Arial"/>
            <family val="2"/>
          </rPr>
          <t xml:space="preserve">
Select a rating from the drop-down menu.
</t>
        </r>
        <r>
          <rPr>
            <b/>
            <sz val="9"/>
            <color indexed="81"/>
            <rFont val="Arial"/>
            <family val="2"/>
          </rPr>
          <t>Hint:</t>
        </r>
        <r>
          <rPr>
            <sz val="9"/>
            <color indexed="81"/>
            <rFont val="Arial"/>
            <family val="2"/>
          </rPr>
          <t xml:space="preserve">
If the rating options are not appropriate for your organization or the opportunity, modify them on the Decision Parameters worksheet.
</t>
        </r>
      </text>
    </comment>
    <comment ref="D16" authorId="1" shapeId="0" xr:uid="{00000000-0006-0000-0000-000004000000}">
      <text>
        <r>
          <rPr>
            <b/>
            <sz val="9"/>
            <color indexed="81"/>
            <rFont val="Arial"/>
            <family val="2"/>
          </rPr>
          <t>Points:</t>
        </r>
        <r>
          <rPr>
            <sz val="9"/>
            <color indexed="81"/>
            <rFont val="Arial"/>
            <family val="2"/>
          </rPr>
          <t xml:space="preserve">
Points are assigned automatically, based on decision factor ratings.</t>
        </r>
      </text>
    </comment>
    <comment ref="E16" authorId="1" shapeId="0" xr:uid="{00000000-0006-0000-0000-000005000000}">
      <text>
        <r>
          <rPr>
            <b/>
            <sz val="9"/>
            <color indexed="81"/>
            <rFont val="Arial"/>
            <family val="2"/>
          </rPr>
          <t xml:space="preserve">Score:
</t>
        </r>
        <r>
          <rPr>
            <sz val="9"/>
            <color indexed="81"/>
            <rFont val="Arial"/>
            <family val="2"/>
          </rPr>
          <t xml:space="preserve">Scores are calculated automatically, taking into account factor ratings,  weighting increments, and breakpoint values entered in the decision parameters worksheet.
Scores are indexed to the </t>
        </r>
        <r>
          <rPr>
            <i/>
            <sz val="9"/>
            <color indexed="81"/>
            <rFont val="Arial"/>
            <family val="2"/>
          </rPr>
          <t>abandon pursuit</t>
        </r>
        <r>
          <rPr>
            <sz val="9"/>
            <color indexed="81"/>
            <rFont val="Arial"/>
            <family val="2"/>
          </rPr>
          <t xml:space="preserve"> breakpoint. Point values below that breakpoint will generate negative scores.
Do not expect scores to exactly match their corresponding point values. Several things enter into the calculation.
</t>
        </r>
        <r>
          <rPr>
            <b/>
            <sz val="9"/>
            <color indexed="81"/>
            <rFont val="Arial"/>
            <family val="2"/>
          </rPr>
          <t xml:space="preserve">Hint:
</t>
        </r>
        <r>
          <rPr>
            <sz val="9"/>
            <color indexed="81"/>
            <rFont val="Arial"/>
            <family val="2"/>
          </rPr>
          <t xml:space="preserve">Scores contributing to the result turn gray. Blank scores have no impact on the pursuit recommendation.
</t>
        </r>
      </text>
    </comment>
    <comment ref="D30" authorId="1" shapeId="0" xr:uid="{00000000-0006-0000-0000-000006000000}">
      <text>
        <r>
          <rPr>
            <b/>
            <sz val="9"/>
            <color indexed="81"/>
            <rFont val="Arial"/>
            <family val="2"/>
          </rPr>
          <t>Result:</t>
        </r>
        <r>
          <rPr>
            <sz val="9"/>
            <color indexed="81"/>
            <rFont val="Arial"/>
            <family val="2"/>
          </rPr>
          <t xml:space="preserve">
Result is the average of non-zero scores. Factors for which ratings were not entered or a weighting increment of -10 was applied are not factored into calculation.
</t>
        </r>
        <r>
          <rPr>
            <b/>
            <sz val="9"/>
            <color indexed="81"/>
            <rFont val="Arial"/>
            <family val="2"/>
          </rPr>
          <t xml:space="preserve">Hint:
</t>
        </r>
        <r>
          <rPr>
            <sz val="9"/>
            <color indexed="81"/>
            <rFont val="Arial"/>
            <family val="2"/>
          </rPr>
          <t xml:space="preserve">The Result cell shades from </t>
        </r>
        <r>
          <rPr>
            <b/>
            <sz val="9"/>
            <color indexed="10"/>
            <rFont val="Arial"/>
            <family val="2"/>
          </rPr>
          <t>RED</t>
        </r>
        <r>
          <rPr>
            <b/>
            <sz val="9"/>
            <color indexed="8"/>
            <rFont val="Arial"/>
            <family val="2"/>
          </rPr>
          <t>,</t>
        </r>
        <r>
          <rPr>
            <sz val="9"/>
            <color indexed="81"/>
            <rFont val="Arial"/>
            <family val="2"/>
          </rPr>
          <t xml:space="preserve"> when abandonment of the opportunity is recommended, through </t>
        </r>
        <r>
          <rPr>
            <b/>
            <sz val="9"/>
            <color indexed="51"/>
            <rFont val="Arial"/>
            <family val="2"/>
          </rPr>
          <t>YELLOW</t>
        </r>
        <r>
          <rPr>
            <sz val="9"/>
            <color indexed="8"/>
            <rFont val="Arial"/>
            <family val="2"/>
          </rPr>
          <t xml:space="preserve">, </t>
        </r>
        <r>
          <rPr>
            <sz val="9"/>
            <color indexed="81"/>
            <rFont val="Arial"/>
            <family val="2"/>
          </rPr>
          <t xml:space="preserve">when pursuit indication is moderate, to </t>
        </r>
        <r>
          <rPr>
            <b/>
            <sz val="9"/>
            <color indexed="17"/>
            <rFont val="Arial"/>
            <family val="2"/>
          </rPr>
          <t>GREEN</t>
        </r>
        <r>
          <rPr>
            <sz val="9"/>
            <color indexed="17"/>
            <rFont val="Arial"/>
            <family val="2"/>
          </rPr>
          <t>,</t>
        </r>
        <r>
          <rPr>
            <sz val="9"/>
            <color indexed="81"/>
            <rFont val="Arial"/>
            <family val="2"/>
          </rPr>
          <t xml:space="preserve"> when pursuit recommendation is strong.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Wagner</author>
  </authors>
  <commentList>
    <comment ref="A10" authorId="0" shapeId="0" xr:uid="{00000000-0006-0000-0100-000001000000}">
      <text>
        <r>
          <rPr>
            <b/>
            <sz val="9"/>
            <color indexed="81"/>
            <rFont val="Arial"/>
            <family val="2"/>
          </rPr>
          <t>Decision Factors:</t>
        </r>
        <r>
          <rPr>
            <sz val="9"/>
            <color indexed="81"/>
            <rFont val="Arial"/>
            <family val="2"/>
          </rPr>
          <t xml:space="preserve">
Modify or enter factors that influence your organization's decisions to pursue business opportunities.
</t>
        </r>
        <r>
          <rPr>
            <b/>
            <sz val="9"/>
            <color indexed="81"/>
            <rFont val="Arial"/>
            <family val="2"/>
          </rPr>
          <t xml:space="preserve">Hint:
</t>
        </r>
        <r>
          <rPr>
            <sz val="9"/>
            <color indexed="81"/>
            <rFont val="Arial"/>
            <family val="2"/>
          </rPr>
          <t>Up to two additional factors can be added by replacing the "other" entries below.</t>
        </r>
      </text>
    </comment>
    <comment ref="B10" authorId="0" shapeId="0" xr:uid="{00000000-0006-0000-0100-000002000000}">
      <text>
        <r>
          <rPr>
            <b/>
            <sz val="9"/>
            <color indexed="81"/>
            <rFont val="Arial"/>
            <family val="2"/>
          </rPr>
          <t>Decision Factor Ratings:</t>
        </r>
        <r>
          <rPr>
            <sz val="9"/>
            <color indexed="81"/>
            <rFont val="Arial"/>
            <family val="2"/>
          </rPr>
          <t xml:space="preserve">
Use the existing ratings or substitute your own. Factors must be arranged in descending order, from those mostly strongly suggesting pursuit to those suggesting the opportunity should be abandoned.
</t>
        </r>
        <r>
          <rPr>
            <b/>
            <sz val="9"/>
            <color indexed="81"/>
            <rFont val="Arial"/>
            <family val="2"/>
          </rPr>
          <t xml:space="preserve">Hint:
</t>
        </r>
        <r>
          <rPr>
            <sz val="9"/>
            <color indexed="81"/>
            <rFont val="Arial"/>
            <family val="2"/>
          </rPr>
          <t xml:space="preserve">When "other" decision factors are added, four applicable ratings </t>
        </r>
        <r>
          <rPr>
            <b/>
            <sz val="9"/>
            <color indexed="81"/>
            <rFont val="Arial"/>
            <family val="2"/>
          </rPr>
          <t>must</t>
        </r>
        <r>
          <rPr>
            <sz val="9"/>
            <color indexed="81"/>
            <rFont val="Arial"/>
            <family val="2"/>
          </rPr>
          <t xml:space="preserve"> be created.</t>
        </r>
      </text>
    </comment>
    <comment ref="C10" authorId="0" shapeId="0" xr:uid="{00000000-0006-0000-0100-000003000000}">
      <text>
        <r>
          <rPr>
            <b/>
            <sz val="9"/>
            <color indexed="81"/>
            <rFont val="Arial"/>
            <family val="2"/>
          </rPr>
          <t>Points:</t>
        </r>
        <r>
          <rPr>
            <sz val="9"/>
            <color indexed="81"/>
            <rFont val="Arial"/>
            <family val="2"/>
          </rPr>
          <t xml:space="preserve">
This column cannot be modified.</t>
        </r>
      </text>
    </comment>
    <comment ref="D10" authorId="0" shapeId="0" xr:uid="{00000000-0006-0000-0100-000004000000}">
      <text>
        <r>
          <rPr>
            <b/>
            <sz val="9"/>
            <color indexed="81"/>
            <rFont val="Arial"/>
            <family val="2"/>
          </rPr>
          <t>Breakpoints:</t>
        </r>
        <r>
          <rPr>
            <sz val="9"/>
            <color indexed="81"/>
            <rFont val="Arial"/>
            <family val="2"/>
          </rPr>
          <t xml:space="preserve">
Values in the column to the right control color shading of the Result cell on the Bid Decision Calculator worksheet. These labels cannot be modified.</t>
        </r>
      </text>
    </comment>
    <comment ref="E10" authorId="0" shapeId="0" xr:uid="{00000000-0006-0000-0100-000005000000}">
      <text>
        <r>
          <rPr>
            <b/>
            <sz val="9"/>
            <color indexed="81"/>
            <rFont val="Arial"/>
            <family val="2"/>
          </rPr>
          <t xml:space="preserve">Values:
</t>
        </r>
        <r>
          <rPr>
            <sz val="9"/>
            <color indexed="81"/>
            <rFont val="Arial"/>
            <family val="2"/>
          </rPr>
          <t>Think carefully before changing these breakpoint values. The calculator treats ratings below the "abandon pursuit" level as negatives. When factors have high weighting increments, this prevents them from incorrectly raising the pursuit indication.</t>
        </r>
      </text>
    </comment>
  </commentList>
</comments>
</file>

<file path=xl/sharedStrings.xml><?xml version="1.0" encoding="utf-8"?>
<sst xmlns="http://schemas.openxmlformats.org/spreadsheetml/2006/main" count="101" uniqueCount="95">
  <si>
    <t>Score</t>
  </si>
  <si>
    <t>Points</t>
  </si>
  <si>
    <t>Bid Decision Calculator</t>
  </si>
  <si>
    <t>Decision Factors</t>
  </si>
  <si>
    <t>Pre-RFP Marketing</t>
  </si>
  <si>
    <t>Incumbency</t>
  </si>
  <si>
    <t>Experience</t>
  </si>
  <si>
    <t>Contract Risk</t>
  </si>
  <si>
    <t>Past Performance</t>
  </si>
  <si>
    <t>Opportunity:</t>
  </si>
  <si>
    <t>Anticipated Value:</t>
  </si>
  <si>
    <t>We had extensive pre-RFP contact and strongly influenced the requirements</t>
  </si>
  <si>
    <t>We provided background information for preparation of the RFP</t>
  </si>
  <si>
    <t>We met with the prospect prior to release of the RFP</t>
  </si>
  <si>
    <t xml:space="preserve">We learned of the opportunity after the RFP was issued </t>
  </si>
  <si>
    <t>The prospect shows evidence of a strong preference for us</t>
  </si>
  <si>
    <t>The prospect suggested we should bid</t>
  </si>
  <si>
    <t>The prospect is unbiased, with no preference for any company</t>
  </si>
  <si>
    <t>The prospect has a negative bias toward us which we must overcome</t>
  </si>
  <si>
    <t>The prospect has contracted with our bidding business unit before</t>
  </si>
  <si>
    <t>The prospect has contracted with business units other than the bidding unit</t>
  </si>
  <si>
    <t>The prospect is familiar with us only through work we have done for others</t>
  </si>
  <si>
    <t>The prospect is not familiar with us</t>
  </si>
  <si>
    <t>We have a unique, proprietary solution</t>
  </si>
  <si>
    <t>We have a solution  equivalent to other competitors</t>
  </si>
  <si>
    <t>We know the budget and have a strong cost advantage</t>
  </si>
  <si>
    <t xml:space="preserve">We have a slight cost advantage </t>
  </si>
  <si>
    <t>Cost is equivalent for all competitors</t>
  </si>
  <si>
    <t>We are a strong incumbent or can team with a strong incumbent</t>
  </si>
  <si>
    <t>We are an incumbent</t>
  </si>
  <si>
    <t>There is no incumbent</t>
  </si>
  <si>
    <t>A competitor is a strong incumbent</t>
  </si>
  <si>
    <t>We have sold the same or similar product/service to this customer in the past</t>
  </si>
  <si>
    <t>We will be selling an existing product/service to a new customer</t>
  </si>
  <si>
    <t>We will be selling a new product/service to an existing customer</t>
  </si>
  <si>
    <t>We will be selling a new product/service to a new customer</t>
  </si>
  <si>
    <t>We provided outstanding services in an earlier phase leading to this procurement</t>
  </si>
  <si>
    <t>We provided services in an earlier phase with moderate success</t>
  </si>
  <si>
    <t>A competitor provided services in an earlier phase with moderate success</t>
  </si>
  <si>
    <t>A competitor provided service in an earlier phase with outstanding results</t>
  </si>
  <si>
    <t>Decision Parameters</t>
  </si>
  <si>
    <t>Decision Factor Ratings (Modify to Meet Organizational Criteria)</t>
  </si>
  <si>
    <t>Other</t>
  </si>
  <si>
    <t>Rating increasing pursuit indication the most.</t>
  </si>
  <si>
    <t>Rating decreasing pursuit indication</t>
  </si>
  <si>
    <t>Rating making pursuit unwise</t>
  </si>
  <si>
    <t>Decision Factor</t>
  </si>
  <si>
    <t>Worksheet Instructions:</t>
  </si>
  <si>
    <t>Breakpoints</t>
  </si>
  <si>
    <t>Strong pursuit</t>
  </si>
  <si>
    <t>Moderate pursuit</t>
  </si>
  <si>
    <t>Abandon pursuit</t>
  </si>
  <si>
    <t>Values</t>
  </si>
  <si>
    <t>Prospect's Preference</t>
  </si>
  <si>
    <t>Prospect's Knowledge of Us</t>
  </si>
  <si>
    <t>Decision Parameters Instructions:</t>
  </si>
  <si>
    <t>Risk is moderate; perhaps with a performance bond but no liquidated damages</t>
  </si>
  <si>
    <t>Risk is high with very attractive rewards</t>
  </si>
  <si>
    <t>Risk is high with only moderate or poor rewards</t>
  </si>
  <si>
    <t>Risk is ordinary for our industry with no special considerations or liabilities</t>
  </si>
  <si>
    <t xml:space="preserve">Result  </t>
  </si>
  <si>
    <t>Wt. Inc.</t>
  </si>
  <si>
    <t>3.  Hover over table headings to view pop-up help.</t>
  </si>
  <si>
    <t>4.  Completed chart may be printed or saved.</t>
  </si>
  <si>
    <t>6.  Chart can be copied and pasted onto a PowerPoint slide.</t>
  </si>
  <si>
    <t>7.  Calculated scores appear in gray-shaded cells.</t>
  </si>
  <si>
    <r>
      <t xml:space="preserve">8.  Strong pursuit indication will shade Result cell </t>
    </r>
    <r>
      <rPr>
        <b/>
        <sz val="9"/>
        <color rgb="FF008000"/>
        <rFont val="Arial"/>
        <family val="2"/>
      </rPr>
      <t>GREEN</t>
    </r>
    <r>
      <rPr>
        <sz val="9"/>
        <color rgb="FF008000"/>
        <rFont val="Arial"/>
        <family val="2"/>
      </rPr>
      <t>.</t>
    </r>
    <r>
      <rPr>
        <sz val="9"/>
        <color rgb="FFFF0000"/>
        <rFont val="Arial"/>
        <family val="2"/>
      </rPr>
      <t xml:space="preserve"> Moderate indication will show </t>
    </r>
    <r>
      <rPr>
        <b/>
        <sz val="9"/>
        <color rgb="FFFFCC00"/>
        <rFont val="Arial"/>
        <family val="2"/>
      </rPr>
      <t>YELLOW</t>
    </r>
    <r>
      <rPr>
        <sz val="9"/>
        <color rgb="FFFF0000"/>
        <rFont val="Arial"/>
        <family val="2"/>
      </rPr>
      <t xml:space="preserve">, recommended abandonment </t>
    </r>
    <r>
      <rPr>
        <b/>
        <sz val="9"/>
        <color rgb="FFFF0000"/>
        <rFont val="Arial"/>
        <family val="2"/>
      </rPr>
      <t>RED</t>
    </r>
    <r>
      <rPr>
        <sz val="9"/>
        <color rgb="FFFF0000"/>
        <rFont val="Arial"/>
        <family val="2"/>
      </rPr>
      <t>.</t>
    </r>
  </si>
  <si>
    <t>Key:  4 = Strong Pursuit    3 = Moderate Pursuit    2 = Moderate Avoidance    1 = Strong Avoidance</t>
  </si>
  <si>
    <r>
      <rPr>
        <b/>
        <sz val="11"/>
        <color rgb="FFFF0000"/>
        <rFont val="Arial"/>
        <family val="2"/>
      </rPr>
      <t xml:space="preserve">NOTICE: </t>
    </r>
    <r>
      <rPr>
        <b/>
        <sz val="9"/>
        <color rgb="FFFF0000"/>
        <rFont val="Arial"/>
        <family val="2"/>
      </rPr>
      <t xml:space="preserve"> </t>
    </r>
    <r>
      <rPr>
        <sz val="9"/>
        <color rgb="FFFF0000"/>
        <rFont val="Arial"/>
        <family val="2"/>
      </rPr>
      <t>This Bid Decision Calculator is intended solely as an aid in evaluating the advisability of pursuing business opportunities and should be used in conjunction with other means of research and analysis. Use of this tool is subject to legal notices distributed with it or available from Shipley Associates.  Shipley Associates expressly denies and user provides unconditional release from any liability for damages or loss of business purportedly arising from its use.</t>
    </r>
  </si>
  <si>
    <t>1.  Enter information and view result in the Bid Decision Calculator on this worksheet.</t>
  </si>
  <si>
    <t>2.  Customize the tool for your organization's decision-making preferences on the Decision Parameters worksheet.</t>
  </si>
  <si>
    <t>Rating increasing pursuit indication moderately</t>
  </si>
  <si>
    <t>Decision Factor Rating (Select One)</t>
  </si>
  <si>
    <t>Contract Size</t>
  </si>
  <si>
    <t>Technical</t>
  </si>
  <si>
    <t xml:space="preserve">Cost </t>
  </si>
  <si>
    <t>Management</t>
  </si>
  <si>
    <t>We have a unique, proven management approach the customer will value</t>
  </si>
  <si>
    <t>We can offer a management solution better than most competitors</t>
  </si>
  <si>
    <t>Competitors have unique management solutions the customer will value</t>
  </si>
  <si>
    <t>Competitors have solution advantages we can overcome</t>
  </si>
  <si>
    <t>Competitors have unique, proprietary solutions</t>
  </si>
  <si>
    <t>Competitors have management advantages we can overcome</t>
  </si>
  <si>
    <t>Competitors have cost advantages</t>
  </si>
  <si>
    <t>1.  Hover over column headings for pop-up help.</t>
  </si>
  <si>
    <t>2.  Modify or enter decision factors only in gray-shaded cells.</t>
  </si>
  <si>
    <t>3.  Modify decision factor ratings to match organizational criteria, with most favorable rating on top, least favorable on bottom.</t>
  </si>
  <si>
    <t>5.  The Points column cannot be modified.</t>
  </si>
  <si>
    <t>6.  Change breakpoint values based on organizational aggressiveness. Lowering breakpoint values will encourage pursuit of less favorable opportunities.</t>
  </si>
  <si>
    <t>Contract size is larger than typical contract but within our capabilities</t>
  </si>
  <si>
    <t>Contract size is beyond our capabilities but justified by strategic importance of contract</t>
  </si>
  <si>
    <t>Contract size is typical for our industry and organization</t>
  </si>
  <si>
    <t>Contract size will challenge our organization to deliver or impose delivery risk</t>
  </si>
  <si>
    <t>4.  If other decision factors are entered, four ratings must be defined for each, with most favorable rating on top, least favorable on bottom.</t>
  </si>
  <si>
    <t>5.  Worksheet Instructions will not print on completed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</si>
</sst>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quot;&quot;"/>
    <numFmt numFmtId="165" formatCode="0;;"/>
    <numFmt numFmtId="166" formatCode="#,##0.00;;"/>
    <numFmt numFmtId="167" formatCode="0.0"/>
    <numFmt numFmtId="168" formatCode="#,##0.00;\-#,##0.00;"/>
  </numFmts>
  <fonts count="37" x14ac:knownFonts="1">
    <font>
      <sz val="10"/>
      <name val="Arial"/>
    </font>
    <font>
      <b/>
      <sz val="10"/>
      <name val="Arial"/>
      <family val="2"/>
    </font>
    <font>
      <sz val="10"/>
      <name val="Arial"/>
      <family val="2"/>
    </font>
    <font>
      <b/>
      <sz val="20"/>
      <color indexed="47"/>
      <name val="Arial"/>
      <family val="2"/>
    </font>
    <font>
      <b/>
      <sz val="9"/>
      <color indexed="81"/>
      <name val="Arial"/>
      <family val="2"/>
    </font>
    <font>
      <sz val="9"/>
      <color indexed="81"/>
      <name val="Arial"/>
      <family val="2"/>
    </font>
    <font>
      <sz val="9"/>
      <color indexed="10"/>
      <name val="Arial"/>
    </font>
    <font>
      <b/>
      <sz val="20"/>
      <color rgb="FF283756"/>
      <name val="Arial"/>
      <family val="2"/>
    </font>
    <font>
      <b/>
      <sz val="20"/>
      <color theme="3"/>
      <name val="Arial"/>
      <family val="2"/>
    </font>
    <font>
      <b/>
      <sz val="9"/>
      <color theme="3"/>
      <name val="Arial"/>
      <family val="2"/>
    </font>
    <font>
      <b/>
      <sz val="9"/>
      <color rgb="FF283756"/>
      <name val="Arial"/>
      <family val="2"/>
    </font>
    <font>
      <sz val="9"/>
      <name val="Arial"/>
      <family val="2"/>
    </font>
    <font>
      <b/>
      <sz val="9"/>
      <color indexed="47"/>
      <name val="Arial"/>
      <family val="2"/>
    </font>
    <font>
      <sz val="9"/>
      <color indexed="10"/>
      <name val="Arial"/>
      <family val="2"/>
    </font>
    <font>
      <b/>
      <sz val="9"/>
      <color indexed="9"/>
      <name val="Arial"/>
      <family val="2"/>
    </font>
    <font>
      <b/>
      <sz val="9"/>
      <name val="Arial"/>
      <family val="2"/>
    </font>
    <font>
      <b/>
      <sz val="9"/>
      <color indexed="10"/>
      <name val="Arial"/>
      <family val="2"/>
    </font>
    <font>
      <b/>
      <sz val="9"/>
      <color indexed="8"/>
      <name val="Arial"/>
      <family val="2"/>
    </font>
    <font>
      <b/>
      <sz val="9"/>
      <color theme="0"/>
      <name val="Arial"/>
      <family val="2"/>
    </font>
    <font>
      <sz val="10"/>
      <color rgb="FFFF0000"/>
      <name val="Arial"/>
      <family val="2"/>
    </font>
    <font>
      <b/>
      <sz val="10"/>
      <color rgb="FFFF0000"/>
      <name val="Arial"/>
      <family val="2"/>
    </font>
    <font>
      <b/>
      <sz val="9"/>
      <color rgb="FFFF0000"/>
      <name val="Arial"/>
      <family val="2"/>
    </font>
    <font>
      <sz val="9"/>
      <color rgb="FFFF0000"/>
      <name val="Arial"/>
      <family val="2"/>
    </font>
    <font>
      <b/>
      <sz val="9"/>
      <color rgb="FFFFCC00"/>
      <name val="Arial"/>
      <family val="2"/>
    </font>
    <font>
      <b/>
      <sz val="9"/>
      <color rgb="FF008000"/>
      <name val="Arial"/>
      <family val="2"/>
    </font>
    <font>
      <sz val="9"/>
      <color rgb="FF008000"/>
      <name val="Arial"/>
      <family val="2"/>
    </font>
    <font>
      <b/>
      <sz val="9"/>
      <color indexed="17"/>
      <name val="Arial"/>
      <family val="2"/>
    </font>
    <font>
      <sz val="9"/>
      <color indexed="17"/>
      <name val="Arial"/>
      <family val="2"/>
    </font>
    <font>
      <b/>
      <sz val="9"/>
      <color indexed="51"/>
      <name val="Arial"/>
      <family val="2"/>
    </font>
    <font>
      <sz val="9"/>
      <color indexed="8"/>
      <name val="Arial"/>
      <family val="2"/>
    </font>
    <font>
      <b/>
      <sz val="20"/>
      <color theme="3" tint="-0.499984740745262"/>
      <name val="Arial"/>
      <family val="2"/>
    </font>
    <font>
      <b/>
      <sz val="20"/>
      <color rgb="FF1F497D"/>
      <name val="Arial"/>
      <family val="2"/>
    </font>
    <font>
      <b/>
      <sz val="12"/>
      <color rgb="FF1F497D"/>
      <name val="Arial"/>
      <family val="2"/>
    </font>
    <font>
      <b/>
      <sz val="12"/>
      <color theme="0"/>
      <name val="Arial"/>
      <family val="2"/>
    </font>
    <font>
      <b/>
      <sz val="9"/>
      <color rgb="FF1F497D"/>
      <name val="Arial"/>
      <family val="2"/>
    </font>
    <font>
      <b/>
      <sz val="11"/>
      <color rgb="FFFF0000"/>
      <name val="Arial"/>
      <family val="2"/>
    </font>
    <font>
      <i/>
      <sz val="9"/>
      <color indexed="81"/>
      <name val="Arial"/>
      <family val="2"/>
    </font>
  </fonts>
  <fills count="5">
    <fill>
      <patternFill patternType="none"/>
    </fill>
    <fill>
      <patternFill patternType="gray125"/>
    </fill>
    <fill>
      <patternFill patternType="solid">
        <fgColor indexed="45"/>
        <bgColor indexed="64"/>
      </patternFill>
    </fill>
    <fill>
      <patternFill patternType="solid">
        <fgColor rgb="FFFF0000"/>
        <bgColor indexed="64"/>
      </patternFill>
    </fill>
    <fill>
      <patternFill patternType="solid">
        <fgColor rgb="FFBFC0C5"/>
        <bgColor indexed="64"/>
      </patternFill>
    </fill>
  </fills>
  <borders count="19">
    <border>
      <left/>
      <right/>
      <top/>
      <bottom/>
      <diagonal/>
    </border>
    <border>
      <left style="thin">
        <color rgb="FFBFC0C5"/>
      </left>
      <right style="thin">
        <color rgb="FFBFC0C5"/>
      </right>
      <top style="thin">
        <color rgb="FFBFC0C5"/>
      </top>
      <bottom style="thin">
        <color rgb="FFBFC0C5"/>
      </bottom>
      <diagonal/>
    </border>
    <border>
      <left style="thin">
        <color rgb="FFBFC0C5"/>
      </left>
      <right style="thin">
        <color rgb="FFBFC0C5"/>
      </right>
      <top/>
      <bottom style="thin">
        <color rgb="FFBFC0C5"/>
      </bottom>
      <diagonal/>
    </border>
    <border>
      <left style="thin">
        <color rgb="FFBFC0C5"/>
      </left>
      <right style="thin">
        <color rgb="FFBFC0C5"/>
      </right>
      <top style="thin">
        <color rgb="FFBFC0C5"/>
      </top>
      <bottom style="thin">
        <color rgb="FF4D6BA6"/>
      </bottom>
      <diagonal/>
    </border>
    <border>
      <left style="thin">
        <color rgb="FFBFC0C5"/>
      </left>
      <right style="thin">
        <color rgb="FFBFC0C5"/>
      </right>
      <top style="thin">
        <color rgb="FF4D6BA6"/>
      </top>
      <bottom style="thin">
        <color rgb="FF4D6BA6"/>
      </bottom>
      <diagonal/>
    </border>
    <border>
      <left style="thin">
        <color rgb="FFBFC0C5"/>
      </left>
      <right style="thin">
        <color rgb="FF4D6BA6"/>
      </right>
      <top style="thin">
        <color rgb="FF4D6BA6"/>
      </top>
      <bottom style="thin">
        <color rgb="FF4D6BA6"/>
      </bottom>
      <diagonal/>
    </border>
    <border>
      <left style="thin">
        <color rgb="FF4D6BA6"/>
      </left>
      <right style="thin">
        <color rgb="FFBFC0C5"/>
      </right>
      <top style="thin">
        <color rgb="FF4D6BA6"/>
      </top>
      <bottom style="thin">
        <color rgb="FF4D6BA6"/>
      </bottom>
      <diagonal/>
    </border>
    <border>
      <left style="thin">
        <color rgb="FFBFC0C5"/>
      </left>
      <right style="thin">
        <color rgb="FFBFC0C5"/>
      </right>
      <top style="thin">
        <color rgb="FFBFC0C5"/>
      </top>
      <bottom/>
      <diagonal/>
    </border>
    <border>
      <left style="thin">
        <color rgb="FFBFC0C5"/>
      </left>
      <right/>
      <top style="thin">
        <color rgb="FFBFC0C5"/>
      </top>
      <bottom style="thin">
        <color rgb="FFBFC0C5"/>
      </bottom>
      <diagonal/>
    </border>
    <border>
      <left/>
      <right style="thin">
        <color rgb="FFBFC0C5"/>
      </right>
      <top style="thin">
        <color rgb="FFBFC0C5"/>
      </top>
      <bottom style="thin">
        <color rgb="FFBFC0C5"/>
      </bottom>
      <diagonal/>
    </border>
    <border>
      <left/>
      <right/>
      <top style="thin">
        <color rgb="FFBFC0C5"/>
      </top>
      <bottom style="thin">
        <color rgb="FFBFC0C5"/>
      </bottom>
      <diagonal/>
    </border>
    <border>
      <left/>
      <right style="thin">
        <color rgb="FFBFC0C5"/>
      </right>
      <top/>
      <bottom/>
      <diagonal/>
    </border>
    <border>
      <left style="thin">
        <color rgb="FFBFC0C5"/>
      </left>
      <right style="thin">
        <color rgb="FFBFC0C5"/>
      </right>
      <top/>
      <bottom/>
      <diagonal/>
    </border>
    <border>
      <left style="thin">
        <color rgb="FFBFC0C5"/>
      </left>
      <right/>
      <top/>
      <bottom/>
      <diagonal/>
    </border>
    <border>
      <left/>
      <right/>
      <top/>
      <bottom style="thin">
        <color rgb="FFBFC0C5"/>
      </bottom>
      <diagonal/>
    </border>
    <border>
      <left style="thin">
        <color rgb="FFBFC0C5"/>
      </left>
      <right/>
      <top style="thin">
        <color rgb="FFBFC0C5"/>
      </top>
      <bottom style="thin">
        <color rgb="FF4D6BA6"/>
      </bottom>
      <diagonal/>
    </border>
    <border>
      <left/>
      <right/>
      <top style="thin">
        <color rgb="FFBFC0C5"/>
      </top>
      <bottom style="thin">
        <color rgb="FF4D6BA6"/>
      </bottom>
      <diagonal/>
    </border>
    <border>
      <left/>
      <right style="thin">
        <color rgb="FFBFC0C5"/>
      </right>
      <top style="thin">
        <color rgb="FFBFC0C5"/>
      </top>
      <bottom style="thin">
        <color rgb="FF4D6BA6"/>
      </bottom>
      <diagonal/>
    </border>
    <border>
      <left/>
      <right/>
      <top style="thin">
        <color rgb="FFBFC0C5"/>
      </top>
      <bottom/>
      <diagonal/>
    </border>
  </borders>
  <cellStyleXfs count="1">
    <xf numFmtId="0" fontId="0" fillId="0" borderId="0"/>
  </cellStyleXfs>
  <cellXfs count="106">
    <xf numFmtId="0" fontId="0" fillId="0" borderId="0" xfId="0"/>
    <xf numFmtId="0" fontId="0" fillId="0" borderId="0" xfId="0" applyProtection="1"/>
    <xf numFmtId="0" fontId="1" fillId="0" borderId="0" xfId="0" applyFont="1" applyProtection="1"/>
    <xf numFmtId="0" fontId="0" fillId="0" borderId="0" xfId="0" applyFill="1" applyAlignment="1" applyProtection="1">
      <alignment horizontal="center"/>
    </xf>
    <xf numFmtId="0" fontId="1" fillId="0" borderId="0" xfId="0" applyFont="1" applyAlignment="1" applyProtection="1">
      <alignment horizontal="center" vertical="center"/>
    </xf>
    <xf numFmtId="0" fontId="11" fillId="0" borderId="0" xfId="0" applyFont="1" applyProtection="1"/>
    <xf numFmtId="0" fontId="11" fillId="0" borderId="0" xfId="0" applyFont="1" applyFill="1" applyAlignment="1" applyProtection="1">
      <alignment horizontal="center"/>
    </xf>
    <xf numFmtId="0" fontId="11" fillId="0" borderId="0" xfId="0" applyFont="1" applyFill="1" applyBorder="1" applyAlignment="1" applyProtection="1">
      <alignment horizontal="center"/>
    </xf>
    <xf numFmtId="0" fontId="13" fillId="0" borderId="0" xfId="0" applyFont="1" applyBorder="1" applyAlignment="1" applyProtection="1">
      <alignment horizontal="left" vertical="top" wrapText="1"/>
    </xf>
    <xf numFmtId="0" fontId="15" fillId="0" borderId="0" xfId="0" applyFont="1" applyAlignment="1" applyProtection="1">
      <alignment horizontal="center" vertical="center"/>
    </xf>
    <xf numFmtId="0" fontId="16" fillId="0" borderId="0" xfId="0" applyFont="1" applyAlignment="1" applyProtection="1">
      <alignment horizontal="left" indent="2"/>
    </xf>
    <xf numFmtId="0" fontId="13" fillId="0" borderId="0" xfId="0" applyFont="1" applyProtection="1"/>
    <xf numFmtId="0" fontId="15" fillId="0" borderId="0" xfId="0" applyFont="1" applyProtection="1"/>
    <xf numFmtId="0" fontId="13" fillId="0" borderId="0" xfId="0" applyFont="1" applyAlignment="1" applyProtection="1">
      <alignment horizontal="left" indent="2"/>
    </xf>
    <xf numFmtId="0" fontId="11" fillId="0" borderId="0" xfId="0" applyFont="1" applyFill="1" applyProtection="1"/>
    <xf numFmtId="0" fontId="15" fillId="0" borderId="0" xfId="0" applyFont="1" applyFill="1" applyProtection="1"/>
    <xf numFmtId="0" fontId="9" fillId="0" borderId="1" xfId="0" applyFont="1" applyFill="1" applyBorder="1" applyAlignment="1" applyProtection="1">
      <alignment horizontal="left" vertical="center"/>
    </xf>
    <xf numFmtId="0" fontId="11" fillId="0" borderId="1" xfId="0" applyNumberFormat="1" applyFont="1" applyFill="1" applyBorder="1" applyAlignment="1" applyProtection="1">
      <alignment horizontal="center" vertical="center"/>
      <protection locked="0"/>
    </xf>
    <xf numFmtId="0" fontId="11" fillId="0" borderId="1" xfId="0" applyNumberFormat="1" applyFont="1" applyFill="1" applyBorder="1" applyAlignment="1" applyProtection="1">
      <alignment horizontal="left" vertical="center"/>
      <protection locked="0"/>
    </xf>
    <xf numFmtId="0" fontId="11" fillId="0" borderId="2" xfId="0" applyNumberFormat="1" applyFont="1" applyFill="1" applyBorder="1" applyAlignment="1" applyProtection="1">
      <alignment horizontal="center" vertical="center"/>
      <protection locked="0"/>
    </xf>
    <xf numFmtId="0" fontId="11" fillId="0" borderId="2" xfId="0" applyNumberFormat="1" applyFont="1" applyFill="1" applyBorder="1" applyAlignment="1" applyProtection="1">
      <alignment horizontal="left" vertical="center"/>
      <protection locked="0"/>
    </xf>
    <xf numFmtId="0" fontId="9" fillId="0" borderId="3" xfId="0" applyFont="1" applyFill="1" applyBorder="1" applyAlignment="1" applyProtection="1">
      <alignment horizontal="left" vertical="center"/>
    </xf>
    <xf numFmtId="0" fontId="14" fillId="2" borderId="4" xfId="0" applyFont="1" applyFill="1" applyBorder="1" applyAlignment="1" applyProtection="1">
      <alignment horizontal="center" vertical="center"/>
    </xf>
    <xf numFmtId="0" fontId="14" fillId="2" borderId="5" xfId="0" applyFont="1" applyFill="1" applyBorder="1" applyAlignment="1" applyProtection="1">
      <alignment horizontal="center" vertical="center"/>
    </xf>
    <xf numFmtId="0" fontId="14" fillId="2" borderId="6" xfId="0" applyFont="1" applyFill="1" applyBorder="1" applyAlignment="1" applyProtection="1">
      <alignment horizontal="center" vertical="center"/>
    </xf>
    <xf numFmtId="0" fontId="11" fillId="0" borderId="0" xfId="0" applyFont="1" applyBorder="1" applyProtection="1"/>
    <xf numFmtId="0" fontId="14" fillId="0" borderId="0" xfId="0" applyFont="1" applyFill="1" applyBorder="1" applyAlignment="1" applyProtection="1">
      <alignment horizontal="center" vertical="center"/>
    </xf>
    <xf numFmtId="1" fontId="11" fillId="0" borderId="0" xfId="0" applyNumberFormat="1" applyFont="1" applyFill="1" applyAlignment="1" applyProtection="1">
      <alignment horizontal="center"/>
    </xf>
    <xf numFmtId="1" fontId="11" fillId="0" borderId="0" xfId="0" applyNumberFormat="1" applyFont="1" applyFill="1" applyBorder="1" applyAlignment="1" applyProtection="1">
      <alignment horizontal="center" vertical="center"/>
    </xf>
    <xf numFmtId="1" fontId="15" fillId="0" borderId="0" xfId="0" applyNumberFormat="1" applyFont="1" applyFill="1" applyBorder="1" applyAlignment="1" applyProtection="1">
      <alignment horizontal="center" vertical="center"/>
    </xf>
    <xf numFmtId="1" fontId="11" fillId="0" borderId="0" xfId="0" applyNumberFormat="1" applyFont="1" applyFill="1" applyBorder="1" applyAlignment="1" applyProtection="1">
      <alignment horizontal="center"/>
    </xf>
    <xf numFmtId="0" fontId="22" fillId="0" borderId="0" xfId="0" applyFont="1" applyFill="1" applyAlignment="1" applyProtection="1">
      <alignment horizontal="center"/>
    </xf>
    <xf numFmtId="1" fontId="22" fillId="0" borderId="0" xfId="0" applyNumberFormat="1" applyFont="1" applyFill="1" applyBorder="1" applyAlignment="1" applyProtection="1">
      <alignment horizontal="center"/>
    </xf>
    <xf numFmtId="0" fontId="22" fillId="0" borderId="0" xfId="0" applyFont="1" applyFill="1" applyBorder="1" applyAlignment="1" applyProtection="1">
      <alignment horizontal="center"/>
    </xf>
    <xf numFmtId="0" fontId="22" fillId="0" borderId="0" xfId="0" applyFont="1" applyBorder="1" applyProtection="1"/>
    <xf numFmtId="0" fontId="22" fillId="0" borderId="0" xfId="0" applyFont="1" applyProtection="1"/>
    <xf numFmtId="0" fontId="8" fillId="0" borderId="0" xfId="0" applyFont="1" applyFill="1" applyBorder="1" applyAlignment="1" applyProtection="1">
      <alignment horizontal="left" vertical="center" indent="2"/>
    </xf>
    <xf numFmtId="166" fontId="11" fillId="0" borderId="0" xfId="0" applyNumberFormat="1" applyFont="1" applyFill="1" applyBorder="1" applyAlignment="1" applyProtection="1">
      <alignment horizontal="center" vertical="center"/>
    </xf>
    <xf numFmtId="164" fontId="15" fillId="0" borderId="0" xfId="0" applyNumberFormat="1" applyFont="1" applyFill="1" applyBorder="1" applyAlignment="1" applyProtection="1">
      <alignment horizontal="center" vertical="center"/>
    </xf>
    <xf numFmtId="1" fontId="18" fillId="3" borderId="13" xfId="0" applyNumberFormat="1" applyFont="1" applyFill="1" applyBorder="1" applyAlignment="1" applyProtection="1">
      <alignment horizontal="center"/>
    </xf>
    <xf numFmtId="0" fontId="30" fillId="0" borderId="18" xfId="0" applyFont="1" applyFill="1" applyBorder="1" applyAlignment="1" applyProtection="1">
      <alignment horizontal="right" vertical="center" indent="1"/>
    </xf>
    <xf numFmtId="0" fontId="1" fillId="0" borderId="18" xfId="0" applyFont="1" applyBorder="1" applyAlignment="1" applyProtection="1">
      <alignment horizontal="right"/>
    </xf>
    <xf numFmtId="0" fontId="32" fillId="0" borderId="7" xfId="0" applyFont="1" applyFill="1" applyBorder="1" applyAlignment="1" applyProtection="1">
      <alignment horizontal="right" vertical="center"/>
    </xf>
    <xf numFmtId="168" fontId="11" fillId="0" borderId="2" xfId="0" applyNumberFormat="1" applyFont="1" applyFill="1" applyBorder="1" applyAlignment="1" applyProtection="1">
      <alignment horizontal="center" vertical="center"/>
    </xf>
    <xf numFmtId="0" fontId="0" fillId="0" borderId="0" xfId="0" applyFill="1" applyProtection="1"/>
    <xf numFmtId="0" fontId="22" fillId="0" borderId="0" xfId="0" applyFont="1" applyFill="1" applyAlignment="1" applyProtection="1">
      <alignment horizontal="left"/>
    </xf>
    <xf numFmtId="0" fontId="2" fillId="0" borderId="0" xfId="0" applyFont="1" applyProtection="1"/>
    <xf numFmtId="0" fontId="18" fillId="3" borderId="12" xfId="0" applyFont="1" applyFill="1" applyBorder="1" applyAlignment="1" applyProtection="1">
      <alignment horizontal="center" vertical="center"/>
    </xf>
    <xf numFmtId="1" fontId="18" fillId="3" borderId="12" xfId="0" applyNumberFormat="1" applyFont="1" applyFill="1" applyBorder="1" applyAlignment="1" applyProtection="1">
      <alignment horizontal="center"/>
    </xf>
    <xf numFmtId="0" fontId="1" fillId="0" borderId="0" xfId="0" applyFont="1" applyFill="1" applyProtection="1"/>
    <xf numFmtId="0" fontId="6" fillId="0" borderId="0" xfId="0" applyFont="1" applyBorder="1" applyAlignment="1" applyProtection="1">
      <alignment horizontal="left" vertical="top" wrapText="1"/>
    </xf>
    <xf numFmtId="0" fontId="13" fillId="0" borderId="0" xfId="0" applyFont="1" applyAlignment="1" applyProtection="1">
      <alignment horizontal="left"/>
    </xf>
    <xf numFmtId="164" fontId="33" fillId="0" borderId="1" xfId="0" applyNumberFormat="1" applyFont="1" applyFill="1" applyBorder="1" applyAlignment="1" applyProtection="1">
      <alignment horizontal="center" vertical="center"/>
    </xf>
    <xf numFmtId="0" fontId="11" fillId="0" borderId="2" xfId="0" applyNumberFormat="1" applyFont="1" applyFill="1" applyBorder="1" applyAlignment="1" applyProtection="1">
      <alignment horizontal="left" vertical="center" wrapText="1"/>
    </xf>
    <xf numFmtId="165" fontId="11" fillId="0" borderId="2" xfId="0" applyNumberFormat="1" applyFont="1" applyFill="1" applyBorder="1" applyAlignment="1" applyProtection="1">
      <alignment horizontal="center" vertical="center"/>
    </xf>
    <xf numFmtId="0" fontId="11" fillId="0" borderId="1" xfId="0" applyNumberFormat="1" applyFont="1" applyFill="1" applyBorder="1" applyAlignment="1" applyProtection="1">
      <alignment horizontal="left" vertical="center" wrapText="1"/>
    </xf>
    <xf numFmtId="1" fontId="11" fillId="0" borderId="1" xfId="0" applyNumberFormat="1" applyFont="1" applyFill="1" applyBorder="1" applyAlignment="1" applyProtection="1">
      <alignment horizontal="left" vertical="center" wrapText="1"/>
    </xf>
    <xf numFmtId="0" fontId="11" fillId="0" borderId="0" xfId="0" applyFont="1" applyFill="1" applyProtection="1">
      <protection locked="0"/>
    </xf>
    <xf numFmtId="167" fontId="11" fillId="0" borderId="0" xfId="0" applyNumberFormat="1" applyFont="1" applyFill="1" applyBorder="1" applyAlignment="1" applyProtection="1">
      <alignment horizontal="center" vertical="center"/>
      <protection locked="0"/>
    </xf>
    <xf numFmtId="0" fontId="11" fillId="0" borderId="0" xfId="0" applyFont="1" applyProtection="1">
      <protection locked="0"/>
    </xf>
    <xf numFmtId="0" fontId="3" fillId="0" borderId="0" xfId="0" applyFont="1" applyFill="1" applyBorder="1" applyAlignment="1" applyProtection="1">
      <alignment horizontal="left" vertical="center"/>
    </xf>
    <xf numFmtId="0" fontId="12" fillId="0" borderId="0" xfId="0" applyFont="1" applyFill="1" applyBorder="1" applyAlignment="1" applyProtection="1">
      <alignment horizontal="left" vertical="center"/>
    </xf>
    <xf numFmtId="0" fontId="18" fillId="0" borderId="0" xfId="0" applyFont="1" applyFill="1" applyProtection="1"/>
    <xf numFmtId="0" fontId="0" fillId="0" borderId="0" xfId="0" applyFill="1" applyProtection="1"/>
    <xf numFmtId="0" fontId="2" fillId="0" borderId="0" xfId="0" applyFont="1" applyProtection="1"/>
    <xf numFmtId="0" fontId="18" fillId="3" borderId="11" xfId="0" applyFont="1" applyFill="1" applyBorder="1" applyAlignment="1" applyProtection="1">
      <alignment horizontal="center" vertical="center"/>
    </xf>
    <xf numFmtId="1" fontId="11" fillId="0" borderId="0" xfId="0" applyNumberFormat="1" applyFont="1" applyFill="1" applyBorder="1" applyAlignment="1" applyProtection="1">
      <alignment horizontal="left" vertical="center"/>
    </xf>
    <xf numFmtId="0" fontId="0" fillId="0" borderId="0" xfId="0" applyFill="1" applyAlignment="1" applyProtection="1">
      <alignment horizontal="center" wrapText="1"/>
    </xf>
    <xf numFmtId="1" fontId="11" fillId="0" borderId="0" xfId="0" applyNumberFormat="1" applyFont="1" applyFill="1" applyAlignment="1" applyProtection="1">
      <alignment horizontal="center" wrapText="1"/>
    </xf>
    <xf numFmtId="0" fontId="0" fillId="0" borderId="0" xfId="0" applyAlignment="1" applyProtection="1">
      <alignment wrapText="1"/>
    </xf>
    <xf numFmtId="0" fontId="2" fillId="0" borderId="0" xfId="0" applyFont="1" applyFill="1" applyAlignment="1" applyProtection="1">
      <alignment horizontal="center" wrapText="1"/>
    </xf>
    <xf numFmtId="0" fontId="2" fillId="0" borderId="0" xfId="0" applyFont="1" applyFill="1" applyAlignment="1" applyProtection="1">
      <alignment horizontal="center"/>
    </xf>
    <xf numFmtId="0" fontId="2" fillId="0" borderId="0" xfId="0" applyFont="1" applyBorder="1" applyProtection="1"/>
    <xf numFmtId="0" fontId="2" fillId="0" borderId="0" xfId="0" applyFont="1" applyFill="1" applyAlignment="1" applyProtection="1">
      <alignment horizontal="left"/>
    </xf>
    <xf numFmtId="0" fontId="2" fillId="0" borderId="0" xfId="0" applyFont="1" applyFill="1" applyProtection="1"/>
    <xf numFmtId="0" fontId="11" fillId="4" borderId="0" xfId="0" applyFont="1" applyFill="1" applyBorder="1" applyProtection="1">
      <protection locked="0"/>
    </xf>
    <xf numFmtId="0" fontId="11" fillId="4" borderId="0" xfId="0" applyFont="1" applyFill="1" applyProtection="1">
      <protection locked="0"/>
    </xf>
    <xf numFmtId="1" fontId="11" fillId="4" borderId="0" xfId="0" applyNumberFormat="1" applyFont="1" applyFill="1" applyAlignment="1" applyProtection="1">
      <alignment horizontal="left"/>
      <protection locked="0"/>
    </xf>
    <xf numFmtId="0" fontId="11" fillId="0" borderId="0" xfId="0" applyFont="1" applyFill="1" applyAlignment="1" applyProtection="1">
      <alignment horizontal="left"/>
      <protection locked="0"/>
    </xf>
    <xf numFmtId="0" fontId="11" fillId="0" borderId="0" xfId="0" applyFont="1" applyFill="1" applyAlignment="1" applyProtection="1">
      <alignment horizontal="left"/>
    </xf>
    <xf numFmtId="0" fontId="21" fillId="0" borderId="0" xfId="0" applyFont="1" applyFill="1" applyAlignment="1" applyProtection="1">
      <alignment wrapText="1"/>
    </xf>
    <xf numFmtId="0" fontId="15" fillId="0" borderId="0" xfId="0" applyFont="1" applyFill="1" applyAlignment="1" applyProtection="1">
      <alignment wrapText="1"/>
    </xf>
    <xf numFmtId="0" fontId="21" fillId="0" borderId="0" xfId="0" applyFont="1" applyFill="1" applyProtection="1"/>
    <xf numFmtId="0" fontId="22" fillId="0" borderId="0" xfId="0" applyFont="1" applyFill="1" applyAlignment="1" applyProtection="1">
      <alignment horizontal="left"/>
    </xf>
    <xf numFmtId="0" fontId="13" fillId="0" borderId="14" xfId="0" applyFont="1" applyBorder="1" applyAlignment="1" applyProtection="1">
      <alignment horizontal="left"/>
    </xf>
    <xf numFmtId="0" fontId="10" fillId="0" borderId="8" xfId="0" applyFont="1" applyFill="1" applyBorder="1" applyAlignment="1" applyProtection="1">
      <alignment horizontal="left" vertical="center"/>
      <protection locked="0"/>
    </xf>
    <xf numFmtId="0" fontId="10" fillId="0" borderId="10" xfId="0" applyFont="1" applyFill="1" applyBorder="1" applyAlignment="1" applyProtection="1">
      <alignment horizontal="left" vertical="center"/>
      <protection locked="0"/>
    </xf>
    <xf numFmtId="0" fontId="10" fillId="0" borderId="9" xfId="0" applyFont="1" applyFill="1" applyBorder="1" applyAlignment="1" applyProtection="1">
      <alignment horizontal="left" vertical="center"/>
      <protection locked="0"/>
    </xf>
    <xf numFmtId="0" fontId="10" fillId="0" borderId="15" xfId="0" applyFont="1" applyFill="1" applyBorder="1" applyAlignment="1" applyProtection="1">
      <alignment horizontal="left" vertical="center"/>
      <protection locked="0"/>
    </xf>
    <xf numFmtId="0" fontId="10" fillId="0" borderId="16" xfId="0" applyFont="1" applyFill="1" applyBorder="1" applyAlignment="1" applyProtection="1">
      <alignment horizontal="left" vertical="center"/>
      <protection locked="0"/>
    </xf>
    <xf numFmtId="0" fontId="10" fillId="0" borderId="17" xfId="0" applyFont="1" applyFill="1" applyBorder="1" applyAlignment="1" applyProtection="1">
      <alignment horizontal="left" vertical="center"/>
      <protection locked="0"/>
    </xf>
    <xf numFmtId="0" fontId="34" fillId="0" borderId="0" xfId="0" applyFont="1" applyBorder="1" applyAlignment="1" applyProtection="1">
      <alignment horizontal="center"/>
    </xf>
    <xf numFmtId="0" fontId="6" fillId="0" borderId="0" xfId="0" applyFont="1" applyBorder="1" applyAlignment="1" applyProtection="1">
      <alignment horizontal="left" vertical="top" wrapText="1"/>
    </xf>
    <xf numFmtId="0" fontId="13" fillId="0" borderId="0" xfId="0" applyFont="1" applyBorder="1" applyAlignment="1" applyProtection="1">
      <alignment horizontal="left"/>
    </xf>
    <xf numFmtId="0" fontId="16" fillId="0" borderId="0" xfId="0" applyFont="1" applyBorder="1" applyAlignment="1" applyProtection="1">
      <alignment horizontal="left"/>
    </xf>
    <xf numFmtId="0" fontId="16" fillId="0" borderId="0" xfId="0" applyFont="1" applyAlignment="1" applyProtection="1">
      <alignment horizontal="left"/>
    </xf>
    <xf numFmtId="0" fontId="13" fillId="0" borderId="0" xfId="0" applyFont="1" applyAlignment="1" applyProtection="1">
      <alignment horizontal="left"/>
    </xf>
    <xf numFmtId="0" fontId="7" fillId="0" borderId="8" xfId="0" applyFont="1" applyFill="1" applyBorder="1" applyAlignment="1" applyProtection="1">
      <alignment horizontal="right" vertical="center"/>
    </xf>
    <xf numFmtId="0" fontId="7" fillId="0" borderId="10" xfId="0" applyFont="1" applyFill="1" applyBorder="1" applyAlignment="1" applyProtection="1">
      <alignment horizontal="right" vertical="center"/>
    </xf>
    <xf numFmtId="0" fontId="31" fillId="0" borderId="10" xfId="0" applyFont="1" applyFill="1" applyBorder="1" applyAlignment="1" applyProtection="1">
      <alignment horizontal="left" vertical="center" indent="2"/>
    </xf>
    <xf numFmtId="0" fontId="31" fillId="0" borderId="9" xfId="0" applyFont="1" applyFill="1" applyBorder="1" applyAlignment="1" applyProtection="1">
      <alignment horizontal="left" vertical="center" indent="2"/>
    </xf>
    <xf numFmtId="0" fontId="31" fillId="0" borderId="0" xfId="0" applyFont="1" applyFill="1" applyBorder="1" applyAlignment="1" applyProtection="1">
      <alignment horizontal="left" vertical="center"/>
    </xf>
    <xf numFmtId="0" fontId="20" fillId="0" borderId="0" xfId="0" applyFont="1" applyProtection="1"/>
    <xf numFmtId="0" fontId="22" fillId="0" borderId="0" xfId="0" applyFont="1" applyFill="1" applyBorder="1" applyAlignment="1" applyProtection="1">
      <alignment horizontal="left" vertical="center"/>
    </xf>
    <xf numFmtId="0" fontId="19" fillId="0" borderId="0" xfId="0" applyFont="1" applyProtection="1"/>
    <xf numFmtId="0" fontId="22" fillId="0" borderId="0" xfId="0" applyFont="1" applyAlignment="1" applyProtection="1">
      <alignment horizontal="left"/>
    </xf>
  </cellXfs>
  <cellStyles count="1">
    <cellStyle name="Normal" xfId="0" builtinId="0"/>
  </cellStyles>
  <dxfs count="4">
    <dxf>
      <fill>
        <patternFill>
          <bgColor rgb="FFD8D9DC"/>
        </patternFill>
      </fill>
    </dxf>
    <dxf>
      <fill>
        <patternFill>
          <bgColor rgb="FFD8D9DC"/>
        </patternFill>
      </fill>
    </dxf>
    <dxf>
      <font>
        <color theme="1"/>
      </font>
      <numFmt numFmtId="1" formatCode="0"/>
      <fill>
        <patternFill>
          <bgColor rgb="FFD8D9DC"/>
        </patternFill>
      </fill>
    </dxf>
    <dxf>
      <fill>
        <patternFill>
          <bgColor rgb="FFD8D9D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BFC0C5"/>
      <rgbColor rgb="00D8D9DC"/>
      <rgbColor rgb="0099CCFF"/>
      <rgbColor rgb="004D6BA6"/>
      <rgbColor rgb="00CC99FF"/>
      <rgbColor rgb="00283756"/>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1F497D"/>
      <color rgb="FFBFC0C5"/>
      <color rgb="FF4D6BA6"/>
      <color rgb="FFD8D9DC"/>
      <color rgb="FF006600"/>
      <color rgb="FF008000"/>
      <color rgb="FF339966"/>
      <color rgb="FFFFFF00"/>
      <color rgb="FFFFCC00"/>
      <color rgb="FF005B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12</xdr:row>
      <xdr:rowOff>133350</xdr:rowOff>
    </xdr:from>
    <xdr:to>
      <xdr:col>1</xdr:col>
      <xdr:colOff>431852</xdr:colOff>
      <xdr:row>12</xdr:row>
      <xdr:rowOff>456466</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47625" y="133350"/>
          <a:ext cx="2060627" cy="323116"/>
        </a:xfrm>
        <a:prstGeom prst="rect">
          <a:avLst/>
        </a:prstGeom>
      </xdr:spPr>
    </xdr:pic>
    <xdr:clientData/>
  </xdr:twoCellAnchor>
  <xdr:twoCellAnchor>
    <xdr:from>
      <xdr:col>2</xdr:col>
      <xdr:colOff>9525</xdr:colOff>
      <xdr:row>12</xdr:row>
      <xdr:rowOff>0</xdr:rowOff>
    </xdr:from>
    <xdr:to>
      <xdr:col>2</xdr:col>
      <xdr:colOff>190500</xdr:colOff>
      <xdr:row>12</xdr:row>
      <xdr:rowOff>533400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2324100" y="2343150"/>
          <a:ext cx="180975" cy="533400"/>
          <a:chOff x="2238375" y="0"/>
          <a:chExt cx="180975" cy="533400"/>
        </a:xfrm>
      </xdr:grpSpPr>
      <xdr:sp macro="" textlink="">
        <xdr:nvSpPr>
          <xdr:cNvPr id="6" name="Oval 13">
            <a:extLst>
              <a:ext uri="{FF2B5EF4-FFF2-40B4-BE49-F238E27FC236}">
                <a16:creationId xmlns:a16="http://schemas.microsoft.com/office/drawing/2014/main" id="{00000000-0008-0000-0000-000006000000}"/>
              </a:ext>
            </a:extLst>
          </xdr:cNvPr>
          <xdr:cNvSpPr>
            <a:spLocks noChangeArrowheads="1"/>
          </xdr:cNvSpPr>
        </xdr:nvSpPr>
        <xdr:spPr bwMode="auto">
          <a:xfrm>
            <a:off x="2238375" y="0"/>
            <a:ext cx="180975" cy="168442"/>
          </a:xfrm>
          <a:prstGeom prst="ellipse">
            <a:avLst/>
          </a:prstGeom>
          <a:solidFill>
            <a:srgbClr val="FF0000"/>
          </a:solidFill>
          <a:ln w="9525">
            <a:noFill/>
            <a:round/>
            <a:headEnd/>
            <a:tailEnd/>
          </a:ln>
        </xdr:spPr>
      </xdr:sp>
      <xdr:sp macro="" textlink="">
        <xdr:nvSpPr>
          <xdr:cNvPr id="7" name="Oval 14">
            <a:extLst>
              <a:ext uri="{FF2B5EF4-FFF2-40B4-BE49-F238E27FC236}">
                <a16:creationId xmlns:a16="http://schemas.microsoft.com/office/drawing/2014/main" id="{00000000-0008-0000-0000-000007000000}"/>
              </a:ext>
            </a:extLst>
          </xdr:cNvPr>
          <xdr:cNvSpPr>
            <a:spLocks noChangeArrowheads="1"/>
          </xdr:cNvSpPr>
        </xdr:nvSpPr>
        <xdr:spPr bwMode="auto">
          <a:xfrm>
            <a:off x="2238375" y="177800"/>
            <a:ext cx="180975" cy="177800"/>
          </a:xfrm>
          <a:prstGeom prst="ellipse">
            <a:avLst/>
          </a:prstGeom>
          <a:solidFill>
            <a:srgbClr val="FFC000"/>
          </a:solidFill>
          <a:ln w="9525">
            <a:noFill/>
            <a:round/>
            <a:headEnd/>
            <a:tailEnd/>
          </a:ln>
        </xdr:spPr>
      </xdr:sp>
      <xdr:sp macro="" textlink="">
        <xdr:nvSpPr>
          <xdr:cNvPr id="8" name="Oval 15">
            <a:extLst>
              <a:ext uri="{FF2B5EF4-FFF2-40B4-BE49-F238E27FC236}">
                <a16:creationId xmlns:a16="http://schemas.microsoft.com/office/drawing/2014/main" id="{00000000-0008-0000-0000-000008000000}"/>
              </a:ext>
            </a:extLst>
          </xdr:cNvPr>
          <xdr:cNvSpPr>
            <a:spLocks noChangeArrowheads="1"/>
          </xdr:cNvSpPr>
        </xdr:nvSpPr>
        <xdr:spPr bwMode="auto">
          <a:xfrm>
            <a:off x="2238375" y="364958"/>
            <a:ext cx="180975" cy="168442"/>
          </a:xfrm>
          <a:prstGeom prst="ellipse">
            <a:avLst/>
          </a:prstGeom>
          <a:solidFill>
            <a:srgbClr val="008000"/>
          </a:solidFill>
          <a:ln w="9525">
            <a:noFill/>
            <a:round/>
            <a:headEnd/>
            <a:tailEnd/>
          </a:ln>
        </xdr:spPr>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1F497D"/>
  </sheetPr>
  <dimension ref="A1:AB111"/>
  <sheetViews>
    <sheetView showGridLines="0" tabSelected="1" showRuler="0" zoomScaleNormal="100" zoomScalePageLayoutView="80" workbookViewId="0">
      <selection activeCell="B14" sqref="B14:E14"/>
    </sheetView>
  </sheetViews>
  <sheetFormatPr defaultColWidth="9.1328125" defaultRowHeight="12.75" x14ac:dyDescent="0.35"/>
  <cols>
    <col min="1" max="1" width="25.1328125" style="44" customWidth="1"/>
    <col min="2" max="2" width="7.265625" style="3" customWidth="1"/>
    <col min="3" max="3" width="71.3984375" style="3" customWidth="1"/>
    <col min="4" max="5" width="6.73046875" style="3" customWidth="1"/>
    <col min="6" max="6" width="8" style="3" customWidth="1"/>
    <col min="7" max="7" width="68.1328125" style="71" hidden="1" customWidth="1"/>
    <col min="8" max="8" width="9.1328125" style="27" hidden="1" customWidth="1"/>
    <col min="9" max="9" width="9.1328125" style="3" hidden="1" customWidth="1"/>
    <col min="10" max="22" width="9.1328125" style="3" customWidth="1"/>
    <col min="23" max="16384" width="9.1328125" style="1"/>
  </cols>
  <sheetData>
    <row r="1" spans="1:26" s="69" customFormat="1" ht="52.5" customHeight="1" x14ac:dyDescent="0.35">
      <c r="A1" s="80" t="s">
        <v>68</v>
      </c>
      <c r="B1" s="81"/>
      <c r="C1" s="81"/>
      <c r="D1" s="81"/>
      <c r="E1" s="81"/>
      <c r="F1" s="67"/>
      <c r="G1" s="70"/>
      <c r="H1" s="68"/>
      <c r="I1" s="67"/>
      <c r="J1" s="67"/>
      <c r="K1" s="67"/>
      <c r="L1" s="67"/>
      <c r="M1" s="67"/>
      <c r="N1" s="67"/>
      <c r="O1" s="67"/>
      <c r="P1" s="67"/>
      <c r="Q1" s="67"/>
      <c r="R1" s="67"/>
      <c r="S1" s="67"/>
      <c r="T1" s="67"/>
      <c r="U1" s="67"/>
      <c r="V1" s="67"/>
    </row>
    <row r="2" spans="1:26" x14ac:dyDescent="0.35">
      <c r="A2" s="63"/>
    </row>
    <row r="3" spans="1:26" s="5" customFormat="1" ht="11.65" x14ac:dyDescent="0.35">
      <c r="A3" s="82" t="s">
        <v>47</v>
      </c>
      <c r="B3" s="82"/>
      <c r="C3" s="82"/>
      <c r="D3" s="82"/>
      <c r="E3" s="82"/>
      <c r="F3" s="6"/>
      <c r="G3" s="6"/>
      <c r="H3" s="27"/>
      <c r="I3" s="6"/>
      <c r="J3" s="6"/>
      <c r="K3" s="6"/>
      <c r="L3" s="6"/>
      <c r="M3" s="6"/>
      <c r="N3" s="6"/>
      <c r="O3" s="6"/>
      <c r="P3" s="6"/>
      <c r="Q3" s="6"/>
      <c r="R3" s="6"/>
      <c r="S3" s="6"/>
      <c r="T3" s="6"/>
      <c r="U3" s="6"/>
      <c r="V3" s="6"/>
    </row>
    <row r="4" spans="1:26" s="5" customFormat="1" ht="11.65" x14ac:dyDescent="0.35">
      <c r="A4" s="83" t="s">
        <v>69</v>
      </c>
      <c r="B4" s="83"/>
      <c r="C4" s="83"/>
      <c r="D4" s="83"/>
      <c r="E4" s="83"/>
      <c r="F4" s="6"/>
      <c r="G4" s="6"/>
      <c r="H4" s="30"/>
      <c r="I4" s="6"/>
      <c r="J4" s="6"/>
      <c r="K4" s="6"/>
      <c r="L4" s="6"/>
      <c r="M4" s="7"/>
      <c r="N4" s="7"/>
      <c r="O4" s="7"/>
      <c r="P4" s="7"/>
      <c r="Q4" s="7"/>
      <c r="R4" s="7"/>
      <c r="S4" s="7"/>
      <c r="T4" s="7"/>
      <c r="U4" s="7"/>
      <c r="V4" s="7"/>
      <c r="W4" s="25"/>
      <c r="X4" s="25"/>
      <c r="Y4" s="25"/>
      <c r="Z4" s="25"/>
    </row>
    <row r="5" spans="1:26" s="5" customFormat="1" ht="11.65" x14ac:dyDescent="0.35">
      <c r="A5" s="83" t="s">
        <v>70</v>
      </c>
      <c r="B5" s="83"/>
      <c r="C5" s="83"/>
      <c r="D5" s="83"/>
      <c r="E5" s="83"/>
      <c r="F5" s="6"/>
      <c r="G5" s="6"/>
      <c r="H5" s="30"/>
      <c r="I5" s="6"/>
      <c r="J5" s="6"/>
      <c r="K5" s="6"/>
      <c r="L5" s="6"/>
      <c r="M5" s="7"/>
      <c r="N5" s="92"/>
      <c r="O5" s="92"/>
      <c r="P5" s="92"/>
      <c r="Q5" s="92"/>
      <c r="R5" s="92"/>
      <c r="S5" s="7"/>
      <c r="T5" s="7"/>
      <c r="U5" s="7"/>
      <c r="V5" s="7"/>
      <c r="W5" s="25"/>
      <c r="X5" s="25"/>
      <c r="Y5" s="25"/>
      <c r="Z5" s="25"/>
    </row>
    <row r="6" spans="1:26" s="5" customFormat="1" ht="11.65" x14ac:dyDescent="0.35">
      <c r="A6" s="45" t="s">
        <v>62</v>
      </c>
      <c r="B6" s="45"/>
      <c r="C6" s="45"/>
      <c r="D6" s="45"/>
      <c r="E6" s="45"/>
      <c r="F6" s="6"/>
      <c r="G6" s="6"/>
      <c r="H6" s="30"/>
      <c r="I6" s="6"/>
      <c r="J6" s="6"/>
      <c r="K6" s="6"/>
      <c r="L6" s="6"/>
      <c r="M6" s="7"/>
      <c r="N6" s="50"/>
      <c r="O6" s="50"/>
      <c r="P6" s="50"/>
      <c r="Q6" s="50"/>
      <c r="R6" s="50"/>
      <c r="S6" s="7"/>
      <c r="T6" s="7"/>
      <c r="U6" s="7"/>
      <c r="V6" s="7"/>
      <c r="W6" s="25"/>
      <c r="X6" s="25"/>
      <c r="Y6" s="25"/>
      <c r="Z6" s="25"/>
    </row>
    <row r="7" spans="1:26" s="35" customFormat="1" ht="11.65" x14ac:dyDescent="0.35">
      <c r="A7" s="93" t="s">
        <v>63</v>
      </c>
      <c r="B7" s="93"/>
      <c r="C7" s="93"/>
      <c r="D7" s="93"/>
      <c r="E7" s="93"/>
      <c r="F7" s="51"/>
      <c r="G7" s="31"/>
      <c r="H7" s="32"/>
      <c r="I7" s="31"/>
      <c r="J7" s="31"/>
      <c r="K7" s="31"/>
      <c r="L7" s="31"/>
      <c r="M7" s="33"/>
      <c r="N7" s="8"/>
      <c r="O7" s="8"/>
      <c r="P7" s="8"/>
      <c r="Q7" s="8"/>
      <c r="R7" s="8"/>
      <c r="S7" s="33"/>
      <c r="T7" s="33"/>
      <c r="U7" s="33"/>
      <c r="V7" s="33"/>
      <c r="W7" s="34"/>
      <c r="X7" s="34"/>
      <c r="Y7" s="34"/>
      <c r="Z7" s="34"/>
    </row>
    <row r="8" spans="1:26" s="35" customFormat="1" ht="11.65" x14ac:dyDescent="0.35">
      <c r="A8" s="93" t="s">
        <v>94</v>
      </c>
      <c r="B8" s="93"/>
      <c r="C8" s="93"/>
      <c r="D8" s="93"/>
      <c r="E8" s="93"/>
      <c r="F8" s="51"/>
      <c r="G8" s="31"/>
      <c r="H8" s="32"/>
      <c r="I8" s="31"/>
      <c r="J8" s="31"/>
      <c r="K8" s="31"/>
      <c r="L8" s="31"/>
      <c r="M8" s="33"/>
      <c r="N8" s="8"/>
      <c r="O8" s="8"/>
      <c r="P8" s="8"/>
      <c r="Q8" s="8"/>
      <c r="R8" s="8"/>
      <c r="S8" s="33"/>
      <c r="T8" s="33"/>
      <c r="U8" s="33"/>
      <c r="V8" s="33"/>
      <c r="W8" s="34"/>
      <c r="X8" s="34"/>
      <c r="Y8" s="34"/>
      <c r="Z8" s="34"/>
    </row>
    <row r="9" spans="1:26" s="35" customFormat="1" ht="11.65" x14ac:dyDescent="0.35">
      <c r="A9" s="93" t="s">
        <v>64</v>
      </c>
      <c r="B9" s="93"/>
      <c r="C9" s="93"/>
      <c r="D9" s="93"/>
      <c r="E9" s="93"/>
      <c r="F9" s="51"/>
      <c r="G9" s="31"/>
      <c r="H9" s="32"/>
      <c r="I9" s="31"/>
      <c r="J9" s="31"/>
      <c r="K9" s="31"/>
      <c r="L9" s="31"/>
      <c r="M9" s="33"/>
      <c r="N9" s="9"/>
      <c r="O9" s="9"/>
      <c r="P9" s="9"/>
      <c r="Q9" s="9"/>
      <c r="R9" s="9"/>
      <c r="S9" s="33"/>
      <c r="T9" s="33"/>
      <c r="U9" s="33"/>
      <c r="V9" s="33"/>
      <c r="W9" s="34"/>
      <c r="X9" s="34"/>
      <c r="Y9" s="34"/>
      <c r="Z9" s="34"/>
    </row>
    <row r="10" spans="1:26" s="35" customFormat="1" ht="11.65" x14ac:dyDescent="0.35">
      <c r="A10" s="93" t="s">
        <v>65</v>
      </c>
      <c r="B10" s="93"/>
      <c r="C10" s="93"/>
      <c r="D10" s="93"/>
      <c r="E10" s="93"/>
      <c r="F10" s="51"/>
      <c r="G10" s="31"/>
      <c r="H10" s="32"/>
      <c r="I10" s="31"/>
      <c r="J10" s="31"/>
      <c r="K10" s="31"/>
      <c r="L10" s="31"/>
      <c r="M10" s="33"/>
      <c r="N10" s="94"/>
      <c r="O10" s="95"/>
      <c r="P10" s="95"/>
      <c r="Q10" s="95"/>
      <c r="R10" s="95"/>
      <c r="S10" s="33"/>
      <c r="T10" s="33"/>
      <c r="U10" s="33"/>
      <c r="V10" s="33"/>
      <c r="W10" s="34"/>
      <c r="X10" s="34"/>
      <c r="Y10" s="34"/>
      <c r="Z10" s="34"/>
    </row>
    <row r="11" spans="1:26" s="35" customFormat="1" ht="13.15" x14ac:dyDescent="0.4">
      <c r="A11" s="93" t="s">
        <v>66</v>
      </c>
      <c r="B11" s="93"/>
      <c r="C11" s="93"/>
      <c r="D11" s="93"/>
      <c r="E11" s="93"/>
      <c r="F11" s="51"/>
      <c r="G11" s="31"/>
      <c r="H11" s="32"/>
      <c r="I11" s="31"/>
      <c r="J11" s="31"/>
      <c r="K11" s="31"/>
      <c r="L11" s="31"/>
      <c r="M11" s="33"/>
      <c r="N11" s="2"/>
      <c r="O11" s="2"/>
      <c r="P11" s="2"/>
      <c r="Q11" s="2"/>
      <c r="R11" s="2"/>
      <c r="S11" s="33"/>
      <c r="T11" s="33"/>
      <c r="U11" s="33"/>
      <c r="V11" s="33"/>
      <c r="W11" s="34"/>
      <c r="X11" s="34"/>
      <c r="Y11" s="34"/>
      <c r="Z11" s="34"/>
    </row>
    <row r="12" spans="1:26" s="35" customFormat="1" ht="13.15" x14ac:dyDescent="0.4">
      <c r="A12" s="84"/>
      <c r="B12" s="84"/>
      <c r="C12" s="84"/>
      <c r="D12" s="84"/>
      <c r="E12" s="84"/>
      <c r="F12" s="51"/>
      <c r="G12" s="31"/>
      <c r="H12" s="32"/>
      <c r="I12" s="33"/>
      <c r="J12" s="33"/>
      <c r="K12" s="33"/>
      <c r="L12" s="33"/>
      <c r="M12" s="33"/>
      <c r="N12" s="2"/>
      <c r="O12" s="2"/>
      <c r="P12" s="2"/>
      <c r="Q12" s="2"/>
      <c r="R12" s="2"/>
      <c r="S12" s="33"/>
      <c r="T12" s="33"/>
      <c r="U12" s="33"/>
      <c r="V12" s="33"/>
      <c r="W12" s="34"/>
      <c r="X12" s="34"/>
      <c r="Y12" s="34"/>
      <c r="Z12" s="34"/>
    </row>
    <row r="13" spans="1:26" ht="43.5" customHeight="1" x14ac:dyDescent="0.35">
      <c r="A13" s="97"/>
      <c r="B13" s="98"/>
      <c r="C13" s="99" t="s">
        <v>2</v>
      </c>
      <c r="D13" s="99"/>
      <c r="E13" s="100"/>
      <c r="F13" s="36"/>
      <c r="G13" s="72"/>
      <c r="N13" s="93"/>
      <c r="O13" s="96"/>
      <c r="P13" s="96"/>
      <c r="Q13" s="96"/>
      <c r="R13" s="96"/>
      <c r="S13" s="60"/>
      <c r="T13" s="60"/>
      <c r="U13" s="60"/>
      <c r="V13" s="60"/>
      <c r="W13" s="60"/>
    </row>
    <row r="14" spans="1:26" ht="12" customHeight="1" x14ac:dyDescent="0.35">
      <c r="A14" s="16" t="s">
        <v>9</v>
      </c>
      <c r="B14" s="85"/>
      <c r="C14" s="86"/>
      <c r="D14" s="86"/>
      <c r="E14" s="87"/>
      <c r="F14" s="25"/>
      <c r="G14" s="25"/>
      <c r="N14" s="1"/>
      <c r="O14" s="1"/>
      <c r="P14" s="1"/>
      <c r="Q14" s="1"/>
      <c r="R14" s="1"/>
      <c r="S14" s="61"/>
      <c r="T14" s="61"/>
      <c r="U14" s="61"/>
      <c r="V14" s="61"/>
      <c r="W14" s="61"/>
    </row>
    <row r="15" spans="1:26" ht="12" customHeight="1" x14ac:dyDescent="0.35">
      <c r="A15" s="21" t="s">
        <v>10</v>
      </c>
      <c r="B15" s="88"/>
      <c r="C15" s="89"/>
      <c r="D15" s="89"/>
      <c r="E15" s="90"/>
      <c r="F15" s="25"/>
      <c r="G15" s="25"/>
      <c r="N15" s="1"/>
      <c r="O15" s="1"/>
      <c r="P15" s="1"/>
      <c r="Q15" s="1"/>
      <c r="R15" s="1"/>
      <c r="S15" s="61"/>
      <c r="T15" s="61"/>
      <c r="U15" s="61"/>
      <c r="V15" s="61"/>
      <c r="W15" s="61"/>
    </row>
    <row r="16" spans="1:26" s="4" customFormat="1" ht="12" customHeight="1" x14ac:dyDescent="0.35">
      <c r="A16" s="24" t="s">
        <v>46</v>
      </c>
      <c r="B16" s="22" t="s">
        <v>61</v>
      </c>
      <c r="C16" s="22" t="s">
        <v>72</v>
      </c>
      <c r="D16" s="22" t="s">
        <v>1</v>
      </c>
      <c r="E16" s="23" t="s">
        <v>0</v>
      </c>
      <c r="F16" s="26"/>
      <c r="G16" s="5" t="str">
        <f>'Decision Parameters'!B11</f>
        <v>We had extensive pre-RFP contact and strongly influenced the requirements</v>
      </c>
      <c r="H16" s="28">
        <v>4</v>
      </c>
      <c r="I16" s="64">
        <f>'Decision Parameters'!E11</f>
        <v>3.5</v>
      </c>
      <c r="S16" s="6"/>
      <c r="T16" s="6"/>
      <c r="U16" s="6"/>
      <c r="V16" s="6"/>
      <c r="W16" s="6"/>
    </row>
    <row r="17" spans="1:28" s="2" customFormat="1" ht="12" customHeight="1" x14ac:dyDescent="0.4">
      <c r="A17" s="53" t="str">
        <f>'Decision Parameters'!$A$11</f>
        <v>Pre-RFP Marketing</v>
      </c>
      <c r="B17" s="19"/>
      <c r="C17" s="20"/>
      <c r="D17" s="54">
        <f t="shared" ref="D17:D29" si="0">IF(C17&gt;0,VLOOKUP($C17,$G$16:$H$79,2,FALSE),0)</f>
        <v>0</v>
      </c>
      <c r="E17" s="43" t="str">
        <f>IF(C17&gt;0,(1+0.1*B17)*(D17-'Decision Parameters'!$E$13),"")</f>
        <v/>
      </c>
      <c r="F17" s="37"/>
      <c r="G17" s="5" t="str">
        <f>'Decision Parameters'!B12</f>
        <v>We provided background information for preparation of the RFP</v>
      </c>
      <c r="H17" s="28">
        <v>3</v>
      </c>
      <c r="I17" s="64">
        <f>'Decision Parameters'!E12</f>
        <v>2.5</v>
      </c>
      <c r="S17" s="6"/>
      <c r="T17" s="6"/>
      <c r="U17" s="6"/>
      <c r="V17" s="6"/>
      <c r="W17" s="6"/>
    </row>
    <row r="18" spans="1:28" s="2" customFormat="1" ht="12" customHeight="1" x14ac:dyDescent="0.4">
      <c r="A18" s="55" t="str">
        <f>'Decision Parameters'!$A$16</f>
        <v>Prospect's Preference</v>
      </c>
      <c r="B18" s="17"/>
      <c r="C18" s="18"/>
      <c r="D18" s="54">
        <f t="shared" si="0"/>
        <v>0</v>
      </c>
      <c r="E18" s="43" t="str">
        <f>IF(C18&gt;0,(1+0.1*B18)*(D18-'Decision Parameters'!$E$13),"")</f>
        <v/>
      </c>
      <c r="F18" s="37"/>
      <c r="G18" s="5" t="str">
        <f>'Decision Parameters'!B13</f>
        <v>We met with the prospect prior to release of the RFP</v>
      </c>
      <c r="H18" s="28">
        <v>2</v>
      </c>
      <c r="I18" s="64">
        <f>'Decision Parameters'!E13</f>
        <v>1.5</v>
      </c>
      <c r="S18" s="6"/>
      <c r="T18" s="6"/>
      <c r="U18" s="6"/>
      <c r="V18" s="6"/>
      <c r="W18" s="6"/>
    </row>
    <row r="19" spans="1:28" s="2" customFormat="1" ht="12" customHeight="1" x14ac:dyDescent="0.4">
      <c r="A19" s="55" t="str">
        <f>'Decision Parameters'!$A$21</f>
        <v>Prospect's Knowledge of Us</v>
      </c>
      <c r="B19" s="17"/>
      <c r="C19" s="18"/>
      <c r="D19" s="54">
        <f t="shared" si="0"/>
        <v>0</v>
      </c>
      <c r="E19" s="43" t="str">
        <f>IF(C19&gt;0,(1+0.1*B19)*(D19-'Decision Parameters'!$E$13),"")</f>
        <v/>
      </c>
      <c r="F19" s="37"/>
      <c r="G19" s="14" t="str">
        <f>'Decision Parameters'!B14</f>
        <v xml:space="preserve">We learned of the opportunity after the RFP was issued </v>
      </c>
      <c r="H19" s="28">
        <v>1</v>
      </c>
      <c r="S19" s="6"/>
      <c r="T19" s="6"/>
      <c r="U19" s="6"/>
      <c r="V19" s="6"/>
      <c r="W19" s="6"/>
    </row>
    <row r="20" spans="1:28" s="2" customFormat="1" ht="12" customHeight="1" x14ac:dyDescent="0.4">
      <c r="A20" s="55" t="str">
        <f>'Decision Parameters'!$A$26</f>
        <v>Technical</v>
      </c>
      <c r="B20" s="17"/>
      <c r="C20" s="18"/>
      <c r="D20" s="54">
        <f t="shared" si="0"/>
        <v>0</v>
      </c>
      <c r="E20" s="43" t="str">
        <f>IF(C20&gt;0,(1+0.1*B20)*(D20-'Decision Parameters'!$E$13),"")</f>
        <v/>
      </c>
      <c r="F20" s="37"/>
      <c r="G20" s="1"/>
      <c r="H20"/>
      <c r="N20" s="6"/>
      <c r="O20" s="6"/>
      <c r="P20" s="6"/>
      <c r="Q20" s="6"/>
      <c r="R20" s="6"/>
      <c r="S20" s="6"/>
      <c r="T20" s="6"/>
      <c r="U20" s="6"/>
      <c r="V20" s="6"/>
      <c r="W20" s="6"/>
    </row>
    <row r="21" spans="1:28" s="2" customFormat="1" ht="12" customHeight="1" x14ac:dyDescent="0.4">
      <c r="A21" s="55" t="str">
        <f>'Decision Parameters'!$A$31</f>
        <v>Management</v>
      </c>
      <c r="B21" s="17"/>
      <c r="C21" s="18"/>
      <c r="D21" s="54">
        <f t="shared" si="0"/>
        <v>0</v>
      </c>
      <c r="E21" s="43" t="str">
        <f>IF(C21&gt;0,(1+0.1*B21)*(D21-'Decision Parameters'!$E$13),"")</f>
        <v/>
      </c>
      <c r="F21" s="37"/>
      <c r="G21" s="5" t="str">
        <f>'Decision Parameters'!B16</f>
        <v>The prospect shows evidence of a strong preference for us</v>
      </c>
      <c r="H21" s="28">
        <v>4</v>
      </c>
      <c r="N21" s="6"/>
      <c r="O21" s="6"/>
      <c r="P21" s="6"/>
      <c r="Q21" s="6"/>
      <c r="R21" s="6"/>
      <c r="S21" s="6"/>
      <c r="T21" s="6"/>
      <c r="U21" s="6"/>
      <c r="V21" s="6"/>
      <c r="W21" s="6"/>
    </row>
    <row r="22" spans="1:28" s="2" customFormat="1" ht="12" customHeight="1" x14ac:dyDescent="0.4">
      <c r="A22" s="55" t="str">
        <f>'Decision Parameters'!$A$36</f>
        <v xml:space="preserve">Cost </v>
      </c>
      <c r="B22" s="17"/>
      <c r="C22" s="18"/>
      <c r="D22" s="54">
        <f t="shared" si="0"/>
        <v>0</v>
      </c>
      <c r="E22" s="43" t="str">
        <f>IF(C22&gt;0,(1+0.1*B22)*(D22-'Decision Parameters'!$E$13),"")</f>
        <v/>
      </c>
      <c r="F22" s="37"/>
      <c r="G22" s="5" t="str">
        <f>'Decision Parameters'!B17</f>
        <v>The prospect suggested we should bid</v>
      </c>
      <c r="H22" s="28">
        <v>3</v>
      </c>
      <c r="N22" s="6"/>
      <c r="O22" s="6"/>
      <c r="P22" s="6"/>
      <c r="Q22" s="6"/>
      <c r="R22" s="6"/>
      <c r="S22" s="6"/>
      <c r="T22" s="6"/>
      <c r="U22" s="6"/>
      <c r="V22" s="6"/>
      <c r="W22" s="6"/>
    </row>
    <row r="23" spans="1:28" s="2" customFormat="1" ht="12" customHeight="1" x14ac:dyDescent="0.4">
      <c r="A23" s="55" t="str">
        <f>'Decision Parameters'!$A$41</f>
        <v>Incumbency</v>
      </c>
      <c r="B23" s="17"/>
      <c r="C23" s="18"/>
      <c r="D23" s="54">
        <f t="shared" si="0"/>
        <v>0</v>
      </c>
      <c r="E23" s="43" t="str">
        <f>IF(C23&gt;0,(1+0.1*B23)*(D23-'Decision Parameters'!$E$13),"")</f>
        <v/>
      </c>
      <c r="F23" s="37"/>
      <c r="G23" s="5" t="str">
        <f>'Decision Parameters'!B18</f>
        <v>The prospect is unbiased, with no preference for any company</v>
      </c>
      <c r="H23" s="28">
        <v>2</v>
      </c>
      <c r="N23" s="6"/>
      <c r="O23" s="6"/>
      <c r="P23" s="6"/>
      <c r="Q23" s="6"/>
      <c r="R23" s="6"/>
      <c r="S23" s="6"/>
      <c r="T23" s="6"/>
      <c r="U23" s="6"/>
      <c r="V23" s="6"/>
      <c r="W23" s="6"/>
    </row>
    <row r="24" spans="1:28" s="2" customFormat="1" ht="12" customHeight="1" x14ac:dyDescent="0.4">
      <c r="A24" s="55" t="str">
        <f>'Decision Parameters'!$A$46</f>
        <v>Experience</v>
      </c>
      <c r="B24" s="17"/>
      <c r="C24" s="18"/>
      <c r="D24" s="54">
        <f t="shared" si="0"/>
        <v>0</v>
      </c>
      <c r="E24" s="43" t="str">
        <f>IF(C24&gt;0,(1+0.1*B24)*(D24-'Decision Parameters'!$E$13),"")</f>
        <v/>
      </c>
      <c r="F24" s="37"/>
      <c r="G24" s="5" t="str">
        <f>'Decision Parameters'!B19</f>
        <v>The prospect has a negative bias toward us which we must overcome</v>
      </c>
      <c r="H24" s="28">
        <v>1</v>
      </c>
      <c r="N24" s="6"/>
      <c r="O24" s="6"/>
      <c r="P24" s="6"/>
      <c r="Q24" s="6"/>
      <c r="R24" s="6"/>
      <c r="S24" s="6"/>
      <c r="T24" s="6"/>
      <c r="U24" s="6"/>
      <c r="V24" s="6"/>
      <c r="W24" s="6"/>
    </row>
    <row r="25" spans="1:28" s="2" customFormat="1" ht="12" customHeight="1" x14ac:dyDescent="0.4">
      <c r="A25" s="55" t="str">
        <f>'Decision Parameters'!$A$51</f>
        <v>Past Performance</v>
      </c>
      <c r="B25" s="17"/>
      <c r="C25" s="18"/>
      <c r="D25" s="54">
        <f t="shared" si="0"/>
        <v>0</v>
      </c>
      <c r="E25" s="43" t="str">
        <f>IF(C25&gt;0,(1+0.1*B25)*(D25-'Decision Parameters'!$E$13),"")</f>
        <v/>
      </c>
      <c r="F25" s="37"/>
      <c r="G25" s="1"/>
      <c r="H25"/>
      <c r="N25" s="6"/>
      <c r="O25" s="6"/>
      <c r="P25" s="6"/>
      <c r="Q25" s="6"/>
      <c r="R25" s="6"/>
      <c r="S25" s="6"/>
      <c r="T25" s="6"/>
      <c r="U25" s="6"/>
      <c r="V25" s="6"/>
      <c r="W25" s="6"/>
    </row>
    <row r="26" spans="1:28" s="2" customFormat="1" ht="12" customHeight="1" x14ac:dyDescent="0.4">
      <c r="A26" s="55" t="str">
        <f>'Decision Parameters'!$A$56</f>
        <v>Contract Risk</v>
      </c>
      <c r="B26" s="17"/>
      <c r="C26" s="18"/>
      <c r="D26" s="54">
        <f t="shared" si="0"/>
        <v>0</v>
      </c>
      <c r="E26" s="43" t="str">
        <f>IF(C26&gt;0,(1+0.1*B26)*(D26-'Decision Parameters'!$E$13),"")</f>
        <v/>
      </c>
      <c r="F26" s="37"/>
      <c r="G26" s="5" t="str">
        <f>'Decision Parameters'!B21</f>
        <v>The prospect has contracted with our bidding business unit before</v>
      </c>
      <c r="H26" s="28">
        <v>4</v>
      </c>
      <c r="N26" s="6"/>
      <c r="O26" s="6"/>
      <c r="P26" s="6"/>
      <c r="Q26" s="6"/>
      <c r="R26" s="6"/>
      <c r="S26" s="6"/>
      <c r="T26" s="6"/>
      <c r="U26" s="6"/>
      <c r="V26" s="6"/>
      <c r="W26" s="6"/>
    </row>
    <row r="27" spans="1:28" s="2" customFormat="1" ht="12" customHeight="1" x14ac:dyDescent="0.4">
      <c r="A27" s="55" t="str">
        <f>'Decision Parameters'!$A$61</f>
        <v>Contract Size</v>
      </c>
      <c r="B27" s="17"/>
      <c r="C27" s="18"/>
      <c r="D27" s="54">
        <f t="shared" si="0"/>
        <v>0</v>
      </c>
      <c r="E27" s="43" t="str">
        <f>IF(C27&gt;0,(1+0.1*B27)*(D27-'Decision Parameters'!$E$13),"")</f>
        <v/>
      </c>
      <c r="F27" s="37"/>
      <c r="G27" s="5" t="str">
        <f>'Decision Parameters'!B22</f>
        <v>The prospect has contracted with business units other than the bidding unit</v>
      </c>
      <c r="H27" s="28">
        <v>3</v>
      </c>
      <c r="N27" s="6"/>
      <c r="O27" s="6"/>
      <c r="P27" s="6"/>
      <c r="Q27" s="6"/>
      <c r="R27" s="6"/>
      <c r="S27" s="6"/>
      <c r="T27" s="6"/>
      <c r="U27" s="6"/>
      <c r="V27" s="6"/>
      <c r="W27" s="10"/>
      <c r="X27" s="11"/>
      <c r="Y27" s="12"/>
      <c r="Z27" s="12"/>
      <c r="AA27" s="12"/>
      <c r="AB27" s="12"/>
    </row>
    <row r="28" spans="1:28" s="2" customFormat="1" ht="12" customHeight="1" x14ac:dyDescent="0.4">
      <c r="A28" s="56" t="str">
        <f>'Decision Parameters'!$A$66</f>
        <v>Other</v>
      </c>
      <c r="B28" s="17"/>
      <c r="C28" s="18"/>
      <c r="D28" s="54">
        <f t="shared" si="0"/>
        <v>0</v>
      </c>
      <c r="E28" s="43" t="str">
        <f>IF(C28&gt;0,(1+0.1*B28)*(D28-'Decision Parameters'!$E$13),"")</f>
        <v/>
      </c>
      <c r="F28" s="37"/>
      <c r="G28" s="5" t="str">
        <f>'Decision Parameters'!B23</f>
        <v>The prospect is familiar with us only through work we have done for others</v>
      </c>
      <c r="H28" s="28">
        <v>2</v>
      </c>
      <c r="N28" s="6"/>
      <c r="O28" s="6"/>
      <c r="P28" s="6"/>
      <c r="Q28" s="6"/>
      <c r="R28" s="6"/>
      <c r="S28" s="6"/>
      <c r="T28" s="6"/>
      <c r="U28" s="6"/>
      <c r="V28" s="6"/>
      <c r="W28" s="13"/>
      <c r="X28" s="11"/>
      <c r="Y28" s="12"/>
      <c r="Z28" s="12"/>
      <c r="AA28" s="12"/>
      <c r="AB28" s="12"/>
    </row>
    <row r="29" spans="1:28" s="2" customFormat="1" ht="12" customHeight="1" x14ac:dyDescent="0.4">
      <c r="A29" s="56" t="str">
        <f>'Decision Parameters'!A71</f>
        <v>Other</v>
      </c>
      <c r="B29" s="17"/>
      <c r="C29" s="18"/>
      <c r="D29" s="54">
        <f t="shared" si="0"/>
        <v>0</v>
      </c>
      <c r="E29" s="43" t="str">
        <f>IF(C29&gt;0,(1+0.1*B29)*(D29-'Decision Parameters'!$E$13),"")</f>
        <v/>
      </c>
      <c r="F29" s="37"/>
      <c r="G29" s="5" t="str">
        <f>'Decision Parameters'!B24</f>
        <v>The prospect is not familiar with us</v>
      </c>
      <c r="H29" s="28">
        <v>1</v>
      </c>
      <c r="N29" s="6"/>
      <c r="O29" s="6"/>
      <c r="P29" s="6"/>
      <c r="Q29" s="6"/>
      <c r="R29" s="6"/>
      <c r="S29" s="6"/>
      <c r="T29" s="6"/>
      <c r="U29" s="6"/>
      <c r="V29" s="6"/>
      <c r="W29" s="10"/>
      <c r="X29" s="11"/>
      <c r="Y29" s="12"/>
      <c r="Z29" s="12"/>
      <c r="AA29" s="12"/>
      <c r="AB29" s="12"/>
    </row>
    <row r="30" spans="1:28" s="2" customFormat="1" ht="24" customHeight="1" x14ac:dyDescent="0.4">
      <c r="B30" s="40"/>
      <c r="C30" s="41"/>
      <c r="D30" s="42" t="s">
        <v>60</v>
      </c>
      <c r="E30" s="52" t="e">
        <f>AVERAGEIF(C17:C29,"&lt;&gt;""",E17:E29)+'Decision Parameters'!$E$13</f>
        <v>#DIV/0!</v>
      </c>
      <c r="F30" s="38"/>
      <c r="G30" s="1"/>
      <c r="H30"/>
      <c r="N30" s="6"/>
      <c r="O30" s="6"/>
      <c r="P30" s="6"/>
      <c r="Q30" s="6"/>
      <c r="R30" s="6"/>
      <c r="S30" s="6"/>
      <c r="T30" s="6"/>
      <c r="U30" s="6"/>
      <c r="V30" s="6"/>
      <c r="W30" s="13"/>
      <c r="X30" s="11"/>
      <c r="Y30" s="12"/>
      <c r="Z30" s="12"/>
      <c r="AA30" s="12"/>
      <c r="AB30" s="12"/>
    </row>
    <row r="31" spans="1:28" s="2" customFormat="1" ht="12" customHeight="1" x14ac:dyDescent="0.4">
      <c r="A31" s="91" t="s">
        <v>67</v>
      </c>
      <c r="B31" s="91"/>
      <c r="C31" s="91"/>
      <c r="D31" s="91"/>
      <c r="E31" s="91"/>
      <c r="F31" s="38"/>
      <c r="G31" s="5" t="str">
        <f>'Decision Parameters'!B26</f>
        <v>We have a unique, proprietary solution</v>
      </c>
      <c r="H31" s="28">
        <v>4</v>
      </c>
      <c r="N31" s="6"/>
      <c r="O31" s="6"/>
      <c r="P31" s="6"/>
      <c r="Q31" s="6"/>
      <c r="R31" s="6"/>
      <c r="S31" s="6"/>
      <c r="T31" s="6"/>
      <c r="U31" s="6"/>
      <c r="V31" s="6"/>
      <c r="W31" s="13"/>
      <c r="X31" s="11"/>
      <c r="Y31" s="12"/>
      <c r="Z31" s="12"/>
      <c r="AA31" s="12"/>
      <c r="AB31" s="12"/>
    </row>
    <row r="32" spans="1:28" s="2" customFormat="1" ht="12" customHeight="1" x14ac:dyDescent="0.4">
      <c r="A32" s="14"/>
      <c r="B32" s="6"/>
      <c r="C32" s="6"/>
      <c r="D32" s="6"/>
      <c r="E32" s="6"/>
      <c r="F32" s="6"/>
      <c r="G32" s="5" t="str">
        <f>'Decision Parameters'!B27</f>
        <v>We have a solution  equivalent to other competitors</v>
      </c>
      <c r="H32" s="28">
        <v>3</v>
      </c>
      <c r="N32" s="6"/>
      <c r="O32" s="6"/>
      <c r="P32" s="6"/>
      <c r="Q32" s="6"/>
      <c r="R32" s="6"/>
      <c r="S32" s="6"/>
      <c r="T32" s="6"/>
      <c r="U32" s="6"/>
      <c r="V32" s="6"/>
      <c r="W32" s="12"/>
      <c r="X32" s="11"/>
      <c r="Y32" s="12"/>
      <c r="Z32" s="12"/>
      <c r="AA32" s="12"/>
      <c r="AB32" s="12"/>
    </row>
    <row r="33" spans="7:28" s="2" customFormat="1" ht="12" customHeight="1" x14ac:dyDescent="0.4">
      <c r="G33" s="5" t="str">
        <f>'Decision Parameters'!B28</f>
        <v>Competitors have solution advantages we can overcome</v>
      </c>
      <c r="H33" s="28">
        <v>2</v>
      </c>
      <c r="N33" s="6"/>
      <c r="O33" s="6"/>
      <c r="P33" s="6"/>
      <c r="Q33" s="6"/>
      <c r="R33" s="6"/>
      <c r="S33" s="6"/>
      <c r="T33" s="6"/>
      <c r="U33" s="6"/>
      <c r="V33" s="6"/>
      <c r="W33" s="12"/>
      <c r="X33" s="11"/>
      <c r="Y33" s="12"/>
      <c r="Z33" s="12"/>
      <c r="AA33" s="12"/>
      <c r="AB33" s="12"/>
    </row>
    <row r="34" spans="7:28" s="2" customFormat="1" ht="12" customHeight="1" x14ac:dyDescent="0.4">
      <c r="G34" s="5" t="str">
        <f>'Decision Parameters'!B29</f>
        <v>Competitors have unique, proprietary solutions</v>
      </c>
      <c r="H34" s="28">
        <v>1</v>
      </c>
      <c r="N34" s="6"/>
      <c r="O34" s="6"/>
      <c r="P34" s="6"/>
      <c r="Q34" s="6"/>
      <c r="R34" s="6"/>
      <c r="S34" s="6"/>
      <c r="T34" s="6"/>
      <c r="U34" s="6"/>
      <c r="V34" s="6"/>
      <c r="W34" s="12"/>
      <c r="X34" s="11"/>
      <c r="Y34" s="12"/>
      <c r="Z34" s="12"/>
      <c r="AA34" s="12"/>
      <c r="AB34" s="12"/>
    </row>
    <row r="35" spans="7:28" s="2" customFormat="1" ht="12" customHeight="1" x14ac:dyDescent="0.4">
      <c r="G35" s="1"/>
      <c r="H35"/>
      <c r="N35" s="6"/>
      <c r="O35" s="6"/>
      <c r="P35" s="6"/>
      <c r="Q35" s="6"/>
      <c r="R35" s="6"/>
      <c r="S35" s="6"/>
      <c r="T35" s="6"/>
      <c r="U35" s="6"/>
      <c r="V35" s="6"/>
      <c r="W35" s="12"/>
      <c r="X35" s="11"/>
      <c r="Y35" s="12"/>
      <c r="Z35" s="12"/>
      <c r="AA35" s="12"/>
      <c r="AB35" s="12"/>
    </row>
    <row r="36" spans="7:28" s="2" customFormat="1" ht="12" customHeight="1" x14ac:dyDescent="0.4">
      <c r="G36" s="5" t="str">
        <f>'Decision Parameters'!B31</f>
        <v>We have a unique, proven management approach the customer will value</v>
      </c>
      <c r="H36" s="28">
        <v>4</v>
      </c>
      <c r="N36" s="6"/>
      <c r="O36" s="6"/>
      <c r="P36" s="6"/>
      <c r="Q36" s="6"/>
      <c r="R36" s="6"/>
      <c r="S36" s="6"/>
      <c r="T36" s="6"/>
      <c r="U36" s="6"/>
      <c r="V36" s="6"/>
      <c r="W36" s="12"/>
      <c r="X36" s="11"/>
      <c r="Y36" s="12"/>
      <c r="Z36" s="12"/>
      <c r="AA36" s="12"/>
      <c r="AB36" s="12"/>
    </row>
    <row r="37" spans="7:28" s="2" customFormat="1" ht="12" customHeight="1" x14ac:dyDescent="0.4">
      <c r="G37" s="5" t="str">
        <f>'Decision Parameters'!B32</f>
        <v>We can offer a management solution better than most competitors</v>
      </c>
      <c r="H37" s="28">
        <v>3</v>
      </c>
      <c r="N37" s="6"/>
      <c r="O37" s="6"/>
      <c r="P37" s="6"/>
      <c r="Q37" s="6"/>
      <c r="R37" s="6"/>
      <c r="S37" s="6"/>
      <c r="T37" s="6"/>
      <c r="U37" s="6"/>
      <c r="V37" s="6"/>
      <c r="W37" s="12"/>
      <c r="X37" s="11"/>
      <c r="Y37" s="12"/>
      <c r="Z37" s="12"/>
      <c r="AA37" s="12"/>
      <c r="AB37" s="12"/>
    </row>
    <row r="38" spans="7:28" s="2" customFormat="1" ht="12" customHeight="1" x14ac:dyDescent="0.4">
      <c r="G38" s="5" t="str">
        <f>'Decision Parameters'!B33</f>
        <v>Competitors have management advantages we can overcome</v>
      </c>
      <c r="H38" s="28">
        <v>2</v>
      </c>
      <c r="N38" s="6"/>
      <c r="O38" s="6"/>
      <c r="P38" s="6"/>
      <c r="Q38" s="6"/>
      <c r="R38" s="6"/>
      <c r="S38" s="6"/>
      <c r="T38" s="6"/>
      <c r="U38" s="6"/>
      <c r="V38" s="6"/>
      <c r="W38" s="12"/>
      <c r="X38" s="11"/>
      <c r="Y38" s="12"/>
      <c r="Z38" s="12"/>
      <c r="AA38" s="12"/>
      <c r="AB38" s="12"/>
    </row>
    <row r="39" spans="7:28" s="2" customFormat="1" ht="12" customHeight="1" x14ac:dyDescent="0.4">
      <c r="G39" s="5" t="str">
        <f>'Decision Parameters'!B34</f>
        <v>Competitors have unique management solutions the customer will value</v>
      </c>
      <c r="H39" s="28">
        <v>1</v>
      </c>
      <c r="N39" s="6"/>
      <c r="O39" s="6"/>
      <c r="P39" s="6"/>
      <c r="Q39" s="6"/>
      <c r="R39" s="6"/>
      <c r="S39" s="6"/>
      <c r="T39" s="6"/>
      <c r="U39" s="6"/>
      <c r="V39" s="6"/>
      <c r="W39" s="12"/>
      <c r="X39" s="11"/>
      <c r="Y39" s="12"/>
      <c r="Z39" s="12"/>
      <c r="AA39" s="12"/>
      <c r="AB39" s="12"/>
    </row>
    <row r="40" spans="7:28" s="2" customFormat="1" ht="12" customHeight="1" x14ac:dyDescent="0.4">
      <c r="G40" s="1"/>
      <c r="H40"/>
      <c r="I40" s="46"/>
      <c r="N40" s="6"/>
      <c r="O40" s="6"/>
      <c r="P40" s="6"/>
      <c r="Q40" s="6"/>
      <c r="R40" s="6"/>
      <c r="S40" s="6"/>
      <c r="T40" s="6"/>
      <c r="U40" s="6"/>
      <c r="V40" s="6"/>
      <c r="W40" s="12"/>
      <c r="X40" s="11"/>
      <c r="Y40" s="12"/>
      <c r="Z40" s="12"/>
      <c r="AA40" s="12"/>
      <c r="AB40" s="12"/>
    </row>
    <row r="41" spans="7:28" s="46" customFormat="1" ht="12" customHeight="1" x14ac:dyDescent="0.35">
      <c r="G41" s="5" t="str">
        <f>'Decision Parameters'!B36</f>
        <v>We know the budget and have a strong cost advantage</v>
      </c>
      <c r="H41" s="28">
        <v>4</v>
      </c>
      <c r="N41" s="6"/>
      <c r="O41" s="6"/>
      <c r="P41" s="6"/>
      <c r="Q41" s="6"/>
      <c r="R41" s="6"/>
      <c r="S41" s="6"/>
      <c r="T41" s="6"/>
      <c r="U41" s="6"/>
      <c r="V41" s="6"/>
      <c r="W41" s="5"/>
      <c r="X41" s="5"/>
      <c r="Y41" s="5"/>
      <c r="Z41" s="5"/>
      <c r="AA41" s="5"/>
      <c r="AB41" s="5"/>
    </row>
    <row r="42" spans="7:28" s="46" customFormat="1" ht="12" customHeight="1" x14ac:dyDescent="0.35">
      <c r="G42" s="5" t="str">
        <f>'Decision Parameters'!B37</f>
        <v xml:space="preserve">We have a slight cost advantage </v>
      </c>
      <c r="H42" s="28">
        <v>3</v>
      </c>
      <c r="N42" s="6"/>
      <c r="O42" s="6"/>
      <c r="P42" s="6"/>
      <c r="Q42" s="6"/>
      <c r="R42" s="6"/>
      <c r="S42" s="6"/>
      <c r="T42" s="6"/>
      <c r="U42" s="6"/>
      <c r="V42" s="6"/>
      <c r="W42" s="5"/>
      <c r="X42" s="5"/>
      <c r="Y42" s="5"/>
      <c r="Z42" s="5"/>
      <c r="AA42" s="5"/>
      <c r="AB42" s="5"/>
    </row>
    <row r="43" spans="7:28" s="46" customFormat="1" ht="12" customHeight="1" x14ac:dyDescent="0.35">
      <c r="G43" s="5" t="str">
        <f>'Decision Parameters'!B38</f>
        <v>Cost is equivalent for all competitors</v>
      </c>
      <c r="H43" s="28">
        <v>2</v>
      </c>
      <c r="I43" s="3"/>
      <c r="N43" s="6"/>
      <c r="O43" s="6"/>
      <c r="P43" s="6"/>
      <c r="Q43" s="6"/>
      <c r="R43" s="6"/>
      <c r="S43" s="6"/>
      <c r="T43" s="6"/>
      <c r="U43" s="6"/>
      <c r="V43" s="6"/>
      <c r="W43" s="5"/>
      <c r="X43" s="5"/>
      <c r="Y43" s="5"/>
      <c r="Z43" s="5"/>
      <c r="AA43" s="5"/>
      <c r="AB43" s="5"/>
    </row>
    <row r="44" spans="7:28" ht="12" customHeight="1" x14ac:dyDescent="0.4">
      <c r="G44" s="5" t="str">
        <f>'Decision Parameters'!B39</f>
        <v>Competitors have cost advantages</v>
      </c>
      <c r="H44" s="28">
        <v>1</v>
      </c>
      <c r="I44" s="49"/>
      <c r="N44" s="6"/>
      <c r="O44" s="6"/>
      <c r="P44" s="6"/>
      <c r="Q44" s="6"/>
      <c r="R44" s="6"/>
      <c r="S44" s="6"/>
      <c r="T44" s="6"/>
      <c r="U44" s="6"/>
      <c r="V44" s="6"/>
      <c r="W44" s="5"/>
      <c r="X44" s="5"/>
      <c r="Y44" s="5"/>
      <c r="Z44" s="5"/>
      <c r="AA44" s="5"/>
      <c r="AB44" s="5"/>
    </row>
    <row r="45" spans="7:28" s="49" customFormat="1" ht="12" customHeight="1" x14ac:dyDescent="0.4">
      <c r="G45" s="1"/>
      <c r="H45"/>
      <c r="I45" s="44"/>
      <c r="N45" s="6"/>
      <c r="O45" s="6"/>
      <c r="P45" s="6"/>
      <c r="Q45" s="6"/>
      <c r="R45" s="6"/>
      <c r="S45" s="6"/>
      <c r="T45" s="6"/>
      <c r="U45" s="6"/>
      <c r="V45" s="6"/>
      <c r="W45" s="15"/>
      <c r="X45" s="15"/>
      <c r="Y45" s="15"/>
      <c r="Z45" s="15"/>
      <c r="AA45" s="15"/>
      <c r="AB45" s="15"/>
    </row>
    <row r="46" spans="7:28" s="44" customFormat="1" ht="12" customHeight="1" x14ac:dyDescent="0.35">
      <c r="G46" s="5" t="str">
        <f>'Decision Parameters'!B41</f>
        <v>We are a strong incumbent or can team with a strong incumbent</v>
      </c>
      <c r="H46" s="28">
        <v>4</v>
      </c>
      <c r="N46" s="6"/>
      <c r="O46" s="6"/>
      <c r="P46" s="6"/>
      <c r="Q46" s="6"/>
      <c r="R46" s="6"/>
      <c r="S46" s="6"/>
      <c r="T46" s="6"/>
      <c r="U46" s="6"/>
      <c r="V46" s="6"/>
      <c r="W46" s="14"/>
      <c r="X46" s="14"/>
      <c r="Y46" s="14"/>
      <c r="Z46" s="14"/>
      <c r="AA46" s="14"/>
      <c r="AB46" s="14"/>
    </row>
    <row r="47" spans="7:28" s="44" customFormat="1" ht="12" customHeight="1" x14ac:dyDescent="0.35">
      <c r="G47" s="5" t="str">
        <f>'Decision Parameters'!B42</f>
        <v>We are an incumbent</v>
      </c>
      <c r="H47" s="28">
        <v>3</v>
      </c>
      <c r="N47" s="6"/>
      <c r="O47" s="6"/>
      <c r="P47" s="6"/>
      <c r="Q47" s="6"/>
      <c r="R47" s="6"/>
      <c r="S47" s="6"/>
      <c r="T47" s="6"/>
      <c r="U47" s="6"/>
      <c r="V47" s="6"/>
      <c r="W47" s="14"/>
      <c r="X47" s="14"/>
      <c r="Y47" s="14"/>
      <c r="Z47" s="14"/>
      <c r="AA47" s="14"/>
      <c r="AB47" s="14"/>
    </row>
    <row r="48" spans="7:28" s="44" customFormat="1" ht="12" customHeight="1" x14ac:dyDescent="0.35">
      <c r="G48" s="5" t="str">
        <f>'Decision Parameters'!B43</f>
        <v>There is no incumbent</v>
      </c>
      <c r="H48" s="28">
        <v>2</v>
      </c>
      <c r="N48" s="6"/>
      <c r="O48" s="6"/>
      <c r="P48" s="6"/>
      <c r="Q48" s="6"/>
      <c r="R48" s="6"/>
      <c r="S48" s="6"/>
      <c r="T48" s="6"/>
      <c r="U48" s="6"/>
      <c r="V48" s="6"/>
      <c r="W48" s="14"/>
      <c r="X48" s="14"/>
      <c r="Y48" s="14"/>
      <c r="Z48" s="14"/>
      <c r="AA48" s="14"/>
      <c r="AB48" s="14"/>
    </row>
    <row r="49" spans="7:28" s="44" customFormat="1" ht="12" customHeight="1" x14ac:dyDescent="0.35">
      <c r="G49" s="5" t="str">
        <f>'Decision Parameters'!B44</f>
        <v>A competitor is a strong incumbent</v>
      </c>
      <c r="H49" s="28">
        <v>1</v>
      </c>
      <c r="N49" s="6"/>
      <c r="O49" s="6"/>
      <c r="P49" s="6"/>
      <c r="Q49" s="6"/>
      <c r="R49" s="6"/>
      <c r="S49" s="6"/>
      <c r="T49" s="6"/>
      <c r="U49" s="6"/>
      <c r="V49" s="6"/>
      <c r="W49" s="14"/>
      <c r="X49" s="14"/>
      <c r="Y49" s="14"/>
      <c r="Z49" s="14"/>
      <c r="AA49" s="14"/>
      <c r="AB49" s="14"/>
    </row>
    <row r="50" spans="7:28" s="44" customFormat="1" ht="12" customHeight="1" x14ac:dyDescent="0.35">
      <c r="G50" s="1"/>
      <c r="H50"/>
      <c r="N50" s="6"/>
      <c r="O50" s="6"/>
      <c r="P50" s="6"/>
      <c r="Q50" s="6"/>
      <c r="R50" s="6"/>
      <c r="S50" s="6"/>
      <c r="T50" s="6"/>
      <c r="U50" s="6"/>
      <c r="V50" s="6"/>
      <c r="W50" s="14"/>
      <c r="X50" s="14"/>
      <c r="Y50" s="14"/>
      <c r="Z50" s="14"/>
      <c r="AA50" s="14"/>
      <c r="AB50" s="14"/>
    </row>
    <row r="51" spans="7:28" s="44" customFormat="1" ht="12" customHeight="1" x14ac:dyDescent="0.35">
      <c r="G51" s="5" t="str">
        <f>'Decision Parameters'!B46</f>
        <v>We have sold the same or similar product/service to this customer in the past</v>
      </c>
      <c r="H51" s="28">
        <v>4</v>
      </c>
      <c r="N51" s="6"/>
      <c r="O51" s="6"/>
      <c r="P51" s="6"/>
      <c r="Q51" s="6"/>
      <c r="R51" s="6"/>
      <c r="S51" s="6"/>
      <c r="T51" s="6"/>
      <c r="U51" s="6"/>
      <c r="V51" s="6"/>
      <c r="W51" s="14"/>
      <c r="X51" s="14"/>
      <c r="Y51" s="14"/>
      <c r="Z51" s="14"/>
      <c r="AA51" s="14"/>
      <c r="AB51" s="14"/>
    </row>
    <row r="52" spans="7:28" s="44" customFormat="1" ht="12" customHeight="1" x14ac:dyDescent="0.35">
      <c r="G52" s="5" t="str">
        <f>'Decision Parameters'!B47</f>
        <v>We will be selling an existing product/service to a new customer</v>
      </c>
      <c r="H52" s="28">
        <v>3</v>
      </c>
      <c r="N52" s="6"/>
      <c r="O52" s="6"/>
      <c r="P52" s="6"/>
      <c r="Q52" s="6"/>
      <c r="R52" s="6"/>
      <c r="S52" s="6"/>
      <c r="T52" s="6"/>
      <c r="U52" s="6"/>
      <c r="V52" s="6"/>
      <c r="W52" s="14"/>
      <c r="X52" s="14"/>
      <c r="Y52" s="14"/>
      <c r="Z52" s="14"/>
      <c r="AA52" s="14"/>
      <c r="AB52" s="14"/>
    </row>
    <row r="53" spans="7:28" s="44" customFormat="1" ht="12" customHeight="1" x14ac:dyDescent="0.35">
      <c r="G53" s="5" t="str">
        <f>'Decision Parameters'!B48</f>
        <v>We will be selling a new product/service to an existing customer</v>
      </c>
      <c r="H53" s="28">
        <v>2</v>
      </c>
      <c r="N53" s="6"/>
      <c r="O53" s="6"/>
      <c r="P53" s="6"/>
      <c r="Q53" s="6"/>
      <c r="R53" s="6"/>
      <c r="S53" s="6"/>
      <c r="T53" s="6"/>
      <c r="U53" s="6"/>
      <c r="V53" s="6"/>
      <c r="W53" s="14"/>
      <c r="X53" s="14"/>
      <c r="Y53" s="14"/>
      <c r="Z53" s="14"/>
      <c r="AA53" s="14"/>
      <c r="AB53" s="14"/>
    </row>
    <row r="54" spans="7:28" s="44" customFormat="1" ht="12" customHeight="1" x14ac:dyDescent="0.35">
      <c r="G54" s="5" t="str">
        <f>'Decision Parameters'!B49</f>
        <v>We will be selling a new product/service to a new customer</v>
      </c>
      <c r="H54" s="28">
        <v>1</v>
      </c>
      <c r="N54" s="6"/>
      <c r="O54" s="6"/>
      <c r="P54" s="6"/>
      <c r="Q54" s="6"/>
      <c r="R54" s="6"/>
      <c r="S54" s="6"/>
      <c r="T54" s="6"/>
      <c r="U54" s="6"/>
      <c r="V54" s="6"/>
      <c r="W54" s="14"/>
      <c r="X54" s="14"/>
      <c r="Y54" s="14"/>
      <c r="Z54" s="14"/>
      <c r="AA54" s="14"/>
      <c r="AB54" s="14"/>
    </row>
    <row r="55" spans="7:28" s="44" customFormat="1" ht="12" customHeight="1" x14ac:dyDescent="0.35">
      <c r="G55" s="1"/>
      <c r="H55"/>
      <c r="N55" s="6"/>
      <c r="O55" s="6"/>
      <c r="P55" s="6"/>
      <c r="Q55" s="6"/>
      <c r="R55" s="6"/>
      <c r="S55" s="6"/>
      <c r="T55" s="6"/>
      <c r="U55" s="6"/>
      <c r="V55" s="6"/>
      <c r="W55" s="14"/>
      <c r="X55" s="14"/>
      <c r="Y55" s="14"/>
      <c r="Z55" s="14"/>
      <c r="AA55" s="14"/>
      <c r="AB55" s="14"/>
    </row>
    <row r="56" spans="7:28" s="44" customFormat="1" ht="12" customHeight="1" x14ac:dyDescent="0.35">
      <c r="G56" s="5" t="str">
        <f>'Decision Parameters'!B51</f>
        <v>We provided outstanding services in an earlier phase leading to this procurement</v>
      </c>
      <c r="H56" s="28">
        <v>4</v>
      </c>
      <c r="N56" s="6"/>
      <c r="O56" s="6"/>
      <c r="P56" s="6"/>
      <c r="Q56" s="6"/>
      <c r="R56" s="6"/>
      <c r="S56" s="6"/>
      <c r="T56" s="6"/>
      <c r="U56" s="6"/>
      <c r="V56" s="6"/>
      <c r="W56" s="14"/>
      <c r="X56" s="14"/>
      <c r="Y56" s="14"/>
      <c r="Z56" s="14"/>
      <c r="AA56" s="14"/>
      <c r="AB56" s="14"/>
    </row>
    <row r="57" spans="7:28" s="44" customFormat="1" ht="12" customHeight="1" x14ac:dyDescent="0.35">
      <c r="G57" s="5" t="str">
        <f>'Decision Parameters'!B52</f>
        <v>We provided services in an earlier phase with moderate success</v>
      </c>
      <c r="H57" s="28">
        <v>3</v>
      </c>
      <c r="N57" s="6"/>
      <c r="O57" s="6"/>
      <c r="P57" s="6"/>
      <c r="Q57" s="6"/>
      <c r="R57" s="6"/>
      <c r="S57" s="6"/>
      <c r="T57" s="6"/>
      <c r="U57" s="6"/>
      <c r="V57" s="6"/>
      <c r="W57" s="14"/>
      <c r="X57" s="14"/>
      <c r="Y57" s="14"/>
      <c r="Z57" s="14"/>
      <c r="AA57" s="14"/>
      <c r="AB57" s="14"/>
    </row>
    <row r="58" spans="7:28" s="44" customFormat="1" ht="12" customHeight="1" x14ac:dyDescent="0.35">
      <c r="G58" s="5" t="str">
        <f>'Decision Parameters'!B53</f>
        <v>A competitor provided services in an earlier phase with moderate success</v>
      </c>
      <c r="H58" s="28">
        <v>2</v>
      </c>
      <c r="N58" s="6"/>
      <c r="O58" s="6"/>
      <c r="P58" s="6"/>
      <c r="Q58" s="6"/>
      <c r="R58" s="6"/>
      <c r="S58" s="6"/>
      <c r="T58" s="6"/>
      <c r="U58" s="6"/>
      <c r="V58" s="6"/>
      <c r="W58" s="14"/>
      <c r="X58" s="14"/>
      <c r="Y58" s="14"/>
      <c r="Z58" s="14"/>
      <c r="AA58" s="14"/>
      <c r="AB58" s="14"/>
    </row>
    <row r="59" spans="7:28" s="44" customFormat="1" ht="12" customHeight="1" x14ac:dyDescent="0.35">
      <c r="G59" s="5" t="str">
        <f>'Decision Parameters'!B54</f>
        <v>A competitor provided service in an earlier phase with outstanding results</v>
      </c>
      <c r="H59" s="28">
        <v>1</v>
      </c>
      <c r="N59" s="6"/>
      <c r="O59" s="6"/>
      <c r="P59" s="6"/>
      <c r="Q59" s="6"/>
      <c r="R59" s="6"/>
      <c r="S59" s="6"/>
      <c r="T59" s="6"/>
      <c r="U59" s="6"/>
      <c r="V59" s="6"/>
      <c r="W59" s="14"/>
      <c r="X59" s="14"/>
      <c r="Y59" s="14"/>
      <c r="Z59" s="14"/>
      <c r="AA59" s="14"/>
      <c r="AB59" s="14"/>
    </row>
    <row r="60" spans="7:28" s="44" customFormat="1" ht="12" customHeight="1" x14ac:dyDescent="0.35">
      <c r="G60" s="1"/>
      <c r="H60"/>
      <c r="N60" s="6"/>
      <c r="O60" s="6"/>
      <c r="P60" s="6"/>
      <c r="Q60" s="6"/>
      <c r="R60" s="6"/>
      <c r="S60" s="6"/>
      <c r="T60" s="6"/>
      <c r="U60" s="6"/>
      <c r="V60" s="6"/>
      <c r="W60" s="14"/>
      <c r="X60" s="14"/>
      <c r="Y60" s="14"/>
      <c r="Z60" s="14"/>
      <c r="AA60" s="14"/>
      <c r="AB60" s="14"/>
    </row>
    <row r="61" spans="7:28" s="44" customFormat="1" ht="12" customHeight="1" x14ac:dyDescent="0.35">
      <c r="G61" s="5" t="str">
        <f>'Decision Parameters'!B56</f>
        <v>Risk is ordinary for our industry with no special considerations or liabilities</v>
      </c>
      <c r="H61" s="28">
        <v>4</v>
      </c>
      <c r="N61" s="6"/>
      <c r="O61" s="6"/>
      <c r="P61" s="6"/>
      <c r="Q61" s="6"/>
      <c r="R61" s="6"/>
      <c r="S61" s="6"/>
      <c r="T61" s="6"/>
      <c r="U61" s="6"/>
      <c r="V61" s="6"/>
      <c r="W61" s="14"/>
      <c r="X61" s="14"/>
      <c r="Y61" s="14"/>
      <c r="Z61" s="14"/>
      <c r="AA61" s="14"/>
      <c r="AB61" s="14"/>
    </row>
    <row r="62" spans="7:28" s="44" customFormat="1" ht="12" customHeight="1" x14ac:dyDescent="0.35">
      <c r="G62" s="5" t="str">
        <f>'Decision Parameters'!B57</f>
        <v>Risk is moderate; perhaps with a performance bond but no liquidated damages</v>
      </c>
      <c r="H62" s="28">
        <v>3</v>
      </c>
      <c r="N62" s="6"/>
      <c r="O62" s="6"/>
      <c r="P62" s="6"/>
      <c r="Q62" s="6"/>
      <c r="R62" s="6"/>
      <c r="S62" s="6"/>
      <c r="T62" s="6"/>
      <c r="U62" s="6"/>
      <c r="V62" s="6"/>
      <c r="W62" s="14"/>
      <c r="X62" s="14"/>
      <c r="Y62" s="14"/>
      <c r="Z62" s="14"/>
      <c r="AA62" s="14"/>
      <c r="AB62" s="14"/>
    </row>
    <row r="63" spans="7:28" s="44" customFormat="1" ht="12" customHeight="1" x14ac:dyDescent="0.35">
      <c r="G63" s="5" t="str">
        <f>'Decision Parameters'!B58</f>
        <v>Risk is high with very attractive rewards</v>
      </c>
      <c r="H63" s="28">
        <v>2</v>
      </c>
      <c r="N63" s="6"/>
      <c r="O63" s="6"/>
      <c r="P63" s="6"/>
      <c r="Q63" s="6"/>
      <c r="R63" s="6"/>
      <c r="S63" s="6"/>
      <c r="T63" s="6"/>
      <c r="U63" s="6"/>
      <c r="V63" s="6"/>
      <c r="W63" s="14"/>
      <c r="X63" s="14"/>
      <c r="Y63" s="14"/>
      <c r="Z63" s="14"/>
      <c r="AA63" s="14"/>
      <c r="AB63" s="14"/>
    </row>
    <row r="64" spans="7:28" s="44" customFormat="1" ht="12" customHeight="1" x14ac:dyDescent="0.35">
      <c r="G64" s="5" t="str">
        <f>'Decision Parameters'!B59</f>
        <v>Risk is high with only moderate or poor rewards</v>
      </c>
      <c r="H64" s="28">
        <v>1</v>
      </c>
      <c r="N64" s="6"/>
      <c r="O64" s="6"/>
      <c r="P64" s="6"/>
      <c r="Q64" s="6"/>
      <c r="R64" s="6"/>
      <c r="S64" s="6"/>
      <c r="T64" s="6"/>
      <c r="U64" s="6"/>
      <c r="V64" s="6"/>
      <c r="W64" s="14"/>
      <c r="X64" s="14"/>
      <c r="Y64" s="14"/>
      <c r="Z64" s="14"/>
      <c r="AA64" s="14"/>
      <c r="AB64" s="14"/>
    </row>
    <row r="65" spans="7:28" s="44" customFormat="1" ht="12" customHeight="1" x14ac:dyDescent="0.35">
      <c r="G65" s="1"/>
      <c r="H65"/>
      <c r="N65" s="6"/>
      <c r="O65" s="6"/>
      <c r="P65" s="6"/>
      <c r="Q65" s="6"/>
      <c r="R65" s="6"/>
      <c r="S65" s="6"/>
      <c r="T65" s="6"/>
      <c r="U65" s="6"/>
      <c r="V65" s="6"/>
      <c r="W65" s="14"/>
      <c r="X65" s="14"/>
      <c r="Y65" s="14"/>
      <c r="Z65" s="14"/>
      <c r="AA65" s="14"/>
      <c r="AB65" s="14"/>
    </row>
    <row r="66" spans="7:28" s="44" customFormat="1" ht="12" customHeight="1" x14ac:dyDescent="0.35">
      <c r="G66" s="79" t="str">
        <f>'Decision Parameters'!B61</f>
        <v>Contract size is larger than typical contract but within our capabilities</v>
      </c>
      <c r="H66" s="28">
        <v>4</v>
      </c>
      <c r="N66" s="6"/>
      <c r="O66" s="6"/>
      <c r="P66" s="6"/>
      <c r="Q66" s="6"/>
      <c r="R66" s="6"/>
      <c r="S66" s="6"/>
      <c r="T66" s="6"/>
      <c r="U66" s="6"/>
      <c r="V66" s="6"/>
      <c r="W66" s="14"/>
      <c r="X66" s="14"/>
      <c r="Y66" s="14"/>
      <c r="Z66" s="14"/>
      <c r="AA66" s="14"/>
      <c r="AB66" s="14"/>
    </row>
    <row r="67" spans="7:28" s="44" customFormat="1" ht="12" customHeight="1" x14ac:dyDescent="0.35">
      <c r="G67" s="79" t="str">
        <f>'Decision Parameters'!B62</f>
        <v>Contract size is beyond our capabilities but justified by strategic importance of contract</v>
      </c>
      <c r="H67" s="28">
        <v>3</v>
      </c>
      <c r="N67" s="6"/>
      <c r="O67" s="6"/>
      <c r="P67" s="6"/>
      <c r="Q67" s="6"/>
      <c r="R67" s="6"/>
      <c r="S67" s="6"/>
      <c r="T67" s="6"/>
      <c r="U67" s="6"/>
      <c r="V67" s="6"/>
      <c r="W67" s="14"/>
      <c r="X67" s="14"/>
      <c r="Y67" s="14"/>
      <c r="Z67" s="14"/>
      <c r="AA67" s="14"/>
      <c r="AB67" s="14"/>
    </row>
    <row r="68" spans="7:28" s="44" customFormat="1" ht="12" customHeight="1" x14ac:dyDescent="0.35">
      <c r="G68" s="79" t="str">
        <f>'Decision Parameters'!B63</f>
        <v>Contract size is typical for our industry and organization</v>
      </c>
      <c r="H68" s="28">
        <v>2</v>
      </c>
      <c r="N68" s="6"/>
      <c r="O68" s="6"/>
      <c r="P68" s="6"/>
      <c r="Q68" s="6"/>
      <c r="R68" s="6"/>
      <c r="S68" s="6"/>
      <c r="T68" s="6"/>
      <c r="U68" s="6"/>
      <c r="V68" s="6"/>
      <c r="W68" s="14"/>
      <c r="X68" s="14"/>
      <c r="Y68" s="14"/>
      <c r="Z68" s="14"/>
      <c r="AA68" s="14"/>
      <c r="AB68" s="14"/>
    </row>
    <row r="69" spans="7:28" s="44" customFormat="1" ht="12" customHeight="1" x14ac:dyDescent="0.35">
      <c r="G69" s="79" t="str">
        <f>'Decision Parameters'!B64</f>
        <v>Contract size will challenge our organization to deliver or impose delivery risk</v>
      </c>
      <c r="H69" s="28">
        <v>1</v>
      </c>
      <c r="N69" s="6"/>
      <c r="O69" s="6"/>
      <c r="P69" s="6"/>
      <c r="Q69" s="6"/>
      <c r="R69" s="6"/>
      <c r="S69" s="6"/>
      <c r="T69" s="6"/>
      <c r="U69" s="6"/>
      <c r="V69" s="6"/>
      <c r="W69" s="14"/>
      <c r="X69" s="14"/>
      <c r="Y69" s="14"/>
      <c r="Z69" s="14"/>
      <c r="AA69" s="14"/>
      <c r="AB69" s="14"/>
    </row>
    <row r="70" spans="7:28" s="44" customFormat="1" ht="12" customHeight="1" x14ac:dyDescent="0.35">
      <c r="G70" s="1"/>
      <c r="H70"/>
      <c r="N70" s="6"/>
      <c r="O70" s="6"/>
      <c r="P70" s="6"/>
      <c r="Q70" s="6"/>
      <c r="R70" s="6"/>
      <c r="S70" s="6"/>
      <c r="T70" s="6"/>
      <c r="U70" s="6"/>
      <c r="V70" s="6"/>
      <c r="W70" s="14"/>
      <c r="X70" s="14"/>
      <c r="Y70" s="14"/>
      <c r="Z70" s="14"/>
      <c r="AA70" s="14"/>
      <c r="AB70" s="14"/>
    </row>
    <row r="71" spans="7:28" s="44" customFormat="1" ht="12" customHeight="1" x14ac:dyDescent="0.35">
      <c r="G71" s="79" t="str">
        <f>'Decision Parameters'!B66</f>
        <v>Rating increasing pursuit indication the most.</v>
      </c>
      <c r="H71" s="28">
        <v>4</v>
      </c>
      <c r="N71" s="6"/>
      <c r="O71" s="6"/>
      <c r="P71" s="6"/>
      <c r="Q71" s="6"/>
      <c r="R71" s="6"/>
      <c r="S71" s="6"/>
      <c r="T71" s="6"/>
      <c r="U71" s="6"/>
      <c r="V71" s="6"/>
      <c r="W71" s="14"/>
      <c r="X71" s="14"/>
      <c r="Y71" s="14"/>
      <c r="Z71" s="14"/>
      <c r="AA71" s="14"/>
      <c r="AB71" s="14"/>
    </row>
    <row r="72" spans="7:28" s="44" customFormat="1" ht="12" customHeight="1" x14ac:dyDescent="0.35">
      <c r="G72" s="79" t="str">
        <f>'Decision Parameters'!B67</f>
        <v>Rating increasing pursuit indication moderately</v>
      </c>
      <c r="H72" s="28">
        <v>3</v>
      </c>
      <c r="N72" s="6"/>
      <c r="O72" s="6"/>
      <c r="P72" s="6"/>
      <c r="Q72" s="6"/>
      <c r="R72" s="6"/>
      <c r="S72" s="6"/>
      <c r="T72" s="6"/>
      <c r="U72" s="6"/>
      <c r="V72" s="6"/>
      <c r="W72" s="14"/>
      <c r="X72" s="14"/>
      <c r="Y72" s="14"/>
      <c r="Z72" s="14"/>
      <c r="AA72" s="14"/>
      <c r="AB72" s="14"/>
    </row>
    <row r="73" spans="7:28" s="44" customFormat="1" ht="12" customHeight="1" x14ac:dyDescent="0.35">
      <c r="G73" s="79" t="str">
        <f>'Decision Parameters'!B68</f>
        <v>Rating decreasing pursuit indication</v>
      </c>
      <c r="H73" s="28">
        <v>2</v>
      </c>
      <c r="N73" s="6"/>
      <c r="O73" s="6"/>
      <c r="P73" s="6"/>
      <c r="Q73" s="6"/>
      <c r="R73" s="6"/>
      <c r="S73" s="6"/>
      <c r="T73" s="6"/>
      <c r="U73" s="6"/>
      <c r="V73" s="6"/>
      <c r="W73" s="14"/>
      <c r="X73" s="14"/>
      <c r="Y73" s="14"/>
      <c r="Z73" s="14"/>
      <c r="AA73" s="14"/>
      <c r="AB73" s="14"/>
    </row>
    <row r="74" spans="7:28" s="44" customFormat="1" x14ac:dyDescent="0.35">
      <c r="G74" s="79" t="str">
        <f>'Decision Parameters'!B69</f>
        <v>Rating making pursuit unwise</v>
      </c>
      <c r="H74" s="28">
        <v>1</v>
      </c>
      <c r="N74" s="6"/>
      <c r="O74" s="6"/>
      <c r="P74" s="6"/>
      <c r="Q74" s="6"/>
      <c r="R74" s="6"/>
      <c r="S74" s="6"/>
      <c r="T74" s="6"/>
      <c r="U74" s="6"/>
      <c r="V74" s="6"/>
      <c r="W74" s="14"/>
      <c r="X74" s="14"/>
      <c r="Y74" s="14"/>
      <c r="Z74" s="14"/>
      <c r="AA74" s="14"/>
      <c r="AB74" s="14"/>
    </row>
    <row r="75" spans="7:28" s="44" customFormat="1" x14ac:dyDescent="0.35">
      <c r="G75" s="73"/>
      <c r="H75"/>
      <c r="N75" s="3"/>
      <c r="O75" s="3"/>
      <c r="P75" s="3"/>
      <c r="Q75" s="3"/>
      <c r="R75" s="3"/>
      <c r="S75" s="3"/>
      <c r="T75" s="3"/>
      <c r="U75" s="3"/>
      <c r="V75" s="3"/>
    </row>
    <row r="76" spans="7:28" s="44" customFormat="1" x14ac:dyDescent="0.35">
      <c r="G76" s="74" t="str">
        <f>'Decision Parameters'!B71</f>
        <v>Rating increasing pursuit indication the most.</v>
      </c>
      <c r="H76" s="28">
        <v>4</v>
      </c>
      <c r="N76" s="3"/>
      <c r="O76" s="3"/>
      <c r="P76" s="3"/>
      <c r="Q76" s="3"/>
      <c r="R76" s="3"/>
      <c r="S76" s="3"/>
      <c r="T76" s="3"/>
      <c r="U76" s="3"/>
      <c r="V76" s="3"/>
    </row>
    <row r="77" spans="7:28" s="44" customFormat="1" x14ac:dyDescent="0.35">
      <c r="G77" s="74" t="str">
        <f>'Decision Parameters'!B72</f>
        <v>Rating increasing pursuit indication moderately</v>
      </c>
      <c r="H77" s="28">
        <v>3</v>
      </c>
      <c r="N77" s="3"/>
      <c r="O77" s="3"/>
      <c r="P77" s="3"/>
      <c r="Q77" s="3"/>
      <c r="R77" s="3"/>
      <c r="S77" s="3"/>
      <c r="T77" s="3"/>
      <c r="U77" s="3"/>
      <c r="V77" s="3"/>
    </row>
    <row r="78" spans="7:28" s="44" customFormat="1" x14ac:dyDescent="0.35">
      <c r="G78" s="74" t="str">
        <f>'Decision Parameters'!B73</f>
        <v>Rating decreasing pursuit indication</v>
      </c>
      <c r="H78" s="28">
        <v>2</v>
      </c>
      <c r="N78" s="3"/>
      <c r="O78" s="3"/>
      <c r="P78" s="3"/>
      <c r="Q78" s="3"/>
      <c r="R78" s="3"/>
      <c r="S78" s="3"/>
      <c r="T78" s="3"/>
      <c r="U78" s="3"/>
      <c r="V78" s="3"/>
    </row>
    <row r="79" spans="7:28" s="44" customFormat="1" x14ac:dyDescent="0.35">
      <c r="G79" s="74" t="str">
        <f>'Decision Parameters'!B74</f>
        <v>Rating making pursuit unwise</v>
      </c>
      <c r="H79" s="28">
        <v>1</v>
      </c>
      <c r="N79" s="3"/>
      <c r="O79" s="3"/>
      <c r="P79" s="3"/>
      <c r="Q79" s="3"/>
      <c r="R79" s="3"/>
      <c r="S79" s="3"/>
      <c r="T79" s="3"/>
      <c r="U79" s="3"/>
      <c r="V79" s="3"/>
    </row>
    <row r="80" spans="7:28" s="44" customFormat="1" x14ac:dyDescent="0.35">
      <c r="G80" s="74"/>
      <c r="H80" s="74"/>
      <c r="N80" s="3"/>
      <c r="O80" s="3"/>
      <c r="P80" s="3"/>
      <c r="Q80" s="3"/>
      <c r="R80" s="3"/>
      <c r="S80" s="3"/>
      <c r="T80" s="3"/>
      <c r="U80" s="3"/>
      <c r="V80" s="3"/>
    </row>
    <row r="81" spans="7:22" s="44" customFormat="1" x14ac:dyDescent="0.35">
      <c r="G81" s="74"/>
      <c r="H81" s="27"/>
      <c r="I81" s="3"/>
      <c r="N81" s="3"/>
      <c r="O81" s="3"/>
      <c r="P81" s="3"/>
      <c r="Q81" s="3"/>
      <c r="R81" s="3"/>
      <c r="S81" s="3"/>
      <c r="T81" s="3"/>
      <c r="U81" s="3"/>
      <c r="V81" s="3"/>
    </row>
    <row r="82" spans="7:22" s="44" customFormat="1" x14ac:dyDescent="0.35">
      <c r="G82" s="74"/>
      <c r="H82" s="27"/>
      <c r="I82" s="3"/>
      <c r="J82" s="3"/>
      <c r="K82" s="3"/>
      <c r="L82" s="3"/>
      <c r="M82" s="3"/>
      <c r="N82" s="3"/>
      <c r="O82" s="3"/>
      <c r="P82" s="3"/>
      <c r="Q82" s="3"/>
      <c r="R82" s="3"/>
      <c r="S82" s="3"/>
      <c r="T82" s="3"/>
      <c r="U82" s="3"/>
      <c r="V82" s="3"/>
    </row>
    <row r="83" spans="7:22" s="44" customFormat="1" x14ac:dyDescent="0.35">
      <c r="G83" s="74"/>
      <c r="H83" s="27"/>
      <c r="I83" s="3"/>
      <c r="J83" s="3"/>
      <c r="K83" s="3"/>
      <c r="L83" s="3"/>
      <c r="M83" s="3"/>
      <c r="N83" s="3"/>
      <c r="O83" s="3"/>
      <c r="P83" s="3"/>
      <c r="Q83" s="3"/>
      <c r="R83" s="3"/>
      <c r="S83" s="3"/>
      <c r="T83" s="3"/>
      <c r="U83" s="3"/>
      <c r="V83" s="3"/>
    </row>
    <row r="84" spans="7:22" s="44" customFormat="1" x14ac:dyDescent="0.35">
      <c r="G84" s="74"/>
      <c r="H84" s="27"/>
      <c r="I84" s="3"/>
      <c r="J84" s="3"/>
      <c r="K84" s="3"/>
      <c r="L84" s="3"/>
      <c r="M84" s="3"/>
      <c r="N84" s="3"/>
      <c r="O84" s="3"/>
      <c r="P84" s="3"/>
      <c r="Q84" s="3"/>
      <c r="R84" s="3"/>
      <c r="S84" s="3"/>
      <c r="T84" s="3"/>
      <c r="U84" s="3"/>
      <c r="V84" s="3"/>
    </row>
    <row r="85" spans="7:22" s="44" customFormat="1" x14ac:dyDescent="0.35">
      <c r="G85" s="74"/>
      <c r="H85" s="27"/>
      <c r="I85" s="3"/>
      <c r="J85" s="3"/>
      <c r="K85" s="3"/>
      <c r="L85" s="3"/>
      <c r="M85" s="3"/>
      <c r="N85" s="3"/>
      <c r="O85" s="3"/>
      <c r="P85" s="3"/>
      <c r="Q85" s="3"/>
      <c r="R85" s="3"/>
      <c r="S85" s="3"/>
      <c r="T85" s="3"/>
      <c r="U85" s="3"/>
      <c r="V85" s="3"/>
    </row>
    <row r="86" spans="7:22" s="44" customFormat="1" x14ac:dyDescent="0.35">
      <c r="G86" s="74"/>
      <c r="H86" s="27"/>
      <c r="I86" s="3"/>
      <c r="J86" s="3"/>
      <c r="K86" s="3"/>
      <c r="L86" s="3"/>
      <c r="M86" s="3"/>
      <c r="N86" s="3"/>
      <c r="O86" s="3"/>
      <c r="P86" s="3"/>
      <c r="Q86" s="3"/>
      <c r="R86" s="3"/>
      <c r="S86" s="3"/>
      <c r="T86" s="3"/>
      <c r="U86" s="3"/>
      <c r="V86" s="3"/>
    </row>
    <row r="87" spans="7:22" s="44" customFormat="1" x14ac:dyDescent="0.35">
      <c r="G87" s="74"/>
      <c r="H87" s="27"/>
      <c r="I87" s="3"/>
      <c r="J87" s="3"/>
      <c r="K87" s="3"/>
      <c r="L87" s="3"/>
      <c r="M87" s="3"/>
      <c r="N87" s="3"/>
      <c r="O87" s="3"/>
      <c r="P87" s="3"/>
      <c r="Q87" s="3"/>
      <c r="R87" s="3"/>
      <c r="S87" s="3"/>
      <c r="T87" s="3"/>
      <c r="U87" s="3"/>
      <c r="V87" s="3"/>
    </row>
    <row r="88" spans="7:22" s="44" customFormat="1" x14ac:dyDescent="0.35">
      <c r="G88" s="74"/>
      <c r="H88" s="27"/>
      <c r="I88" s="3"/>
      <c r="J88" s="3"/>
      <c r="K88" s="3"/>
      <c r="L88" s="3"/>
      <c r="M88" s="3"/>
      <c r="N88" s="3"/>
      <c r="O88" s="3"/>
      <c r="P88" s="3"/>
      <c r="Q88" s="3"/>
      <c r="R88" s="3"/>
      <c r="S88" s="3"/>
      <c r="T88" s="3"/>
      <c r="U88" s="3"/>
      <c r="V88" s="3"/>
    </row>
    <row r="89" spans="7:22" s="44" customFormat="1" x14ac:dyDescent="0.35">
      <c r="G89" s="74"/>
      <c r="H89" s="27"/>
      <c r="I89" s="3"/>
      <c r="J89" s="3"/>
      <c r="K89" s="3"/>
      <c r="L89" s="3"/>
      <c r="M89" s="3"/>
      <c r="N89" s="3"/>
      <c r="O89" s="3"/>
      <c r="P89" s="3"/>
      <c r="Q89" s="3"/>
      <c r="R89" s="3"/>
      <c r="S89" s="3"/>
      <c r="T89" s="3"/>
      <c r="U89" s="3"/>
      <c r="V89" s="3"/>
    </row>
    <row r="90" spans="7:22" s="44" customFormat="1" x14ac:dyDescent="0.35">
      <c r="G90" s="74"/>
      <c r="H90" s="27"/>
      <c r="I90" s="3"/>
      <c r="J90" s="3"/>
      <c r="K90" s="3"/>
      <c r="L90" s="3"/>
      <c r="M90" s="3"/>
      <c r="N90" s="3"/>
      <c r="O90" s="3"/>
      <c r="P90" s="3"/>
      <c r="Q90" s="3"/>
      <c r="R90" s="3"/>
      <c r="S90" s="3"/>
      <c r="T90" s="3"/>
      <c r="U90" s="3"/>
      <c r="V90" s="3"/>
    </row>
    <row r="91" spans="7:22" s="44" customFormat="1" x14ac:dyDescent="0.35">
      <c r="G91" s="74"/>
      <c r="H91" s="27"/>
      <c r="I91" s="3"/>
      <c r="J91" s="3"/>
      <c r="K91" s="3"/>
      <c r="L91" s="3"/>
      <c r="M91" s="3"/>
      <c r="N91" s="3"/>
      <c r="O91" s="3"/>
      <c r="P91" s="3"/>
      <c r="Q91" s="3"/>
      <c r="R91" s="3"/>
      <c r="S91" s="3"/>
      <c r="T91" s="3"/>
      <c r="U91" s="3"/>
      <c r="V91" s="3"/>
    </row>
    <row r="92" spans="7:22" s="44" customFormat="1" x14ac:dyDescent="0.35">
      <c r="G92" s="74"/>
      <c r="H92" s="27"/>
      <c r="I92" s="3"/>
      <c r="J92" s="3"/>
      <c r="K92" s="3"/>
      <c r="L92" s="3"/>
      <c r="M92" s="3"/>
      <c r="N92" s="3"/>
      <c r="O92" s="3"/>
      <c r="P92" s="3"/>
      <c r="Q92" s="3"/>
      <c r="R92" s="3"/>
      <c r="S92" s="3"/>
      <c r="T92" s="3"/>
      <c r="U92" s="3"/>
      <c r="V92" s="3"/>
    </row>
    <row r="93" spans="7:22" s="44" customFormat="1" x14ac:dyDescent="0.35">
      <c r="G93" s="74"/>
      <c r="H93" s="27"/>
      <c r="I93" s="3"/>
      <c r="J93" s="3"/>
      <c r="K93" s="3"/>
      <c r="L93" s="3"/>
      <c r="M93" s="3"/>
      <c r="N93" s="3"/>
      <c r="O93" s="3"/>
      <c r="P93" s="3"/>
      <c r="Q93" s="3"/>
      <c r="R93" s="3"/>
      <c r="S93" s="3"/>
      <c r="T93" s="3"/>
      <c r="U93" s="3"/>
      <c r="V93" s="3"/>
    </row>
    <row r="94" spans="7:22" s="44" customFormat="1" x14ac:dyDescent="0.35">
      <c r="G94" s="74"/>
      <c r="H94" s="27"/>
      <c r="I94" s="3"/>
      <c r="J94" s="3"/>
      <c r="K94" s="3"/>
      <c r="L94" s="3"/>
      <c r="M94" s="3"/>
      <c r="N94" s="3"/>
      <c r="O94" s="3"/>
      <c r="P94" s="3"/>
      <c r="Q94" s="3"/>
      <c r="R94" s="3"/>
      <c r="S94" s="3"/>
      <c r="T94" s="3"/>
      <c r="U94" s="3"/>
      <c r="V94" s="3"/>
    </row>
    <row r="95" spans="7:22" s="44" customFormat="1" x14ac:dyDescent="0.35">
      <c r="G95" s="74"/>
      <c r="H95" s="27"/>
      <c r="I95" s="3"/>
      <c r="J95" s="3"/>
      <c r="K95" s="3"/>
      <c r="L95" s="3"/>
      <c r="M95" s="3"/>
      <c r="N95" s="3"/>
      <c r="O95" s="3"/>
      <c r="P95" s="3"/>
      <c r="Q95" s="3"/>
      <c r="R95" s="3"/>
      <c r="S95" s="3"/>
      <c r="T95" s="3"/>
      <c r="U95" s="3"/>
      <c r="V95" s="3"/>
    </row>
    <row r="96" spans="7:22" s="44" customFormat="1" x14ac:dyDescent="0.35">
      <c r="G96" s="74"/>
      <c r="H96" s="27"/>
      <c r="I96" s="3"/>
      <c r="J96" s="3"/>
      <c r="K96" s="3"/>
      <c r="L96" s="3"/>
      <c r="M96" s="3"/>
      <c r="N96" s="3"/>
      <c r="O96" s="3"/>
      <c r="P96" s="3"/>
      <c r="Q96" s="3"/>
      <c r="R96" s="3"/>
      <c r="S96" s="3"/>
      <c r="T96" s="3"/>
      <c r="U96" s="3"/>
      <c r="V96" s="3"/>
    </row>
    <row r="97" spans="2:22" s="44" customFormat="1" x14ac:dyDescent="0.35">
      <c r="G97" s="74"/>
      <c r="H97" s="27"/>
      <c r="I97" s="3"/>
      <c r="J97" s="3"/>
      <c r="K97" s="3"/>
      <c r="L97" s="3"/>
      <c r="M97" s="3"/>
      <c r="N97" s="3"/>
      <c r="O97" s="3"/>
      <c r="P97" s="3"/>
      <c r="Q97" s="3"/>
      <c r="R97" s="3"/>
      <c r="S97" s="3"/>
      <c r="T97" s="3"/>
      <c r="U97" s="3"/>
      <c r="V97" s="3"/>
    </row>
    <row r="98" spans="2:22" s="44" customFormat="1" x14ac:dyDescent="0.35">
      <c r="G98" s="74"/>
      <c r="H98" s="27"/>
      <c r="I98" s="3"/>
      <c r="J98" s="3"/>
      <c r="K98" s="3"/>
      <c r="L98" s="3"/>
      <c r="M98" s="3"/>
      <c r="N98" s="3"/>
      <c r="O98" s="3"/>
      <c r="P98" s="3"/>
      <c r="Q98" s="3"/>
      <c r="R98" s="3"/>
      <c r="S98" s="3"/>
      <c r="T98" s="3"/>
      <c r="U98" s="3"/>
      <c r="V98" s="3"/>
    </row>
    <row r="99" spans="2:22" s="44" customFormat="1" x14ac:dyDescent="0.35">
      <c r="G99" s="71"/>
      <c r="H99" s="27"/>
      <c r="I99" s="3"/>
      <c r="J99" s="3"/>
      <c r="K99" s="3"/>
      <c r="L99" s="3"/>
      <c r="M99" s="3"/>
      <c r="N99" s="3"/>
      <c r="O99" s="3"/>
      <c r="P99" s="3"/>
      <c r="Q99" s="3"/>
      <c r="R99" s="3"/>
      <c r="S99" s="3"/>
      <c r="T99" s="3"/>
      <c r="U99" s="3"/>
      <c r="V99" s="3"/>
    </row>
    <row r="100" spans="2:22" s="44" customFormat="1" x14ac:dyDescent="0.35">
      <c r="G100" s="71"/>
      <c r="H100" s="27"/>
      <c r="I100" s="3"/>
      <c r="J100" s="3"/>
      <c r="K100" s="3"/>
      <c r="L100" s="3"/>
      <c r="M100" s="3"/>
      <c r="N100" s="3"/>
      <c r="O100" s="3"/>
      <c r="P100" s="3"/>
      <c r="Q100" s="3"/>
      <c r="R100" s="3"/>
      <c r="S100" s="3"/>
      <c r="T100" s="3"/>
      <c r="U100" s="3"/>
      <c r="V100" s="3"/>
    </row>
    <row r="101" spans="2:22" s="44" customFormat="1" x14ac:dyDescent="0.35">
      <c r="B101" s="3"/>
      <c r="C101" s="3"/>
      <c r="D101" s="3"/>
      <c r="E101" s="3"/>
      <c r="F101" s="3"/>
      <c r="G101" s="71"/>
      <c r="H101" s="27"/>
      <c r="I101" s="3"/>
      <c r="J101" s="3"/>
      <c r="K101" s="3"/>
      <c r="L101" s="3"/>
      <c r="M101" s="3"/>
      <c r="N101" s="3"/>
      <c r="O101" s="3"/>
      <c r="P101" s="3"/>
      <c r="Q101" s="3"/>
      <c r="R101" s="3"/>
      <c r="S101" s="3"/>
      <c r="T101" s="3"/>
      <c r="U101" s="3"/>
      <c r="V101" s="3"/>
    </row>
    <row r="102" spans="2:22" s="44" customFormat="1" x14ac:dyDescent="0.35">
      <c r="B102" s="3"/>
      <c r="C102" s="62"/>
      <c r="D102" s="3"/>
      <c r="E102" s="3"/>
      <c r="F102" s="3"/>
      <c r="G102" s="71"/>
      <c r="H102" s="27"/>
      <c r="I102" s="3"/>
      <c r="J102" s="3"/>
      <c r="K102" s="3"/>
      <c r="L102" s="3"/>
      <c r="M102" s="3"/>
      <c r="N102" s="3"/>
      <c r="O102" s="3"/>
      <c r="P102" s="3"/>
      <c r="Q102" s="3"/>
      <c r="R102" s="3"/>
      <c r="S102" s="3"/>
      <c r="T102" s="3"/>
      <c r="U102" s="3"/>
      <c r="V102" s="3"/>
    </row>
    <row r="103" spans="2:22" s="44" customFormat="1" x14ac:dyDescent="0.35">
      <c r="B103" s="3"/>
      <c r="C103" s="3"/>
      <c r="D103" s="3"/>
      <c r="E103" s="3"/>
      <c r="F103" s="3"/>
      <c r="G103" s="71"/>
      <c r="H103" s="27"/>
      <c r="I103" s="3"/>
      <c r="J103" s="3"/>
      <c r="K103" s="3"/>
      <c r="L103" s="3"/>
      <c r="M103" s="3"/>
      <c r="N103" s="3"/>
      <c r="O103" s="3"/>
      <c r="P103" s="3"/>
      <c r="Q103" s="3"/>
      <c r="R103" s="3"/>
      <c r="S103" s="3"/>
      <c r="T103" s="3"/>
      <c r="U103" s="3"/>
      <c r="V103" s="3"/>
    </row>
    <row r="104" spans="2:22" s="44" customFormat="1" x14ac:dyDescent="0.35">
      <c r="B104" s="3"/>
      <c r="C104" s="3"/>
      <c r="D104" s="3"/>
      <c r="E104" s="3"/>
      <c r="F104" s="3"/>
      <c r="G104" s="71"/>
      <c r="H104" s="27"/>
      <c r="I104" s="3"/>
      <c r="J104" s="3"/>
      <c r="K104" s="3"/>
      <c r="L104" s="3"/>
      <c r="M104" s="3"/>
      <c r="N104" s="3"/>
      <c r="O104" s="3"/>
      <c r="P104" s="3"/>
      <c r="Q104" s="3"/>
      <c r="R104" s="3"/>
      <c r="S104" s="3"/>
      <c r="T104" s="3"/>
      <c r="U104" s="3"/>
      <c r="V104" s="3"/>
    </row>
    <row r="105" spans="2:22" s="44" customFormat="1" x14ac:dyDescent="0.35">
      <c r="B105" s="3"/>
      <c r="C105" s="3"/>
      <c r="D105" s="3"/>
      <c r="E105" s="3"/>
      <c r="F105" s="3"/>
      <c r="G105" s="71"/>
      <c r="H105" s="27"/>
      <c r="I105" s="3"/>
      <c r="J105" s="3"/>
      <c r="K105" s="3"/>
      <c r="L105" s="3"/>
      <c r="M105" s="3"/>
      <c r="N105" s="3"/>
      <c r="O105" s="3"/>
      <c r="P105" s="3"/>
      <c r="Q105" s="3"/>
      <c r="R105" s="3"/>
      <c r="S105" s="3"/>
      <c r="T105" s="3"/>
      <c r="U105" s="3"/>
      <c r="V105" s="3"/>
    </row>
    <row r="106" spans="2:22" s="44" customFormat="1" x14ac:dyDescent="0.35">
      <c r="B106" s="3"/>
      <c r="C106" s="3"/>
      <c r="D106" s="3"/>
      <c r="E106" s="3"/>
      <c r="F106" s="3"/>
      <c r="G106" s="71"/>
      <c r="H106" s="27"/>
      <c r="I106" s="3"/>
      <c r="J106" s="3"/>
      <c r="K106" s="3"/>
      <c r="L106" s="3"/>
      <c r="M106" s="3"/>
      <c r="N106" s="3"/>
      <c r="O106" s="3"/>
      <c r="P106" s="3"/>
      <c r="Q106" s="3"/>
      <c r="R106" s="3"/>
      <c r="S106" s="3"/>
      <c r="T106" s="3"/>
      <c r="U106" s="3"/>
      <c r="V106" s="3"/>
    </row>
    <row r="107" spans="2:22" s="44" customFormat="1" x14ac:dyDescent="0.35">
      <c r="B107" s="3"/>
      <c r="C107" s="3"/>
      <c r="D107" s="3"/>
      <c r="E107" s="3"/>
      <c r="F107" s="3"/>
      <c r="G107" s="71"/>
      <c r="H107" s="27"/>
      <c r="I107" s="3"/>
      <c r="J107" s="3"/>
      <c r="K107" s="3"/>
      <c r="L107" s="3"/>
      <c r="M107" s="3"/>
      <c r="N107" s="3"/>
      <c r="O107" s="3"/>
      <c r="P107" s="3"/>
      <c r="Q107" s="3"/>
      <c r="R107" s="3"/>
      <c r="S107" s="3"/>
      <c r="T107" s="3"/>
      <c r="U107" s="3"/>
      <c r="V107" s="3"/>
    </row>
    <row r="108" spans="2:22" s="44" customFormat="1" x14ac:dyDescent="0.35">
      <c r="B108" s="3"/>
      <c r="C108" s="3"/>
      <c r="D108" s="3"/>
      <c r="E108" s="3"/>
      <c r="F108" s="3"/>
      <c r="G108" s="71"/>
      <c r="H108" s="27"/>
      <c r="I108" s="3"/>
      <c r="J108" s="3"/>
      <c r="K108" s="3"/>
      <c r="L108" s="3"/>
      <c r="M108" s="3"/>
      <c r="N108" s="3"/>
      <c r="O108" s="3"/>
      <c r="P108" s="3"/>
      <c r="Q108" s="3"/>
      <c r="R108" s="3"/>
      <c r="S108" s="3"/>
      <c r="T108" s="3"/>
      <c r="U108" s="3"/>
      <c r="V108" s="3"/>
    </row>
    <row r="109" spans="2:22" s="44" customFormat="1" x14ac:dyDescent="0.35">
      <c r="B109" s="3"/>
      <c r="C109" s="3"/>
      <c r="D109" s="3"/>
      <c r="E109" s="3"/>
      <c r="F109" s="3"/>
      <c r="G109" s="71"/>
      <c r="H109" s="27"/>
      <c r="I109" s="3"/>
      <c r="J109" s="3"/>
      <c r="K109" s="3"/>
      <c r="L109" s="3"/>
      <c r="M109" s="3"/>
      <c r="N109" s="3"/>
      <c r="O109" s="3"/>
      <c r="P109" s="3"/>
      <c r="Q109" s="3"/>
      <c r="R109" s="3"/>
      <c r="S109" s="3"/>
      <c r="T109" s="3"/>
      <c r="U109" s="3"/>
      <c r="V109" s="3"/>
    </row>
    <row r="110" spans="2:22" s="44" customFormat="1" x14ac:dyDescent="0.35">
      <c r="B110" s="3"/>
      <c r="C110" s="3"/>
      <c r="D110" s="3"/>
      <c r="E110" s="3"/>
      <c r="F110" s="3"/>
      <c r="G110" s="71"/>
      <c r="H110" s="27"/>
      <c r="I110" s="3"/>
      <c r="J110" s="3"/>
      <c r="K110" s="3"/>
      <c r="L110" s="3"/>
      <c r="M110" s="3"/>
      <c r="N110" s="3"/>
      <c r="O110" s="3"/>
      <c r="P110" s="3"/>
      <c r="Q110" s="3"/>
      <c r="R110" s="3"/>
      <c r="S110" s="3"/>
      <c r="T110" s="3"/>
      <c r="U110" s="3"/>
      <c r="V110" s="3"/>
    </row>
    <row r="111" spans="2:22" s="44" customFormat="1" x14ac:dyDescent="0.35">
      <c r="B111" s="3"/>
      <c r="C111" s="3"/>
      <c r="D111" s="3"/>
      <c r="E111" s="3"/>
      <c r="F111" s="3"/>
      <c r="G111" s="71"/>
      <c r="H111" s="27"/>
      <c r="I111" s="3"/>
      <c r="J111" s="3"/>
      <c r="K111" s="3"/>
      <c r="L111" s="3"/>
      <c r="M111" s="3"/>
      <c r="N111" s="3"/>
      <c r="O111" s="3"/>
      <c r="P111" s="3"/>
      <c r="Q111" s="3"/>
      <c r="R111" s="3"/>
      <c r="S111" s="3"/>
      <c r="T111" s="3"/>
      <c r="U111" s="3"/>
      <c r="V111" s="3"/>
    </row>
  </sheetData>
  <sheetProtection sheet="1" objects="1" scenarios="1" selectLockedCells="1"/>
  <mergeCells count="18">
    <mergeCell ref="B14:E14"/>
    <mergeCell ref="B15:E15"/>
    <mergeCell ref="A31:E31"/>
    <mergeCell ref="N5:R5"/>
    <mergeCell ref="A9:E9"/>
    <mergeCell ref="A8:E8"/>
    <mergeCell ref="A7:E7"/>
    <mergeCell ref="N10:R10"/>
    <mergeCell ref="N13:R13"/>
    <mergeCell ref="A10:E10"/>
    <mergeCell ref="A11:E11"/>
    <mergeCell ref="A13:B13"/>
    <mergeCell ref="C13:E13"/>
    <mergeCell ref="A1:E1"/>
    <mergeCell ref="A3:E3"/>
    <mergeCell ref="A4:E4"/>
    <mergeCell ref="A5:E5"/>
    <mergeCell ref="A12:E12"/>
  </mergeCells>
  <phoneticPr fontId="0" type="noConversion"/>
  <conditionalFormatting sqref="E23:E29">
    <cfRule type="expression" dxfId="3" priority="3">
      <formula>$D23:$D34&gt;0</formula>
    </cfRule>
  </conditionalFormatting>
  <conditionalFormatting sqref="D17:D29">
    <cfRule type="expression" dxfId="2" priority="1">
      <formula>$C17&gt;0</formula>
    </cfRule>
  </conditionalFormatting>
  <conditionalFormatting sqref="E19">
    <cfRule type="expression" dxfId="1" priority="8">
      <formula>$D19:$D32&gt;0</formula>
    </cfRule>
  </conditionalFormatting>
  <conditionalFormatting sqref="E17:E18 E20:E22">
    <cfRule type="expression" dxfId="0" priority="10">
      <formula>$D17:$D29&gt;0</formula>
    </cfRule>
  </conditionalFormatting>
  <conditionalFormatting sqref="E30">
    <cfRule type="colorScale" priority="12">
      <colorScale>
        <cfvo type="num" val="$I$18"/>
        <cfvo type="num" val="$I$17"/>
        <cfvo type="num" val="$I$16"/>
        <color rgb="FFFF0000"/>
        <color rgb="FFFFC000"/>
        <color rgb="FF006600"/>
      </colorScale>
    </cfRule>
  </conditionalFormatting>
  <dataValidations count="14">
    <dataValidation type="list" allowBlank="1" showErrorMessage="1" errorTitle="Entry Error" error="Please select one of the four ratings in the drop-down list." sqref="C28" xr:uid="{00000000-0002-0000-0000-000000000000}">
      <formula1>$G$71:$G$74</formula1>
    </dataValidation>
    <dataValidation type="list" allowBlank="1" showErrorMessage="1" errorTitle="Entry Error" error="Please select one of the four ratings in the drop-down list." sqref="C17" xr:uid="{00000000-0002-0000-0000-000001000000}">
      <formula1>$G$16:$G$19</formula1>
    </dataValidation>
    <dataValidation type="list" allowBlank="1" showErrorMessage="1" errorTitle="Entry Error" error="Please select one of the four ratings in the drop-down list." sqref="C18" xr:uid="{00000000-0002-0000-0000-000002000000}">
      <formula1>$G$21:$G$24</formula1>
    </dataValidation>
    <dataValidation type="list" allowBlank="1" showErrorMessage="1" errorTitle="Entry Error" error="Please select one of the four ratings in the drop-down list." sqref="C19" xr:uid="{00000000-0002-0000-0000-000003000000}">
      <formula1>$G$26:$G$29</formula1>
    </dataValidation>
    <dataValidation type="list" allowBlank="1" showErrorMessage="1" errorTitle="Entry Error" error="Please select one of the four ratings in the drop-down list." sqref="C20" xr:uid="{00000000-0002-0000-0000-000004000000}">
      <formula1>$G$31:$G$34</formula1>
    </dataValidation>
    <dataValidation type="list" allowBlank="1" showErrorMessage="1" errorTitle="Entry Error" error="Please select one of the four ratings in the drop-down list." sqref="C21" xr:uid="{00000000-0002-0000-0000-000005000000}">
      <formula1>$G$36:$G$39</formula1>
    </dataValidation>
    <dataValidation type="list" allowBlank="1" showErrorMessage="1" errorTitle="Entry Error" error="Please select one of the four ratings in the drop-down list." sqref="C22" xr:uid="{00000000-0002-0000-0000-000006000000}">
      <formula1>$G$41:$G$44</formula1>
    </dataValidation>
    <dataValidation type="list" allowBlank="1" showErrorMessage="1" errorTitle="Entry Error" error="Please select one of the four ratings in the drop-down list." sqref="C23" xr:uid="{00000000-0002-0000-0000-000007000000}">
      <formula1>$G$46:$G$49</formula1>
    </dataValidation>
    <dataValidation type="list" allowBlank="1" showErrorMessage="1" errorTitle="Entry Error" error="Please select one of the four ratings in the drop-down list." sqref="C24" xr:uid="{00000000-0002-0000-0000-000008000000}">
      <formula1>$G$51:$G$54</formula1>
    </dataValidation>
    <dataValidation type="list" allowBlank="1" showErrorMessage="1" errorTitle="Entry Error" error="Please select one of the four ratings in the drop-down list." sqref="C25" xr:uid="{00000000-0002-0000-0000-000009000000}">
      <formula1>$G$56:$G$59</formula1>
    </dataValidation>
    <dataValidation type="list" allowBlank="1" showErrorMessage="1" errorTitle="Entry Error" error="Please select one of the four ratings in the drop-down list." sqref="C26" xr:uid="{00000000-0002-0000-0000-00000A000000}">
      <formula1>$G$61:$G$64</formula1>
    </dataValidation>
    <dataValidation type="list" allowBlank="1" showErrorMessage="1" errorTitle="Entry Error" error="Please select one of the four ratings in the drop-down list." sqref="C27" xr:uid="{00000000-0002-0000-0000-00000B000000}">
      <formula1>$G$66:$G$69</formula1>
    </dataValidation>
    <dataValidation type="list" allowBlank="1" showErrorMessage="1" errorTitle="Entry Error" error="Please select one of the four ratings in the drop-down list." sqref="C29" xr:uid="{00000000-0002-0000-0000-00000C000000}">
      <formula1>$G$76:$G$79</formula1>
    </dataValidation>
    <dataValidation type="decimal" operator="greaterThanOrEqual" allowBlank="1" showInputMessage="1" showErrorMessage="1" errorTitle="Invalid Entry" error="Please enter a weight increment greater than -10. (An increment of -10 lowers contribution of the factor to zero.)" promptTitle="Weight Increment" prompt="If factor is of average importance, leave blank._x000a__x000a_Positive increments raise importance by 10 percent each. Negative increments lower importance by 10 percent each." sqref="B17:B29" xr:uid="{00000000-0002-0000-0000-00000D000000}">
      <formula1>-10</formula1>
    </dataValidation>
  </dataValidations>
  <printOptions horizontalCentered="1" verticalCentered="1"/>
  <pageMargins left="0.59895833333333304" right="0.59895833333333304" top="1" bottom="1" header="0.5" footer="0.5"/>
  <pageSetup orientation="landscape" verticalDpi="300" r:id="rId1"/>
  <headerFooter alignWithMargins="0">
    <oddFooter>&amp;L&amp;9Copyright 2012 Shipley Associates&amp;C&amp;9&amp;D&amp;R&amp;9&amp;P</oddFooter>
  </headerFooter>
  <ignoredErrors>
    <ignoredError sqref="A23:A26 A28:A29 A17:A20" unlockedFormula="1"/>
    <ignoredError sqref="E30"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BFC0C5"/>
  </sheetPr>
  <dimension ref="A1:E75"/>
  <sheetViews>
    <sheetView workbookViewId="0">
      <selection activeCell="A21" sqref="A21"/>
    </sheetView>
  </sheetViews>
  <sheetFormatPr defaultRowHeight="12.75" x14ac:dyDescent="0.35"/>
  <cols>
    <col min="1" max="1" width="24.59765625" customWidth="1"/>
    <col min="2" max="2" width="71.3984375" customWidth="1"/>
    <col min="3" max="3" width="7.1328125" customWidth="1"/>
    <col min="4" max="4" width="15.3984375" customWidth="1"/>
  </cols>
  <sheetData>
    <row r="1" spans="1:5" ht="13.15" x14ac:dyDescent="0.4">
      <c r="A1" s="102" t="s">
        <v>55</v>
      </c>
      <c r="B1" s="102"/>
      <c r="C1" s="102"/>
      <c r="D1" s="102"/>
      <c r="E1" s="102"/>
    </row>
    <row r="2" spans="1:5" x14ac:dyDescent="0.35">
      <c r="A2" s="105" t="s">
        <v>84</v>
      </c>
      <c r="B2" s="105"/>
      <c r="C2" s="105"/>
      <c r="D2" s="105"/>
      <c r="E2" s="105"/>
    </row>
    <row r="3" spans="1:5" x14ac:dyDescent="0.35">
      <c r="A3" s="103" t="s">
        <v>85</v>
      </c>
      <c r="B3" s="103"/>
      <c r="C3" s="103"/>
      <c r="D3" s="103"/>
      <c r="E3" s="103"/>
    </row>
    <row r="4" spans="1:5" x14ac:dyDescent="0.35">
      <c r="A4" s="83" t="s">
        <v>86</v>
      </c>
      <c r="B4" s="83"/>
      <c r="C4" s="83"/>
      <c r="D4" s="83"/>
      <c r="E4" s="83"/>
    </row>
    <row r="5" spans="1:5" x14ac:dyDescent="0.35">
      <c r="A5" s="104" t="s">
        <v>93</v>
      </c>
      <c r="B5" s="104"/>
      <c r="C5" s="104"/>
      <c r="D5" s="104"/>
      <c r="E5" s="104"/>
    </row>
    <row r="6" spans="1:5" x14ac:dyDescent="0.35">
      <c r="A6" s="83" t="s">
        <v>87</v>
      </c>
      <c r="B6" s="83"/>
      <c r="C6" s="83"/>
      <c r="D6" s="83"/>
      <c r="E6" s="83"/>
    </row>
    <row r="7" spans="1:5" x14ac:dyDescent="0.35">
      <c r="A7" s="83" t="s">
        <v>88</v>
      </c>
      <c r="B7" s="83"/>
      <c r="C7" s="83"/>
      <c r="D7" s="83"/>
      <c r="E7" s="83"/>
    </row>
    <row r="8" spans="1:5" x14ac:dyDescent="0.35">
      <c r="A8" s="83"/>
      <c r="B8" s="83"/>
      <c r="C8" s="83"/>
      <c r="D8" s="83"/>
      <c r="E8" s="83"/>
    </row>
    <row r="9" spans="1:5" ht="25.15" x14ac:dyDescent="0.35">
      <c r="A9" s="101" t="s">
        <v>40</v>
      </c>
      <c r="B9" s="101"/>
      <c r="C9" s="101"/>
      <c r="D9" s="101"/>
      <c r="E9" s="101"/>
    </row>
    <row r="10" spans="1:5" x14ac:dyDescent="0.35">
      <c r="A10" s="65" t="s">
        <v>3</v>
      </c>
      <c r="B10" s="47" t="s">
        <v>41</v>
      </c>
      <c r="C10" s="48" t="s">
        <v>1</v>
      </c>
      <c r="D10" s="39" t="s">
        <v>48</v>
      </c>
      <c r="E10" s="39" t="s">
        <v>52</v>
      </c>
    </row>
    <row r="11" spans="1:5" x14ac:dyDescent="0.35">
      <c r="A11" s="75" t="s">
        <v>4</v>
      </c>
      <c r="B11" s="59" t="s">
        <v>11</v>
      </c>
      <c r="C11" s="28">
        <v>4</v>
      </c>
      <c r="D11" s="66" t="s">
        <v>49</v>
      </c>
      <c r="E11" s="58">
        <v>3.5</v>
      </c>
    </row>
    <row r="12" spans="1:5" x14ac:dyDescent="0.35">
      <c r="A12" s="5"/>
      <c r="B12" s="59" t="s">
        <v>12</v>
      </c>
      <c r="C12" s="28">
        <v>3</v>
      </c>
      <c r="D12" s="66" t="s">
        <v>50</v>
      </c>
      <c r="E12" s="58">
        <v>2.5</v>
      </c>
    </row>
    <row r="13" spans="1:5" x14ac:dyDescent="0.35">
      <c r="A13" s="5"/>
      <c r="B13" s="59" t="s">
        <v>13</v>
      </c>
      <c r="C13" s="28">
        <v>2</v>
      </c>
      <c r="D13" s="66" t="s">
        <v>51</v>
      </c>
      <c r="E13" s="58">
        <v>1.5</v>
      </c>
    </row>
    <row r="14" spans="1:5" x14ac:dyDescent="0.35">
      <c r="A14" s="14"/>
      <c r="B14" s="57" t="s">
        <v>14</v>
      </c>
      <c r="C14" s="28">
        <v>1</v>
      </c>
      <c r="D14" s="66"/>
      <c r="E14" s="28"/>
    </row>
    <row r="15" spans="1:5" x14ac:dyDescent="0.35">
      <c r="A15" s="15"/>
      <c r="D15" s="66"/>
      <c r="E15" s="28"/>
    </row>
    <row r="16" spans="1:5" x14ac:dyDescent="0.35">
      <c r="A16" s="76" t="s">
        <v>53</v>
      </c>
      <c r="B16" s="59" t="s">
        <v>15</v>
      </c>
      <c r="C16" s="28">
        <v>4</v>
      </c>
      <c r="D16" s="66"/>
      <c r="E16" s="28"/>
    </row>
    <row r="17" spans="1:5" x14ac:dyDescent="0.35">
      <c r="A17" s="14"/>
      <c r="B17" s="59" t="s">
        <v>16</v>
      </c>
      <c r="C17" s="28">
        <v>3</v>
      </c>
      <c r="D17" s="12"/>
      <c r="E17" s="28"/>
    </row>
    <row r="18" spans="1:5" x14ac:dyDescent="0.35">
      <c r="A18" s="14"/>
      <c r="B18" s="59" t="s">
        <v>17</v>
      </c>
      <c r="C18" s="28">
        <v>2</v>
      </c>
      <c r="D18" s="28"/>
      <c r="E18" s="28"/>
    </row>
    <row r="19" spans="1:5" x14ac:dyDescent="0.35">
      <c r="A19" s="14"/>
      <c r="B19" s="59" t="s">
        <v>18</v>
      </c>
      <c r="C19" s="28">
        <v>1</v>
      </c>
      <c r="D19" s="28"/>
      <c r="E19" s="28"/>
    </row>
    <row r="20" spans="1:5" x14ac:dyDescent="0.35">
      <c r="A20" s="14"/>
      <c r="D20" s="28"/>
      <c r="E20" s="28"/>
    </row>
    <row r="21" spans="1:5" x14ac:dyDescent="0.35">
      <c r="A21" s="76" t="s">
        <v>54</v>
      </c>
      <c r="B21" s="59" t="s">
        <v>19</v>
      </c>
      <c r="C21" s="28">
        <v>4</v>
      </c>
      <c r="D21" s="27"/>
      <c r="E21" s="27"/>
    </row>
    <row r="22" spans="1:5" x14ac:dyDescent="0.35">
      <c r="A22" s="14"/>
      <c r="B22" s="59" t="s">
        <v>20</v>
      </c>
      <c r="C22" s="28">
        <v>3</v>
      </c>
      <c r="D22" s="27"/>
      <c r="E22" s="27"/>
    </row>
    <row r="23" spans="1:5" x14ac:dyDescent="0.35">
      <c r="A23" s="14"/>
      <c r="B23" s="59" t="s">
        <v>21</v>
      </c>
      <c r="C23" s="28">
        <v>2</v>
      </c>
      <c r="D23" s="27"/>
      <c r="E23" s="27"/>
    </row>
    <row r="24" spans="1:5" x14ac:dyDescent="0.35">
      <c r="A24" s="14"/>
      <c r="B24" s="59" t="s">
        <v>22</v>
      </c>
      <c r="C24" s="28">
        <v>1</v>
      </c>
      <c r="D24" s="27"/>
      <c r="E24" s="27"/>
    </row>
    <row r="25" spans="1:5" x14ac:dyDescent="0.35">
      <c r="A25" s="14"/>
      <c r="D25" s="27"/>
      <c r="E25" s="27"/>
    </row>
    <row r="26" spans="1:5" x14ac:dyDescent="0.35">
      <c r="A26" s="76" t="s">
        <v>74</v>
      </c>
      <c r="B26" s="59" t="s">
        <v>23</v>
      </c>
      <c r="C26" s="28">
        <v>4</v>
      </c>
      <c r="D26" s="27"/>
      <c r="E26" s="27"/>
    </row>
    <row r="27" spans="1:5" x14ac:dyDescent="0.35">
      <c r="A27" s="14"/>
      <c r="B27" s="59" t="s">
        <v>24</v>
      </c>
      <c r="C27" s="28">
        <v>3</v>
      </c>
      <c r="D27" s="27"/>
      <c r="E27" s="27"/>
    </row>
    <row r="28" spans="1:5" x14ac:dyDescent="0.35">
      <c r="A28" s="14"/>
      <c r="B28" s="59" t="s">
        <v>80</v>
      </c>
      <c r="C28" s="28">
        <v>2</v>
      </c>
      <c r="D28" s="27"/>
      <c r="E28" s="27"/>
    </row>
    <row r="29" spans="1:5" x14ac:dyDescent="0.35">
      <c r="A29" s="14"/>
      <c r="B29" s="59" t="s">
        <v>81</v>
      </c>
      <c r="C29" s="28">
        <v>1</v>
      </c>
      <c r="D29" s="27"/>
      <c r="E29" s="27"/>
    </row>
    <row r="30" spans="1:5" x14ac:dyDescent="0.35">
      <c r="A30" s="14"/>
      <c r="D30" s="27"/>
      <c r="E30" s="27"/>
    </row>
    <row r="31" spans="1:5" x14ac:dyDescent="0.35">
      <c r="A31" s="76" t="s">
        <v>76</v>
      </c>
      <c r="B31" s="59" t="s">
        <v>77</v>
      </c>
      <c r="C31" s="28">
        <v>4</v>
      </c>
      <c r="D31" s="27"/>
      <c r="E31" s="27"/>
    </row>
    <row r="32" spans="1:5" x14ac:dyDescent="0.35">
      <c r="A32" s="14"/>
      <c r="B32" s="59" t="s">
        <v>78</v>
      </c>
      <c r="C32" s="28">
        <v>3</v>
      </c>
      <c r="D32" s="27"/>
      <c r="E32" s="27"/>
    </row>
    <row r="33" spans="1:5" x14ac:dyDescent="0.35">
      <c r="A33" s="14"/>
      <c r="B33" s="59" t="s">
        <v>82</v>
      </c>
      <c r="C33" s="28">
        <v>2</v>
      </c>
      <c r="D33" s="27"/>
      <c r="E33" s="27"/>
    </row>
    <row r="34" spans="1:5" x14ac:dyDescent="0.35">
      <c r="A34" s="14"/>
      <c r="B34" s="59" t="s">
        <v>79</v>
      </c>
      <c r="C34" s="28">
        <v>1</v>
      </c>
      <c r="D34" s="27"/>
      <c r="E34" s="27"/>
    </row>
    <row r="35" spans="1:5" x14ac:dyDescent="0.35">
      <c r="A35" s="14"/>
      <c r="D35" s="27"/>
      <c r="E35" s="27"/>
    </row>
    <row r="36" spans="1:5" x14ac:dyDescent="0.35">
      <c r="A36" s="76" t="s">
        <v>75</v>
      </c>
      <c r="B36" s="59" t="s">
        <v>25</v>
      </c>
      <c r="C36" s="28">
        <v>4</v>
      </c>
      <c r="D36" s="29"/>
      <c r="E36" s="29"/>
    </row>
    <row r="37" spans="1:5" x14ac:dyDescent="0.35">
      <c r="A37" s="14"/>
      <c r="B37" s="59" t="s">
        <v>26</v>
      </c>
      <c r="C37" s="28">
        <v>3</v>
      </c>
      <c r="D37" s="27"/>
      <c r="E37" s="27"/>
    </row>
    <row r="38" spans="1:5" x14ac:dyDescent="0.35">
      <c r="A38" s="14"/>
      <c r="B38" s="59" t="s">
        <v>27</v>
      </c>
      <c r="C38" s="28">
        <v>2</v>
      </c>
      <c r="D38" s="27"/>
      <c r="E38" s="27"/>
    </row>
    <row r="39" spans="1:5" x14ac:dyDescent="0.35">
      <c r="A39" s="14"/>
      <c r="B39" s="59" t="s">
        <v>83</v>
      </c>
      <c r="C39" s="28">
        <v>1</v>
      </c>
      <c r="D39" s="27"/>
      <c r="E39" s="27"/>
    </row>
    <row r="40" spans="1:5" x14ac:dyDescent="0.35">
      <c r="A40" s="14"/>
      <c r="D40" s="27"/>
      <c r="E40" s="27"/>
    </row>
    <row r="41" spans="1:5" x14ac:dyDescent="0.35">
      <c r="A41" s="76" t="s">
        <v>5</v>
      </c>
      <c r="B41" s="59" t="s">
        <v>28</v>
      </c>
      <c r="C41" s="28">
        <v>4</v>
      </c>
      <c r="D41" s="27"/>
      <c r="E41" s="27"/>
    </row>
    <row r="42" spans="1:5" x14ac:dyDescent="0.35">
      <c r="A42" s="14"/>
      <c r="B42" s="59" t="s">
        <v>29</v>
      </c>
      <c r="C42" s="28">
        <v>3</v>
      </c>
      <c r="D42" s="27"/>
      <c r="E42" s="27"/>
    </row>
    <row r="43" spans="1:5" x14ac:dyDescent="0.35">
      <c r="A43" s="14"/>
      <c r="B43" s="59" t="s">
        <v>30</v>
      </c>
      <c r="C43" s="28">
        <v>2</v>
      </c>
      <c r="D43" s="27"/>
      <c r="E43" s="27"/>
    </row>
    <row r="44" spans="1:5" x14ac:dyDescent="0.35">
      <c r="A44" s="14"/>
      <c r="B44" s="59" t="s">
        <v>31</v>
      </c>
      <c r="C44" s="28">
        <v>1</v>
      </c>
      <c r="D44" s="27"/>
      <c r="E44" s="27"/>
    </row>
    <row r="45" spans="1:5" x14ac:dyDescent="0.35">
      <c r="A45" s="14"/>
      <c r="D45" s="27"/>
      <c r="E45" s="27"/>
    </row>
    <row r="46" spans="1:5" x14ac:dyDescent="0.35">
      <c r="A46" s="76" t="s">
        <v>6</v>
      </c>
      <c r="B46" s="59" t="s">
        <v>32</v>
      </c>
      <c r="C46" s="28">
        <v>4</v>
      </c>
      <c r="D46" s="27"/>
      <c r="E46" s="27"/>
    </row>
    <row r="47" spans="1:5" x14ac:dyDescent="0.35">
      <c r="A47" s="14"/>
      <c r="B47" s="59" t="s">
        <v>33</v>
      </c>
      <c r="C47" s="28">
        <v>3</v>
      </c>
      <c r="D47" s="27"/>
      <c r="E47" s="27"/>
    </row>
    <row r="48" spans="1:5" x14ac:dyDescent="0.35">
      <c r="A48" s="14"/>
      <c r="B48" s="59" t="s">
        <v>34</v>
      </c>
      <c r="C48" s="28">
        <v>2</v>
      </c>
      <c r="D48" s="27"/>
      <c r="E48" s="27"/>
    </row>
    <row r="49" spans="1:5" x14ac:dyDescent="0.35">
      <c r="A49" s="14"/>
      <c r="B49" s="59" t="s">
        <v>35</v>
      </c>
      <c r="C49" s="28">
        <v>1</v>
      </c>
      <c r="D49" s="27"/>
      <c r="E49" s="27"/>
    </row>
    <row r="50" spans="1:5" x14ac:dyDescent="0.35">
      <c r="A50" s="14"/>
      <c r="D50" s="27"/>
      <c r="E50" s="27"/>
    </row>
    <row r="51" spans="1:5" x14ac:dyDescent="0.35">
      <c r="A51" s="76" t="s">
        <v>8</v>
      </c>
      <c r="B51" s="59" t="s">
        <v>36</v>
      </c>
      <c r="C51" s="28">
        <v>4</v>
      </c>
      <c r="D51" s="27"/>
      <c r="E51" s="27"/>
    </row>
    <row r="52" spans="1:5" x14ac:dyDescent="0.35">
      <c r="A52" s="14"/>
      <c r="B52" s="59" t="s">
        <v>37</v>
      </c>
      <c r="C52" s="28">
        <v>3</v>
      </c>
      <c r="D52" s="27"/>
      <c r="E52" s="27"/>
    </row>
    <row r="53" spans="1:5" x14ac:dyDescent="0.35">
      <c r="A53" s="14"/>
      <c r="B53" s="59" t="s">
        <v>38</v>
      </c>
      <c r="C53" s="28">
        <v>2</v>
      </c>
      <c r="D53" s="27"/>
      <c r="E53" s="27"/>
    </row>
    <row r="54" spans="1:5" x14ac:dyDescent="0.35">
      <c r="A54" s="14"/>
      <c r="B54" s="59" t="s">
        <v>39</v>
      </c>
      <c r="C54" s="28">
        <v>1</v>
      </c>
      <c r="D54" s="27"/>
      <c r="E54" s="27"/>
    </row>
    <row r="55" spans="1:5" x14ac:dyDescent="0.35">
      <c r="A55" s="14"/>
      <c r="D55" s="27"/>
      <c r="E55" s="27"/>
    </row>
    <row r="56" spans="1:5" x14ac:dyDescent="0.35">
      <c r="A56" s="76" t="s">
        <v>7</v>
      </c>
      <c r="B56" s="59" t="s">
        <v>59</v>
      </c>
      <c r="C56" s="28">
        <v>4</v>
      </c>
      <c r="D56" s="27"/>
      <c r="E56" s="27"/>
    </row>
    <row r="57" spans="1:5" x14ac:dyDescent="0.35">
      <c r="A57" s="14"/>
      <c r="B57" s="59" t="s">
        <v>56</v>
      </c>
      <c r="C57" s="28">
        <v>3</v>
      </c>
      <c r="D57" s="27"/>
      <c r="E57" s="27"/>
    </row>
    <row r="58" spans="1:5" x14ac:dyDescent="0.35">
      <c r="A58" s="14"/>
      <c r="B58" s="59" t="s">
        <v>57</v>
      </c>
      <c r="C58" s="28">
        <v>2</v>
      </c>
      <c r="D58" s="27"/>
      <c r="E58" s="27"/>
    </row>
    <row r="59" spans="1:5" x14ac:dyDescent="0.35">
      <c r="A59" s="14"/>
      <c r="B59" s="59" t="s">
        <v>58</v>
      </c>
      <c r="C59" s="28">
        <v>1</v>
      </c>
      <c r="D59" s="27"/>
      <c r="E59" s="27"/>
    </row>
    <row r="60" spans="1:5" x14ac:dyDescent="0.35">
      <c r="A60" s="14"/>
      <c r="D60" s="27"/>
      <c r="E60" s="27"/>
    </row>
    <row r="61" spans="1:5" x14ac:dyDescent="0.35">
      <c r="A61" s="76" t="s">
        <v>73</v>
      </c>
      <c r="B61" s="59" t="s">
        <v>89</v>
      </c>
      <c r="C61" s="28">
        <v>4</v>
      </c>
      <c r="D61" s="27"/>
      <c r="E61" s="27"/>
    </row>
    <row r="62" spans="1:5" x14ac:dyDescent="0.35">
      <c r="A62" s="14"/>
      <c r="B62" s="59" t="s">
        <v>90</v>
      </c>
      <c r="C62" s="28">
        <v>3</v>
      </c>
      <c r="D62" s="27"/>
      <c r="E62" s="27"/>
    </row>
    <row r="63" spans="1:5" x14ac:dyDescent="0.35">
      <c r="A63" s="14"/>
      <c r="B63" s="59" t="s">
        <v>91</v>
      </c>
      <c r="C63" s="28">
        <v>2</v>
      </c>
      <c r="D63" s="27"/>
      <c r="E63" s="27"/>
    </row>
    <row r="64" spans="1:5" x14ac:dyDescent="0.35">
      <c r="A64" s="14"/>
      <c r="B64" s="59" t="s">
        <v>92</v>
      </c>
      <c r="C64" s="28">
        <v>1</v>
      </c>
      <c r="D64" s="27"/>
      <c r="E64" s="27"/>
    </row>
    <row r="65" spans="1:5" x14ac:dyDescent="0.35">
      <c r="A65" s="14"/>
      <c r="D65" s="27"/>
      <c r="E65" s="27"/>
    </row>
    <row r="66" spans="1:5" x14ac:dyDescent="0.35">
      <c r="A66" s="77" t="s">
        <v>42</v>
      </c>
      <c r="B66" s="78" t="s">
        <v>43</v>
      </c>
      <c r="C66" s="28">
        <v>4</v>
      </c>
      <c r="D66" s="6"/>
      <c r="E66" s="6"/>
    </row>
    <row r="67" spans="1:5" x14ac:dyDescent="0.35">
      <c r="A67" s="14"/>
      <c r="B67" s="78" t="s">
        <v>71</v>
      </c>
      <c r="C67" s="28">
        <v>3</v>
      </c>
      <c r="D67" s="27"/>
      <c r="E67" s="27"/>
    </row>
    <row r="68" spans="1:5" x14ac:dyDescent="0.35">
      <c r="A68" s="14"/>
      <c r="B68" s="78" t="s">
        <v>44</v>
      </c>
      <c r="C68" s="28">
        <v>2</v>
      </c>
      <c r="D68" s="27"/>
      <c r="E68" s="27"/>
    </row>
    <row r="69" spans="1:5" x14ac:dyDescent="0.35">
      <c r="A69" s="14"/>
      <c r="B69" s="78" t="s">
        <v>45</v>
      </c>
      <c r="C69" s="28">
        <v>1</v>
      </c>
      <c r="D69" s="27"/>
      <c r="E69" s="27"/>
    </row>
    <row r="70" spans="1:5" x14ac:dyDescent="0.35">
      <c r="A70" s="14"/>
      <c r="D70" s="27"/>
      <c r="E70" s="27"/>
    </row>
    <row r="71" spans="1:5" x14ac:dyDescent="0.35">
      <c r="A71" s="77" t="s">
        <v>42</v>
      </c>
      <c r="B71" s="78" t="s">
        <v>43</v>
      </c>
      <c r="C71" s="28">
        <v>4</v>
      </c>
      <c r="D71" s="6"/>
      <c r="E71" s="6"/>
    </row>
    <row r="72" spans="1:5" x14ac:dyDescent="0.35">
      <c r="A72" s="14"/>
      <c r="B72" s="78" t="s">
        <v>71</v>
      </c>
      <c r="C72" s="28">
        <v>3</v>
      </c>
      <c r="D72" s="27"/>
      <c r="E72" s="27"/>
    </row>
    <row r="73" spans="1:5" x14ac:dyDescent="0.35">
      <c r="A73" s="14"/>
      <c r="B73" s="78" t="s">
        <v>44</v>
      </c>
      <c r="C73" s="28">
        <v>2</v>
      </c>
      <c r="D73" s="27"/>
      <c r="E73" s="27"/>
    </row>
    <row r="74" spans="1:5" x14ac:dyDescent="0.35">
      <c r="A74" s="14"/>
      <c r="B74" s="78" t="s">
        <v>45</v>
      </c>
      <c r="C74" s="28">
        <v>1</v>
      </c>
      <c r="D74" s="27"/>
      <c r="E74" s="27"/>
    </row>
    <row r="75" spans="1:5" x14ac:dyDescent="0.35">
      <c r="A75" s="14"/>
      <c r="D75" s="27"/>
      <c r="E75" s="27"/>
    </row>
  </sheetData>
  <sheetProtection sheet="1" objects="1" scenarios="1" selectLockedCells="1"/>
  <mergeCells count="9">
    <mergeCell ref="A8:E8"/>
    <mergeCell ref="A9:E9"/>
    <mergeCell ref="A1:E1"/>
    <mergeCell ref="A3:E3"/>
    <mergeCell ref="A4:E4"/>
    <mergeCell ref="A5:E5"/>
    <mergeCell ref="A6:E6"/>
    <mergeCell ref="A7:E7"/>
    <mergeCell ref="A2:E2"/>
  </mergeCells>
  <pageMargins left="0.25" right="0.25"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lcf76f155ced4ddcb4097134ff3c332f xmlns="f2466082-b6bf-4153-98c3-3c41e85fda18">
      <Terms xmlns="http://schemas.microsoft.com/office/infopath/2007/PartnerControls"/>
    </lcf76f155ced4ddcb4097134ff3c332f>
    <TaxCatchAll xmlns="dc808d36-874f-4b27-aec2-2fd64981792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392103-9300-4CED-B4C9-7B5EEC18F156}">
  <ds:schemaRefs>
    <ds:schemaRef ds:uri="http://schemas.microsoft.com/office/2006/metadata/properties"/>
    <ds:schemaRef ds:uri="99350507-4738-4c41-a2be-5d89ece47f02"/>
  </ds:schemaRefs>
</ds:datastoreItem>
</file>

<file path=customXml/itemProps2.xml><?xml version="1.0" encoding="utf-8"?>
<ds:datastoreItem xmlns:ds="http://schemas.openxmlformats.org/officeDocument/2006/customXml" ds:itemID="{DAC33E77-B9C1-4F29-B72E-AF75FAB6BD00}"/>
</file>

<file path=customXml/itemProps3.xml><?xml version="1.0" encoding="utf-8"?>
<ds:datastoreItem xmlns:ds="http://schemas.openxmlformats.org/officeDocument/2006/customXml" ds:itemID="{0DBBD3BE-4BC6-4612-97BF-00E49C567B0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Bid Decision Calculator</vt:lpstr>
      <vt:lpstr>Decision Parameters</vt:lpstr>
      <vt:lpstr>'Bid Decision Calculator'!Print_Area</vt:lpstr>
      <vt:lpstr>'Bid Decision Calculator'!Print_Titles</vt:lpstr>
    </vt:vector>
  </TitlesOfParts>
  <Company>Shipley Associates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Shipley Bid Decision Calculator v1.0.1</dc:title>
  <dc:creator>Michael Humm &amp; David Wagner</dc:creator>
  <dc:description>Copyright 2013 Shipley Associates</dc:description>
  <cp:lastModifiedBy>Eric</cp:lastModifiedBy>
  <cp:lastPrinted>2012-12-05T18:53:42Z</cp:lastPrinted>
  <dcterms:created xsi:type="dcterms:W3CDTF">2001-02-05T22:00:16Z</dcterms:created>
  <dcterms:modified xsi:type="dcterms:W3CDTF">2022-03-05T15:33:28Z</dcterms:modified>
  <cp:category>Tools &amp; Templates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0x010100CA0DD38B69D9C94CB780A95DAD5D9FE8</vt:lpwstr>
  </property>
</Properties>
</file>