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tables/table10.xml" ContentType="application/vnd.openxmlformats-officedocument.spreadsheetml.table+xml"/>
  <Override PartName="/xl/drawings/drawing13.xml" ContentType="application/vnd.openxmlformats-officedocument.drawing+xml"/>
  <Override PartName="/xl/comments3.xml" ContentType="application/vnd.openxmlformats-officedocument.spreadsheetml.comments+xml"/>
  <Override PartName="/xl/drawings/drawing14.xml" ContentType="application/vnd.openxmlformats-officedocument.drawing+xml"/>
  <Override PartName="/xl/tables/table11.xml" ContentType="application/vnd.openxmlformats-officedocument.spreadsheetml.table+xml"/>
  <Override PartName="/xl/drawings/drawing15.xml" ContentType="application/vnd.openxmlformats-officedocument.drawing+xml"/>
  <Override PartName="/xl/tables/table12.xml" ContentType="application/vnd.openxmlformats-officedocument.spreadsheetml.table+xml"/>
  <Override PartName="/xl/drawings/drawing16.xml" ContentType="application/vnd.openxmlformats-officedocument.drawing+xml"/>
  <Override PartName="/xl/tables/table13.xml" ContentType="application/vnd.openxmlformats-officedocument.spreadsheetml.table+xml"/>
  <Override PartName="/xl/drawings/drawing17.xml" ContentType="application/vnd.openxmlformats-officedocument.drawing+xml"/>
  <Override PartName="/xl/tables/table14.xml" ContentType="application/vnd.openxmlformats-officedocument.spreadsheetml.table+xml"/>
  <Override PartName="/xl/drawings/drawing18.xml" ContentType="application/vnd.openxmlformats-officedocument.drawing+xml"/>
  <Override PartName="/xl/tables/table15.xml" ContentType="application/vnd.openxmlformats-officedocument.spreadsheetml.table+xml"/>
  <Override PartName="/xl/drawings/drawing19.xml" ContentType="application/vnd.openxmlformats-officedocument.drawing+xml"/>
  <Override PartName="/xl/tables/table16.xml" ContentType="application/vnd.openxmlformats-officedocument.spreadsheetml.table+xml"/>
  <Override PartName="/xl/drawings/drawing20.xml" ContentType="application/vnd.openxmlformats-officedocument.drawing+xml"/>
  <Override PartName="/xl/tables/table17.xml" ContentType="application/vnd.openxmlformats-officedocument.spreadsheetml.table+xml"/>
  <Override PartName="/xl/drawings/drawing21.xml" ContentType="application/vnd.openxmlformats-officedocument.drawing+xml"/>
  <Override PartName="/xl/tables/table18.xml" ContentType="application/vnd.openxmlformats-officedocument.spreadsheetml.table+xml"/>
  <Override PartName="/xl/drawings/drawing22.xml" ContentType="application/vnd.openxmlformats-officedocument.drawing+xml"/>
  <Override PartName="/xl/tables/table19.xml" ContentType="application/vnd.openxmlformats-officedocument.spreadsheetml.table+xml"/>
  <Override PartName="/xl/drawings/drawing23.xml" ContentType="application/vnd.openxmlformats-officedocument.drawing+xml"/>
  <Override PartName="/xl/tables/table20.xml" ContentType="application/vnd.openxmlformats-officedocument.spreadsheetml.table+xml"/>
  <Override PartName="/xl/drawings/drawing24.xml" ContentType="application/vnd.openxmlformats-officedocument.drawing+xml"/>
  <Override PartName="/xl/tables/table21.xml" ContentType="application/vnd.openxmlformats-officedocument.spreadsheetml.table+xml"/>
  <Override PartName="/xl/drawings/drawing25.xml" ContentType="application/vnd.openxmlformats-officedocument.drawing+xml"/>
  <Override PartName="/xl/tables/table22.xml" ContentType="application/vnd.openxmlformats-officedocument.spreadsheetml.table+xml"/>
  <Override PartName="/xl/drawings/drawing26.xml" ContentType="application/vnd.openxmlformats-officedocument.drawing+xml"/>
  <Override PartName="/xl/tables/table23.xml" ContentType="application/vnd.openxmlformats-officedocument.spreadsheetml.table+xml"/>
  <Override PartName="/xl/drawings/drawing27.xml" ContentType="application/vnd.openxmlformats-officedocument.drawing+xml"/>
  <Override PartName="/xl/tables/table24.xml" ContentType="application/vnd.openxmlformats-officedocument.spreadsheetml.table+xml"/>
  <Override PartName="/xl/drawings/drawing28.xml" ContentType="application/vnd.openxmlformats-officedocument.drawing+xml"/>
  <Override PartName="/xl/tables/table25.xml" ContentType="application/vnd.openxmlformats-officedocument.spreadsheetml.table+xml"/>
  <Override PartName="/xl/drawings/drawing29.xml" ContentType="application/vnd.openxmlformats-officedocument.drawing+xml"/>
  <Override PartName="/xl/drawings/drawing30.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codeName="ThisWorkbook"/>
  <mc:AlternateContent xmlns:mc="http://schemas.openxmlformats.org/markup-compatibility/2006">
    <mc:Choice Requires="x15">
      <x15ac:absPath xmlns:x15ac="http://schemas.microsoft.com/office/spreadsheetml/2010/11/ac" url="https://shipleyassociates-my.sharepoint.com/personal/gallred_shipleywins_com/Documents/Documents 1/Training/Most Current Versions of Files/Moved to OneDrive/"/>
    </mc:Choice>
  </mc:AlternateContent>
  <xr:revisionPtr revIDLastSave="11" documentId="8_{6CBFB121-A8A5-4E65-8281-DB460297DB18}" xr6:coauthVersionLast="47" xr6:coauthVersionMax="47" xr10:uidLastSave="{FE5DA649-272A-4ADC-A5FF-E68DBA274C59}"/>
  <bookViews>
    <workbookView xWindow="20370" yWindow="-120" windowWidth="29040" windowHeight="15720" tabRatio="575" firstSheet="1" activeTab="1" xr2:uid="{00000000-000D-0000-FFFF-FFFF00000000}"/>
  </bookViews>
  <sheets>
    <sheet name="Cover" sheetId="32" r:id="rId1"/>
    <sheet name="TOC" sheetId="8" r:id="rId2"/>
    <sheet name="Executive Overview" sheetId="11" r:id="rId3"/>
    <sheet name="Pwin Parameters" sheetId="2" r:id="rId4"/>
    <sheet name="Pwin Calculator" sheetId="1" r:id="rId5"/>
    <sheet name="Opp Description" sheetId="9" r:id="rId6"/>
    <sheet name="Cust Profile" sheetId="10" r:id="rId7"/>
    <sheet name="Hot Buttons" sheetId="12" r:id="rId8"/>
    <sheet name="Competitive Intel 1" sheetId="13" r:id="rId9"/>
    <sheet name="Competitive Intel 2" sheetId="14" r:id="rId10"/>
    <sheet name="Our Position Pt 1" sheetId="30" r:id="rId11"/>
    <sheet name="Our Position Pt 2" sheetId="31" r:id="rId12"/>
    <sheet name="Winning Price" sheetId="15" r:id="rId13"/>
    <sheet name="PTW Window" sheetId="37" r:id="rId14"/>
    <sheet name="Bidder Comparison" sheetId="3" r:id="rId15"/>
    <sheet name="Leverage" sheetId="16" r:id="rId16"/>
    <sheet name="Mitigate" sheetId="17" r:id="rId17"/>
    <sheet name="Exploit" sheetId="18" r:id="rId18"/>
    <sheet name="Neutralize" sheetId="19" r:id="rId19"/>
    <sheet name="Teaming" sheetId="36" r:id="rId20"/>
    <sheet name="ISW" sheetId="7" r:id="rId21"/>
    <sheet name="Win Themes" sheetId="25" r:id="rId22"/>
    <sheet name="Benefit-Feature" sheetId="26" r:id="rId23"/>
    <sheet name="Cust Contact" sheetId="20" r:id="rId24"/>
    <sheet name="Cust Stakeholders" sheetId="27" r:id="rId25"/>
    <sheet name="Intel Collection" sheetId="21" r:id="rId26"/>
    <sheet name="Solution Development" sheetId="23" r:id="rId27"/>
    <sheet name="Contingency" sheetId="22" r:id="rId28"/>
    <sheet name="Risk" sheetId="24" r:id="rId29"/>
    <sheet name="Preliminary Bid CL" sheetId="38" r:id="rId30"/>
    <sheet name="Preliminary Bid Planning" sheetId="39" r:id="rId31"/>
    <sheet name="90-Day Action Plan Schedule" sheetId="6" r:id="rId32"/>
  </sheets>
  <definedNames>
    <definedName name="_xlnm.Print_Area" localSheetId="14">'Bidder Comparison'!$A$1:$J$16</definedName>
    <definedName name="_xlnm.Print_Area" localSheetId="8">'Competitive Intel 1'!$A$1:$B$8</definedName>
    <definedName name="_xlnm.Print_Area" localSheetId="4">'Pwin Calculator'!$A$13:$E$31</definedName>
    <definedName name="_xlnm.Print_Area" localSheetId="3">'Pwin Parameters'!$A$9:$E$74</definedName>
    <definedName name="_xlnm.Print_Titles" localSheetId="31">'90-Day Action Plan Schedule'!$A:$B</definedName>
    <definedName name="_xlnm.Print_Titles" localSheetId="4">'Pwin Calculator'!$13:$16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 l="1"/>
  <c r="D23" i="1"/>
  <c r="D22" i="1"/>
  <c r="D21" i="1"/>
  <c r="D20" i="1"/>
  <c r="D19" i="1"/>
  <c r="D18" i="1"/>
  <c r="D17" i="1"/>
  <c r="E18" i="1" l="1"/>
  <c r="D5" i="3"/>
  <c r="F5" i="3"/>
  <c r="H5" i="3"/>
  <c r="D6" i="3"/>
  <c r="F6" i="3"/>
  <c r="H6" i="3"/>
  <c r="D7" i="3"/>
  <c r="F7" i="3"/>
  <c r="H7" i="3"/>
  <c r="D8" i="3"/>
  <c r="F8" i="3"/>
  <c r="H8" i="3"/>
  <c r="D9" i="3"/>
  <c r="F9" i="3"/>
  <c r="H9" i="3"/>
  <c r="D10" i="3"/>
  <c r="F10" i="3"/>
  <c r="H10" i="3"/>
  <c r="D11" i="3"/>
  <c r="F11" i="3"/>
  <c r="H11" i="3"/>
  <c r="D12" i="3"/>
  <c r="F12" i="3"/>
  <c r="H12" i="3"/>
  <c r="D13" i="3"/>
  <c r="F13" i="3"/>
  <c r="H13" i="3"/>
  <c r="D14" i="3"/>
  <c r="F14" i="3"/>
  <c r="H14" i="3"/>
  <c r="F15" i="3"/>
  <c r="D15" i="3"/>
  <c r="D29" i="1"/>
  <c r="E29" i="1" s="1"/>
  <c r="D28" i="1"/>
  <c r="E28" i="1" s="1"/>
  <c r="D27" i="1"/>
  <c r="E27" i="1" s="1"/>
  <c r="D26" i="1"/>
  <c r="E26" i="1" s="1"/>
  <c r="D25" i="1"/>
  <c r="E25" i="1" s="1"/>
  <c r="E24" i="1"/>
  <c r="E23" i="1"/>
  <c r="E22" i="1"/>
  <c r="E21" i="1"/>
  <c r="E20" i="1"/>
  <c r="E19" i="1"/>
  <c r="E17" i="1"/>
  <c r="E30" i="1" l="1"/>
  <c r="F16" i="3"/>
  <c r="A17" i="1"/>
  <c r="D3" i="6"/>
  <c r="E3" i="6" s="1"/>
  <c r="F3" i="6" s="1"/>
  <c r="G3" i="6" s="1"/>
  <c r="H3" i="6" s="1"/>
  <c r="I3" i="6" s="1"/>
  <c r="J3" i="6" s="1"/>
  <c r="K3" i="6" s="1"/>
  <c r="L3" i="6" s="1"/>
  <c r="M3" i="6" s="1"/>
  <c r="N3" i="6" s="1"/>
  <c r="O3" i="6" s="1"/>
  <c r="P3" i="6" s="1"/>
  <c r="Q3" i="6" s="1"/>
  <c r="R3" i="6" s="1"/>
  <c r="S3" i="6" s="1"/>
  <c r="T3" i="6" s="1"/>
  <c r="U3" i="6" s="1"/>
  <c r="V3" i="6" s="1"/>
  <c r="W3" i="6" s="1"/>
  <c r="X3" i="6" s="1"/>
  <c r="Y3" i="6" s="1"/>
  <c r="Z3" i="6" s="1"/>
  <c r="AA3" i="6" s="1"/>
  <c r="AB3" i="6" s="1"/>
  <c r="AC3" i="6" s="1"/>
  <c r="AD3" i="6" s="1"/>
  <c r="AE3" i="6" s="1"/>
  <c r="AF3" i="6" s="1"/>
  <c r="AG3" i="6" s="1"/>
  <c r="BN3" i="6"/>
  <c r="BO3" i="6" s="1"/>
  <c r="BP3" i="6" s="1"/>
  <c r="BQ3" i="6" s="1"/>
  <c r="BR3" i="6" s="1"/>
  <c r="BS3" i="6" s="1"/>
  <c r="BT3" i="6" s="1"/>
  <c r="BU3" i="6" s="1"/>
  <c r="BV3" i="6" s="1"/>
  <c r="BW3" i="6" s="1"/>
  <c r="BX3" i="6" s="1"/>
  <c r="BY3" i="6" s="1"/>
  <c r="BZ3" i="6" s="1"/>
  <c r="CA3" i="6" s="1"/>
  <c r="CB3" i="6" s="1"/>
  <c r="CC3" i="6" s="1"/>
  <c r="CD3" i="6" s="1"/>
  <c r="CE3" i="6" s="1"/>
  <c r="CF3" i="6" s="1"/>
  <c r="CG3" i="6" s="1"/>
  <c r="CH3" i="6" s="1"/>
  <c r="CI3" i="6" s="1"/>
  <c r="CJ3" i="6" s="1"/>
  <c r="CK3" i="6" s="1"/>
  <c r="CL3" i="6" s="1"/>
  <c r="CM3" i="6" s="1"/>
  <c r="CN3" i="6" s="1"/>
  <c r="CO3" i="6" s="1"/>
  <c r="CP3" i="6" s="1"/>
  <c r="CQ3" i="6" s="1"/>
  <c r="AI3" i="6"/>
  <c r="AJ3" i="6" s="1"/>
  <c r="AK3" i="6" s="1"/>
  <c r="AL3" i="6" s="1"/>
  <c r="AM3" i="6" s="1"/>
  <c r="AN3" i="6" s="1"/>
  <c r="AO3" i="6" s="1"/>
  <c r="AP3" i="6" s="1"/>
  <c r="AQ3" i="6" s="1"/>
  <c r="AR3" i="6" s="1"/>
  <c r="AS3" i="6" s="1"/>
  <c r="AT3" i="6" s="1"/>
  <c r="AU3" i="6" s="1"/>
  <c r="AV3" i="6" s="1"/>
  <c r="AW3" i="6" s="1"/>
  <c r="AX3" i="6" s="1"/>
  <c r="AY3" i="6" s="1"/>
  <c r="AZ3" i="6" s="1"/>
  <c r="BA3" i="6" s="1"/>
  <c r="BB3" i="6" s="1"/>
  <c r="BC3" i="6" s="1"/>
  <c r="BD3" i="6" s="1"/>
  <c r="BE3" i="6" s="1"/>
  <c r="BF3" i="6" s="1"/>
  <c r="BG3" i="6" s="1"/>
  <c r="BH3" i="6" s="1"/>
  <c r="BI3" i="6" s="1"/>
  <c r="BJ3" i="6" s="1"/>
  <c r="BK3" i="6" s="1"/>
  <c r="BL3" i="6" s="1"/>
  <c r="J15" i="3" l="1"/>
  <c r="H15" i="3"/>
  <c r="J14" i="3"/>
  <c r="J13" i="3"/>
  <c r="J12" i="3"/>
  <c r="J11" i="3"/>
  <c r="J10" i="3"/>
  <c r="J9" i="3"/>
  <c r="J8" i="3"/>
  <c r="J7" i="3"/>
  <c r="J6" i="3"/>
  <c r="J5" i="3"/>
  <c r="J16" i="3" l="1"/>
  <c r="H16" i="3"/>
  <c r="D16" i="3"/>
  <c r="A21" i="1"/>
  <c r="A22" i="1"/>
  <c r="A27" i="1"/>
  <c r="A28" i="1" l="1"/>
  <c r="A26" i="1"/>
  <c r="A25" i="1"/>
  <c r="A24" i="1"/>
  <c r="A23" i="1"/>
  <c r="A29" i="1"/>
  <c r="A20" i="1"/>
  <c r="A19" i="1"/>
  <c r="A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Wagner</author>
  </authors>
  <commentList>
    <comment ref="A10" authorId="0" shapeId="0" xr:uid="{00000000-0006-0000-0100-000001000000}">
      <text>
        <r>
          <rPr>
            <b/>
            <sz val="9"/>
            <color indexed="81"/>
            <rFont val="Arial"/>
            <family val="2"/>
          </rPr>
          <t>Pwin Factors:</t>
        </r>
        <r>
          <rPr>
            <sz val="9"/>
            <color indexed="81"/>
            <rFont val="Arial"/>
            <family val="2"/>
          </rPr>
          <t xml:space="preserve">
Modify or enter factors that influence your organization's decisions to pursue business opportunities.
</t>
        </r>
        <r>
          <rPr>
            <b/>
            <sz val="9"/>
            <color indexed="81"/>
            <rFont val="Arial"/>
            <family val="2"/>
          </rPr>
          <t xml:space="preserve">Hint:
</t>
        </r>
        <r>
          <rPr>
            <sz val="9"/>
            <color indexed="81"/>
            <rFont val="Arial"/>
            <family val="2"/>
          </rPr>
          <t>Up to two additional factors can be added by replacing the "other" entries below.</t>
        </r>
      </text>
    </comment>
    <comment ref="B10" authorId="0" shapeId="0" xr:uid="{00000000-0006-0000-0100-000002000000}">
      <text>
        <r>
          <rPr>
            <b/>
            <sz val="9"/>
            <color indexed="81"/>
            <rFont val="Arial"/>
            <family val="2"/>
          </rPr>
          <t>Win Factor Ratings:</t>
        </r>
        <r>
          <rPr>
            <sz val="9"/>
            <color indexed="81"/>
            <rFont val="Arial"/>
            <family val="2"/>
          </rPr>
          <t xml:space="preserve">
Use the existing ratings or substitute your own. Factors must be arranged in descending order, from those mostly strongly suggesting pursuit to those suggesting the opportunity should be abandoned.
</t>
        </r>
        <r>
          <rPr>
            <b/>
            <sz val="9"/>
            <color indexed="81"/>
            <rFont val="Arial"/>
            <family val="2"/>
          </rPr>
          <t xml:space="preserve">Hint:
</t>
        </r>
        <r>
          <rPr>
            <sz val="9"/>
            <color indexed="81"/>
            <rFont val="Arial"/>
            <family val="2"/>
          </rPr>
          <t xml:space="preserve">When "other" factors are added, four applicable ratings </t>
        </r>
        <r>
          <rPr>
            <b/>
            <sz val="9"/>
            <color indexed="81"/>
            <rFont val="Arial"/>
            <family val="2"/>
          </rPr>
          <t>must</t>
        </r>
        <r>
          <rPr>
            <sz val="9"/>
            <color indexed="81"/>
            <rFont val="Arial"/>
            <family val="2"/>
          </rPr>
          <t xml:space="preserve"> be created.</t>
        </r>
      </text>
    </comment>
    <comment ref="C10" authorId="0" shapeId="0" xr:uid="{00000000-0006-0000-0100-000003000000}">
      <text>
        <r>
          <rPr>
            <b/>
            <sz val="9"/>
            <color indexed="81"/>
            <rFont val="Arial"/>
            <family val="2"/>
          </rPr>
          <t>Points:</t>
        </r>
        <r>
          <rPr>
            <sz val="9"/>
            <color indexed="81"/>
            <rFont val="Arial"/>
            <family val="2"/>
          </rPr>
          <t xml:space="preserve">
This column cannot be modified.</t>
        </r>
      </text>
    </comment>
    <comment ref="D10" authorId="0" shapeId="0" xr:uid="{00000000-0006-0000-0100-000004000000}">
      <text>
        <r>
          <rPr>
            <b/>
            <sz val="9"/>
            <color indexed="81"/>
            <rFont val="Arial"/>
            <family val="2"/>
          </rPr>
          <t>Breakpoints:</t>
        </r>
        <r>
          <rPr>
            <sz val="9"/>
            <color indexed="81"/>
            <rFont val="Arial"/>
            <family val="2"/>
          </rPr>
          <t xml:space="preserve">
Values in the column to the right control color shading of the Result cell on the Pwin Calculator worksheet. These labels cannot be modified.</t>
        </r>
      </text>
    </comment>
    <comment ref="E10" authorId="0" shapeId="0" xr:uid="{00000000-0006-0000-0100-000005000000}">
      <text>
        <r>
          <rPr>
            <b/>
            <sz val="9"/>
            <color indexed="81"/>
            <rFont val="Arial"/>
            <family val="2"/>
          </rPr>
          <t xml:space="preserve">Values:
</t>
        </r>
        <r>
          <rPr>
            <sz val="9"/>
            <color indexed="81"/>
            <rFont val="Arial"/>
            <family val="2"/>
          </rPr>
          <t>Think carefully before changing these breakpoint values. The calculator treats ratings below the "abandon pursuit" level as negatives. When factors have high weighting increments, this prevents them from incorrectly raising the pursuit indication.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P. Humm</author>
    <author>David Wagner</author>
  </authors>
  <commentList>
    <comment ref="A16" authorId="0" shapeId="0" xr:uid="{00000000-0006-0000-0000-000001000000}">
      <text>
        <r>
          <rPr>
            <b/>
            <sz val="9"/>
            <color indexed="81"/>
            <rFont val="Arial"/>
            <family val="2"/>
          </rPr>
          <t>Pwin Factor:</t>
        </r>
        <r>
          <rPr>
            <sz val="9"/>
            <color indexed="81"/>
            <rFont val="Arial"/>
            <family val="2"/>
          </rPr>
          <t xml:space="preserve">
Pwin factors carry over from the Pwin Parameters worksheet. You cannot enter them in this column.</t>
        </r>
      </text>
    </comment>
    <comment ref="B16" authorId="0" shapeId="0" xr:uid="{00000000-0006-0000-0000-000002000000}">
      <text>
        <r>
          <rPr>
            <b/>
            <sz val="9"/>
            <color indexed="81"/>
            <rFont val="Arial"/>
            <family val="2"/>
          </rPr>
          <t xml:space="preserve">Weight Increment:
</t>
        </r>
        <r>
          <rPr>
            <sz val="9"/>
            <color indexed="81"/>
            <rFont val="Arial"/>
            <family val="2"/>
          </rPr>
          <t xml:space="preserve">The default assumption is that all parameters are of equal importance in your organization's decision making. If a factor is significantly more or less important than others, enter a weighting increment. Each positive increment equals a 10 percent higher importance. Each negative increment lowers the importance by 10 percent.
For example, an increment of +1 means the factor is 10 percent more important than average. An increment of 2.5 indicates 25 percent greater importance. Likewise, an increment of -3 signifies 30 percent lower importance.
</t>
        </r>
        <r>
          <rPr>
            <b/>
            <sz val="9"/>
            <color indexed="81"/>
            <rFont val="Arial"/>
            <family val="2"/>
          </rPr>
          <t>Hint:</t>
        </r>
        <r>
          <rPr>
            <sz val="9"/>
            <color indexed="81"/>
            <rFont val="Arial"/>
            <family val="2"/>
          </rPr>
          <t xml:space="preserve">
If one factor does not apply to this opportunity, enter a weight increment of -10. That will reduce its contribution to the final score to zero.</t>
        </r>
      </text>
    </comment>
    <comment ref="C16" authorId="1" shapeId="0" xr:uid="{00000000-0006-0000-0000-000003000000}">
      <text>
        <r>
          <rPr>
            <b/>
            <sz val="9"/>
            <color indexed="81"/>
            <rFont val="Arial"/>
            <family val="2"/>
          </rPr>
          <t xml:space="preserve">Win Factor Rating: </t>
        </r>
        <r>
          <rPr>
            <sz val="9"/>
            <color indexed="81"/>
            <rFont val="Arial"/>
            <family val="2"/>
          </rPr>
          <t xml:space="preserve">
Click on the on cell first, then click the arrow at the far right of the cell to see the drop-down list.
</t>
        </r>
        <r>
          <rPr>
            <b/>
            <sz val="9"/>
            <color indexed="81"/>
            <rFont val="Arial"/>
            <family val="2"/>
          </rPr>
          <t>Hint:</t>
        </r>
        <r>
          <rPr>
            <sz val="9"/>
            <color indexed="81"/>
            <rFont val="Arial"/>
            <family val="2"/>
          </rPr>
          <t xml:space="preserve">
If the rating options are not appropriate for your organization or the opportunity, modify them on the Pwin Parameters worksheet.
</t>
        </r>
      </text>
    </comment>
    <comment ref="D16" authorId="1" shapeId="0" xr:uid="{00000000-0006-0000-0000-000004000000}">
      <text>
        <r>
          <rPr>
            <b/>
            <sz val="9"/>
            <color indexed="81"/>
            <rFont val="Arial"/>
            <family val="2"/>
          </rPr>
          <t>Points:</t>
        </r>
        <r>
          <rPr>
            <sz val="9"/>
            <color indexed="81"/>
            <rFont val="Arial"/>
            <family val="2"/>
          </rPr>
          <t xml:space="preserve">
Points are assigned automatically, based on Pwin factor ratings.</t>
        </r>
      </text>
    </comment>
    <comment ref="E16" authorId="1" shapeId="0" xr:uid="{00000000-0006-0000-0000-000005000000}">
      <text>
        <r>
          <rPr>
            <b/>
            <sz val="9"/>
            <color indexed="81"/>
            <rFont val="Arial"/>
            <family val="2"/>
          </rPr>
          <t xml:space="preserve">Score:
</t>
        </r>
        <r>
          <rPr>
            <sz val="9"/>
            <color indexed="81"/>
            <rFont val="Arial"/>
            <family val="2"/>
          </rPr>
          <t xml:space="preserve">Scores are calculated automatically, taking into account factor ratings,  weighting increments, and breakpoint values entered in the Pwin Parameters worksheet.
Scores are indexed to the </t>
        </r>
        <r>
          <rPr>
            <i/>
            <sz val="9"/>
            <color indexed="81"/>
            <rFont val="Arial"/>
            <family val="2"/>
          </rPr>
          <t>abandon pursuit</t>
        </r>
        <r>
          <rPr>
            <sz val="9"/>
            <color indexed="81"/>
            <rFont val="Arial"/>
            <family val="2"/>
          </rPr>
          <t xml:space="preserve"> breakpoint. Point values below that breakpoint will generate negative scores.
Do not expect scores to exactly match their corresponding point values. Several things enter into the calculation.
</t>
        </r>
        <r>
          <rPr>
            <b/>
            <sz val="9"/>
            <color indexed="81"/>
            <rFont val="Arial"/>
            <family val="2"/>
          </rPr>
          <t xml:space="preserve">Hint:
</t>
        </r>
        <r>
          <rPr>
            <sz val="9"/>
            <color indexed="81"/>
            <rFont val="Arial"/>
            <family val="2"/>
          </rPr>
          <t xml:space="preserve">Scores contributing to the result turn gray. Blank scores have no impact on the pursuit recommendation.
</t>
        </r>
      </text>
    </comment>
    <comment ref="D30" authorId="1" shapeId="0" xr:uid="{00000000-0006-0000-0000-000006000000}">
      <text>
        <r>
          <rPr>
            <b/>
            <sz val="9"/>
            <color indexed="81"/>
            <rFont val="Arial"/>
            <family val="2"/>
          </rPr>
          <t>Result:</t>
        </r>
        <r>
          <rPr>
            <sz val="9"/>
            <color indexed="81"/>
            <rFont val="Arial"/>
            <family val="2"/>
          </rPr>
          <t xml:space="preserve">
Result is the average of non-zero scores. Factors for which ratings were not entered or a weighting increment of -10 was applied are not factored into calculation.
</t>
        </r>
        <r>
          <rPr>
            <b/>
            <sz val="9"/>
            <color indexed="81"/>
            <rFont val="Arial"/>
            <family val="2"/>
          </rPr>
          <t xml:space="preserve">Hint:
</t>
        </r>
        <r>
          <rPr>
            <sz val="9"/>
            <color indexed="81"/>
            <rFont val="Arial"/>
            <family val="2"/>
          </rPr>
          <t xml:space="preserve">The Result cell shades from </t>
        </r>
        <r>
          <rPr>
            <b/>
            <sz val="9"/>
            <color indexed="10"/>
            <rFont val="Arial"/>
            <family val="2"/>
          </rPr>
          <t>RED</t>
        </r>
        <r>
          <rPr>
            <b/>
            <sz val="9"/>
            <color indexed="8"/>
            <rFont val="Arial"/>
            <family val="2"/>
          </rPr>
          <t>,</t>
        </r>
        <r>
          <rPr>
            <sz val="9"/>
            <color indexed="81"/>
            <rFont val="Arial"/>
            <family val="2"/>
          </rPr>
          <t xml:space="preserve"> when abandonment of the opportunity is recommended, through </t>
        </r>
        <r>
          <rPr>
            <b/>
            <sz val="9"/>
            <color indexed="51"/>
            <rFont val="Arial"/>
            <family val="2"/>
          </rPr>
          <t>YELLOW</t>
        </r>
        <r>
          <rPr>
            <sz val="9"/>
            <color indexed="8"/>
            <rFont val="Arial"/>
            <family val="2"/>
          </rPr>
          <t xml:space="preserve">, </t>
        </r>
        <r>
          <rPr>
            <sz val="9"/>
            <color indexed="81"/>
            <rFont val="Arial"/>
            <family val="2"/>
          </rPr>
          <t xml:space="preserve">when pursuit indication is moderate, to </t>
        </r>
        <r>
          <rPr>
            <b/>
            <sz val="9"/>
            <color indexed="17"/>
            <rFont val="Arial"/>
            <family val="2"/>
          </rPr>
          <t>GREEN</t>
        </r>
        <r>
          <rPr>
            <sz val="9"/>
            <color indexed="17"/>
            <rFont val="Arial"/>
            <family val="2"/>
          </rPr>
          <t>,</t>
        </r>
        <r>
          <rPr>
            <sz val="9"/>
            <color indexed="81"/>
            <rFont val="Arial"/>
            <family val="2"/>
          </rPr>
          <t xml:space="preserve"> when Pwin is high and pursuit recommendation is strong.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P. Humm</author>
    <author>David Wagner</author>
  </authors>
  <commentList>
    <comment ref="A3" authorId="0" shapeId="0" xr:uid="{00000000-0006-0000-0200-000002000000}">
      <text>
        <r>
          <rPr>
            <b/>
            <sz val="9"/>
            <color indexed="81"/>
            <rFont val="Arial"/>
            <family val="2"/>
          </rPr>
          <t>Shipley Tip:</t>
        </r>
        <r>
          <rPr>
            <sz val="9"/>
            <color indexed="81"/>
            <rFont val="Arial"/>
            <family val="2"/>
          </rPr>
          <t xml:space="preserve">
List all issues that may influence the procurement. Issues may be needs, wants, worries, or key program requirements. Issues may also reflect hidden agendas or biases. They include customer hot buttons. As the RFP release date gets closer, they usually become more specific.</t>
        </r>
      </text>
    </comment>
    <comment ref="B3" authorId="0" shapeId="0" xr:uid="{00000000-0006-0000-0200-000003000000}">
      <text>
        <r>
          <rPr>
            <b/>
            <sz val="9"/>
            <color indexed="81"/>
            <rFont val="Arial"/>
            <family val="2"/>
          </rPr>
          <t xml:space="preserve">Shipley Tip:
</t>
        </r>
        <r>
          <rPr>
            <sz val="9"/>
            <color indexed="81"/>
            <rFont val="Arial"/>
            <family val="2"/>
          </rPr>
          <t xml:space="preserve">Enter weighting factors to indicate relative importance of issues. Early in the sales cycle, weights of 1, 2, or 3, corresponding to low, medium, and high, are probably as accurate as can be estimated. Later, such as when the customer releases evaluation criteria, more exact weights may be possible. Then, a 1-5 or 1-10 weighting scale may be appropriate.
</t>
        </r>
        <r>
          <rPr>
            <b/>
            <sz val="9"/>
            <color indexed="81"/>
            <rFont val="Arial"/>
            <family val="2"/>
          </rPr>
          <t>Hint:</t>
        </r>
        <r>
          <rPr>
            <sz val="9"/>
            <color indexed="81"/>
            <rFont val="Arial"/>
            <family val="2"/>
          </rPr>
          <t xml:space="preserve">
When evaluation factors are weighted by percentage, enter them in decimal form.</t>
        </r>
      </text>
    </comment>
    <comment ref="C3" authorId="0" shapeId="0" xr:uid="{00000000-0006-0000-0200-000004000000}">
      <text>
        <r>
          <rPr>
            <b/>
            <sz val="9"/>
            <color indexed="81"/>
            <rFont val="Arial"/>
            <family val="2"/>
          </rPr>
          <t>Shipley Tip:</t>
        </r>
        <r>
          <rPr>
            <sz val="9"/>
            <color indexed="81"/>
            <rFont val="Arial"/>
            <family val="2"/>
          </rPr>
          <t xml:space="preserve">
Assign points for your company on a 0-10 scale (0 low and 10 high), indicating your strength on each issue. Base your assessment on your best estimate of the customer's perceptions.
Point assessments will automatically be multiplied by the applicable weighting factors and summed.</t>
        </r>
      </text>
    </comment>
    <comment ref="E3" authorId="1" shapeId="0" xr:uid="{00000000-0006-0000-0200-000005000000}">
      <text>
        <r>
          <rPr>
            <b/>
            <sz val="9"/>
            <color indexed="81"/>
            <rFont val="Arial"/>
            <family val="2"/>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G3" authorId="1" shapeId="0" xr:uid="{00000000-0006-0000-0200-000006000000}">
      <text>
        <r>
          <rPr>
            <b/>
            <sz val="9"/>
            <color indexed="81"/>
            <rFont val="Tahoma"/>
            <family val="2"/>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I3" authorId="1" shapeId="0" xr:uid="{00000000-0006-0000-0200-000007000000}">
      <text>
        <r>
          <rPr>
            <b/>
            <sz val="9"/>
            <color indexed="81"/>
            <rFont val="Arial"/>
            <family val="2"/>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A16" authorId="1" shapeId="0" xr:uid="{00000000-0006-0000-0200-000008000000}">
      <text>
        <r>
          <rPr>
            <b/>
            <sz val="9"/>
            <color indexed="81"/>
            <rFont val="Arial"/>
            <family val="2"/>
          </rPr>
          <t>Shipley Tip:</t>
        </r>
        <r>
          <rPr>
            <sz val="9"/>
            <color indexed="81"/>
            <rFont val="Arial"/>
            <family val="2"/>
          </rPr>
          <t xml:space="preserve">
Highest scoring competitor's total will turn </t>
        </r>
        <r>
          <rPr>
            <b/>
            <sz val="9"/>
            <color indexed="57"/>
            <rFont val="Arial"/>
            <family val="2"/>
          </rPr>
          <t>GREEN</t>
        </r>
        <r>
          <rPr>
            <sz val="9"/>
            <color indexed="81"/>
            <rFont val="Arial"/>
            <family val="2"/>
          </rPr>
          <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Kelson Forsgren</author>
  </authors>
  <commentList>
    <comment ref="A3" authorId="0" shapeId="0" xr:uid="{B11FCBD7-2AB5-42BC-95CB-9DB15BC3ECD7}">
      <text>
        <r>
          <rPr>
            <b/>
            <sz val="9"/>
            <color indexed="81"/>
            <rFont val="Tahoma"/>
            <family val="2"/>
          </rPr>
          <t>Action Plan Tasks:</t>
        </r>
        <r>
          <rPr>
            <sz val="9"/>
            <color indexed="81"/>
            <rFont val="Tahoma"/>
            <family val="2"/>
          </rPr>
          <t xml:space="preserve">
Enter the tasks to be completed, as determined by your action plans. Insert a descriptive name for the task. You may also group tasks by SWOT or to address types of tasks (teaming, customer, internal, etc.).</t>
        </r>
      </text>
    </comment>
    <comment ref="B3" authorId="0" shapeId="0" xr:uid="{222C8A18-E291-4F03-8CC0-C8DABC0498AB}">
      <text>
        <r>
          <rPr>
            <b/>
            <sz val="9"/>
            <color indexed="81"/>
            <rFont val="Tahoma"/>
            <family val="2"/>
          </rPr>
          <t>Carrying Out Action Plans:</t>
        </r>
        <r>
          <rPr>
            <sz val="9"/>
            <color indexed="81"/>
            <rFont val="Tahoma"/>
            <family val="2"/>
          </rPr>
          <t xml:space="preserve">
Who is assigned to complete the task? Enter their name here.</t>
        </r>
      </text>
    </comment>
  </commentList>
</comments>
</file>

<file path=xl/sharedStrings.xml><?xml version="1.0" encoding="utf-8"?>
<sst xmlns="http://schemas.openxmlformats.org/spreadsheetml/2006/main" count="458" uniqueCount="397">
  <si>
    <t xml:space="preserve">Shipley Capture Workbook </t>
  </si>
  <si>
    <t>Opportunity:</t>
  </si>
  <si>
    <t>Customer:</t>
  </si>
  <si>
    <t>Capture Manager:</t>
  </si>
  <si>
    <t>Capture plan start date:</t>
  </si>
  <si>
    <t>Expected RFP date:</t>
  </si>
  <si>
    <t>Latest Update:</t>
  </si>
  <si>
    <t>Table of Contents</t>
  </si>
  <si>
    <t>Section</t>
  </si>
  <si>
    <t>Tab</t>
  </si>
  <si>
    <t>Capture Plan Executive Overview</t>
  </si>
  <si>
    <t>Executive Overview</t>
  </si>
  <si>
    <t>Pwin</t>
  </si>
  <si>
    <t>Pwin Parameters</t>
  </si>
  <si>
    <t>Pwin Calculator</t>
  </si>
  <si>
    <t>External anaylsis</t>
  </si>
  <si>
    <t>Opportunity Description</t>
  </si>
  <si>
    <t>Customer Profile</t>
  </si>
  <si>
    <t>Hot Buttons</t>
  </si>
  <si>
    <t>Competitive Intelligence Part 1</t>
  </si>
  <si>
    <t>Competitive Intelligence Part 2</t>
  </si>
  <si>
    <t>Internal Analysis</t>
  </si>
  <si>
    <t>Our Competitive Position Part 1</t>
  </si>
  <si>
    <t>Our Competitive Position Part 2</t>
  </si>
  <si>
    <t>Estimate of Winning Price</t>
  </si>
  <si>
    <t>Internal Analysis: Pricing to Win Window</t>
  </si>
  <si>
    <t>Strategy Development</t>
  </si>
  <si>
    <t>Bidder Comparison Chart</t>
  </si>
  <si>
    <t>Leverage Our Strength</t>
  </si>
  <si>
    <t>Mitigate Our Weakness</t>
  </si>
  <si>
    <t>Exploit Competitor's Weakness</t>
  </si>
  <si>
    <t>Neutralize Competitor's Strength</t>
  </si>
  <si>
    <t>Teaming</t>
  </si>
  <si>
    <t>Integrated Solution Worksheet (ISW)</t>
  </si>
  <si>
    <t>Win Themes</t>
  </si>
  <si>
    <t>Benefits &amp; Features</t>
  </si>
  <si>
    <t>Action Plans</t>
  </si>
  <si>
    <t>Customer Contact Plan</t>
  </si>
  <si>
    <t>Customer Stakeholders</t>
  </si>
  <si>
    <t>Intelligence Collection Plan</t>
  </si>
  <si>
    <t>Solution Development Plan</t>
  </si>
  <si>
    <t>Contingency Plan</t>
  </si>
  <si>
    <t>Risk Management Plan</t>
  </si>
  <si>
    <t>Preliminary Bid</t>
  </si>
  <si>
    <t>Preliminary Bid Checklist</t>
  </si>
  <si>
    <t>Preliminary Planning and Content</t>
  </si>
  <si>
    <t>Schedule</t>
  </si>
  <si>
    <t>90-Day Action Plan Schedule</t>
  </si>
  <si>
    <t>Program overview</t>
  </si>
  <si>
    <t>Customer overview</t>
  </si>
  <si>
    <t>Competitive position summary</t>
  </si>
  <si>
    <t>Our solution summary</t>
  </si>
  <si>
    <t>Capture strategy</t>
  </si>
  <si>
    <t>Status</t>
  </si>
  <si>
    <t>Pwin Parameter Instructions:</t>
  </si>
  <si>
    <t>1.  Hover over column headings for pop-up help.</t>
  </si>
  <si>
    <t>2.  Modify or enter win factors only in gray-shaded cells.</t>
  </si>
  <si>
    <t>3.  Modify factor ratings to match organizational criteria, with most favorable rating on top, least favorable on bottom.</t>
  </si>
  <si>
    <t>4.  If other factors are entered, four ratings must be defined for each, with most favorable rating on top, least favorable on bottom.</t>
  </si>
  <si>
    <t>5.  The Points column cannot be modified.</t>
  </si>
  <si>
    <t>6.  Change breakpoint values based on organizational aggressiveness. Lowering breakpoint values will encourage pursuit of less favorable opportunities.</t>
  </si>
  <si>
    <t>Probability Parameters</t>
  </si>
  <si>
    <t>Win Factors</t>
  </si>
  <si>
    <t>Win Factor Ratings (Modify to Meet Organizational Criteria)</t>
  </si>
  <si>
    <t>Points</t>
  </si>
  <si>
    <t>Breakpoints</t>
  </si>
  <si>
    <t>Values</t>
  </si>
  <si>
    <t>Pre-RFP Marketing</t>
  </si>
  <si>
    <t>We had extensive pre-RFP contact and strongly influenced the requirements</t>
  </si>
  <si>
    <t>Strong Pwin</t>
  </si>
  <si>
    <t>We provided background information for preparation of the RFP</t>
  </si>
  <si>
    <t>Moderate Pwin</t>
  </si>
  <si>
    <t>We met with the customer prior to release of the RFP</t>
  </si>
  <si>
    <t>Abandon pursuit</t>
  </si>
  <si>
    <t xml:space="preserve">We learned of the opportunity after the RFP was issued </t>
  </si>
  <si>
    <t>Customer's Preference</t>
  </si>
  <si>
    <t>The customer shows evidence of a strong preference for us</t>
  </si>
  <si>
    <t>The customer suggested we should bid</t>
  </si>
  <si>
    <t>The customer is unbiased, with no preference for any company</t>
  </si>
  <si>
    <t>The customer has a negative bias toward us which we must overcome</t>
  </si>
  <si>
    <t>Customer's Knowledge of Us</t>
  </si>
  <si>
    <t>The customer has contracted with our bidding business unit before</t>
  </si>
  <si>
    <t>The customer has contracted with business units other than our bidding unit</t>
  </si>
  <si>
    <t>The customer is familiar with us only through work we have done for others</t>
  </si>
  <si>
    <t>The customer is not familiar with us</t>
  </si>
  <si>
    <t>Technical</t>
  </si>
  <si>
    <t>We have a unique, proprietary solution</t>
  </si>
  <si>
    <t>We have a solution equivalent to other competitors</t>
  </si>
  <si>
    <t>Competitors have solution advantages we can overcome</t>
  </si>
  <si>
    <t>Competitors have unique, proprietary solutions that we may not be able to overcome</t>
  </si>
  <si>
    <t>Management</t>
  </si>
  <si>
    <t>We have a unique, proven management approach the customer will value</t>
  </si>
  <si>
    <t>We can offer a management solution better than most competitors</t>
  </si>
  <si>
    <t>Competitors have management advantages we can overcome</t>
  </si>
  <si>
    <t>Competitors have unique management solutions the customer will value</t>
  </si>
  <si>
    <t xml:space="preserve">Cost </t>
  </si>
  <si>
    <t>We know the budget and have a strong cost advantage</t>
  </si>
  <si>
    <t xml:space="preserve">We have a slight cost advantage </t>
  </si>
  <si>
    <t>Cost is equivalent for all competitors</t>
  </si>
  <si>
    <t>Competitors have cost advantages</t>
  </si>
  <si>
    <t>Incumbency</t>
  </si>
  <si>
    <t>We are a strong incumbent or can team with a strong incumbent</t>
  </si>
  <si>
    <t>We are an incumbent</t>
  </si>
  <si>
    <t>There is no incumbent</t>
  </si>
  <si>
    <t>A competitor is a strong incumbent</t>
  </si>
  <si>
    <t>Experience</t>
  </si>
  <si>
    <t>We have sold the same or similar product/service to this customer in the past</t>
  </si>
  <si>
    <t>We will be selling an existing product/service to a new customer</t>
  </si>
  <si>
    <t>We will be selling a new product/service to an existing customer</t>
  </si>
  <si>
    <t>We will be selling a new product/service to a new customer</t>
  </si>
  <si>
    <t>Past Performance</t>
  </si>
  <si>
    <t>We provided outstanding services in an earlier phase leading to this procurement</t>
  </si>
  <si>
    <t>We provided services in an earlier phase with moderate success</t>
  </si>
  <si>
    <t>A competitor provided services in an earlier phase with moderate success</t>
  </si>
  <si>
    <t>A competitor provided service in an earlier phase with outstanding results</t>
  </si>
  <si>
    <t>Contract Risk</t>
  </si>
  <si>
    <t>Risk is ordinary for our industry with no special considerations or liabilities</t>
  </si>
  <si>
    <t>Risk is moderate because of special considerations or liabilities</t>
  </si>
  <si>
    <t>Risk is high with very attractive rewards</t>
  </si>
  <si>
    <t>Risk is high with only moderate or poor rewards</t>
  </si>
  <si>
    <t>Contract Size</t>
  </si>
  <si>
    <t>Contract size is larger than our typical contract but within our capabilities</t>
  </si>
  <si>
    <t>Contract size is beyond our capabilities but justified by strategic importance of contract</t>
  </si>
  <si>
    <t>Contract size is typical for our industry and organization</t>
  </si>
  <si>
    <t>Contract size will challenge our organization to deliver or impose delivery risk</t>
  </si>
  <si>
    <t>Competitor Rating</t>
  </si>
  <si>
    <t>Compared to our competitors, the customer rates us as among the best or the best</t>
  </si>
  <si>
    <t>Compared to our competitors, the customer rates us as average</t>
  </si>
  <si>
    <t>Compared to our competitors, the customer rates us as lower than average</t>
  </si>
  <si>
    <t>Our customers know our competitors but don't know us</t>
  </si>
  <si>
    <t>Other</t>
  </si>
  <si>
    <t>A rating that increases the pursuit indication the most</t>
  </si>
  <si>
    <t>A rating that increases the pursuit indication moderately</t>
  </si>
  <si>
    <t>A rating that decreases the pursuit indication</t>
  </si>
  <si>
    <t>A rating that makes pursuit unwise</t>
  </si>
  <si>
    <r>
      <rPr>
        <b/>
        <sz val="11"/>
        <color rgb="FFFF0000"/>
        <rFont val="Arial"/>
        <family val="2"/>
      </rPr>
      <t xml:space="preserve">NOTICE: </t>
    </r>
    <r>
      <rPr>
        <sz val="9"/>
        <color rgb="FFFF0000"/>
        <rFont val="Arial"/>
        <family val="2"/>
      </rPr>
      <t>This Pwin Calculator is intended solely as an aid in evaluating the advisability of pursuing business opportunities and should be used in conjunction with other means of research and analysis. Use of this tool is subject to legal notices distributed with it or available from Shipley Associates.  Shipley Associates expressly denies and user provides unconditional release from any liability for damages or loss of business purportedly arising from its use.</t>
    </r>
  </si>
  <si>
    <t>Worksheet Instructions:</t>
  </si>
  <si>
    <t>1.  Enter information and view result in the Pwin Calculator on this worksheet.</t>
  </si>
  <si>
    <t>2.  Customize the tool for your organization's pipeline management preferences on the Pwin Parameters worksheet.</t>
  </si>
  <si>
    <t>3.  Hover over table headings to view pop-up help.</t>
  </si>
  <si>
    <t>4.  Completed chart may be printed or saved.</t>
  </si>
  <si>
    <t>5.  Worksheet Instructions will not print on completed chart.</t>
  </si>
  <si>
    <t>6.  Chart can be copied and pasted onto a PowerPoint slide.</t>
  </si>
  <si>
    <t>7.  Calculated scores appear in gray-shaded cells.</t>
  </si>
  <si>
    <r>
      <rPr>
        <sz val="9"/>
        <color rgb="FF005B93"/>
        <rFont val="Arial"/>
        <family val="2"/>
      </rPr>
      <t>8.  Strong Pwin indication will shade Result cell</t>
    </r>
    <r>
      <rPr>
        <sz val="9"/>
        <color indexed="10"/>
        <rFont val="Arial"/>
        <family val="2"/>
      </rPr>
      <t xml:space="preserve"> </t>
    </r>
    <r>
      <rPr>
        <b/>
        <sz val="9"/>
        <color rgb="FF008000"/>
        <rFont val="Arial"/>
        <family val="2"/>
      </rPr>
      <t>GREEN</t>
    </r>
    <r>
      <rPr>
        <sz val="9"/>
        <color rgb="FF008000"/>
        <rFont val="Arial"/>
        <family val="2"/>
      </rPr>
      <t>.</t>
    </r>
    <r>
      <rPr>
        <sz val="9"/>
        <color rgb="FFFF0000"/>
        <rFont val="Arial"/>
        <family val="2"/>
      </rPr>
      <t xml:space="preserve"> </t>
    </r>
    <r>
      <rPr>
        <sz val="9"/>
        <color rgb="FF005B93"/>
        <rFont val="Arial"/>
        <family val="2"/>
      </rPr>
      <t>Moderate indication will show</t>
    </r>
    <r>
      <rPr>
        <sz val="9"/>
        <color rgb="FFFF0000"/>
        <rFont val="Arial"/>
        <family val="2"/>
      </rPr>
      <t xml:space="preserve"> </t>
    </r>
    <r>
      <rPr>
        <b/>
        <sz val="9"/>
        <color rgb="FFFFCC00"/>
        <rFont val="Arial"/>
        <family val="2"/>
      </rPr>
      <t>YELLOW</t>
    </r>
    <r>
      <rPr>
        <sz val="9"/>
        <color rgb="FF005B93"/>
        <rFont val="Arial"/>
        <family val="2"/>
      </rPr>
      <t>, recommended abandonment</t>
    </r>
    <r>
      <rPr>
        <sz val="9"/>
        <color rgb="FFFF0000"/>
        <rFont val="Arial"/>
        <family val="2"/>
      </rPr>
      <t xml:space="preserve"> </t>
    </r>
    <r>
      <rPr>
        <b/>
        <sz val="9"/>
        <color rgb="FFFF0000"/>
        <rFont val="Arial"/>
        <family val="2"/>
      </rPr>
      <t>RED</t>
    </r>
    <r>
      <rPr>
        <sz val="9"/>
        <color rgb="FFFF0000"/>
        <rFont val="Arial"/>
        <family val="2"/>
      </rPr>
      <t>.</t>
    </r>
  </si>
  <si>
    <t>Anticipated Value:</t>
  </si>
  <si>
    <t>Win Factor</t>
  </si>
  <si>
    <t>Wt. Inc.</t>
  </si>
  <si>
    <t>Win Factor Rating (Select one from drop-down list)</t>
  </si>
  <si>
    <t>Score</t>
  </si>
  <si>
    <t xml:space="preserve">Result  </t>
  </si>
  <si>
    <t>Key:  4 = Strong Pwin    3 = Moderate Pwin    2 = Moderate Avoidance    1 = Strong Avoidance</t>
  </si>
  <si>
    <t>External Analysis:  Opportunity Description</t>
  </si>
  <si>
    <t>Customer</t>
  </si>
  <si>
    <t>Program summary</t>
  </si>
  <si>
    <t>Key requirements</t>
  </si>
  <si>
    <t>Deliverables</t>
  </si>
  <si>
    <t>Budget and fiscal year funding profile</t>
  </si>
  <si>
    <t>Type of contract</t>
  </si>
  <si>
    <t>Other (as applicable to this offer)</t>
  </si>
  <si>
    <t>External Analysis: Customer Profile</t>
  </si>
  <si>
    <t>Organization and key personnel</t>
  </si>
  <si>
    <t>Purchasing or buying process</t>
  </si>
  <si>
    <t>Evaluation process</t>
  </si>
  <si>
    <t>Buying history and trends</t>
  </si>
  <si>
    <t>External Analysis: Hot Button Issues</t>
  </si>
  <si>
    <t>Issues</t>
  </si>
  <si>
    <t>Objectives</t>
  </si>
  <si>
    <t>Evidence</t>
  </si>
  <si>
    <t>Impact</t>
  </si>
  <si>
    <t xml:space="preserve"> </t>
  </si>
  <si>
    <t>Market approach and position</t>
  </si>
  <si>
    <r>
      <rPr>
        <b/>
        <i/>
        <u/>
        <sz val="10"/>
        <color rgb="FFFF0000"/>
        <rFont val="Arial"/>
        <family val="2"/>
      </rPr>
      <t>NOTE:</t>
    </r>
    <r>
      <rPr>
        <b/>
        <i/>
        <sz val="10"/>
        <color rgb="FFFF0000"/>
        <rFont val="Arial"/>
        <family val="2"/>
      </rPr>
      <t xml:space="preserve"> </t>
    </r>
    <r>
      <rPr>
        <sz val="10"/>
        <color rgb="FFFF0000"/>
        <rFont val="Arial"/>
        <family val="2"/>
      </rPr>
      <t>Repeat parts 1 and 2 for each major competitor</t>
    </r>
  </si>
  <si>
    <t>Products and/or services</t>
  </si>
  <si>
    <t>Historical pricing patterns</t>
  </si>
  <si>
    <t>Business development</t>
  </si>
  <si>
    <t>Customer relationship</t>
  </si>
  <si>
    <t>Relevant experience</t>
  </si>
  <si>
    <t xml:space="preserve"> Past performance</t>
  </si>
  <si>
    <t>External Analysis:  Competitive Intelligence Part 2—Competitor A</t>
  </si>
  <si>
    <t>Customer perceptions</t>
  </si>
  <si>
    <t>Strengths</t>
  </si>
  <si>
    <t>Weaknesses</t>
  </si>
  <si>
    <t>Hot buttons</t>
  </si>
  <si>
    <t>Competitor's available solution</t>
  </si>
  <si>
    <t>Competitor's discriminator(s)</t>
  </si>
  <si>
    <t>Gap</t>
  </si>
  <si>
    <t>Internal Analysis: Our Competitive Position Part 1</t>
  </si>
  <si>
    <t>Internal Analysis: Our Competitive Position Part 2</t>
  </si>
  <si>
    <t>Our solution</t>
  </si>
  <si>
    <t>Our discriminator(s)</t>
  </si>
  <si>
    <t>Internal Analysis: Estimating Winning Price</t>
  </si>
  <si>
    <t>INTERNAL ANALYSIS</t>
  </si>
  <si>
    <t>Our Estimate of Winning Price</t>
  </si>
  <si>
    <t>Customer Budget</t>
  </si>
  <si>
    <t>Customer Expectations</t>
  </si>
  <si>
    <r>
      <rPr>
        <sz val="10"/>
        <color theme="1" tint="0.34998626667073579"/>
        <rFont val="Calibri"/>
        <family val="2"/>
      </rPr>
      <t xml:space="preserve">• </t>
    </r>
    <r>
      <rPr>
        <sz val="10"/>
        <color theme="1" tint="0.34998626667073579"/>
        <rFont val="Arial"/>
        <family val="2"/>
      </rPr>
      <t xml:space="preserve">Total available funds
</t>
    </r>
    <r>
      <rPr>
        <sz val="10"/>
        <color theme="1" tint="0.34998626667073579"/>
        <rFont val="Calibri"/>
        <family val="2"/>
      </rPr>
      <t>•</t>
    </r>
    <r>
      <rPr>
        <sz val="10"/>
        <color theme="1" tint="0.34998626667073579"/>
        <rFont val="Arial"/>
        <family val="2"/>
      </rPr>
      <t xml:space="preserve"> Timing
</t>
    </r>
    <r>
      <rPr>
        <sz val="10"/>
        <color theme="1" tint="0.34998626667073579"/>
        <rFont val="Calibri"/>
        <family val="2"/>
      </rPr>
      <t>•</t>
    </r>
    <r>
      <rPr>
        <sz val="10"/>
        <color theme="1" tint="0.34998626667073579"/>
        <rFont val="Arial"/>
        <family val="2"/>
      </rPr>
      <t xml:space="preserve"> Types and sources of funds</t>
    </r>
  </si>
  <si>
    <r>
      <rPr>
        <sz val="10"/>
        <color theme="1" tint="0.34998626667073579"/>
        <rFont val="Calibri"/>
        <family val="2"/>
      </rPr>
      <t xml:space="preserve">• </t>
    </r>
    <r>
      <rPr>
        <sz val="10"/>
        <color theme="1" tint="0.34998626667073579"/>
        <rFont val="Arial"/>
        <family val="2"/>
      </rPr>
      <t xml:space="preserve">Independent cost estimates
</t>
    </r>
    <r>
      <rPr>
        <sz val="10"/>
        <color theme="1" tint="0.34998626667073579"/>
        <rFont val="Calibri"/>
        <family val="2"/>
      </rPr>
      <t>•</t>
    </r>
    <r>
      <rPr>
        <sz val="10"/>
        <color theme="1" tint="0.34998626667073579"/>
        <rFont val="Arial"/>
        <family val="2"/>
      </rPr>
      <t xml:space="preserve"> Should cost models
</t>
    </r>
    <r>
      <rPr>
        <sz val="10"/>
        <color theme="1" tint="0.34998626667073579"/>
        <rFont val="Calibri"/>
        <family val="2"/>
      </rPr>
      <t>•</t>
    </r>
    <r>
      <rPr>
        <sz val="10"/>
        <color theme="1" tint="0.34998626667073579"/>
        <rFont val="Arial"/>
        <family val="2"/>
      </rPr>
      <t xml:space="preserve"> Prior purchase prices</t>
    </r>
  </si>
  <si>
    <t>Estimated Price to Win</t>
  </si>
  <si>
    <r>
      <rPr>
        <sz val="10"/>
        <color theme="1" tint="0.34998626667073579"/>
        <rFont val="Calibri"/>
        <family val="2"/>
      </rPr>
      <t xml:space="preserve">• </t>
    </r>
    <r>
      <rPr>
        <sz val="10"/>
        <color theme="1" tint="0.34998626667073579"/>
        <rFont val="Arial"/>
        <family val="2"/>
      </rPr>
      <t xml:space="preserve">Upper and lower limits on price and capability
</t>
    </r>
    <r>
      <rPr>
        <sz val="10"/>
        <color theme="1" tint="0.34998626667073579"/>
        <rFont val="Calibri"/>
        <family val="2"/>
      </rPr>
      <t>•</t>
    </r>
    <r>
      <rPr>
        <sz val="10"/>
        <color theme="1" tint="0.34998626667073579"/>
        <rFont val="Arial"/>
        <family val="2"/>
      </rPr>
      <t xml:space="preserve"> Cost versus price
</t>
    </r>
    <r>
      <rPr>
        <sz val="10"/>
        <color theme="1" tint="0.34998626667073579"/>
        <rFont val="Calibri"/>
        <family val="2"/>
      </rPr>
      <t>•</t>
    </r>
    <r>
      <rPr>
        <sz val="10"/>
        <color theme="1" tint="0.34998626667073579"/>
        <rFont val="Arial"/>
        <family val="2"/>
      </rPr>
      <t xml:space="preserve"> Acquisition, total installed, total life cycle, or annualized cost</t>
    </r>
  </si>
  <si>
    <t>Low Cost</t>
  </si>
  <si>
    <t>Best Value</t>
  </si>
  <si>
    <r>
      <rPr>
        <sz val="10"/>
        <color theme="1" tint="0.34998626667073579"/>
        <rFont val="Calibri"/>
        <family val="2"/>
      </rPr>
      <t xml:space="preserve">• </t>
    </r>
    <r>
      <rPr>
        <sz val="10"/>
        <color theme="1" tint="0.34998626667073579"/>
        <rFont val="Arial"/>
        <family val="2"/>
      </rPr>
      <t xml:space="preserve">Minimally acceptable capability
</t>
    </r>
    <r>
      <rPr>
        <sz val="10"/>
        <color theme="1" tint="0.34998626667073579"/>
        <rFont val="Calibri"/>
        <family val="2"/>
      </rPr>
      <t>•</t>
    </r>
    <r>
      <rPr>
        <sz val="10"/>
        <color theme="1" tint="0.34998626667073579"/>
        <rFont val="Arial"/>
        <family val="2"/>
      </rPr>
      <t xml:space="preserve"> Your organization's low cost approach
</t>
    </r>
    <r>
      <rPr>
        <sz val="10"/>
        <color theme="1" tint="0.34998626667073579"/>
        <rFont val="Calibri"/>
        <family val="2"/>
      </rPr>
      <t>•</t>
    </r>
    <r>
      <rPr>
        <sz val="10"/>
        <color theme="1" tint="0.34998626667073579"/>
        <rFont val="Arial"/>
        <family val="2"/>
      </rPr>
      <t xml:space="preserve"> Credible competitors' approaches</t>
    </r>
  </si>
  <si>
    <r>
      <rPr>
        <b/>
        <sz val="16"/>
        <color rgb="FF005B93"/>
        <rFont val="Calibri"/>
        <family val="2"/>
      </rPr>
      <t>Winning Price Development</t>
    </r>
    <r>
      <rPr>
        <b/>
        <sz val="12"/>
        <color rgb="FF005B93"/>
        <rFont val="Calibri"/>
        <family val="2"/>
      </rPr>
      <t xml:space="preserve">
</t>
    </r>
    <r>
      <rPr>
        <i/>
        <sz val="9"/>
        <color theme="1" tint="0.34998626667073579"/>
        <rFont val="Calibri"/>
        <family val="2"/>
      </rPr>
      <t xml:space="preserve">
•</t>
    </r>
    <r>
      <rPr>
        <i/>
        <sz val="9"/>
        <color theme="1" tint="0.34998626667073579"/>
        <rFont val="Arial"/>
        <family val="2"/>
      </rPr>
      <t xml:space="preserve"> Fundamental relationship
     </t>
    </r>
    <r>
      <rPr>
        <i/>
        <sz val="9"/>
        <color theme="1" tint="0.34998626667073579"/>
        <rFont val="Calibri"/>
        <family val="2"/>
      </rPr>
      <t>•</t>
    </r>
    <r>
      <rPr>
        <i/>
        <sz val="9"/>
        <color theme="1" tint="0.34998626667073579"/>
        <rFont val="Arial"/>
        <family val="2"/>
      </rPr>
      <t xml:space="preserve"> Customer's perceived value ≥ customer's budget ≥ your price ≥ your price
</t>
    </r>
    <r>
      <rPr>
        <i/>
        <sz val="9"/>
        <color theme="1" tint="0.34998626667073579"/>
        <rFont val="Calibri"/>
        <family val="2"/>
      </rPr>
      <t>•</t>
    </r>
    <r>
      <rPr>
        <i/>
        <sz val="9"/>
        <color theme="1" tint="0.34998626667073579"/>
        <rFont val="Arial"/>
        <family val="2"/>
      </rPr>
      <t xml:space="preserve"> Establish the target price early
     </t>
    </r>
    <r>
      <rPr>
        <i/>
        <sz val="9"/>
        <color theme="1" tint="0.34998626667073579"/>
        <rFont val="Calibri"/>
        <family val="2"/>
      </rPr>
      <t xml:space="preserve">• </t>
    </r>
    <r>
      <rPr>
        <i/>
        <sz val="9"/>
        <color theme="1" tint="0.34998626667073579"/>
        <rFont val="Arial"/>
        <family val="2"/>
      </rPr>
      <t xml:space="preserve">Use target price to guide early solution development
     </t>
    </r>
    <r>
      <rPr>
        <i/>
        <sz val="9"/>
        <color theme="1" tint="0.34998626667073579"/>
        <rFont val="Calibri"/>
        <family val="2"/>
      </rPr>
      <t>•</t>
    </r>
    <r>
      <rPr>
        <i/>
        <sz val="9"/>
        <color theme="1" tint="0.34998626667073579"/>
        <rFont val="Arial"/>
        <family val="2"/>
      </rPr>
      <t xml:space="preserve"> Use "top down" then "bottom up" approach
</t>
    </r>
    <r>
      <rPr>
        <i/>
        <sz val="9"/>
        <color theme="1" tint="0.34998626667073579"/>
        <rFont val="Calibri"/>
        <family val="2"/>
      </rPr>
      <t>•</t>
    </r>
    <r>
      <rPr>
        <i/>
        <sz val="9"/>
        <color theme="1" tint="0.34998626667073579"/>
        <rFont val="Arial"/>
        <family val="2"/>
      </rPr>
      <t xml:space="preserve"> Best value solutions
     </t>
    </r>
    <r>
      <rPr>
        <i/>
        <sz val="9"/>
        <color theme="1" tint="0.34998626667073579"/>
        <rFont val="Calibri"/>
        <family val="2"/>
      </rPr>
      <t>•</t>
    </r>
    <r>
      <rPr>
        <i/>
        <sz val="9"/>
        <color theme="1" tint="0.34998626667073579"/>
        <rFont val="Arial"/>
        <family val="2"/>
      </rPr>
      <t xml:space="preserve"> Balance value against price to maximize the difference</t>
    </r>
  </si>
  <si>
    <r>
      <rPr>
        <sz val="10"/>
        <color theme="1" tint="0.34998626667073579"/>
        <rFont val="Calibri"/>
        <family val="2"/>
      </rPr>
      <t xml:space="preserve">• </t>
    </r>
    <r>
      <rPr>
        <sz val="10"/>
        <color theme="1" tint="0.34998626667073579"/>
        <rFont val="Arial"/>
        <family val="2"/>
      </rPr>
      <t xml:space="preserve">Capability satisfied solution
</t>
    </r>
    <r>
      <rPr>
        <sz val="10"/>
        <color theme="1" tint="0.34998626667073579"/>
        <rFont val="Calibri"/>
        <family val="2"/>
      </rPr>
      <t>•</t>
    </r>
    <r>
      <rPr>
        <sz val="10"/>
        <color theme="1" tint="0.34998626667073579"/>
        <rFont val="Arial"/>
        <family val="2"/>
      </rPr>
      <t xml:space="preserve"> Optimal price capability tradeoff
</t>
    </r>
    <r>
      <rPr>
        <sz val="10"/>
        <color theme="1" tint="0.34998626667073579"/>
        <rFont val="Calibri"/>
        <family val="2"/>
      </rPr>
      <t>•</t>
    </r>
    <r>
      <rPr>
        <sz val="10"/>
        <color theme="1" tint="0.34998626667073579"/>
        <rFont val="Arial"/>
        <family val="2"/>
      </rPr>
      <t xml:space="preserve"> Value proposition</t>
    </r>
  </si>
  <si>
    <r>
      <rPr>
        <b/>
        <sz val="16"/>
        <color rgb="FF005B93"/>
        <rFont val="Calibri"/>
        <family val="2"/>
      </rPr>
      <t>Terminology</t>
    </r>
    <r>
      <rPr>
        <sz val="12"/>
        <color theme="1" tint="0.34998626667073579"/>
        <rFont val="Calibri"/>
        <family val="2"/>
      </rPr>
      <t xml:space="preserve">
</t>
    </r>
    <r>
      <rPr>
        <sz val="10"/>
        <color theme="1" tint="0.34998626667073579"/>
        <rFont val="Calibri"/>
        <family val="2"/>
      </rPr>
      <t>•</t>
    </r>
    <r>
      <rPr>
        <sz val="10"/>
        <color theme="1" tint="0.34998626667073579"/>
        <rFont val="Arial"/>
        <family val="2"/>
      </rPr>
      <t xml:space="preserve"> </t>
    </r>
    <r>
      <rPr>
        <b/>
        <sz val="10"/>
        <color theme="1" tint="0.34998626667073579"/>
        <rFont val="Arial"/>
        <family val="2"/>
      </rPr>
      <t>Maximum budget</t>
    </r>
    <r>
      <rPr>
        <sz val="10"/>
        <color theme="1" tint="0.34998626667073579"/>
        <rFont val="Arial"/>
        <family val="2"/>
      </rPr>
      <t xml:space="preserve"> is the maximum amount the customer has budgeted
</t>
    </r>
    <r>
      <rPr>
        <sz val="10"/>
        <color theme="1" tint="0.34998626667073579"/>
        <rFont val="Calibri"/>
        <family val="2"/>
      </rPr>
      <t xml:space="preserve">• </t>
    </r>
    <r>
      <rPr>
        <b/>
        <sz val="10"/>
        <color theme="1" tint="0.34998626667073579"/>
        <rFont val="Arial"/>
        <family val="2"/>
      </rPr>
      <t>Addressable budget</t>
    </r>
    <r>
      <rPr>
        <sz val="10"/>
        <color theme="1" tint="0.34998626667073579"/>
        <rFont val="Arial"/>
        <family val="2"/>
      </rPr>
      <t xml:space="preserve"> is the amount the customer has available for a purchase after deducting expenses associated with the purchase
</t>
    </r>
    <r>
      <rPr>
        <sz val="10"/>
        <color theme="1" tint="0.34998626667073579"/>
        <rFont val="Calibri"/>
        <family val="2"/>
      </rPr>
      <t>•</t>
    </r>
    <r>
      <rPr>
        <sz val="10"/>
        <color theme="1" tint="0.34998626667073579"/>
        <rFont val="Arial"/>
        <family val="2"/>
      </rPr>
      <t xml:space="preserve"> </t>
    </r>
    <r>
      <rPr>
        <b/>
        <sz val="10"/>
        <color theme="1" tint="0.34998626667073579"/>
        <rFont val="Arial"/>
        <family val="2"/>
      </rPr>
      <t>Minimum credible budget</t>
    </r>
    <r>
      <rPr>
        <sz val="10"/>
        <color theme="1" tint="0.34998626667073579"/>
        <rFont val="Arial"/>
        <family val="2"/>
      </rPr>
      <t xml:space="preserve"> is the amount below which the customer doubts the credibility of obtaining an acceptable solution
</t>
    </r>
    <r>
      <rPr>
        <sz val="10"/>
        <color theme="1" tint="0.34998626667073579"/>
        <rFont val="Calibri"/>
        <family val="2"/>
      </rPr>
      <t>•</t>
    </r>
    <r>
      <rPr>
        <sz val="10"/>
        <color theme="1" tint="0.34998626667073579"/>
        <rFont val="Arial"/>
        <family val="2"/>
      </rPr>
      <t xml:space="preserve"> </t>
    </r>
    <r>
      <rPr>
        <b/>
        <sz val="10"/>
        <color theme="1" tint="0.34998626667073579"/>
        <rFont val="Arial"/>
        <family val="2"/>
      </rPr>
      <t>Minimum acceptable capability</t>
    </r>
    <r>
      <rPr>
        <sz val="10"/>
        <color theme="1" tint="0.34998626667073579"/>
        <rFont val="Arial"/>
        <family val="2"/>
      </rPr>
      <t xml:space="preserve"> is the minimum capability acceptable to this customer
</t>
    </r>
    <r>
      <rPr>
        <sz val="10"/>
        <color theme="1" tint="0.34998626667073579"/>
        <rFont val="Calibri"/>
        <family val="2"/>
      </rPr>
      <t>•</t>
    </r>
    <r>
      <rPr>
        <sz val="10"/>
        <color theme="1" tint="0.34998626667073579"/>
        <rFont val="Arial"/>
        <family val="2"/>
      </rPr>
      <t xml:space="preserve"> </t>
    </r>
    <r>
      <rPr>
        <b/>
        <sz val="10"/>
        <color theme="1" tint="0.34998626667073579"/>
        <rFont val="Arial"/>
        <family val="2"/>
      </rPr>
      <t>Maximum justifiable capability</t>
    </r>
    <r>
      <rPr>
        <sz val="10"/>
        <color theme="1" tint="0.34998626667073579"/>
        <rFont val="Arial"/>
        <family val="2"/>
      </rPr>
      <t xml:space="preserve"> is the maximum capability that this customer can justify</t>
    </r>
  </si>
  <si>
    <t>* NOTE: as you address capability with the customer, consider how this affects solutions, discriminators and PTW</t>
  </si>
  <si>
    <t>Minimum addressable budget</t>
  </si>
  <si>
    <t>Minimum capability*</t>
  </si>
  <si>
    <t>Maximum capability*</t>
  </si>
  <si>
    <t>Use this worksheet when you wish to assign weighting factors to several issues and score bidders using a consistent 0-10 scale.</t>
  </si>
  <si>
    <t>Customer Issues</t>
  </si>
  <si>
    <t>Weight</t>
  </si>
  <si>
    <t>Us</t>
  </si>
  <si>
    <t>Competitor A</t>
  </si>
  <si>
    <t>Competitor B</t>
  </si>
  <si>
    <t>Competitor C</t>
  </si>
  <si>
    <t>Instructions:</t>
  </si>
  <si>
    <t>1.  Scroll over headings for pop-up instructions.</t>
  </si>
  <si>
    <t>2.  Enter competitors' names in header.</t>
  </si>
  <si>
    <t>3.  Calculated scores appear in gray-shaded cells.</t>
  </si>
  <si>
    <r>
      <rPr>
        <sz val="10"/>
        <color rgb="FF005B93"/>
        <rFont val="Arial"/>
        <family val="2"/>
      </rPr>
      <t xml:space="preserve">4.  Highest score will turn </t>
    </r>
    <r>
      <rPr>
        <b/>
        <sz val="10"/>
        <color indexed="57"/>
        <rFont val="Arial"/>
        <family val="2"/>
      </rPr>
      <t>GREEN.</t>
    </r>
  </si>
  <si>
    <t>5.  Unprotect worksheet to modify.</t>
  </si>
  <si>
    <t>6.  Completed chart may be printed or saved.</t>
  </si>
  <si>
    <t>Totals</t>
  </si>
  <si>
    <t>Strategy: Leverage Our Strengths</t>
  </si>
  <si>
    <t>We will leverage our strength in:</t>
  </si>
  <si>
    <t>By taking these actions:</t>
  </si>
  <si>
    <t>To achieve (what):</t>
  </si>
  <si>
    <t>Strategy: Mitigate Our Weaknesses</t>
  </si>
  <si>
    <t>We will mitigate our weakness in:</t>
  </si>
  <si>
    <t>Strategy: Exploit Competitor's Weaknesses</t>
  </si>
  <si>
    <t>We will exploit our competitor's 
weakness in:</t>
  </si>
  <si>
    <t>Strategy: Neutralize Competitor's Strengths</t>
  </si>
  <si>
    <t xml:space="preserve"> Strategy: Teaming (Partner) Insights</t>
  </si>
  <si>
    <t>Partner A</t>
  </si>
  <si>
    <t>Partner B</t>
  </si>
  <si>
    <t>Partner C</t>
  </si>
  <si>
    <t>Partner D</t>
  </si>
  <si>
    <t>Partner E</t>
  </si>
  <si>
    <t>Partner strategy</t>
  </si>
  <si>
    <t>Partner will be prime or subcontractor</t>
  </si>
  <si>
    <t>Partner's strategic value</t>
  </si>
  <si>
    <t>(other)</t>
  </si>
  <si>
    <t>Partner selection criteria</t>
  </si>
  <si>
    <t>Customer alignment/relationship</t>
  </si>
  <si>
    <t>Partner's industry focus</t>
  </si>
  <si>
    <t>Partner's technology expertise</t>
  </si>
  <si>
    <t>Partner's value proposition</t>
  </si>
  <si>
    <t>How does the partner help increase our Pwin?</t>
  </si>
  <si>
    <t>Partner risks</t>
  </si>
  <si>
    <t>Is the partner vetted in the supplier management system?</t>
  </si>
  <si>
    <t>Is the partner involving any IP in this engagement?</t>
  </si>
  <si>
    <t>Is the partner bidding with others on this opportunity?</t>
  </si>
  <si>
    <t>Partner contracts</t>
  </si>
  <si>
    <t>NDA in place</t>
  </si>
  <si>
    <t xml:space="preserve">Teaming agreement/MOU executed </t>
  </si>
  <si>
    <t>SOW</t>
  </si>
  <si>
    <t>Direct contract with customer</t>
  </si>
  <si>
    <t>Past performance documentation</t>
  </si>
  <si>
    <t>Other Contracts (e.g., enterprise agreement, software contracts, hardware)</t>
  </si>
  <si>
    <t>Customer issues
(hot buttons)</t>
  </si>
  <si>
    <t>Customer
requirements</t>
  </si>
  <si>
    <t>Discriminator</t>
  </si>
  <si>
    <t>Gap
(Y or N)</t>
  </si>
  <si>
    <t>Competitor's
solution</t>
  </si>
  <si>
    <t>Competitor Gap
(Y or N)</t>
  </si>
  <si>
    <t>Competitor's discriminator
(positive or negative)</t>
  </si>
  <si>
    <t>Strategy</t>
  </si>
  <si>
    <t>Action plan</t>
  </si>
  <si>
    <t>Strategy: Win Themes</t>
  </si>
  <si>
    <t>Win Theme Formula</t>
  </si>
  <si>
    <t>Develop Your Win Themes</t>
  </si>
  <si>
    <t>Acknowledge concern</t>
  </si>
  <si>
    <t>State solution</t>
  </si>
  <si>
    <t>Benefit and feature</t>
  </si>
  <si>
    <t>Proof</t>
  </si>
  <si>
    <t>Strategy:  Benefits and Features</t>
  </si>
  <si>
    <r>
      <rPr>
        <b/>
        <sz val="11"/>
        <color theme="0"/>
        <rFont val="Arial"/>
        <family val="2"/>
      </rPr>
      <t>Solution feature: what is it and how does it work:</t>
    </r>
    <r>
      <rPr>
        <sz val="10"/>
        <color theme="0"/>
        <rFont val="Arial"/>
        <family val="2"/>
      </rPr>
      <t xml:space="preserve">
– Description of software
– Implementation process
– Project team
– Core solution
– Training plan
– Support model</t>
    </r>
  </si>
  <si>
    <r>
      <rPr>
        <b/>
        <sz val="11"/>
        <color theme="0"/>
        <rFont val="Arial"/>
        <family val="2"/>
      </rPr>
      <t xml:space="preserve">Solution advantage: what the features does, how it performs:
</t>
    </r>
    <r>
      <rPr>
        <sz val="10"/>
        <color theme="0"/>
        <rFont val="Arial"/>
        <family val="2"/>
      </rPr>
      <t>– Faster
– Increased
– Decreased
– Improved
– Reduced
– Safer
– Integrated</t>
    </r>
  </si>
  <si>
    <r>
      <rPr>
        <b/>
        <sz val="11"/>
        <color theme="0"/>
        <rFont val="Arial"/>
        <family val="2"/>
      </rPr>
      <t>Customer benefit is an advantage the customer wants/needs:</t>
    </r>
    <r>
      <rPr>
        <sz val="10"/>
        <color theme="0"/>
        <rFont val="Arial"/>
        <family val="2"/>
      </rPr>
      <t xml:space="preserve">
– Increased cyber security
– Improved employee productivity
– Decreased operating costs</t>
    </r>
  </si>
  <si>
    <t>Solution feature</t>
  </si>
  <si>
    <t>Advantage</t>
  </si>
  <si>
    <t>Benefit</t>
  </si>
  <si>
    <t>Action Plans:  Customer Contact Plan</t>
  </si>
  <si>
    <t>Contact objective
(end in mind)</t>
  </si>
  <si>
    <t>Who will you
meet with?</t>
  </si>
  <si>
    <t>Where/how
(in person, call, virtual)</t>
  </si>
  <si>
    <t>When
(date)</t>
  </si>
  <si>
    <t>Cost
(if applicable)</t>
  </si>
  <si>
    <t>Action/status</t>
  </si>
  <si>
    <t>Action Plan: Customer Stakeholders</t>
  </si>
  <si>
    <t>Category</t>
  </si>
  <si>
    <t>Title/role</t>
  </si>
  <si>
    <t>Name</t>
  </si>
  <si>
    <t>Reports to</t>
  </si>
  <si>
    <t xml:space="preserve">Contact information </t>
  </si>
  <si>
    <t>Level of
contact</t>
  </si>
  <si>
    <t>Level of support</t>
  </si>
  <si>
    <t>Role in decision</t>
  </si>
  <si>
    <t xml:space="preserve">Influenced by </t>
  </si>
  <si>
    <t>Team member assigned</t>
  </si>
  <si>
    <t>&lt;Category&gt;</t>
  </si>
  <si>
    <t>&lt;Title&gt;</t>
  </si>
  <si>
    <t>&lt;Name&gt;</t>
  </si>
  <si>
    <t>&lt;Email or else when possible&gt;</t>
  </si>
  <si>
    <t>L/M/H</t>
  </si>
  <si>
    <t>L/M/H/U/A</t>
  </si>
  <si>
    <t>Ultimate authority</t>
  </si>
  <si>
    <t>&lt;Names&gt;</t>
  </si>
  <si>
    <t>(program Manager)</t>
  </si>
  <si>
    <t>John Snodgrass</t>
  </si>
  <si>
    <t>Sue Snitherwick</t>
  </si>
  <si>
    <t>XXXX@XXXX.com</t>
  </si>
  <si>
    <t xml:space="preserve">Medium </t>
  </si>
  <si>
    <t>Transition, cost, schedule</t>
  </si>
  <si>
    <t>Joe Boomerang</t>
  </si>
  <si>
    <t>CIO</t>
  </si>
  <si>
    <t>High</t>
  </si>
  <si>
    <t>Legal</t>
  </si>
  <si>
    <t>CTO</t>
  </si>
  <si>
    <t>Unsure</t>
  </si>
  <si>
    <t>Operations</t>
  </si>
  <si>
    <t>LOB Manager(s)</t>
  </si>
  <si>
    <t>Adversary</t>
  </si>
  <si>
    <t>Executive Project Sponsor</t>
  </si>
  <si>
    <t>Program Manager</t>
  </si>
  <si>
    <t xml:space="preserve">Sponsor </t>
  </si>
  <si>
    <t xml:space="preserve">Project Manager </t>
  </si>
  <si>
    <t xml:space="preserve">Power Sponsor </t>
  </si>
  <si>
    <t>Action Plan: Intelligence Collection Plan</t>
  </si>
  <si>
    <t>Intelligence objective</t>
  </si>
  <si>
    <t>Assigned to</t>
  </si>
  <si>
    <t>Date required/
date received</t>
  </si>
  <si>
    <t>How (web research, 3rd party etc.)</t>
  </si>
  <si>
    <t>Cost</t>
  </si>
  <si>
    <t>Action Plan: Solution Development (if required)</t>
  </si>
  <si>
    <t>Solution element</t>
  </si>
  <si>
    <t>Date required/ 
date received</t>
  </si>
  <si>
    <t>Action Plan: Contingency Plan</t>
  </si>
  <si>
    <t>Event</t>
  </si>
  <si>
    <t>Probablity</t>
  </si>
  <si>
    <t>Area (personnel, solution, pricing etc.)</t>
  </si>
  <si>
    <t>Response actions</t>
  </si>
  <si>
    <t>Action Plan: Risk Management Plan  (NOTE: Use DoD Risk Guide 2017)</t>
  </si>
  <si>
    <t>Risk area</t>
  </si>
  <si>
    <t xml:space="preserve"> Probability</t>
  </si>
  <si>
    <t>Likelihood</t>
  </si>
  <si>
    <t>Mitigation plan</t>
  </si>
  <si>
    <t>Status/actions</t>
  </si>
  <si>
    <t>Checklist Item</t>
  </si>
  <si>
    <t>Yes</t>
  </si>
  <si>
    <t>No</t>
  </si>
  <si>
    <t>Action required (link to appropriate action plan)</t>
  </si>
  <si>
    <t>Who</t>
  </si>
  <si>
    <t>When</t>
  </si>
  <si>
    <t xml:space="preserve">Do we have a clear understanding of the deliverables and schedule? </t>
  </si>
  <si>
    <t>Are we sure of the evaluation process to be used?</t>
  </si>
  <si>
    <t>Do we know the customer’s perception of us and competitors?</t>
  </si>
  <si>
    <t>Has an objective bidder comparison been completed?</t>
  </si>
  <si>
    <t>Do we have firm commitments from needed teammates?</t>
  </si>
  <si>
    <t xml:space="preserve">Do we have strong, relevant past performance (proof)? </t>
  </si>
  <si>
    <t>Will our management approach provide added value (impact)?</t>
  </si>
  <si>
    <t>Will our technical solution provide added value (impact)?</t>
  </si>
  <si>
    <t>Are our discriminators unique and important to the customer?</t>
  </si>
  <si>
    <t>Can the customer justify selecting us based on our discriminators and cost?</t>
  </si>
  <si>
    <t>Has a price to win been determined, and is it acceptable to management?</t>
  </si>
  <si>
    <t xml:space="preserve">Is the customer adhering to the expected buying schedule? </t>
  </si>
  <si>
    <t>What are the parts, phases or sequences involved in the procurement?</t>
  </si>
  <si>
    <t>Have we influenced the customer objectives, requirements or specifications?</t>
  </si>
  <si>
    <t>Does this opportunity align with our long term strategic objectives?</t>
  </si>
  <si>
    <t>Do we have any unique or special advantages?</t>
  </si>
  <si>
    <t>Do we need to team and have we selected a teaming partner that strengthens our position?</t>
  </si>
  <si>
    <t>What is the dollar value of the opportunity?</t>
  </si>
  <si>
    <t>Preliminary Bid Organization/Planning (HOW)</t>
  </si>
  <si>
    <t>Additional Decision Gate Topics</t>
  </si>
  <si>
    <t>Overview of Customer</t>
  </si>
  <si>
    <t>Risks and Mitigation</t>
  </si>
  <si>
    <t>Preliminary Bid Content (WHAT)</t>
  </si>
  <si>
    <t>Monitoring progress on improving our position</t>
  </si>
  <si>
    <t>Task</t>
  </si>
  <si>
    <t>External Analysis:  Competitive Intelligence Part 1—
Competitor A [insert company name]</t>
  </si>
  <si>
    <t>Hot Button Owner</t>
  </si>
  <si>
    <t>Strategy: Integrated Solution Worksheet</t>
  </si>
  <si>
    <r>
      <rPr>
        <b/>
        <sz val="10"/>
        <color rgb="FFC00000"/>
        <rFont val="Arial"/>
        <family val="2"/>
      </rPr>
      <t>Acknowledge the concern</t>
    </r>
    <r>
      <rPr>
        <sz val="10"/>
        <rFont val="Arial"/>
        <family val="2"/>
      </rPr>
      <t xml:space="preserve">, </t>
    </r>
    <r>
      <rPr>
        <b/>
        <sz val="10"/>
        <color rgb="FFF37122"/>
        <rFont val="Arial"/>
        <family val="2"/>
      </rPr>
      <t>state the solution</t>
    </r>
    <r>
      <rPr>
        <sz val="10"/>
        <rFont val="Arial"/>
        <family val="2"/>
      </rPr>
      <t xml:space="preserve">, </t>
    </r>
    <r>
      <rPr>
        <b/>
        <sz val="10"/>
        <color rgb="FF00B050"/>
        <rFont val="Arial"/>
        <family val="2"/>
      </rPr>
      <t>discriminator</t>
    </r>
    <r>
      <rPr>
        <b/>
        <sz val="10"/>
        <rFont val="Arial"/>
        <family val="2"/>
      </rPr>
      <t xml:space="preserve">, </t>
    </r>
    <r>
      <rPr>
        <b/>
        <sz val="10"/>
        <color theme="7" tint="-0.249977111117893"/>
        <rFont val="Arial"/>
        <family val="2"/>
      </rPr>
      <t>feature and benefit of solution</t>
    </r>
    <r>
      <rPr>
        <sz val="10"/>
        <rFont val="Arial"/>
        <family val="2"/>
      </rPr>
      <t xml:space="preserve">, </t>
    </r>
    <r>
      <rPr>
        <b/>
        <sz val="10"/>
        <color theme="4"/>
        <rFont val="Arial"/>
        <family val="2"/>
      </rPr>
      <t>proof</t>
    </r>
    <r>
      <rPr>
        <sz val="10"/>
        <color theme="4"/>
        <rFont val="Arial"/>
        <family val="2"/>
      </rPr>
      <t>.</t>
    </r>
  </si>
  <si>
    <r>
      <t xml:space="preserve">The Snodgrass Corporation eliminates </t>
    </r>
    <r>
      <rPr>
        <b/>
        <sz val="10"/>
        <color rgb="FFC00000"/>
        <rFont val="Arial"/>
        <family val="2"/>
      </rPr>
      <t>customer relationship management shortfalls</t>
    </r>
    <r>
      <rPr>
        <b/>
        <sz val="10"/>
        <color rgb="FFFF0000"/>
        <rFont val="Arial"/>
        <family val="2"/>
      </rPr>
      <t xml:space="preserve"> </t>
    </r>
    <r>
      <rPr>
        <b/>
        <sz val="10"/>
        <color rgb="FFF37122"/>
        <rFont val="Arial"/>
        <family val="2"/>
      </rPr>
      <t>by teaming with the</t>
    </r>
    <r>
      <rPr>
        <b/>
        <sz val="10"/>
        <color rgb="FF000000"/>
        <rFont val="Arial"/>
        <family val="2"/>
      </rPr>
      <t xml:space="preserve"> </t>
    </r>
    <r>
      <rPr>
        <b/>
        <sz val="10"/>
        <color rgb="FF00B050"/>
        <rFont val="Arial"/>
        <family val="2"/>
      </rPr>
      <t>only company providing CRM  GAPSURE™ software</t>
    </r>
    <r>
      <rPr>
        <b/>
        <sz val="10"/>
        <color theme="7" tint="-0.249977111117893"/>
        <rFont val="Arial"/>
        <family val="2"/>
      </rPr>
      <t xml:space="preserve"> that identifies and resolves issues as they occur</t>
    </r>
    <r>
      <rPr>
        <b/>
        <sz val="10"/>
        <color rgb="FF000000"/>
        <rFont val="Arial"/>
        <family val="2"/>
      </rPr>
      <t>.</t>
    </r>
    <r>
      <rPr>
        <b/>
        <sz val="10"/>
        <color rgb="FFFFC000"/>
        <rFont val="Arial"/>
        <family val="2"/>
      </rPr>
      <t xml:space="preserve"> </t>
    </r>
    <r>
      <rPr>
        <b/>
        <sz val="10"/>
        <color theme="4"/>
        <rFont val="Arial"/>
        <family val="2"/>
      </rPr>
      <t>This was demonstrated successfully for three large box retailers in 2018 resulting in 25-33% increase in customer satisfaction</t>
    </r>
    <r>
      <rPr>
        <b/>
        <sz val="10"/>
        <color rgb="FF002060"/>
        <rFont val="Arial"/>
        <family val="2"/>
      </rPr>
      <t>.</t>
    </r>
  </si>
  <si>
    <t>Preliminary Bid Planning and Content</t>
  </si>
  <si>
    <t>Integrated Solution Worksheet</t>
  </si>
  <si>
    <t>Schedule: 90-Day Action Plan Schedule</t>
  </si>
  <si>
    <r>
      <t xml:space="preserve">   P</t>
    </r>
    <r>
      <rPr>
        <b/>
        <sz val="12"/>
        <color rgb="FF005B93"/>
        <rFont val="Arial"/>
        <family val="2"/>
      </rPr>
      <t>win</t>
    </r>
    <r>
      <rPr>
        <b/>
        <sz val="20"/>
        <color rgb="FF005B93"/>
        <rFont val="Arial"/>
        <family val="2"/>
      </rPr>
      <t xml:space="preserve"> Calculator</t>
    </r>
  </si>
  <si>
    <t>Is there an incumbent and if so how does the customer view them?</t>
  </si>
  <si>
    <t>Overview of Opportunity</t>
  </si>
  <si>
    <t>STATUS (link to appropriate pages)</t>
  </si>
  <si>
    <t>Partner's workstream or workshare on the opportunity</t>
  </si>
  <si>
    <t>We will neutralize our competitor's
strength in:</t>
  </si>
  <si>
    <t>Strategy: Bidder Comparison Chart</t>
  </si>
  <si>
    <t>– Win themes are born out of strategy statements in the capture plan. They are messages we want to use to reinforce our standing and solution with the customer.
– Maximum of three to four easy to understand statements explaining why you are optimum choice.
– During proposal preparation, convert win themes into proposal theme statements. Include them in your Executive Summary and in major sections of the 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</si>
</sst>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quot;&quot;"/>
    <numFmt numFmtId="165" formatCode="0;;"/>
    <numFmt numFmtId="166" formatCode="#,##0.00;;"/>
    <numFmt numFmtId="167" formatCode="0.0"/>
    <numFmt numFmtId="168" formatCode="#,##0.00;\-#,##0.00;"/>
    <numFmt numFmtId="169" formatCode="#,##0;;&quot;&quot;"/>
  </numFmts>
  <fonts count="94">
    <font>
      <sz val="10"/>
      <name val="Arial"/>
    </font>
    <font>
      <sz val="11"/>
      <color theme="1"/>
      <name val="Calibri"/>
      <family val="2"/>
      <scheme val="minor"/>
    </font>
    <font>
      <b/>
      <sz val="10"/>
      <name val="Arial"/>
      <family val="2"/>
    </font>
    <font>
      <sz val="10"/>
      <name val="Arial"/>
      <family val="2"/>
    </font>
    <font>
      <b/>
      <sz val="20"/>
      <color indexed="47"/>
      <name val="Arial"/>
      <family val="2"/>
    </font>
    <font>
      <b/>
      <sz val="9"/>
      <color indexed="81"/>
      <name val="Arial"/>
      <family val="2"/>
    </font>
    <font>
      <sz val="9"/>
      <color indexed="81"/>
      <name val="Arial"/>
      <family val="2"/>
    </font>
    <font>
      <sz val="9"/>
      <color indexed="10"/>
      <name val="Arial"/>
      <family val="2"/>
    </font>
    <font>
      <b/>
      <sz val="20"/>
      <color rgb="FF283756"/>
      <name val="Arial"/>
      <family val="2"/>
    </font>
    <font>
      <b/>
      <sz val="20"/>
      <color theme="3"/>
      <name val="Arial"/>
      <family val="2"/>
    </font>
    <font>
      <b/>
      <sz val="9"/>
      <color theme="3"/>
      <name val="Arial"/>
      <family val="2"/>
    </font>
    <font>
      <b/>
      <sz val="9"/>
      <color rgb="FF283756"/>
      <name val="Arial"/>
      <family val="2"/>
    </font>
    <font>
      <sz val="9"/>
      <name val="Arial"/>
      <family val="2"/>
    </font>
    <font>
      <b/>
      <sz val="9"/>
      <color indexed="47"/>
      <name val="Arial"/>
      <family val="2"/>
    </font>
    <font>
      <b/>
      <sz val="9"/>
      <color indexed="9"/>
      <name val="Arial"/>
      <family val="2"/>
    </font>
    <font>
      <b/>
      <sz val="9"/>
      <name val="Arial"/>
      <family val="2"/>
    </font>
    <font>
      <b/>
      <sz val="9"/>
      <color indexed="10"/>
      <name val="Arial"/>
      <family val="2"/>
    </font>
    <font>
      <b/>
      <sz val="9"/>
      <color indexed="8"/>
      <name val="Arial"/>
      <family val="2"/>
    </font>
    <font>
      <b/>
      <sz val="9"/>
      <color theme="0"/>
      <name val="Arial"/>
      <family val="2"/>
    </font>
    <font>
      <sz val="10"/>
      <color rgb="FFFF0000"/>
      <name val="Arial"/>
      <family val="2"/>
    </font>
    <font>
      <b/>
      <sz val="9"/>
      <color rgb="FFFF0000"/>
      <name val="Arial"/>
      <family val="2"/>
    </font>
    <font>
      <sz val="9"/>
      <color rgb="FFFF0000"/>
      <name val="Arial"/>
      <family val="2"/>
    </font>
    <font>
      <b/>
      <sz val="9"/>
      <color rgb="FFFFCC00"/>
      <name val="Arial"/>
      <family val="2"/>
    </font>
    <font>
      <b/>
      <sz val="9"/>
      <color rgb="FF008000"/>
      <name val="Arial"/>
      <family val="2"/>
    </font>
    <font>
      <sz val="9"/>
      <color rgb="FF008000"/>
      <name val="Arial"/>
      <family val="2"/>
    </font>
    <font>
      <b/>
      <sz val="9"/>
      <color indexed="17"/>
      <name val="Arial"/>
      <family val="2"/>
    </font>
    <font>
      <sz val="9"/>
      <color indexed="17"/>
      <name val="Arial"/>
      <family val="2"/>
    </font>
    <font>
      <b/>
      <sz val="9"/>
      <color indexed="51"/>
      <name val="Arial"/>
      <family val="2"/>
    </font>
    <font>
      <sz val="9"/>
      <color indexed="8"/>
      <name val="Arial"/>
      <family val="2"/>
    </font>
    <font>
      <b/>
      <sz val="20"/>
      <color theme="3" tint="-0.499984740745262"/>
      <name val="Arial"/>
      <family val="2"/>
    </font>
    <font>
      <b/>
      <sz val="20"/>
      <color rgb="FF1F497D"/>
      <name val="Arial"/>
      <family val="2"/>
    </font>
    <font>
      <b/>
      <sz val="12"/>
      <color theme="0"/>
      <name val="Arial"/>
      <family val="2"/>
    </font>
    <font>
      <b/>
      <sz val="11"/>
      <color rgb="FFFF0000"/>
      <name val="Arial"/>
      <family val="2"/>
    </font>
    <font>
      <i/>
      <sz val="9"/>
      <color indexed="81"/>
      <name val="Arial"/>
      <family val="2"/>
    </font>
    <font>
      <sz val="11"/>
      <color rgb="FF006100"/>
      <name val="Calibri"/>
      <family val="2"/>
      <scheme val="minor"/>
    </font>
    <font>
      <sz val="9"/>
      <color indexed="81"/>
      <name val="Tahoma"/>
      <family val="2"/>
    </font>
    <font>
      <b/>
      <sz val="9"/>
      <color indexed="81"/>
      <name val="Tahoma"/>
      <family val="2"/>
    </font>
    <font>
      <b/>
      <sz val="10"/>
      <color indexed="9"/>
      <name val="Arial"/>
      <family val="2"/>
    </font>
    <font>
      <sz val="10"/>
      <color indexed="10"/>
      <name val="Arial"/>
      <family val="2"/>
    </font>
    <font>
      <sz val="11"/>
      <name val="Calibri"/>
      <family val="2"/>
      <scheme val="minor"/>
    </font>
    <font>
      <b/>
      <sz val="10"/>
      <color indexed="57"/>
      <name val="Arial"/>
      <family val="2"/>
    </font>
    <font>
      <b/>
      <sz val="9"/>
      <color indexed="57"/>
      <name val="Arial"/>
      <family val="2"/>
    </font>
    <font>
      <b/>
      <sz val="16"/>
      <name val="Arial"/>
      <family val="2"/>
    </font>
    <font>
      <b/>
      <sz val="14"/>
      <name val="Arial"/>
      <family val="2"/>
    </font>
    <font>
      <sz val="12"/>
      <name val="Arial"/>
      <family val="2"/>
    </font>
    <font>
      <sz val="10"/>
      <color theme="1" tint="0.14996795556505021"/>
      <name val="Calibri"/>
      <family val="2"/>
      <scheme val="minor"/>
    </font>
    <font>
      <b/>
      <sz val="16"/>
      <color theme="0"/>
      <name val="Arial"/>
      <family val="2"/>
    </font>
    <font>
      <u/>
      <sz val="11"/>
      <color theme="10"/>
      <name val="Calibri"/>
      <family val="2"/>
      <scheme val="minor"/>
    </font>
    <font>
      <sz val="10"/>
      <color rgb="FF005B92"/>
      <name val="Arial"/>
      <family val="2"/>
    </font>
    <font>
      <sz val="10"/>
      <color theme="0"/>
      <name val="Arial"/>
      <family val="2"/>
    </font>
    <font>
      <b/>
      <sz val="10"/>
      <color theme="0"/>
      <name val="Arial"/>
      <family val="2"/>
    </font>
    <font>
      <i/>
      <sz val="10"/>
      <color rgb="FF005B92"/>
      <name val="Arial"/>
      <family val="2"/>
    </font>
    <font>
      <b/>
      <i/>
      <sz val="10"/>
      <color rgb="FFFF0000"/>
      <name val="Arial"/>
      <family val="2"/>
    </font>
    <font>
      <u/>
      <sz val="10"/>
      <color theme="0"/>
      <name val="Arial"/>
      <family val="2"/>
    </font>
    <font>
      <b/>
      <sz val="12"/>
      <color rgb="FF005B93"/>
      <name val="Arial"/>
      <family val="2"/>
    </font>
    <font>
      <b/>
      <sz val="14"/>
      <color theme="0"/>
      <name val="Arial"/>
      <family val="2"/>
    </font>
    <font>
      <b/>
      <sz val="20"/>
      <color rgb="FF005B93"/>
      <name val="Arial"/>
      <family val="2"/>
    </font>
    <font>
      <b/>
      <sz val="9"/>
      <color rgb="FF005B93"/>
      <name val="Arial"/>
      <family val="2"/>
    </font>
    <font>
      <b/>
      <sz val="14"/>
      <color rgb="FF005B93"/>
      <name val="Arial"/>
      <family val="2"/>
    </font>
    <font>
      <b/>
      <sz val="11"/>
      <color theme="0"/>
      <name val="Arial"/>
      <family val="2"/>
    </font>
    <font>
      <b/>
      <sz val="28"/>
      <color theme="0"/>
      <name val="Arial"/>
      <family val="2"/>
    </font>
    <font>
      <b/>
      <sz val="14"/>
      <color rgb="FFFFFFFF"/>
      <name val="Arial"/>
      <family val="2"/>
    </font>
    <font>
      <b/>
      <sz val="10"/>
      <color rgb="FF005B93"/>
      <name val="Arial"/>
      <family val="2"/>
    </font>
    <font>
      <sz val="9"/>
      <color rgb="FF005B93"/>
      <name val="Arial"/>
      <family val="2"/>
    </font>
    <font>
      <sz val="10"/>
      <color rgb="FF005B93"/>
      <name val="Arial"/>
      <family val="2"/>
    </font>
    <font>
      <b/>
      <i/>
      <u/>
      <sz val="10"/>
      <color rgb="FFFF0000"/>
      <name val="Arial"/>
      <family val="2"/>
    </font>
    <font>
      <sz val="10"/>
      <color theme="1" tint="0.34998626667073579"/>
      <name val="Arial"/>
      <family val="2"/>
    </font>
    <font>
      <sz val="10"/>
      <color theme="1" tint="0.34998626667073579"/>
      <name val="Calibri"/>
      <family val="2"/>
    </font>
    <font>
      <b/>
      <sz val="10"/>
      <color theme="1" tint="0.34998626667073579"/>
      <name val="Arial"/>
      <family val="2"/>
    </font>
    <font>
      <i/>
      <sz val="9"/>
      <color theme="1" tint="0.34998626667073579"/>
      <name val="Arial"/>
      <family val="2"/>
    </font>
    <font>
      <i/>
      <sz val="9"/>
      <color theme="1" tint="0.34998626667073579"/>
      <name val="Calibri"/>
      <family val="2"/>
    </font>
    <font>
      <b/>
      <sz val="12"/>
      <color rgb="FF005B93"/>
      <name val="Calibri"/>
      <family val="2"/>
    </font>
    <font>
      <b/>
      <sz val="16"/>
      <color rgb="FF005B93"/>
      <name val="Calibri"/>
      <family val="2"/>
    </font>
    <font>
      <sz val="12"/>
      <color theme="1" tint="0.34998626667073579"/>
      <name val="Calibri"/>
      <family val="2"/>
    </font>
    <font>
      <sz val="12"/>
      <color theme="1" tint="0.34998626667073579"/>
      <name val="Arial"/>
      <family val="2"/>
    </font>
    <font>
      <sz val="12"/>
      <color theme="3"/>
      <name val="Arial"/>
      <family val="2"/>
    </font>
    <font>
      <b/>
      <sz val="12"/>
      <color theme="3"/>
      <name val="Arial"/>
      <family val="2"/>
    </font>
    <font>
      <b/>
      <sz val="10"/>
      <color rgb="FF005B92"/>
      <name val="Arial"/>
      <family val="2"/>
    </font>
    <font>
      <sz val="8"/>
      <name val="Arial"/>
      <family val="2"/>
    </font>
    <font>
      <sz val="10"/>
      <color theme="3"/>
      <name val="Arial"/>
      <family val="2"/>
    </font>
    <font>
      <b/>
      <sz val="10"/>
      <color theme="3"/>
      <name val="Arial"/>
      <family val="2"/>
    </font>
    <font>
      <b/>
      <sz val="10"/>
      <color rgb="FF004B87"/>
      <name val="Arial"/>
      <family val="2"/>
    </font>
    <font>
      <b/>
      <sz val="10"/>
      <color rgb="FFC00000"/>
      <name val="Arial"/>
      <family val="2"/>
    </font>
    <font>
      <b/>
      <sz val="10"/>
      <color rgb="FFF37122"/>
      <name val="Arial"/>
      <family val="2"/>
    </font>
    <font>
      <b/>
      <sz val="10"/>
      <color rgb="FF00B050"/>
      <name val="Arial"/>
      <family val="2"/>
    </font>
    <font>
      <b/>
      <sz val="10"/>
      <color theme="7" tint="-0.249977111117893"/>
      <name val="Arial"/>
      <family val="2"/>
    </font>
    <font>
      <b/>
      <sz val="10"/>
      <color theme="4"/>
      <name val="Arial"/>
      <family val="2"/>
    </font>
    <font>
      <sz val="10"/>
      <color theme="4"/>
      <name val="Arial"/>
      <family val="2"/>
    </font>
    <font>
      <b/>
      <sz val="10"/>
      <color rgb="FF000000"/>
      <name val="Arial"/>
      <family val="2"/>
    </font>
    <font>
      <b/>
      <sz val="10"/>
      <color rgb="FFFF0000"/>
      <name val="Arial"/>
      <family val="2"/>
    </font>
    <font>
      <b/>
      <sz val="10"/>
      <color rgb="FFFFC000"/>
      <name val="Arial"/>
      <family val="2"/>
    </font>
    <font>
      <b/>
      <sz val="10"/>
      <color rgb="FF002060"/>
      <name val="Arial"/>
      <family val="2"/>
    </font>
    <font>
      <b/>
      <i/>
      <sz val="9"/>
      <name val="Arial"/>
      <family val="2"/>
    </font>
    <font>
      <sz val="10"/>
      <color theme="3"/>
      <name val="Arial"/>
      <family val="2"/>
      <charset val="2"/>
    </font>
  </fonts>
  <fills count="19">
    <fill>
      <patternFill patternType="none"/>
    </fill>
    <fill>
      <patternFill patternType="gray125"/>
    </fill>
    <fill>
      <patternFill patternType="solid">
        <fgColor rgb="FFBFC0C5"/>
        <bgColor indexed="64"/>
      </patternFill>
    </fill>
    <fill>
      <patternFill patternType="solid">
        <fgColor rgb="FFC6EFCE"/>
      </patternFill>
    </fill>
    <fill>
      <patternFill patternType="solid">
        <fgColor rgb="FFFFFFFF"/>
        <bgColor indexed="64"/>
      </patternFill>
    </fill>
    <fill>
      <patternFill patternType="solid">
        <fgColor theme="0" tint="-0.14999847407452621"/>
        <bgColor indexed="64"/>
      </patternFill>
    </fill>
    <fill>
      <patternFill patternType="solid">
        <fgColor rgb="FF005B92"/>
        <bgColor indexed="64"/>
      </patternFill>
    </fill>
    <fill>
      <patternFill patternType="solid">
        <fgColor rgb="FF005B93"/>
        <bgColor indexed="64"/>
      </patternFill>
    </fill>
    <fill>
      <patternFill patternType="solid">
        <fgColor rgb="FFF37122"/>
        <bgColor indexed="64"/>
      </patternFill>
    </fill>
    <fill>
      <patternFill patternType="solid">
        <fgColor rgb="FF0AA0AA"/>
        <bgColor indexed="64"/>
      </patternFill>
    </fill>
    <fill>
      <patternFill patternType="solid">
        <fgColor rgb="FF6AB6E5"/>
        <bgColor indexed="64"/>
      </patternFill>
    </fill>
    <fill>
      <patternFill patternType="solid">
        <fgColor rgb="FF0E3357"/>
        <bgColor indexed="64"/>
      </patternFill>
    </fill>
    <fill>
      <patternFill patternType="solid">
        <fgColor rgb="FFEB9F42"/>
        <bgColor indexed="64"/>
      </patternFill>
    </fill>
    <fill>
      <patternFill patternType="solid">
        <fgColor rgb="FF65AC5D"/>
        <bgColor indexed="64"/>
      </patternFill>
    </fill>
    <fill>
      <patternFill patternType="solid">
        <fgColor theme="0"/>
        <bgColor indexed="64"/>
      </patternFill>
    </fill>
    <fill>
      <patternFill patternType="solid">
        <fgColor rgb="FFEAF6FC"/>
        <bgColor indexed="64"/>
      </patternFill>
    </fill>
    <fill>
      <patternFill patternType="solid">
        <fgColor theme="0" tint="-0.499984740745262"/>
        <bgColor indexed="64"/>
      </patternFill>
    </fill>
    <fill>
      <patternFill patternType="solid">
        <fgColor theme="8"/>
        <bgColor indexed="64"/>
      </patternFill>
    </fill>
    <fill>
      <patternFill patternType="solid">
        <fgColor theme="9"/>
        <bgColor indexed="64"/>
      </patternFill>
    </fill>
  </fills>
  <borders count="88">
    <border>
      <left/>
      <right/>
      <top/>
      <bottom/>
      <diagonal/>
    </border>
    <border>
      <left style="thin">
        <color rgb="FFBFC0C5"/>
      </left>
      <right style="thin">
        <color rgb="FFBFC0C5"/>
      </right>
      <top style="thin">
        <color rgb="FFBFC0C5"/>
      </top>
      <bottom style="thin">
        <color rgb="FFBFC0C5"/>
      </bottom>
      <diagonal/>
    </border>
    <border>
      <left style="thin">
        <color rgb="FFBFC0C5"/>
      </left>
      <right style="thin">
        <color rgb="FFBFC0C5"/>
      </right>
      <top/>
      <bottom style="thin">
        <color rgb="FFBFC0C5"/>
      </bottom>
      <diagonal/>
    </border>
    <border>
      <left style="thin">
        <color rgb="FFBFC0C5"/>
      </left>
      <right style="thin">
        <color rgb="FFBFC0C5"/>
      </right>
      <top style="thin">
        <color rgb="FFBFC0C5"/>
      </top>
      <bottom style="thin">
        <color rgb="FF4D6BA6"/>
      </bottom>
      <diagonal/>
    </border>
    <border>
      <left style="thin">
        <color rgb="FFBFC0C5"/>
      </left>
      <right style="thin">
        <color rgb="FFBFC0C5"/>
      </right>
      <top style="thin">
        <color rgb="FF4D6BA6"/>
      </top>
      <bottom style="thin">
        <color rgb="FF4D6BA6"/>
      </bottom>
      <diagonal/>
    </border>
    <border>
      <left style="thin">
        <color rgb="FFBFC0C5"/>
      </left>
      <right style="thin">
        <color rgb="FF4D6BA6"/>
      </right>
      <top style="thin">
        <color rgb="FF4D6BA6"/>
      </top>
      <bottom style="thin">
        <color rgb="FF4D6BA6"/>
      </bottom>
      <diagonal/>
    </border>
    <border>
      <left style="thin">
        <color rgb="FF4D6BA6"/>
      </left>
      <right style="thin">
        <color rgb="FFBFC0C5"/>
      </right>
      <top style="thin">
        <color rgb="FF4D6BA6"/>
      </top>
      <bottom style="thin">
        <color rgb="FF4D6BA6"/>
      </bottom>
      <diagonal/>
    </border>
    <border>
      <left style="thin">
        <color rgb="FFBFC0C5"/>
      </left>
      <right style="thin">
        <color rgb="FFBFC0C5"/>
      </right>
      <top style="thin">
        <color rgb="FFBFC0C5"/>
      </top>
      <bottom/>
      <diagonal/>
    </border>
    <border>
      <left style="thin">
        <color rgb="FFBFC0C5"/>
      </left>
      <right/>
      <top style="thin">
        <color rgb="FFBFC0C5"/>
      </top>
      <bottom style="thin">
        <color rgb="FFBFC0C5"/>
      </bottom>
      <diagonal/>
    </border>
    <border>
      <left/>
      <right style="thin">
        <color rgb="FFBFC0C5"/>
      </right>
      <top style="thin">
        <color rgb="FFBFC0C5"/>
      </top>
      <bottom style="thin">
        <color rgb="FFBFC0C5"/>
      </bottom>
      <diagonal/>
    </border>
    <border>
      <left/>
      <right/>
      <top style="thin">
        <color rgb="FFBFC0C5"/>
      </top>
      <bottom style="thin">
        <color rgb="FFBFC0C5"/>
      </bottom>
      <diagonal/>
    </border>
    <border>
      <left/>
      <right style="thin">
        <color rgb="FFBFC0C5"/>
      </right>
      <top/>
      <bottom/>
      <diagonal/>
    </border>
    <border>
      <left style="thin">
        <color rgb="FFBFC0C5"/>
      </left>
      <right style="thin">
        <color rgb="FFBFC0C5"/>
      </right>
      <top/>
      <bottom/>
      <diagonal/>
    </border>
    <border>
      <left style="thin">
        <color rgb="FFBFC0C5"/>
      </left>
      <right/>
      <top/>
      <bottom/>
      <diagonal/>
    </border>
    <border>
      <left/>
      <right/>
      <top/>
      <bottom style="thin">
        <color rgb="FFBFC0C5"/>
      </bottom>
      <diagonal/>
    </border>
    <border>
      <left style="thin">
        <color rgb="FFBFC0C5"/>
      </left>
      <right/>
      <top style="thin">
        <color rgb="FFBFC0C5"/>
      </top>
      <bottom style="thin">
        <color rgb="FF4D6BA6"/>
      </bottom>
      <diagonal/>
    </border>
    <border>
      <left/>
      <right/>
      <top style="thin">
        <color rgb="FFBFC0C5"/>
      </top>
      <bottom style="thin">
        <color rgb="FF4D6BA6"/>
      </bottom>
      <diagonal/>
    </border>
    <border>
      <left/>
      <right style="thin">
        <color rgb="FFBFC0C5"/>
      </right>
      <top style="thin">
        <color rgb="FFBFC0C5"/>
      </top>
      <bottom style="thin">
        <color rgb="FF4D6BA6"/>
      </bottom>
      <diagonal/>
    </border>
    <border>
      <left/>
      <right/>
      <top style="thin">
        <color rgb="FFBFC0C5"/>
      </top>
      <bottom/>
      <diagonal/>
    </border>
    <border>
      <left style="thin">
        <color indexed="45"/>
      </left>
      <right style="thin">
        <color indexed="42"/>
      </right>
      <top/>
      <bottom style="thin">
        <color indexed="42"/>
      </bottom>
      <diagonal/>
    </border>
    <border>
      <left style="thin">
        <color indexed="42"/>
      </left>
      <right style="thin">
        <color indexed="42"/>
      </right>
      <top/>
      <bottom style="thin">
        <color indexed="42"/>
      </bottom>
      <diagonal/>
    </border>
    <border>
      <left style="thin">
        <color indexed="45"/>
      </left>
      <right style="thin">
        <color indexed="42"/>
      </right>
      <top style="thin">
        <color indexed="42"/>
      </top>
      <bottom style="thin">
        <color indexed="45"/>
      </bottom>
      <diagonal/>
    </border>
    <border>
      <left style="thin">
        <color indexed="42"/>
      </left>
      <right style="thin">
        <color indexed="42"/>
      </right>
      <top style="thin">
        <color indexed="42"/>
      </top>
      <bottom style="thin">
        <color indexed="45"/>
      </bottom>
      <diagonal/>
    </border>
    <border>
      <left style="thin">
        <color indexed="42"/>
      </left>
      <right style="thin">
        <color indexed="42"/>
      </right>
      <top style="thin">
        <color indexed="42"/>
      </top>
      <bottom style="thin">
        <color indexed="42"/>
      </bottom>
      <diagonal/>
    </border>
    <border>
      <left style="thin">
        <color indexed="42"/>
      </left>
      <right style="thin">
        <color indexed="42"/>
      </right>
      <top style="thin">
        <color indexed="42"/>
      </top>
      <bottom/>
      <diagonal/>
    </border>
    <border>
      <left style="thin">
        <color indexed="42"/>
      </left>
      <right style="thin">
        <color indexed="42"/>
      </right>
      <top style="thin">
        <color indexed="42"/>
      </top>
      <bottom style="double">
        <color indexed="42"/>
      </bottom>
      <diagonal/>
    </border>
    <border>
      <left style="thin">
        <color indexed="45"/>
      </left>
      <right style="thin">
        <color indexed="45"/>
      </right>
      <top style="thin">
        <color indexed="45"/>
      </top>
      <bottom style="thin">
        <color indexed="45"/>
      </bottom>
      <diagonal/>
    </border>
    <border>
      <left/>
      <right style="thin">
        <color indexed="42"/>
      </right>
      <top/>
      <bottom style="thin">
        <color indexed="4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right>
      <top/>
      <bottom style="thin">
        <color theme="0" tint="-0.14999847407452621"/>
      </bottom>
      <diagonal/>
    </border>
    <border>
      <left style="thin">
        <color theme="0"/>
      </left>
      <right style="thin">
        <color theme="0"/>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top/>
      <bottom style="thin">
        <color theme="0" tint="-0.14999847407452621"/>
      </bottom>
      <diagonal/>
    </border>
    <border>
      <left style="thin">
        <color theme="0"/>
      </left>
      <right style="thin">
        <color theme="0" tint="-0.14999847407452621"/>
      </right>
      <top/>
      <bottom style="thin">
        <color theme="0" tint="-0.14999847407452621"/>
      </bottom>
      <diagonal/>
    </border>
    <border>
      <left/>
      <right style="thin">
        <color theme="0"/>
      </right>
      <top/>
      <bottom/>
      <diagonal/>
    </border>
    <border>
      <left/>
      <right style="thin">
        <color theme="0" tint="-0.14999847407452621"/>
      </right>
      <top/>
      <bottom/>
      <diagonal/>
    </border>
    <border>
      <left style="thin">
        <color rgb="FF005B92"/>
      </left>
      <right/>
      <top style="thin">
        <color rgb="FF005B92"/>
      </top>
      <bottom/>
      <diagonal/>
    </border>
    <border>
      <left/>
      <right style="thin">
        <color rgb="FF005B92"/>
      </right>
      <top style="thin">
        <color rgb="FF005B92"/>
      </top>
      <bottom/>
      <diagonal/>
    </border>
    <border>
      <left style="thin">
        <color rgb="FF005B92"/>
      </left>
      <right style="thin">
        <color theme="0"/>
      </right>
      <top style="thin">
        <color theme="0"/>
      </top>
      <bottom style="thin">
        <color rgb="FF005B92"/>
      </bottom>
      <diagonal/>
    </border>
    <border>
      <left style="thin">
        <color theme="0"/>
      </left>
      <right style="thin">
        <color rgb="FF005B92"/>
      </right>
      <top style="thin">
        <color theme="0"/>
      </top>
      <bottom style="thin">
        <color rgb="FF005B92"/>
      </bottom>
      <diagonal/>
    </border>
    <border>
      <left/>
      <right style="thin">
        <color theme="0"/>
      </right>
      <top/>
      <bottom style="thin">
        <color theme="0" tint="-0.14999847407452621"/>
      </bottom>
      <diagonal/>
    </border>
    <border>
      <left style="thin">
        <color rgb="FF6AB6E5"/>
      </left>
      <right/>
      <top style="thin">
        <color rgb="FF6AB6E5"/>
      </top>
      <bottom style="thin">
        <color rgb="FF6AB6E5"/>
      </bottom>
      <diagonal/>
    </border>
    <border>
      <left/>
      <right/>
      <top style="thin">
        <color rgb="FF6AB6E5"/>
      </top>
      <bottom style="thin">
        <color rgb="FF6AB6E5"/>
      </bottom>
      <diagonal/>
    </border>
    <border>
      <left/>
      <right style="thin">
        <color rgb="FF6AB6E5"/>
      </right>
      <top style="thin">
        <color rgb="FF6AB6E5"/>
      </top>
      <bottom style="thin">
        <color rgb="FF6AB6E5"/>
      </bottom>
      <diagonal/>
    </border>
    <border>
      <left style="thin">
        <color theme="0" tint="-0.14999847407452621"/>
      </left>
      <right/>
      <top/>
      <bottom style="thin">
        <color theme="0" tint="-0.14999847407452621"/>
      </bottom>
      <diagonal/>
    </border>
    <border>
      <left style="thin">
        <color theme="0" tint="-0.14999847407452621"/>
      </left>
      <right/>
      <top/>
      <bottom style="thin">
        <color theme="0"/>
      </bottom>
      <diagonal/>
    </border>
    <border>
      <left/>
      <right/>
      <top/>
      <bottom style="thin">
        <color theme="0"/>
      </bottom>
      <diagonal/>
    </border>
    <border>
      <left/>
      <right style="thin">
        <color theme="0" tint="-0.14999847407452621"/>
      </right>
      <top/>
      <bottom style="thin">
        <color theme="0"/>
      </bottom>
      <diagonal/>
    </border>
    <border>
      <left style="thin">
        <color rgb="FFEB9F42"/>
      </left>
      <right/>
      <top style="thin">
        <color rgb="FFEB9F42"/>
      </top>
      <bottom style="thin">
        <color rgb="FFEB9F42"/>
      </bottom>
      <diagonal/>
    </border>
    <border>
      <left/>
      <right/>
      <top style="thin">
        <color rgb="FFEB9F42"/>
      </top>
      <bottom style="thin">
        <color rgb="FFEB9F42"/>
      </bottom>
      <diagonal/>
    </border>
    <border>
      <left/>
      <right style="thin">
        <color rgb="FFEB9F42"/>
      </right>
      <top style="thin">
        <color rgb="FFEB9F42"/>
      </top>
      <bottom style="thin">
        <color rgb="FFEB9F42"/>
      </bottom>
      <diagonal/>
    </border>
    <border>
      <left style="thin">
        <color theme="0"/>
      </left>
      <right style="thick">
        <color rgb="FF005B93"/>
      </right>
      <top style="thin">
        <color theme="0"/>
      </top>
      <bottom style="thin">
        <color theme="0" tint="-0.14999847407452621"/>
      </bottom>
      <diagonal/>
    </border>
    <border>
      <left style="thin">
        <color theme="0" tint="-0.14999847407452621"/>
      </left>
      <right style="thick">
        <color rgb="FF005B93"/>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0" tint="-0.14999847407452621"/>
      </bottom>
      <diagonal/>
    </border>
    <border>
      <left style="thin">
        <color theme="1" tint="0.34998626667073579"/>
      </left>
      <right style="thin">
        <color theme="1" tint="0.34998626667073579"/>
      </right>
      <top/>
      <bottom style="thin">
        <color theme="0" tint="-0.14999847407452621"/>
      </bottom>
      <diagonal/>
    </border>
    <border>
      <left style="thin">
        <color theme="1" tint="0.34998626667073579"/>
      </left>
      <right style="thin">
        <color theme="1" tint="0.34998626667073579"/>
      </right>
      <top style="thin">
        <color theme="0" tint="-0.14999847407452621"/>
      </top>
      <bottom style="thin">
        <color theme="0" tint="-0.14999847407452621"/>
      </bottom>
      <diagonal/>
    </border>
    <border>
      <left style="thin">
        <color theme="0" tint="-0.14999847407452621"/>
      </left>
      <right/>
      <top/>
      <bottom/>
      <diagonal/>
    </border>
    <border>
      <left/>
      <right style="thin">
        <color theme="0" tint="-0.14999847407452621"/>
      </right>
      <top style="thin">
        <color rgb="FF6AB6E5"/>
      </top>
      <bottom/>
      <diagonal/>
    </border>
    <border>
      <left/>
      <right style="thin">
        <color theme="0"/>
      </right>
      <top style="thin">
        <color rgb="FF6AB6E5"/>
      </top>
      <bottom/>
      <diagonal/>
    </border>
    <border>
      <left style="thin">
        <color theme="0" tint="-0.14999847407452621"/>
      </left>
      <right/>
      <top style="thin">
        <color theme="0" tint="-0.1499984740745262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14999847407452621"/>
      </left>
      <right/>
      <top style="thin">
        <color indexed="64"/>
      </top>
      <bottom/>
      <diagonal/>
    </border>
    <border>
      <left style="thin">
        <color theme="0" tint="-0.14999847407452621"/>
      </left>
      <right/>
      <top/>
      <bottom style="thin">
        <color indexed="64"/>
      </bottom>
      <diagonal/>
    </border>
    <border>
      <left style="thick">
        <color indexed="64"/>
      </left>
      <right/>
      <top/>
      <bottom/>
      <diagonal/>
    </border>
    <border>
      <left style="thin">
        <color rgb="FF0E3357"/>
      </left>
      <right/>
      <top style="thin">
        <color rgb="FF0E3357"/>
      </top>
      <bottom/>
      <diagonal/>
    </border>
    <border>
      <left/>
      <right/>
      <top style="thin">
        <color rgb="FF0E3357"/>
      </top>
      <bottom/>
      <diagonal/>
    </border>
    <border>
      <left/>
      <right style="thin">
        <color rgb="FF0E3357"/>
      </right>
      <top style="thin">
        <color rgb="FF0E3357"/>
      </top>
      <bottom/>
      <diagonal/>
    </border>
    <border>
      <left style="thin">
        <color indexed="64"/>
      </left>
      <right style="thin">
        <color indexed="64"/>
      </right>
      <top style="thin">
        <color indexed="64"/>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style="thin">
        <color indexed="64"/>
      </left>
      <right style="thin">
        <color indexed="64"/>
      </right>
      <top style="thin">
        <color theme="0" tint="-0.14999847407452621"/>
      </top>
      <bottom style="thin">
        <color indexed="64"/>
      </bottom>
      <diagonal/>
    </border>
  </borders>
  <cellStyleXfs count="7">
    <xf numFmtId="0" fontId="0" fillId="0" borderId="0"/>
    <xf numFmtId="0" fontId="34" fillId="3" borderId="0" applyNumberFormat="0" applyBorder="0" applyAlignment="0" applyProtection="0"/>
    <xf numFmtId="0" fontId="53" fillId="0" borderId="0" applyNumberFormat="0" applyFill="0" applyBorder="0" applyAlignment="0" applyProtection="0"/>
    <xf numFmtId="0" fontId="45" fillId="0" borderId="0">
      <alignment vertical="center"/>
    </xf>
    <xf numFmtId="0" fontId="1" fillId="0" borderId="0"/>
    <xf numFmtId="0" fontId="47" fillId="0" borderId="0" applyNumberFormat="0" applyFill="0" applyBorder="0" applyAlignment="0" applyProtection="0"/>
    <xf numFmtId="0" fontId="53" fillId="0" borderId="0" applyNumberFormat="0" applyFill="0" applyBorder="0" applyAlignment="0" applyProtection="0"/>
  </cellStyleXfs>
  <cellXfs count="290">
    <xf numFmtId="0" fontId="0" fillId="0" borderId="0" xfId="0"/>
    <xf numFmtId="0" fontId="12" fillId="0" borderId="2" xfId="0" applyFont="1" applyBorder="1" applyAlignment="1">
      <alignment horizontal="left" vertical="center" wrapText="1"/>
    </xf>
    <xf numFmtId="0" fontId="12" fillId="0" borderId="1" xfId="0" applyFont="1" applyBorder="1" applyAlignment="1">
      <alignment horizontal="left" vertical="center" wrapText="1"/>
    </xf>
    <xf numFmtId="1" fontId="12" fillId="0" borderId="1" xfId="0" applyNumberFormat="1" applyFont="1" applyBorder="1" applyAlignment="1">
      <alignment horizontal="left" vertical="center" wrapText="1"/>
    </xf>
    <xf numFmtId="0" fontId="3" fillId="0" borderId="23" xfId="0" applyFont="1" applyBorder="1" applyAlignment="1" applyProtection="1">
      <alignment horizontal="left" vertical="center" wrapText="1"/>
      <protection locked="0"/>
    </xf>
    <xf numFmtId="0" fontId="3" fillId="0" borderId="24" xfId="0" applyFont="1" applyBorder="1" applyAlignment="1" applyProtection="1">
      <alignment horizontal="left" vertical="center" wrapText="1"/>
      <protection locked="0"/>
    </xf>
    <xf numFmtId="0" fontId="2" fillId="0" borderId="20" xfId="0" applyFont="1" applyBorder="1" applyAlignment="1" applyProtection="1">
      <alignment horizontal="left" vertical="center" wrapText="1"/>
      <protection locked="0"/>
    </xf>
    <xf numFmtId="0" fontId="2" fillId="0" borderId="23" xfId="0" applyFont="1" applyBorder="1" applyAlignment="1" applyProtection="1">
      <alignment horizontal="left" vertical="center" wrapText="1"/>
      <protection locked="0"/>
    </xf>
    <xf numFmtId="0" fontId="0" fillId="0" borderId="0" xfId="0" applyAlignment="1">
      <alignment vertical="center"/>
    </xf>
    <xf numFmtId="0" fontId="0" fillId="0" borderId="0" xfId="0" applyAlignment="1">
      <alignment vertical="center" wrapText="1"/>
    </xf>
    <xf numFmtId="0" fontId="48" fillId="0" borderId="0" xfId="0" applyFont="1" applyAlignment="1">
      <alignment vertical="center" wrapText="1"/>
    </xf>
    <xf numFmtId="0" fontId="51" fillId="0" borderId="0" xfId="0" applyFont="1" applyAlignment="1">
      <alignment vertical="center" wrapText="1"/>
    </xf>
    <xf numFmtId="0" fontId="53" fillId="0" borderId="0" xfId="2" applyFill="1" applyAlignment="1">
      <alignment vertical="center" wrapText="1"/>
    </xf>
    <xf numFmtId="0" fontId="31" fillId="7" borderId="46" xfId="0" applyFont="1" applyFill="1" applyBorder="1" applyAlignment="1">
      <alignment horizontal="center" vertical="center" wrapText="1"/>
    </xf>
    <xf numFmtId="0" fontId="53" fillId="7" borderId="0" xfId="2" applyFill="1" applyAlignment="1">
      <alignment vertical="center" wrapText="1"/>
    </xf>
    <xf numFmtId="0" fontId="53" fillId="8" borderId="0" xfId="2" applyFill="1" applyAlignment="1">
      <alignment vertical="center" wrapText="1"/>
    </xf>
    <xf numFmtId="0" fontId="53" fillId="9" borderId="0" xfId="2" applyFill="1" applyAlignment="1">
      <alignment vertical="center" wrapText="1"/>
    </xf>
    <xf numFmtId="0" fontId="53" fillId="10" borderId="0" xfId="2" applyFill="1" applyAlignment="1">
      <alignment vertical="center" wrapText="1"/>
    </xf>
    <xf numFmtId="0" fontId="53" fillId="11" borderId="0" xfId="2" applyFill="1" applyAlignment="1">
      <alignment vertical="center" wrapText="1"/>
    </xf>
    <xf numFmtId="0" fontId="53" fillId="11" borderId="0" xfId="2" quotePrefix="1" applyFill="1" applyAlignment="1">
      <alignment vertical="center" wrapText="1"/>
    </xf>
    <xf numFmtId="0" fontId="53" fillId="12" borderId="0" xfId="2" quotePrefix="1" applyFill="1" applyAlignment="1">
      <alignment vertical="center" wrapText="1"/>
    </xf>
    <xf numFmtId="0" fontId="53" fillId="13" borderId="0" xfId="2" applyFill="1" applyAlignment="1">
      <alignment vertical="center" wrapText="1"/>
    </xf>
    <xf numFmtId="0" fontId="53" fillId="13" borderId="0" xfId="2" quotePrefix="1" applyFill="1" applyAlignment="1">
      <alignment vertical="center" wrapText="1"/>
    </xf>
    <xf numFmtId="0" fontId="66" fillId="5" borderId="60" xfId="0" applyFont="1" applyFill="1" applyBorder="1" applyAlignment="1">
      <alignment vertical="center" wrapText="1"/>
    </xf>
    <xf numFmtId="0" fontId="66" fillId="0" borderId="0" xfId="0" applyFont="1" applyAlignment="1">
      <alignment vertical="center" wrapText="1"/>
    </xf>
    <xf numFmtId="0" fontId="49" fillId="0" borderId="0" xfId="2" applyFont="1" applyFill="1" applyAlignment="1">
      <alignment vertical="center" wrapText="1"/>
    </xf>
    <xf numFmtId="0" fontId="3" fillId="0" borderId="0" xfId="0" applyFont="1" applyAlignment="1">
      <alignment horizontal="left" vertical="center" wrapText="1"/>
    </xf>
    <xf numFmtId="0" fontId="62" fillId="0" borderId="0" xfId="0" applyFont="1" applyAlignment="1">
      <alignment vertical="center" wrapText="1"/>
    </xf>
    <xf numFmtId="0" fontId="77" fillId="0" borderId="0" xfId="0" applyFont="1" applyAlignment="1">
      <alignment vertical="center" wrapText="1"/>
    </xf>
    <xf numFmtId="0" fontId="3" fillId="0" borderId="0" xfId="0" applyFont="1" applyAlignment="1">
      <alignment vertical="center" wrapText="1"/>
    </xf>
    <xf numFmtId="0" fontId="0" fillId="0" borderId="28" xfId="0" applyBorder="1" applyAlignment="1">
      <alignment vertical="center" wrapText="1"/>
    </xf>
    <xf numFmtId="0" fontId="63" fillId="0" borderId="0" xfId="0" applyFont="1" applyAlignment="1">
      <alignment horizontal="left" vertical="center" wrapText="1"/>
    </xf>
    <xf numFmtId="0" fontId="15" fillId="0" borderId="0" xfId="0" applyFont="1" applyAlignment="1">
      <alignment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1" fontId="12" fillId="0" borderId="0" xfId="0" applyNumberFormat="1" applyFont="1" applyAlignment="1">
      <alignment horizontal="center" vertical="center" wrapText="1"/>
    </xf>
    <xf numFmtId="0" fontId="7" fillId="0" borderId="0" xfId="0" applyFont="1" applyAlignment="1">
      <alignment horizontal="left" vertical="center" wrapText="1"/>
    </xf>
    <xf numFmtId="0" fontId="62" fillId="0" borderId="0" xfId="0" applyFont="1" applyAlignment="1">
      <alignment horizontal="left" vertical="center" wrapText="1"/>
    </xf>
    <xf numFmtId="0" fontId="62" fillId="0" borderId="0" xfId="3" applyFont="1" applyAlignment="1">
      <alignment horizontal="left" vertical="center" wrapText="1"/>
    </xf>
    <xf numFmtId="0" fontId="3" fillId="0" borderId="30" xfId="0" applyFont="1" applyBorder="1" applyAlignment="1">
      <alignment horizontal="left" vertical="center" wrapText="1"/>
    </xf>
    <xf numFmtId="0" fontId="3" fillId="0" borderId="28" xfId="0" applyFont="1" applyBorder="1" applyAlignment="1">
      <alignment horizontal="left" vertical="center" wrapText="1"/>
    </xf>
    <xf numFmtId="0" fontId="3" fillId="0" borderId="28" xfId="0" applyFont="1" applyBorder="1" applyAlignment="1">
      <alignment vertical="center" wrapText="1"/>
    </xf>
    <xf numFmtId="0" fontId="81" fillId="0" borderId="71" xfId="0" applyFont="1" applyBorder="1" applyAlignment="1">
      <alignment vertical="center" wrapText="1"/>
    </xf>
    <xf numFmtId="0" fontId="3" fillId="0" borderId="72" xfId="0" applyFont="1" applyBorder="1" applyAlignment="1">
      <alignment vertical="center" wrapText="1"/>
    </xf>
    <xf numFmtId="0" fontId="3" fillId="0" borderId="73" xfId="0" applyFont="1" applyBorder="1" applyAlignment="1">
      <alignment vertical="center" wrapText="1"/>
    </xf>
    <xf numFmtId="0" fontId="3" fillId="0" borderId="75" xfId="0" applyFont="1" applyBorder="1" applyAlignment="1">
      <alignment vertical="center" wrapText="1"/>
    </xf>
    <xf numFmtId="0" fontId="3" fillId="0" borderId="77" xfId="0" applyFont="1" applyBorder="1" applyAlignment="1">
      <alignment vertical="center" wrapText="1"/>
    </xf>
    <xf numFmtId="0" fontId="3" fillId="0" borderId="78" xfId="0" applyFont="1" applyBorder="1" applyAlignment="1">
      <alignment vertical="center" wrapText="1"/>
    </xf>
    <xf numFmtId="0" fontId="81" fillId="14" borderId="74" xfId="0" applyFont="1" applyFill="1" applyBorder="1" applyAlignment="1">
      <alignment vertical="center" wrapText="1"/>
    </xf>
    <xf numFmtId="0" fontId="81" fillId="14" borderId="76" xfId="0" applyFont="1" applyFill="1" applyBorder="1" applyAlignment="1">
      <alignment vertical="center" wrapText="1"/>
    </xf>
    <xf numFmtId="0" fontId="81" fillId="14" borderId="71" xfId="0" applyFont="1" applyFill="1" applyBorder="1" applyAlignment="1">
      <alignment vertical="center" wrapText="1"/>
    </xf>
    <xf numFmtId="0" fontId="3" fillId="0" borderId="79" xfId="0" applyFont="1" applyBorder="1" applyAlignment="1">
      <alignment horizontal="left" vertical="center" wrapText="1"/>
    </xf>
    <xf numFmtId="0" fontId="3" fillId="0" borderId="67" xfId="0" applyFont="1" applyBorder="1" applyAlignment="1">
      <alignment horizontal="left" vertical="center" wrapText="1"/>
    </xf>
    <xf numFmtId="0" fontId="3" fillId="0" borderId="80" xfId="0" applyFont="1" applyBorder="1" applyAlignment="1">
      <alignment horizontal="left" vertical="center" wrapText="1"/>
    </xf>
    <xf numFmtId="0" fontId="62" fillId="5" borderId="0" xfId="0" applyFont="1" applyFill="1" applyAlignment="1">
      <alignment horizontal="left" vertical="center" wrapText="1"/>
    </xf>
    <xf numFmtId="0" fontId="62" fillId="0" borderId="81" xfId="0" applyFont="1" applyBorder="1" applyAlignment="1">
      <alignment horizontal="left" vertical="center" wrapText="1"/>
    </xf>
    <xf numFmtId="0" fontId="49" fillId="7" borderId="0" xfId="0" applyFont="1" applyFill="1" applyAlignment="1">
      <alignment vertical="center" wrapText="1"/>
    </xf>
    <xf numFmtId="0" fontId="49" fillId="9" borderId="0" xfId="0" applyFont="1" applyFill="1" applyAlignment="1">
      <alignment vertical="center" wrapText="1"/>
    </xf>
    <xf numFmtId="0" fontId="49" fillId="10" borderId="0" xfId="0" applyFont="1" applyFill="1" applyAlignment="1">
      <alignment vertical="center" wrapText="1"/>
    </xf>
    <xf numFmtId="0" fontId="3" fillId="0" borderId="29" xfId="0" applyFont="1" applyBorder="1" applyAlignment="1">
      <alignment vertical="center" wrapText="1"/>
    </xf>
    <xf numFmtId="0" fontId="53" fillId="0" borderId="0" xfId="2" applyFill="1" applyBorder="1" applyAlignment="1">
      <alignment vertical="center" wrapText="1"/>
    </xf>
    <xf numFmtId="0" fontId="62" fillId="5" borderId="0" xfId="3" applyFont="1" applyFill="1" applyAlignment="1">
      <alignment vertical="center" wrapText="1"/>
    </xf>
    <xf numFmtId="0" fontId="92" fillId="0" borderId="0" xfId="0" applyFont="1" applyAlignment="1">
      <alignment vertical="center" wrapText="1"/>
    </xf>
    <xf numFmtId="0" fontId="0" fillId="5" borderId="0" xfId="0" applyFill="1" applyAlignment="1">
      <alignment vertical="center" wrapText="1"/>
    </xf>
    <xf numFmtId="0" fontId="44" fillId="0" borderId="0" xfId="0" applyFont="1" applyAlignment="1">
      <alignment vertical="center" wrapText="1"/>
    </xf>
    <xf numFmtId="0" fontId="0" fillId="14" borderId="0" xfId="0" applyFill="1" applyAlignment="1">
      <alignment horizontal="center" vertical="center" wrapText="1"/>
    </xf>
    <xf numFmtId="0" fontId="62" fillId="0" borderId="0" xfId="0" applyFont="1" applyAlignment="1">
      <alignment horizontal="center" vertical="center" wrapText="1"/>
    </xf>
    <xf numFmtId="0" fontId="3" fillId="0" borderId="81" xfId="0" applyFont="1" applyBorder="1" applyAlignment="1">
      <alignment vertical="center" wrapText="1"/>
    </xf>
    <xf numFmtId="0" fontId="2" fillId="0" borderId="0" xfId="3" applyFont="1" applyAlignment="1">
      <alignment horizontal="center" vertical="center" wrapText="1"/>
    </xf>
    <xf numFmtId="0" fontId="43" fillId="0" borderId="0" xfId="0" applyFont="1" applyAlignment="1">
      <alignment vertical="center" wrapText="1"/>
    </xf>
    <xf numFmtId="0" fontId="8" fillId="0" borderId="0" xfId="0" applyFont="1" applyAlignment="1">
      <alignment vertical="center" wrapText="1"/>
    </xf>
    <xf numFmtId="0" fontId="38" fillId="0" borderId="0" xfId="0" applyFont="1" applyAlignment="1">
      <alignment horizontal="center" vertical="center" wrapText="1"/>
    </xf>
    <xf numFmtId="0" fontId="2" fillId="0" borderId="0" xfId="0" applyFont="1" applyAlignment="1">
      <alignment horizontal="center" vertical="center" wrapText="1"/>
    </xf>
    <xf numFmtId="0" fontId="37" fillId="16" borderId="22" xfId="0" applyFont="1" applyFill="1" applyBorder="1" applyAlignment="1">
      <alignment horizontal="center" vertical="center" wrapText="1"/>
    </xf>
    <xf numFmtId="0" fontId="3" fillId="0" borderId="20" xfId="0" applyFont="1" applyBorder="1" applyAlignment="1" applyProtection="1">
      <alignment horizontal="center" vertical="center" wrapText="1"/>
      <protection locked="0"/>
    </xf>
    <xf numFmtId="169" fontId="39" fillId="0" borderId="20" xfId="1" applyNumberFormat="1" applyFont="1" applyFill="1" applyBorder="1" applyAlignment="1" applyProtection="1">
      <alignment horizontal="center" vertical="center" wrapText="1"/>
    </xf>
    <xf numFmtId="169" fontId="3" fillId="0" borderId="20" xfId="0" applyNumberFormat="1" applyFont="1" applyBorder="1" applyAlignment="1">
      <alignment horizontal="center" vertical="center" wrapText="1"/>
    </xf>
    <xf numFmtId="0" fontId="3" fillId="0" borderId="23" xfId="0" applyFont="1" applyBorder="1" applyAlignment="1" applyProtection="1">
      <alignment horizontal="center" vertical="center" wrapText="1"/>
      <protection locked="0"/>
    </xf>
    <xf numFmtId="169" fontId="3" fillId="0" borderId="23" xfId="0" applyNumberFormat="1" applyFont="1" applyBorder="1" applyAlignment="1">
      <alignment horizontal="center" vertical="center" wrapText="1"/>
    </xf>
    <xf numFmtId="0" fontId="2" fillId="0" borderId="0" xfId="0" applyFont="1" applyAlignment="1">
      <alignment vertical="center" wrapText="1"/>
    </xf>
    <xf numFmtId="0" fontId="38" fillId="0" borderId="0" xfId="0" applyFont="1" applyAlignment="1">
      <alignment vertical="center" wrapText="1"/>
    </xf>
    <xf numFmtId="0" fontId="3" fillId="0" borderId="25" xfId="0" applyFont="1" applyBorder="1" applyAlignment="1" applyProtection="1">
      <alignment horizontal="center" vertical="center" wrapText="1"/>
      <protection locked="0"/>
    </xf>
    <xf numFmtId="169" fontId="3" fillId="0" borderId="25" xfId="0" applyNumberFormat="1" applyFont="1" applyBorder="1" applyAlignment="1">
      <alignment horizontal="center" vertical="center" wrapText="1"/>
    </xf>
    <xf numFmtId="0" fontId="37" fillId="16" borderId="26" xfId="0" applyFont="1" applyFill="1" applyBorder="1" applyAlignment="1">
      <alignment horizontal="left" vertical="center" wrapText="1"/>
    </xf>
    <xf numFmtId="0" fontId="2" fillId="0" borderId="27" xfId="0" applyFont="1" applyBorder="1" applyAlignment="1">
      <alignment horizontal="center" vertical="center" wrapText="1"/>
    </xf>
    <xf numFmtId="0" fontId="2" fillId="0" borderId="20" xfId="0" applyFont="1" applyBorder="1" applyAlignment="1">
      <alignment horizontal="center" vertical="center" wrapText="1"/>
    </xf>
    <xf numFmtId="169" fontId="2" fillId="0" borderId="20" xfId="0" applyNumberFormat="1" applyFont="1" applyBorder="1" applyAlignment="1">
      <alignment horizontal="center" vertical="center" wrapText="1"/>
    </xf>
    <xf numFmtId="0" fontId="12" fillId="0" borderId="0" xfId="0" applyFont="1" applyAlignment="1">
      <alignment vertical="center" wrapText="1"/>
    </xf>
    <xf numFmtId="0" fontId="54" fillId="0" borderId="67" xfId="0" applyFont="1" applyBorder="1" applyAlignment="1">
      <alignment horizontal="left" vertical="center" wrapText="1"/>
    </xf>
    <xf numFmtId="0" fontId="80" fillId="0" borderId="0" xfId="0" applyFont="1" applyAlignment="1">
      <alignment horizontal="left" vertical="center" wrapText="1"/>
    </xf>
    <xf numFmtId="0" fontId="58" fillId="0" borderId="0" xfId="0" applyFont="1" applyAlignment="1">
      <alignment vertical="center" wrapText="1"/>
    </xf>
    <xf numFmtId="0" fontId="50" fillId="10" borderId="60" xfId="0" applyFont="1" applyFill="1" applyBorder="1" applyAlignment="1">
      <alignment horizontal="center" vertical="center" wrapText="1"/>
    </xf>
    <xf numFmtId="0" fontId="50" fillId="0" borderId="0" xfId="0" applyFont="1" applyAlignment="1">
      <alignment horizontal="center" vertical="center" wrapText="1"/>
    </xf>
    <xf numFmtId="0" fontId="58" fillId="0" borderId="0" xfId="0" applyFont="1" applyAlignment="1">
      <alignment horizontal="center" vertical="center" wrapText="1"/>
    </xf>
    <xf numFmtId="0" fontId="0" fillId="0" borderId="61" xfId="0" applyBorder="1" applyAlignment="1">
      <alignment vertical="center" wrapText="1"/>
    </xf>
    <xf numFmtId="0" fontId="66" fillId="0" borderId="0" xfId="0" applyFont="1" applyAlignment="1">
      <alignment horizontal="left" vertical="center" wrapText="1"/>
    </xf>
    <xf numFmtId="0" fontId="0" fillId="0" borderId="64" xfId="0" applyBorder="1" applyAlignment="1">
      <alignment vertical="center" wrapText="1"/>
    </xf>
    <xf numFmtId="0" fontId="0" fillId="15" borderId="66" xfId="0" applyFill="1" applyBorder="1" applyAlignment="1">
      <alignment vertical="center" wrapText="1"/>
    </xf>
    <xf numFmtId="0" fontId="0" fillId="0" borderId="66" xfId="0" applyBorder="1" applyAlignment="1">
      <alignment vertical="center" wrapText="1"/>
    </xf>
    <xf numFmtId="0" fontId="0" fillId="0" borderId="65" xfId="0" applyBorder="1" applyAlignment="1">
      <alignment vertical="center" wrapText="1"/>
    </xf>
    <xf numFmtId="0" fontId="0" fillId="15" borderId="63" xfId="0" applyFill="1" applyBorder="1" applyAlignment="1">
      <alignment vertical="center" wrapText="1"/>
    </xf>
    <xf numFmtId="0" fontId="50" fillId="0" borderId="0" xfId="0" applyFont="1" applyAlignment="1">
      <alignment horizontal="left" vertical="center" wrapText="1"/>
    </xf>
    <xf numFmtId="0" fontId="0" fillId="0" borderId="0" xfId="0" applyAlignment="1">
      <alignment horizontal="left" vertical="center" wrapText="1"/>
    </xf>
    <xf numFmtId="0" fontId="62" fillId="5" borderId="39" xfId="0" applyFont="1" applyFill="1" applyBorder="1" applyAlignment="1">
      <alignment horizontal="center" vertical="center" wrapText="1"/>
    </xf>
    <xf numFmtId="0" fontId="3" fillId="0" borderId="34" xfId="0" applyFont="1" applyBorder="1" applyAlignment="1">
      <alignment vertical="center" wrapText="1"/>
    </xf>
    <xf numFmtId="0" fontId="80" fillId="0" borderId="0" xfId="0" applyFont="1" applyAlignment="1">
      <alignment vertical="center" wrapText="1"/>
    </xf>
    <xf numFmtId="0" fontId="62" fillId="0" borderId="32" xfId="0" applyFont="1" applyBorder="1" applyAlignment="1">
      <alignment horizontal="center" vertical="center" wrapText="1"/>
    </xf>
    <xf numFmtId="0" fontId="62" fillId="0" borderId="47" xfId="0" applyFont="1" applyBorder="1" applyAlignment="1">
      <alignment horizontal="center" vertical="center" wrapText="1"/>
    </xf>
    <xf numFmtId="0" fontId="62" fillId="0" borderId="39"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29" xfId="0" applyFont="1" applyBorder="1" applyAlignment="1">
      <alignment horizontal="left" vertical="center" wrapText="1"/>
    </xf>
    <xf numFmtId="0" fontId="3" fillId="0" borderId="35" xfId="0" applyFont="1" applyBorder="1" applyAlignment="1">
      <alignment horizontal="left" vertical="center" wrapText="1"/>
    </xf>
    <xf numFmtId="0" fontId="3" fillId="0" borderId="34" xfId="0" applyFont="1" applyBorder="1" applyAlignment="1">
      <alignment horizontal="left" vertical="center" wrapText="1"/>
    </xf>
    <xf numFmtId="0" fontId="3" fillId="0" borderId="38" xfId="0" applyFont="1" applyBorder="1" applyAlignment="1">
      <alignment horizontal="left" vertical="center" wrapText="1"/>
    </xf>
    <xf numFmtId="0" fontId="3" fillId="0" borderId="70" xfId="0" applyFont="1" applyBorder="1" applyAlignment="1">
      <alignment horizontal="left" vertical="center" wrapText="1"/>
    </xf>
    <xf numFmtId="0" fontId="12" fillId="0" borderId="0" xfId="0" applyFont="1" applyAlignment="1">
      <alignment horizontal="center" vertical="center" wrapText="1"/>
    </xf>
    <xf numFmtId="0" fontId="21" fillId="0" borderId="0" xfId="0" applyFont="1" applyAlignment="1">
      <alignment horizontal="center" vertical="center" wrapText="1"/>
    </xf>
    <xf numFmtId="1" fontId="21" fillId="0" borderId="0" xfId="0" applyNumberFormat="1" applyFont="1" applyAlignment="1">
      <alignment horizontal="center" vertical="center" wrapText="1"/>
    </xf>
    <xf numFmtId="0" fontId="21" fillId="0" borderId="0" xfId="0" applyFont="1" applyAlignment="1">
      <alignment vertical="center" wrapText="1"/>
    </xf>
    <xf numFmtId="0" fontId="15" fillId="0" borderId="0" xfId="0" applyFont="1" applyAlignment="1">
      <alignment horizontal="center" vertical="center" wrapText="1"/>
    </xf>
    <xf numFmtId="0" fontId="16" fillId="0" borderId="0" xfId="0" applyFont="1" applyAlignment="1">
      <alignment horizontal="left" vertical="center" wrapText="1"/>
    </xf>
    <xf numFmtId="0" fontId="9" fillId="0" borderId="0" xfId="0" applyFont="1" applyAlignment="1">
      <alignment horizontal="left" vertical="center" wrapText="1"/>
    </xf>
    <xf numFmtId="0" fontId="4" fillId="0" borderId="0" xfId="0" applyFont="1" applyAlignment="1">
      <alignment horizontal="left" vertical="center" wrapText="1"/>
    </xf>
    <xf numFmtId="0" fontId="10" fillId="0" borderId="1" xfId="0" applyFont="1" applyBorder="1" applyAlignment="1">
      <alignment horizontal="left" vertical="center" wrapText="1"/>
    </xf>
    <xf numFmtId="0" fontId="13" fillId="0" borderId="0" xfId="0" applyFont="1" applyAlignment="1">
      <alignment horizontal="left" vertical="center" wrapText="1"/>
    </xf>
    <xf numFmtId="0" fontId="10" fillId="0" borderId="3" xfId="0" applyFont="1" applyBorder="1" applyAlignment="1">
      <alignment horizontal="left" vertical="center" wrapText="1"/>
    </xf>
    <xf numFmtId="0" fontId="14" fillId="7" borderId="6"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4" fillId="7" borderId="5" xfId="0" applyFont="1" applyFill="1" applyBorder="1" applyAlignment="1">
      <alignment horizontal="center" vertical="center" wrapText="1"/>
    </xf>
    <xf numFmtId="0" fontId="14" fillId="0" borderId="0" xfId="0" applyFont="1" applyAlignment="1">
      <alignment horizontal="center" vertical="center" wrapText="1"/>
    </xf>
    <xf numFmtId="0" fontId="12" fillId="0" borderId="2" xfId="0" applyFont="1" applyBorder="1" applyAlignment="1" applyProtection="1">
      <alignment horizontal="center" vertical="center" wrapText="1"/>
      <protection locked="0"/>
    </xf>
    <xf numFmtId="0" fontId="12" fillId="0" borderId="2" xfId="0" applyFont="1" applyBorder="1" applyAlignment="1" applyProtection="1">
      <alignment horizontal="left" vertical="center" wrapText="1"/>
      <protection locked="0"/>
    </xf>
    <xf numFmtId="165" fontId="12" fillId="0" borderId="2" xfId="0" applyNumberFormat="1" applyFont="1" applyBorder="1" applyAlignment="1">
      <alignment horizontal="center" vertical="center" wrapText="1"/>
    </xf>
    <xf numFmtId="168" fontId="12" fillId="0" borderId="2" xfId="0" applyNumberFormat="1" applyFont="1" applyBorder="1" applyAlignment="1">
      <alignment horizontal="center" vertical="center" wrapText="1"/>
    </xf>
    <xf numFmtId="166" fontId="12" fillId="0" borderId="0" xfId="0" applyNumberFormat="1" applyFont="1" applyAlignment="1">
      <alignment horizontal="center" vertical="center" wrapText="1"/>
    </xf>
    <xf numFmtId="0" fontId="12" fillId="0" borderId="1" xfId="0" applyFont="1" applyBorder="1" applyAlignment="1" applyProtection="1">
      <alignment horizontal="center" vertical="center" wrapText="1"/>
      <protection locked="0"/>
    </xf>
    <xf numFmtId="0" fontId="12" fillId="0" borderId="1" xfId="0" applyFont="1" applyBorder="1" applyAlignment="1" applyProtection="1">
      <alignment horizontal="left" vertical="center" wrapText="1"/>
      <protection locked="0"/>
    </xf>
    <xf numFmtId="0" fontId="7" fillId="0" borderId="0" xfId="0" applyFont="1" applyAlignment="1">
      <alignment vertical="center" wrapText="1"/>
    </xf>
    <xf numFmtId="0" fontId="29" fillId="0" borderId="18" xfId="0" applyFont="1" applyBorder="1" applyAlignment="1">
      <alignment horizontal="right" vertical="center" wrapText="1"/>
    </xf>
    <xf numFmtId="0" fontId="2" fillId="0" borderId="18" xfId="0" applyFont="1" applyBorder="1" applyAlignment="1">
      <alignment horizontal="right" vertical="center" wrapText="1"/>
    </xf>
    <xf numFmtId="164" fontId="15" fillId="0" borderId="0" xfId="0" applyNumberFormat="1" applyFont="1" applyAlignment="1">
      <alignment horizontal="center" vertical="center" wrapText="1"/>
    </xf>
    <xf numFmtId="0" fontId="12" fillId="0" borderId="0" xfId="0" applyFont="1" applyAlignment="1">
      <alignment horizontal="left" vertical="center" wrapText="1"/>
    </xf>
    <xf numFmtId="0" fontId="18" fillId="0" borderId="0" xfId="0" applyFont="1" applyAlignment="1">
      <alignment vertical="center" wrapText="1"/>
    </xf>
    <xf numFmtId="0" fontId="18" fillId="7" borderId="11" xfId="0" applyFont="1" applyFill="1" applyBorder="1" applyAlignment="1">
      <alignment horizontal="center" vertical="center" wrapText="1"/>
    </xf>
    <xf numFmtId="0" fontId="18" fillId="7" borderId="12" xfId="0" applyFont="1" applyFill="1" applyBorder="1" applyAlignment="1">
      <alignment horizontal="center" vertical="center" wrapText="1"/>
    </xf>
    <xf numFmtId="1" fontId="18" fillId="7" borderId="12" xfId="0" applyNumberFormat="1" applyFont="1" applyFill="1" applyBorder="1" applyAlignment="1">
      <alignment horizontal="center" vertical="center" wrapText="1"/>
    </xf>
    <xf numFmtId="1" fontId="18" fillId="7" borderId="13" xfId="0" applyNumberFormat="1" applyFont="1" applyFill="1" applyBorder="1" applyAlignment="1">
      <alignment horizontal="center" vertical="center" wrapText="1"/>
    </xf>
    <xf numFmtId="0" fontId="12" fillId="2" borderId="28" xfId="0" applyFont="1" applyFill="1" applyBorder="1" applyAlignment="1" applyProtection="1">
      <alignment vertical="center" wrapText="1"/>
      <protection locked="0"/>
    </xf>
    <xf numFmtId="0" fontId="12" fillId="0" borderId="28" xfId="0" applyFont="1" applyBorder="1" applyAlignment="1" applyProtection="1">
      <alignment vertical="center" wrapText="1"/>
      <protection locked="0"/>
    </xf>
    <xf numFmtId="1" fontId="12" fillId="0" borderId="28" xfId="0" applyNumberFormat="1" applyFont="1" applyBorder="1" applyAlignment="1">
      <alignment horizontal="center" vertical="center" wrapText="1"/>
    </xf>
    <xf numFmtId="1" fontId="12" fillId="0" borderId="28" xfId="0" applyNumberFormat="1" applyFont="1" applyBorder="1" applyAlignment="1">
      <alignment horizontal="left" vertical="center" wrapText="1"/>
    </xf>
    <xf numFmtId="167" fontId="12" fillId="0" borderId="28" xfId="0" applyNumberFormat="1" applyFont="1" applyBorder="1" applyAlignment="1" applyProtection="1">
      <alignment horizontal="center" vertical="center" wrapText="1"/>
      <protection locked="0"/>
    </xf>
    <xf numFmtId="0" fontId="12" fillId="0" borderId="28" xfId="0" applyFont="1" applyBorder="1" applyAlignment="1">
      <alignment vertical="center" wrapText="1"/>
    </xf>
    <xf numFmtId="0" fontId="15" fillId="0" borderId="28" xfId="0" applyFont="1" applyBorder="1" applyAlignment="1">
      <alignment vertical="center" wrapText="1"/>
    </xf>
    <xf numFmtId="1" fontId="15" fillId="0" borderId="28" xfId="0" applyNumberFormat="1" applyFont="1" applyBorder="1" applyAlignment="1">
      <alignment horizontal="center" vertical="center" wrapText="1"/>
    </xf>
    <xf numFmtId="1" fontId="12" fillId="2" borderId="28" xfId="0" applyNumberFormat="1" applyFont="1" applyFill="1" applyBorder="1" applyAlignment="1" applyProtection="1">
      <alignment horizontal="left" vertical="center" wrapText="1"/>
      <protection locked="0"/>
    </xf>
    <xf numFmtId="0" fontId="12" fillId="0" borderId="28" xfId="0" applyFont="1" applyBorder="1" applyAlignment="1" applyProtection="1">
      <alignment horizontal="left" vertical="center" wrapText="1"/>
      <protection locked="0"/>
    </xf>
    <xf numFmtId="0" fontId="12" fillId="0" borderId="28" xfId="0" applyFont="1" applyBorder="1" applyAlignment="1">
      <alignment horizontal="center" vertical="center" wrapText="1"/>
    </xf>
    <xf numFmtId="0" fontId="31" fillId="7" borderId="45" xfId="0" applyFont="1" applyFill="1" applyBorder="1" applyAlignment="1">
      <alignment horizontal="center" vertical="center" wrapText="1"/>
    </xf>
    <xf numFmtId="0" fontId="50" fillId="8" borderId="41" xfId="0" applyFont="1" applyFill="1" applyBorder="1" applyAlignment="1">
      <alignment vertical="center" wrapText="1"/>
    </xf>
    <xf numFmtId="0" fontId="50" fillId="7" borderId="41" xfId="0" applyFont="1" applyFill="1" applyBorder="1" applyAlignment="1">
      <alignment vertical="center" wrapText="1"/>
    </xf>
    <xf numFmtId="0" fontId="2" fillId="7" borderId="41" xfId="0" applyFont="1" applyFill="1" applyBorder="1" applyAlignment="1">
      <alignment vertical="center" wrapText="1"/>
    </xf>
    <xf numFmtId="0" fontId="50" fillId="9" borderId="41" xfId="0" applyFont="1" applyFill="1" applyBorder="1" applyAlignment="1">
      <alignment vertical="center" wrapText="1"/>
    </xf>
    <xf numFmtId="0" fontId="50" fillId="0" borderId="0" xfId="0" applyFont="1" applyAlignment="1">
      <alignment vertical="center" wrapText="1"/>
    </xf>
    <xf numFmtId="0" fontId="50" fillId="10" borderId="41" xfId="0" applyFont="1" applyFill="1" applyBorder="1" applyAlignment="1">
      <alignment vertical="center" wrapText="1"/>
    </xf>
    <xf numFmtId="0" fontId="50" fillId="13" borderId="41" xfId="0" applyFont="1" applyFill="1" applyBorder="1" applyAlignment="1">
      <alignment vertical="center" wrapText="1"/>
    </xf>
    <xf numFmtId="0" fontId="50" fillId="11" borderId="41" xfId="0" applyFont="1" applyFill="1" applyBorder="1" applyAlignment="1">
      <alignment vertical="center" wrapText="1"/>
    </xf>
    <xf numFmtId="0" fontId="50" fillId="12" borderId="41" xfId="0" applyFont="1" applyFill="1" applyBorder="1" applyAlignment="1">
      <alignment vertical="center" wrapText="1"/>
    </xf>
    <xf numFmtId="0" fontId="42" fillId="0" borderId="0" xfId="0" applyFont="1" applyAlignment="1">
      <alignment horizontal="left" vertical="center" wrapText="1"/>
    </xf>
    <xf numFmtId="0" fontId="42" fillId="0" borderId="0" xfId="0" applyFont="1" applyAlignment="1">
      <alignment horizontal="center" vertical="center" wrapText="1"/>
    </xf>
    <xf numFmtId="0" fontId="3" fillId="5" borderId="0" xfId="0" applyFont="1" applyFill="1" applyAlignment="1">
      <alignment vertical="center" wrapText="1"/>
    </xf>
    <xf numFmtId="0" fontId="53" fillId="18" borderId="0" xfId="2" applyFill="1" applyAlignment="1">
      <alignment vertical="center" wrapText="1"/>
    </xf>
    <xf numFmtId="0" fontId="75" fillId="5" borderId="0" xfId="0" applyFont="1" applyFill="1" applyAlignment="1">
      <alignment vertical="center" wrapText="1"/>
    </xf>
    <xf numFmtId="0" fontId="76" fillId="5" borderId="0" xfId="0" applyFont="1" applyFill="1" applyAlignment="1">
      <alignment vertical="center" wrapText="1"/>
    </xf>
    <xf numFmtId="0" fontId="0" fillId="0" borderId="85" xfId="0" applyBorder="1" applyAlignment="1">
      <alignment vertical="center" wrapText="1"/>
    </xf>
    <xf numFmtId="0" fontId="0" fillId="0" borderId="86" xfId="0" applyBorder="1" applyAlignment="1">
      <alignment vertical="center" wrapText="1"/>
    </xf>
    <xf numFmtId="0" fontId="0" fillId="0" borderId="87" xfId="0" applyBorder="1" applyAlignment="1">
      <alignment vertical="center" wrapText="1"/>
    </xf>
    <xf numFmtId="0" fontId="79" fillId="0" borderId="85" xfId="0" applyFont="1" applyBorder="1" applyAlignment="1">
      <alignment vertical="center" wrapText="1"/>
    </xf>
    <xf numFmtId="0" fontId="79" fillId="0" borderId="86" xfId="0" applyFont="1" applyBorder="1" applyAlignment="1">
      <alignment vertical="center" wrapText="1"/>
    </xf>
    <xf numFmtId="0" fontId="79" fillId="0" borderId="87" xfId="0" applyFont="1" applyBorder="1" applyAlignment="1">
      <alignment vertical="center" wrapText="1"/>
    </xf>
    <xf numFmtId="0" fontId="50" fillId="5" borderId="0" xfId="0" applyFont="1" applyFill="1" applyAlignment="1">
      <alignment vertical="center" wrapText="1"/>
    </xf>
    <xf numFmtId="0" fontId="80" fillId="5" borderId="0" xfId="0" applyFont="1" applyFill="1" applyAlignment="1">
      <alignment vertical="center" wrapText="1"/>
    </xf>
    <xf numFmtId="0" fontId="79" fillId="5" borderId="0" xfId="0" applyFont="1" applyFill="1" applyAlignment="1">
      <alignment vertical="center" wrapText="1"/>
    </xf>
    <xf numFmtId="0" fontId="93" fillId="5" borderId="0" xfId="0" applyFont="1" applyFill="1" applyAlignment="1">
      <alignment vertical="center" wrapText="1"/>
    </xf>
    <xf numFmtId="0" fontId="76" fillId="5" borderId="0" xfId="0" applyFont="1" applyFill="1" applyAlignment="1">
      <alignment horizontal="center" vertical="center" wrapText="1"/>
    </xf>
    <xf numFmtId="0" fontId="62" fillId="5" borderId="31" xfId="0" applyFont="1" applyFill="1" applyBorder="1" applyAlignment="1">
      <alignment vertical="center" wrapText="1"/>
    </xf>
    <xf numFmtId="0" fontId="62" fillId="5" borderId="32" xfId="0" applyFont="1" applyFill="1" applyBorder="1" applyAlignment="1">
      <alignment vertical="center" wrapText="1"/>
    </xf>
    <xf numFmtId="0" fontId="62" fillId="5" borderId="32" xfId="0" applyFont="1" applyFill="1" applyBorder="1" applyAlignment="1">
      <alignment horizontal="center" vertical="center" wrapText="1"/>
    </xf>
    <xf numFmtId="0" fontId="62" fillId="5" borderId="58" xfId="0" applyFont="1" applyFill="1" applyBorder="1" applyAlignment="1">
      <alignment horizontal="center" vertical="center" wrapText="1"/>
    </xf>
    <xf numFmtId="0" fontId="62" fillId="5" borderId="47" xfId="0" applyFont="1" applyFill="1" applyBorder="1" applyAlignment="1">
      <alignment horizontal="center" vertical="center" wrapText="1"/>
    </xf>
    <xf numFmtId="0" fontId="62" fillId="5" borderId="40" xfId="0" applyFont="1" applyFill="1" applyBorder="1" applyAlignment="1">
      <alignment horizontal="center" vertical="center" wrapText="1"/>
    </xf>
    <xf numFmtId="0" fontId="88" fillId="4" borderId="28" xfId="0" applyFont="1" applyFill="1" applyBorder="1" applyAlignment="1">
      <alignment vertical="center" wrapText="1"/>
    </xf>
    <xf numFmtId="0" fontId="88" fillId="4" borderId="59" xfId="0" applyFont="1" applyFill="1" applyBorder="1" applyAlignment="1">
      <alignment vertical="center" wrapText="1"/>
    </xf>
    <xf numFmtId="0" fontId="88" fillId="4" borderId="29" xfId="0" applyFont="1" applyFill="1" applyBorder="1" applyAlignment="1">
      <alignment vertical="center" wrapText="1"/>
    </xf>
    <xf numFmtId="0" fontId="88" fillId="4" borderId="29" xfId="0" applyFont="1" applyFill="1" applyBorder="1" applyAlignment="1">
      <alignment horizontal="center" vertical="center" wrapText="1"/>
    </xf>
    <xf numFmtId="0" fontId="88" fillId="4" borderId="28" xfId="0" applyFont="1" applyFill="1" applyBorder="1" applyAlignment="1">
      <alignment horizontal="center" vertical="center" wrapText="1"/>
    </xf>
    <xf numFmtId="0" fontId="57" fillId="0" borderId="7" xfId="0" applyFont="1" applyBorder="1" applyAlignment="1">
      <alignment horizontal="center" vertical="center" wrapText="1"/>
    </xf>
    <xf numFmtId="164" fontId="31" fillId="0" borderId="1" xfId="0" applyNumberFormat="1" applyFont="1" applyBorder="1" applyAlignment="1">
      <alignment horizontal="center" vertical="center"/>
    </xf>
    <xf numFmtId="0" fontId="46" fillId="6" borderId="0" xfId="0" applyFont="1" applyFill="1" applyAlignment="1">
      <alignment horizontal="center" vertical="center" wrapText="1"/>
    </xf>
    <xf numFmtId="0" fontId="46" fillId="7" borderId="43" xfId="0" applyFont="1" applyFill="1" applyBorder="1" applyAlignment="1">
      <alignment horizontal="center" vertical="center" wrapText="1"/>
    </xf>
    <xf numFmtId="0" fontId="49" fillId="7" borderId="44" xfId="0" applyFont="1" applyFill="1" applyBorder="1" applyAlignment="1">
      <alignment horizontal="center" vertical="center" wrapText="1"/>
    </xf>
    <xf numFmtId="0" fontId="50" fillId="18" borderId="0" xfId="0" applyFont="1" applyFill="1" applyAlignment="1">
      <alignment horizontal="left" vertical="center" wrapText="1"/>
    </xf>
    <xf numFmtId="0" fontId="46" fillId="8" borderId="0" xfId="0" applyFont="1" applyFill="1" applyAlignment="1">
      <alignment horizontal="center" vertical="center" wrapText="1"/>
    </xf>
    <xf numFmtId="0" fontId="21" fillId="0" borderId="0" xfId="0" applyFont="1" applyAlignment="1">
      <alignment horizontal="left" vertical="center" wrapText="1"/>
    </xf>
    <xf numFmtId="0" fontId="56" fillId="0" borderId="0" xfId="0" applyFont="1" applyAlignment="1">
      <alignment horizontal="left" vertical="center" wrapText="1"/>
    </xf>
    <xf numFmtId="0" fontId="62" fillId="0" borderId="0" xfId="0" applyFont="1" applyAlignment="1">
      <alignment vertical="center" wrapText="1"/>
    </xf>
    <xf numFmtId="0" fontId="63" fillId="0" borderId="0" xfId="0" applyFont="1" applyAlignment="1">
      <alignment horizontal="left" vertical="center" wrapText="1"/>
    </xf>
    <xf numFmtId="0" fontId="63" fillId="0" borderId="0" xfId="0" applyFont="1" applyAlignment="1">
      <alignment vertical="center" wrapText="1"/>
    </xf>
    <xf numFmtId="0" fontId="20" fillId="0" borderId="0" xfId="0" applyFont="1" applyAlignment="1">
      <alignment vertical="center" wrapText="1"/>
    </xf>
    <xf numFmtId="0" fontId="15" fillId="0" borderId="0" xfId="0" applyFont="1" applyAlignment="1">
      <alignment vertical="center" wrapText="1"/>
    </xf>
    <xf numFmtId="0" fontId="57" fillId="0" borderId="0" xfId="0" applyFont="1" applyAlignment="1">
      <alignment vertical="center" wrapText="1"/>
    </xf>
    <xf numFmtId="0" fontId="7" fillId="0" borderId="14" xfId="0" applyFont="1" applyBorder="1" applyAlignment="1">
      <alignment horizontal="left" vertical="center" wrapText="1"/>
    </xf>
    <xf numFmtId="0" fontId="11" fillId="0" borderId="8" xfId="0" applyFont="1" applyBorder="1" applyAlignment="1" applyProtection="1">
      <alignment horizontal="left" vertical="center" wrapText="1"/>
      <protection locked="0"/>
    </xf>
    <xf numFmtId="0" fontId="11" fillId="0" borderId="10" xfId="0" applyFont="1" applyBorder="1" applyAlignment="1" applyProtection="1">
      <alignment horizontal="left" vertical="center" wrapText="1"/>
      <protection locked="0"/>
    </xf>
    <xf numFmtId="0" fontId="11" fillId="0" borderId="9" xfId="0" applyFont="1" applyBorder="1" applyAlignment="1" applyProtection="1">
      <alignment horizontal="left" vertical="center" wrapText="1"/>
      <protection locked="0"/>
    </xf>
    <xf numFmtId="0" fontId="11" fillId="0" borderId="15" xfId="0" applyFont="1" applyBorder="1" applyAlignment="1" applyProtection="1">
      <alignment horizontal="left" vertical="center" wrapText="1"/>
      <protection locked="0"/>
    </xf>
    <xf numFmtId="0" fontId="11" fillId="0" borderId="16" xfId="0" applyFont="1" applyBorder="1" applyAlignment="1" applyProtection="1">
      <alignment horizontal="left" vertical="center" wrapText="1"/>
      <protection locked="0"/>
    </xf>
    <xf numFmtId="0" fontId="11" fillId="0" borderId="17" xfId="0" applyFont="1" applyBorder="1" applyAlignment="1" applyProtection="1">
      <alignment horizontal="left" vertical="center" wrapText="1"/>
      <protection locked="0"/>
    </xf>
    <xf numFmtId="0" fontId="57" fillId="0" borderId="0" xfId="0" applyFont="1" applyAlignment="1">
      <alignment horizontal="center" vertical="center" wrapText="1"/>
    </xf>
    <xf numFmtId="0" fontId="7" fillId="0" borderId="0" xfId="0" applyFont="1" applyAlignment="1">
      <alignment horizontal="left" vertical="center" wrapText="1"/>
    </xf>
    <xf numFmtId="0" fontId="16" fillId="0" borderId="0" xfId="0" applyFont="1" applyAlignment="1">
      <alignment horizontal="left" vertical="center" wrapText="1"/>
    </xf>
    <xf numFmtId="0" fontId="8" fillId="0" borderId="8" xfId="0" applyFont="1" applyBorder="1" applyAlignment="1">
      <alignment horizontal="right" vertical="center" wrapText="1"/>
    </xf>
    <xf numFmtId="0" fontId="8" fillId="0" borderId="10" xfId="0" applyFont="1" applyBorder="1" applyAlignment="1">
      <alignment horizontal="right" vertical="center" wrapText="1"/>
    </xf>
    <xf numFmtId="0" fontId="56" fillId="0" borderId="10" xfId="0" applyFont="1" applyBorder="1" applyAlignment="1">
      <alignment horizontal="left" vertical="center" wrapText="1"/>
    </xf>
    <xf numFmtId="0" fontId="30" fillId="0" borderId="10" xfId="0" applyFont="1" applyBorder="1" applyAlignment="1">
      <alignment horizontal="left" vertical="center" wrapText="1"/>
    </xf>
    <xf numFmtId="0" fontId="30" fillId="0" borderId="9" xfId="0" applyFont="1" applyBorder="1" applyAlignment="1">
      <alignment horizontal="left" vertical="center" wrapText="1"/>
    </xf>
    <xf numFmtId="0" fontId="46" fillId="9" borderId="0" xfId="0" applyFont="1" applyFill="1" applyAlignment="1">
      <alignment horizontal="center" vertical="center" wrapText="1"/>
    </xf>
    <xf numFmtId="0" fontId="55" fillId="9" borderId="0" xfId="0" applyFont="1" applyFill="1" applyAlignment="1">
      <alignment horizontal="center" vertical="center" wrapText="1"/>
    </xf>
    <xf numFmtId="0" fontId="52" fillId="0" borderId="0" xfId="0" applyFont="1" applyAlignment="1">
      <alignment horizontal="left" vertical="center" wrapText="1"/>
    </xf>
    <xf numFmtId="0" fontId="3" fillId="0" borderId="35" xfId="0" applyFont="1" applyBorder="1" applyAlignment="1">
      <alignment vertical="center" wrapText="1"/>
    </xf>
    <xf numFmtId="0" fontId="3" fillId="0" borderId="29" xfId="0" applyFont="1" applyBorder="1" applyAlignment="1">
      <alignment vertical="center" wrapText="1"/>
    </xf>
    <xf numFmtId="0" fontId="3" fillId="0" borderId="67" xfId="0" applyFont="1" applyBorder="1" applyAlignment="1">
      <alignment horizontal="center" vertical="center" wrapText="1"/>
    </xf>
    <xf numFmtId="0" fontId="3" fillId="0" borderId="0" xfId="0" applyFont="1" applyAlignment="1">
      <alignment horizontal="center" vertical="center" wrapText="1"/>
    </xf>
    <xf numFmtId="0" fontId="3" fillId="0" borderId="70" xfId="0" applyFont="1" applyBorder="1" applyAlignment="1">
      <alignment vertical="center" wrapText="1"/>
    </xf>
    <xf numFmtId="0" fontId="3" fillId="0" borderId="38" xfId="0" applyFont="1" applyBorder="1" applyAlignment="1">
      <alignment vertical="center" wrapText="1"/>
    </xf>
    <xf numFmtId="0" fontId="62" fillId="5" borderId="31" xfId="0" applyFont="1" applyFill="1" applyBorder="1" applyAlignment="1">
      <alignment horizontal="left" vertical="center" wrapText="1"/>
    </xf>
    <xf numFmtId="0" fontId="62" fillId="5" borderId="35" xfId="0" applyFont="1" applyFill="1" applyBorder="1" applyAlignment="1">
      <alignment horizontal="left" vertical="center" wrapText="1"/>
    </xf>
    <xf numFmtId="0" fontId="62" fillId="5" borderId="70" xfId="0" applyFont="1" applyFill="1" applyBorder="1" applyAlignment="1">
      <alignment horizontal="left" vertical="center" wrapText="1"/>
    </xf>
    <xf numFmtId="0" fontId="62" fillId="5" borderId="39" xfId="0" applyFont="1" applyFill="1" applyBorder="1" applyAlignment="1">
      <alignment horizontal="center" vertical="center" wrapText="1"/>
    </xf>
    <xf numFmtId="0" fontId="62" fillId="5" borderId="33" xfId="0" applyFont="1" applyFill="1" applyBorder="1" applyAlignment="1">
      <alignment horizontal="center" vertical="center" wrapText="1"/>
    </xf>
    <xf numFmtId="0" fontId="55" fillId="10" borderId="0" xfId="0" applyFont="1" applyFill="1" applyAlignment="1">
      <alignment horizontal="center" vertical="center" wrapText="1"/>
    </xf>
    <xf numFmtId="0" fontId="62" fillId="5" borderId="0" xfId="0" applyFont="1" applyFill="1" applyAlignment="1">
      <alignment horizontal="left" vertical="center" wrapText="1"/>
    </xf>
    <xf numFmtId="0" fontId="3" fillId="0" borderId="28" xfId="0" applyFont="1" applyBorder="1" applyAlignment="1">
      <alignment vertical="center" wrapText="1"/>
    </xf>
    <xf numFmtId="0" fontId="3" fillId="0" borderId="37" xfId="0" applyFont="1" applyBorder="1" applyAlignment="1">
      <alignment vertical="center" wrapText="1"/>
    </xf>
    <xf numFmtId="0" fontId="69" fillId="5" borderId="61" xfId="0" applyFont="1" applyFill="1" applyBorder="1" applyAlignment="1">
      <alignment horizontal="left" vertical="center" wrapText="1"/>
    </xf>
    <xf numFmtId="0" fontId="69" fillId="5" borderId="62" xfId="0" applyFont="1" applyFill="1" applyBorder="1" applyAlignment="1">
      <alignment horizontal="left" vertical="center" wrapText="1"/>
    </xf>
    <xf numFmtId="0" fontId="69" fillId="5" borderId="63" xfId="0" applyFont="1" applyFill="1" applyBorder="1" applyAlignment="1">
      <alignment horizontal="left" vertical="center" wrapText="1"/>
    </xf>
    <xf numFmtId="0" fontId="55" fillId="10" borderId="48" xfId="0" applyFont="1" applyFill="1" applyBorder="1" applyAlignment="1">
      <alignment horizontal="center" vertical="center" wrapText="1"/>
    </xf>
    <xf numFmtId="0" fontId="55" fillId="10" borderId="49" xfId="0" applyFont="1" applyFill="1" applyBorder="1" applyAlignment="1">
      <alignment horizontal="center" vertical="center" wrapText="1"/>
    </xf>
    <xf numFmtId="0" fontId="55" fillId="10" borderId="50" xfId="0" applyFont="1" applyFill="1" applyBorder="1" applyAlignment="1">
      <alignment horizontal="center" vertical="center" wrapText="1"/>
    </xf>
    <xf numFmtId="0" fontId="66" fillId="5" borderId="68" xfId="0" applyFont="1" applyFill="1" applyBorder="1" applyAlignment="1">
      <alignment vertical="center" wrapText="1"/>
    </xf>
    <xf numFmtId="0" fontId="66" fillId="5" borderId="42" xfId="0" applyFont="1" applyFill="1" applyBorder="1" applyAlignment="1">
      <alignment vertical="center" wrapText="1"/>
    </xf>
    <xf numFmtId="0" fontId="74" fillId="5" borderId="69" xfId="0" applyFont="1" applyFill="1" applyBorder="1" applyAlignment="1">
      <alignment vertical="center" wrapText="1"/>
    </xf>
    <xf numFmtId="0" fontId="74" fillId="5" borderId="41" xfId="0" applyFont="1" applyFill="1" applyBorder="1" applyAlignment="1">
      <alignment vertical="center" wrapText="1"/>
    </xf>
    <xf numFmtId="0" fontId="55" fillId="17" borderId="0" xfId="0" applyFont="1" applyFill="1" applyAlignment="1">
      <alignment horizontal="center" vertical="center" wrapText="1"/>
    </xf>
    <xf numFmtId="0" fontId="64" fillId="0" borderId="0" xfId="0" applyFont="1" applyAlignment="1">
      <alignment horizontal="left" vertical="center" wrapText="1"/>
    </xf>
    <xf numFmtId="0" fontId="62" fillId="0" borderId="0" xfId="0" applyFont="1" applyAlignment="1">
      <alignment horizontal="left" vertical="center" wrapText="1"/>
    </xf>
    <xf numFmtId="0" fontId="38" fillId="0" borderId="0" xfId="0" applyFont="1" applyAlignment="1">
      <alignment horizontal="left" vertical="center" wrapText="1"/>
    </xf>
    <xf numFmtId="0" fontId="37" fillId="16" borderId="19" xfId="0" applyFont="1" applyFill="1" applyBorder="1" applyAlignment="1">
      <alignment horizontal="center" vertical="center" wrapText="1"/>
    </xf>
    <xf numFmtId="0" fontId="37" fillId="16" borderId="21" xfId="0" applyFont="1" applyFill="1" applyBorder="1" applyAlignment="1">
      <alignment horizontal="center" vertical="center" wrapText="1"/>
    </xf>
    <xf numFmtId="0" fontId="37" fillId="16" borderId="20" xfId="0" applyFont="1" applyFill="1" applyBorder="1" applyAlignment="1">
      <alignment horizontal="center" vertical="center" wrapText="1"/>
    </xf>
    <xf numFmtId="0" fontId="37" fillId="16" borderId="22" xfId="0" applyFont="1" applyFill="1" applyBorder="1" applyAlignment="1">
      <alignment horizontal="center" vertical="center" wrapText="1"/>
    </xf>
    <xf numFmtId="0" fontId="37" fillId="16" borderId="20" xfId="0" applyFont="1" applyFill="1" applyBorder="1" applyAlignment="1" applyProtection="1">
      <alignment horizontal="center" vertical="center" wrapText="1"/>
      <protection locked="0"/>
    </xf>
    <xf numFmtId="0" fontId="55" fillId="13" borderId="0" xfId="0" applyFont="1" applyFill="1" applyAlignment="1">
      <alignment horizontal="center" vertical="center" wrapText="1"/>
    </xf>
    <xf numFmtId="0" fontId="55" fillId="13" borderId="0" xfId="3" applyFont="1" applyFill="1" applyAlignment="1">
      <alignment horizontal="center" vertical="center" wrapText="1"/>
    </xf>
    <xf numFmtId="0" fontId="62" fillId="5" borderId="34" xfId="0" applyFont="1" applyFill="1" applyBorder="1" applyAlignment="1">
      <alignment horizontal="center" vertical="center" wrapText="1"/>
    </xf>
    <xf numFmtId="0" fontId="88" fillId="0" borderId="35" xfId="0" applyFont="1" applyBorder="1" applyAlignment="1">
      <alignment horizontal="left" vertical="center" wrapText="1" readingOrder="1"/>
    </xf>
    <xf numFmtId="0" fontId="88" fillId="0" borderId="36" xfId="0" applyFont="1" applyBorder="1" applyAlignment="1">
      <alignment horizontal="left" vertical="center" wrapText="1" readingOrder="1"/>
    </xf>
    <xf numFmtId="0" fontId="88" fillId="0" borderId="29" xfId="0" applyFont="1" applyBorder="1" applyAlignment="1">
      <alignment horizontal="left" vertical="center" wrapText="1" readingOrder="1"/>
    </xf>
    <xf numFmtId="0" fontId="62" fillId="0" borderId="67" xfId="0" applyFont="1" applyBorder="1" applyAlignment="1">
      <alignment horizontal="left" vertical="center" wrapText="1" readingOrder="1"/>
    </xf>
    <xf numFmtId="0" fontId="62" fillId="0" borderId="0" xfId="0" applyFont="1" applyAlignment="1">
      <alignment horizontal="left" vertical="center" wrapText="1" readingOrder="1"/>
    </xf>
    <xf numFmtId="0" fontId="62" fillId="0" borderId="42" xfId="0" applyFont="1" applyBorder="1" applyAlignment="1">
      <alignment horizontal="left" vertical="center" wrapText="1" readingOrder="1"/>
    </xf>
    <xf numFmtId="0" fontId="3" fillId="5" borderId="51" xfId="0" applyFont="1" applyFill="1" applyBorder="1" applyAlignment="1">
      <alignment horizontal="center" vertical="center" wrapText="1"/>
    </xf>
    <xf numFmtId="0" fontId="3" fillId="5" borderId="39" xfId="0" applyFont="1" applyFill="1" applyBorder="1" applyAlignment="1">
      <alignment horizontal="center" vertical="center" wrapText="1"/>
    </xf>
    <xf numFmtId="0" fontId="3" fillId="5" borderId="33" xfId="0" applyFont="1" applyFill="1" applyBorder="1" applyAlignment="1">
      <alignment horizontal="center" vertical="center" wrapText="1"/>
    </xf>
    <xf numFmtId="0" fontId="58" fillId="5" borderId="35" xfId="0" applyFont="1" applyFill="1" applyBorder="1" applyAlignment="1">
      <alignment horizontal="center" vertical="center" wrapText="1"/>
    </xf>
    <xf numFmtId="0" fontId="58" fillId="5" borderId="36" xfId="0" applyFont="1" applyFill="1" applyBorder="1" applyAlignment="1">
      <alignment horizontal="center" vertical="center" wrapText="1"/>
    </xf>
    <xf numFmtId="0" fontId="58" fillId="5" borderId="29" xfId="0" applyFont="1" applyFill="1" applyBorder="1" applyAlignment="1">
      <alignment horizontal="center" vertical="center" wrapText="1"/>
    </xf>
    <xf numFmtId="0" fontId="55" fillId="11" borderId="0" xfId="0" applyFont="1" applyFill="1" applyAlignment="1">
      <alignment horizontal="center" vertical="center" wrapText="1"/>
    </xf>
    <xf numFmtId="0" fontId="55" fillId="11" borderId="82" xfId="0" applyFont="1" applyFill="1" applyBorder="1" applyAlignment="1">
      <alignment horizontal="center" vertical="center" wrapText="1"/>
    </xf>
    <xf numFmtId="0" fontId="60" fillId="11" borderId="83" xfId="0" applyFont="1" applyFill="1" applyBorder="1" applyAlignment="1">
      <alignment horizontal="center" vertical="center" wrapText="1"/>
    </xf>
    <xf numFmtId="0" fontId="60" fillId="11" borderId="84" xfId="0" applyFont="1" applyFill="1" applyBorder="1" applyAlignment="1">
      <alignment horizontal="center" vertical="center" wrapText="1"/>
    </xf>
    <xf numFmtId="0" fontId="55" fillId="18" borderId="0" xfId="0" applyFont="1" applyFill="1" applyAlignment="1">
      <alignment horizontal="center" vertical="center" wrapText="1"/>
    </xf>
    <xf numFmtId="0" fontId="76" fillId="5" borderId="0" xfId="0" applyFont="1" applyFill="1" applyAlignment="1">
      <alignment horizontal="center" vertical="center" wrapText="1"/>
    </xf>
    <xf numFmtId="0" fontId="61" fillId="12" borderId="55" xfId="0" applyFont="1" applyFill="1" applyBorder="1" applyAlignment="1">
      <alignment horizontal="left" vertical="center" wrapText="1" indent="8"/>
    </xf>
    <xf numFmtId="0" fontId="61" fillId="12" borderId="56" xfId="0" applyFont="1" applyFill="1" applyBorder="1" applyAlignment="1">
      <alignment horizontal="left" vertical="center" wrapText="1" indent="8"/>
    </xf>
    <xf numFmtId="0" fontId="61" fillId="12" borderId="57" xfId="0" applyFont="1" applyFill="1" applyBorder="1" applyAlignment="1">
      <alignment horizontal="left" vertical="center" wrapText="1" indent="8"/>
    </xf>
    <xf numFmtId="0" fontId="62" fillId="5" borderId="52" xfId="0" applyFont="1" applyFill="1" applyBorder="1" applyAlignment="1">
      <alignment horizontal="left" vertical="center" wrapText="1"/>
    </xf>
    <xf numFmtId="0" fontId="62" fillId="5" borderId="53" xfId="0" applyFont="1" applyFill="1" applyBorder="1" applyAlignment="1">
      <alignment horizontal="left" vertical="center" wrapText="1"/>
    </xf>
    <xf numFmtId="0" fontId="62" fillId="5" borderId="54" xfId="0" applyFont="1" applyFill="1" applyBorder="1" applyAlignment="1">
      <alignment horizontal="left" vertical="center" wrapText="1"/>
    </xf>
  </cellXfs>
  <cellStyles count="7">
    <cellStyle name="Followed Hyperlink" xfId="6" builtinId="9" customBuiltin="1"/>
    <cellStyle name="Good" xfId="1" builtinId="26"/>
    <cellStyle name="Hyperlink" xfId="2" builtinId="8" customBuiltin="1"/>
    <cellStyle name="Hyperlink 2" xfId="5" xr:uid="{55EE1238-F36E-4DE4-8D2F-61F399F57BBB}"/>
    <cellStyle name="Normal" xfId="0" builtinId="0"/>
    <cellStyle name="Normal 2" xfId="4" xr:uid="{1F9E72AF-6319-403F-87A8-AE77D33A3EF3}"/>
    <cellStyle name="Normal 2 2" xfId="3" xr:uid="{96B8FD4B-1CCD-4BDF-8ED7-9004A2A76669}"/>
  </cellStyles>
  <dxfs count="192">
    <dxf>
      <font>
        <condense val="0"/>
        <extend val="0"/>
        <color indexed="8"/>
      </font>
      <fill>
        <patternFill>
          <bgColor indexed="43"/>
        </patternFill>
      </fill>
    </dxf>
    <dxf>
      <font>
        <condense val="0"/>
        <extend val="0"/>
        <color indexed="9"/>
      </font>
      <fill>
        <patternFill>
          <bgColor indexed="57"/>
        </patternFill>
      </fill>
    </dxf>
    <dxf>
      <font>
        <condense val="0"/>
        <extend val="0"/>
        <color indexed="8"/>
      </font>
    </dxf>
    <dxf>
      <fill>
        <patternFill>
          <bgColor indexed="43"/>
        </patternFill>
      </fill>
    </dxf>
    <dxf>
      <fill>
        <patternFill>
          <bgColor rgb="FFD8D9DC"/>
        </patternFill>
      </fill>
    </dxf>
    <dxf>
      <font>
        <color theme="1"/>
      </font>
      <numFmt numFmtId="1" formatCode="0"/>
      <fill>
        <patternFill>
          <bgColor rgb="FFD8D9DC"/>
        </patternFill>
      </fill>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theme="3"/>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solid">
          <fgColor indexed="64"/>
          <bgColor theme="0" tint="-0.14999847407452621"/>
        </patternFill>
      </fill>
      <alignment horizontal="general"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ck">
          <color indexed="64"/>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0"/>
        <color rgb="FF004B87"/>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sz val="10"/>
        <name val="Arial"/>
        <scheme val="none"/>
      </font>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0"/>
        <name val="Arial"/>
        <scheme val="none"/>
      </font>
      <alignment vertical="center" textRotation="0" wrapText="1" indent="0" justifyLastLine="0" shrinkToFit="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dxf>
    <dxf>
      <font>
        <b/>
        <i val="0"/>
        <strike val="0"/>
        <condense val="0"/>
        <extend val="0"/>
        <outline val="0"/>
        <shadow val="0"/>
        <u val="none"/>
        <vertAlign val="baseline"/>
        <sz val="10"/>
        <color theme="3"/>
        <name val="Arial"/>
        <family val="2"/>
        <scheme val="none"/>
      </font>
      <fill>
        <patternFill patternType="none">
          <fgColor indexed="64"/>
          <bgColor indexed="65"/>
        </patternFill>
      </fill>
      <alignment horizontal="left"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0"/>
        <color theme="3"/>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u val="none"/>
        <vertAlign val="baseline"/>
        <sz val="10"/>
        <name val="Arial"/>
        <scheme val="none"/>
      </font>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0"/>
        <color rgb="FF005B93"/>
        <name val="Arial"/>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2"/>
        <color rgb="FF005B93"/>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right/>
        <top/>
        <bottom/>
      </border>
    </dxf>
    <dxf>
      <font>
        <strike val="0"/>
        <outline val="0"/>
        <shadow val="0"/>
        <u val="none"/>
        <vertAlign val="baseline"/>
        <sz val="10"/>
        <name val="Arial"/>
        <scheme val="none"/>
      </font>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sz val="10"/>
        <name val="Arial"/>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
      <alignment vertical="center" textRotation="0" wrapText="1" indent="0" justifyLastLine="0" shrinkToFit="0"/>
    </dxf>
    <dxf>
      <alignment vertical="center" textRotation="0" wrapText="1" indent="0" justifyLastLine="0" shrinkToFit="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4"/>
        <color theme="0"/>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4"/>
        <color theme="0"/>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vertical="center" textRotation="0" wrapText="1" indent="0" justifyLastLine="0" shrinkToFit="0"/>
    </dxf>
    <dxf>
      <font>
        <b/>
        <i val="0"/>
        <strike val="0"/>
        <condense val="0"/>
        <extend val="0"/>
        <outline val="0"/>
        <shadow val="0"/>
        <u val="none"/>
        <vertAlign val="baseline"/>
        <sz val="14"/>
        <color theme="0"/>
        <name val="Arial"/>
        <family val="2"/>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theme="0" tint="-0.14999847407452621"/>
        </left>
        <right/>
        <top style="thin">
          <color theme="0" tint="-0.14999847407452621"/>
        </top>
        <bottom style="thin">
          <color theme="0" tint="-0.14999847407452621"/>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border outline="0">
        <top style="thin">
          <color theme="0" tint="-0.14999847407452621"/>
        </top>
      </border>
    </dxf>
    <dxf>
      <border outline="0">
        <left style="thin">
          <color theme="0" tint="-0.14999847407452621"/>
        </left>
        <right style="thin">
          <color theme="0" tint="-0.14999847407452621"/>
        </right>
        <bottom style="thin">
          <color theme="0" tint="-0.14999847407452621"/>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theme="0" tint="-0.14999847407452621"/>
        </bottom>
      </border>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border diagonalUp="0" diagonalDown="0" outline="0">
        <left style="thin">
          <color theme="0" tint="-0.14999847407452621"/>
        </left>
        <right style="thin">
          <color theme="0" tint="-0.14999847407452621"/>
        </right>
        <top/>
        <bottom style="thin">
          <color theme="0" tint="-0.14999847407452621"/>
        </bottom>
      </border>
    </dxf>
    <dxf>
      <font>
        <b/>
        <i val="0"/>
        <strike val="0"/>
        <condense val="0"/>
        <extend val="0"/>
        <outline val="0"/>
        <shadow val="0"/>
        <u val="none"/>
        <vertAlign val="baseline"/>
        <sz val="10"/>
        <color rgb="FF005B93"/>
        <name val="Arial"/>
        <family val="2"/>
        <scheme val="none"/>
      </font>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2"/>
        <color rgb="FF005B93"/>
        <name val="Arial"/>
        <family val="2"/>
        <scheme val="none"/>
      </font>
      <alignment horizontal="general" vertical="center" textRotation="0" wrapText="0" indent="0" justifyLastLine="0" shrinkToFit="0" readingOrder="0"/>
      <border diagonalUp="0" diagonalDown="0" outline="0">
        <left/>
        <right style="thin">
          <color theme="0" tint="-0.14999847407452621"/>
        </right>
        <top/>
        <bottom style="thin">
          <color theme="0" tint="-0.14999847407452621"/>
        </bottom>
      </border>
    </dxf>
    <dxf>
      <border outline="0">
        <left style="thin">
          <color theme="0" tint="-0.14999847407452621"/>
        </left>
        <right style="thin">
          <color theme="0" tint="-0.14999847407452621"/>
        </right>
        <bottom style="thin">
          <color theme="0" tint="-0.14999847407452621"/>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1" indent="0" justifyLastLine="0" shrinkToFit="0" readingOrder="0"/>
    </dxf>
    <dxf>
      <border outline="0">
        <bottom style="thin">
          <color theme="0" tint="-0.14999847407452621"/>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theme="0" tint="-0.14999847407452621"/>
        </left>
        <right style="thin">
          <color theme="0" tint="-0.14999847407452621"/>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0"/>
        <color rgb="FF005B93"/>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2"/>
        <color rgb="FF005B93"/>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0"/>
        <color rgb="FF005B92"/>
        <name val="Arial"/>
        <family val="2"/>
        <scheme val="none"/>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2"/>
        <color rgb="FF005B92"/>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alignment vertical="center" textRotation="0" wrapText="1" indent="0" justifyLastLine="0" shrinkToFit="0" readingOrder="0"/>
    </dxf>
    <dxf>
      <alignment vertical="center" textRotation="0" wrapText="1" indent="0" justifyLastLine="0" shrinkToFit="0" readingOrder="0"/>
    </dxf>
  </dxfs>
  <tableStyles count="1" defaultTableStyle="TableStyleMedium9" defaultPivotStyle="PivotStyleLight16">
    <tableStyle name="Invisible" pivot="0" table="0" count="0" xr9:uid="{D72D6816-57FC-4041-883B-1A3D5DFFE166}"/>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BFC0C5"/>
      <rgbColor rgb="00D8D9DC"/>
      <rgbColor rgb="0099CCFF"/>
      <rgbColor rgb="004D6BA6"/>
      <rgbColor rgb="00CC99FF"/>
      <rgbColor rgb="00283756"/>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5AC5D"/>
      <color rgb="FFDCE6F1"/>
      <color rgb="FFEB9F42"/>
      <color rgb="FF0E3357"/>
      <color rgb="FF6AB6E5"/>
      <color rgb="FFE5F0FB"/>
      <color rgb="FFDBEAF9"/>
      <color rgb="FFD1E4F7"/>
      <color rgb="FFE2EFE1"/>
      <color rgb="FFEAF6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TOC!A1"/></Relationships>
</file>

<file path=xl/drawings/_rels/drawing2.xml.rels><?xml version="1.0" encoding="UTF-8" standalone="yes"?>
<Relationships xmlns="http://schemas.openxmlformats.org/package/2006/relationships"><Relationship Id="rId1" Type="http://schemas.openxmlformats.org/officeDocument/2006/relationships/hyperlink" Target="#TOC!A1"/></Relationships>
</file>

<file path=xl/drawings/_rels/drawing3.xml.rels><?xml version="1.0" encoding="UTF-8" standalone="yes"?>
<Relationships xmlns="http://schemas.openxmlformats.org/package/2006/relationships"><Relationship Id="rId2" Type="http://schemas.openxmlformats.org/officeDocument/2006/relationships/hyperlink" Target="#TOC!A1"/><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hyperlink" Target="#TOC!A1"/></Relationships>
</file>

<file path=xl/drawings/_rels/drawing5.xml.rels><?xml version="1.0" encoding="UTF-8" standalone="yes"?>
<Relationships xmlns="http://schemas.openxmlformats.org/package/2006/relationships"><Relationship Id="rId1" Type="http://schemas.openxmlformats.org/officeDocument/2006/relationships/hyperlink" Target="#TOC!A1"/></Relationships>
</file>

<file path=xl/drawings/_rels/drawing6.xml.rels><?xml version="1.0" encoding="UTF-8" standalone="yes"?>
<Relationships xmlns="http://schemas.openxmlformats.org/package/2006/relationships"><Relationship Id="rId1" Type="http://schemas.openxmlformats.org/officeDocument/2006/relationships/hyperlink" Target="#TOC!A1"/></Relationships>
</file>

<file path=xl/drawings/_rels/drawing7.xml.rels><?xml version="1.0" encoding="UTF-8" standalone="yes"?>
<Relationships xmlns="http://schemas.openxmlformats.org/package/2006/relationships"><Relationship Id="rId1" Type="http://schemas.openxmlformats.org/officeDocument/2006/relationships/hyperlink" Target="#TOC!A1"/></Relationships>
</file>

<file path=xl/drawings/_rels/drawing8.xml.rels><?xml version="1.0" encoding="UTF-8" standalone="yes"?>
<Relationships xmlns="http://schemas.openxmlformats.org/package/2006/relationships"><Relationship Id="rId1" Type="http://schemas.openxmlformats.org/officeDocument/2006/relationships/hyperlink" Target="#TOC!A1"/></Relationships>
</file>

<file path=xl/drawings/_rels/drawing9.xml.rels><?xml version="1.0" encoding="UTF-8" standalone="yes"?>
<Relationships xmlns="http://schemas.openxmlformats.org/package/2006/relationships"><Relationship Id="rId1" Type="http://schemas.openxmlformats.org/officeDocument/2006/relationships/hyperlink" Target="#TOC!A1"/></Relationships>
</file>

<file path=xl/drawings/_rels/drawing10.xml.rels><?xml version="1.0" encoding="UTF-8" standalone="yes"?>
<Relationships xmlns="http://schemas.openxmlformats.org/package/2006/relationships"><Relationship Id="rId1" Type="http://schemas.openxmlformats.org/officeDocument/2006/relationships/hyperlink" Target="#TOC!A1"/></Relationships>
</file>

<file path=xl/drawings/_rels/drawing1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hyperlink" Target="#TOC!A1"/></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TOC!A1"/></Relationships>
</file>

<file path=xl/drawings/_rels/drawing13.xml.rels><?xml version="1.0" encoding="UTF-8" standalone="yes"?>
<Relationships xmlns="http://schemas.openxmlformats.org/package/2006/relationships"><Relationship Id="rId2" Type="http://schemas.openxmlformats.org/officeDocument/2006/relationships/hyperlink" Target="#TOC!A1"/><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hyperlink" Target="#TOC!A1"/></Relationships>
</file>

<file path=xl/drawings/_rels/drawing15.xml.rels><?xml version="1.0" encoding="UTF-8" standalone="yes"?>
<Relationships xmlns="http://schemas.openxmlformats.org/package/2006/relationships"><Relationship Id="rId1" Type="http://schemas.openxmlformats.org/officeDocument/2006/relationships/hyperlink" Target="#TOC!A1"/></Relationships>
</file>

<file path=xl/drawings/_rels/drawing16.xml.rels><?xml version="1.0" encoding="UTF-8" standalone="yes"?>
<Relationships xmlns="http://schemas.openxmlformats.org/package/2006/relationships"><Relationship Id="rId1" Type="http://schemas.openxmlformats.org/officeDocument/2006/relationships/hyperlink" Target="#TOC!A1"/></Relationships>
</file>

<file path=xl/drawings/_rels/drawing17.xml.rels><?xml version="1.0" encoding="UTF-8" standalone="yes"?>
<Relationships xmlns="http://schemas.openxmlformats.org/package/2006/relationships"><Relationship Id="rId1" Type="http://schemas.openxmlformats.org/officeDocument/2006/relationships/hyperlink" Target="#TOC!A1"/></Relationships>
</file>

<file path=xl/drawings/_rels/drawing18.xml.rels><?xml version="1.0" encoding="UTF-8" standalone="yes"?>
<Relationships xmlns="http://schemas.openxmlformats.org/package/2006/relationships"><Relationship Id="rId1" Type="http://schemas.openxmlformats.org/officeDocument/2006/relationships/hyperlink" Target="#TOC!A1"/></Relationships>
</file>

<file path=xl/drawings/_rels/drawing19.xml.rels><?xml version="1.0" encoding="UTF-8" standalone="yes"?>
<Relationships xmlns="http://schemas.openxmlformats.org/package/2006/relationships"><Relationship Id="rId1" Type="http://schemas.openxmlformats.org/officeDocument/2006/relationships/hyperlink" Target="#TOC!A1"/></Relationships>
</file>

<file path=xl/drawings/_rels/drawing20.xml.rels><?xml version="1.0" encoding="UTF-8" standalone="yes"?>
<Relationships xmlns="http://schemas.openxmlformats.org/package/2006/relationships"><Relationship Id="rId1" Type="http://schemas.openxmlformats.org/officeDocument/2006/relationships/hyperlink" Target="#TOC!A1"/></Relationships>
</file>

<file path=xl/drawings/_rels/drawing21.xml.rels><?xml version="1.0" encoding="UTF-8" standalone="yes"?>
<Relationships xmlns="http://schemas.openxmlformats.org/package/2006/relationships"><Relationship Id="rId1" Type="http://schemas.openxmlformats.org/officeDocument/2006/relationships/hyperlink" Target="#TOC!A1"/></Relationships>
</file>

<file path=xl/drawings/_rels/drawing22.xml.rels><?xml version="1.0" encoding="UTF-8" standalone="yes"?>
<Relationships xmlns="http://schemas.openxmlformats.org/package/2006/relationships"><Relationship Id="rId1" Type="http://schemas.openxmlformats.org/officeDocument/2006/relationships/hyperlink" Target="#TOC!A1"/></Relationships>
</file>

<file path=xl/drawings/_rels/drawing23.xml.rels><?xml version="1.0" encoding="UTF-8" standalone="yes"?>
<Relationships xmlns="http://schemas.openxmlformats.org/package/2006/relationships"><Relationship Id="rId1" Type="http://schemas.openxmlformats.org/officeDocument/2006/relationships/hyperlink" Target="#TOC!A1"/></Relationships>
</file>

<file path=xl/drawings/_rels/drawing24.xml.rels><?xml version="1.0" encoding="UTF-8" standalone="yes"?>
<Relationships xmlns="http://schemas.openxmlformats.org/package/2006/relationships"><Relationship Id="rId1" Type="http://schemas.openxmlformats.org/officeDocument/2006/relationships/hyperlink" Target="#TOC!A1"/></Relationships>
</file>

<file path=xl/drawings/_rels/drawing25.xml.rels><?xml version="1.0" encoding="UTF-8" standalone="yes"?>
<Relationships xmlns="http://schemas.openxmlformats.org/package/2006/relationships"><Relationship Id="rId1" Type="http://schemas.openxmlformats.org/officeDocument/2006/relationships/hyperlink" Target="#TOC!A1"/></Relationships>
</file>

<file path=xl/drawings/_rels/drawing26.xml.rels><?xml version="1.0" encoding="UTF-8" standalone="yes"?>
<Relationships xmlns="http://schemas.openxmlformats.org/package/2006/relationships"><Relationship Id="rId1" Type="http://schemas.openxmlformats.org/officeDocument/2006/relationships/hyperlink" Target="#TOC!A1"/></Relationships>
</file>

<file path=xl/drawings/_rels/drawing27.xml.rels><?xml version="1.0" encoding="UTF-8" standalone="yes"?>
<Relationships xmlns="http://schemas.openxmlformats.org/package/2006/relationships"><Relationship Id="rId1" Type="http://schemas.openxmlformats.org/officeDocument/2006/relationships/hyperlink" Target="#TOC!A1"/></Relationships>
</file>

<file path=xl/drawings/_rels/drawing28.xml.rels><?xml version="1.0" encoding="UTF-8" standalone="yes"?>
<Relationships xmlns="http://schemas.openxmlformats.org/package/2006/relationships"><Relationship Id="rId1" Type="http://schemas.openxmlformats.org/officeDocument/2006/relationships/hyperlink" Target="#TOC!A1"/></Relationships>
</file>

<file path=xl/drawings/_rels/drawing2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hyperlink" Target="#TOC!A1"/></Relationships>
</file>

<file path=xl/drawings/_rels/drawing30.xml.rels><?xml version="1.0" encoding="UTF-8" standalone="yes"?>
<Relationships xmlns="http://schemas.openxmlformats.org/package/2006/relationships"><Relationship Id="rId1" Type="http://schemas.openxmlformats.org/officeDocument/2006/relationships/hyperlink" Target="#TOC!A1"/></Relationships>
</file>

<file path=xl/drawings/drawing1.xml><?xml version="1.0" encoding="utf-8"?>
<xdr:wsDr xmlns:xdr="http://schemas.openxmlformats.org/drawingml/2006/spreadsheetDrawing" xmlns:a="http://schemas.openxmlformats.org/drawingml/2006/main">
  <xdr:twoCellAnchor>
    <xdr:from>
      <xdr:col>0</xdr:col>
      <xdr:colOff>1209676</xdr:colOff>
      <xdr:row>0</xdr:row>
      <xdr:rowOff>171451</xdr:rowOff>
    </xdr:from>
    <xdr:to>
      <xdr:col>0</xdr:col>
      <xdr:colOff>1400444</xdr:colOff>
      <xdr:row>0</xdr:row>
      <xdr:rowOff>381001</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E62182B4-3F1B-46C8-87ED-EE9AFDD52332}"/>
            </a:ext>
          </a:extLst>
        </xdr:cNvPr>
        <xdr:cNvSpPr>
          <a:spLocks noChangeAspect="1" noEditPoints="1"/>
        </xdr:cNvSpPr>
      </xdr:nvSpPr>
      <xdr:spPr bwMode="auto">
        <a:xfrm>
          <a:off x="1209676" y="171451"/>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214299</xdr:colOff>
      <xdr:row>1</xdr:row>
      <xdr:rowOff>0</xdr:rowOff>
    </xdr:from>
    <xdr:to>
      <xdr:col>4</xdr:col>
      <xdr:colOff>405067</xdr:colOff>
      <xdr:row>2</xdr:row>
      <xdr:rowOff>50800</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56B42D71-E73A-4C4D-975A-E7F6747515CE}"/>
            </a:ext>
          </a:extLst>
        </xdr:cNvPr>
        <xdr:cNvSpPr>
          <a:spLocks noChangeAspect="1" noEditPoints="1"/>
        </xdr:cNvSpPr>
      </xdr:nvSpPr>
      <xdr:spPr bwMode="auto">
        <a:xfrm>
          <a:off x="8120049" y="1587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rgbClr val="005B92"/>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12</xdr:row>
      <xdr:rowOff>133350</xdr:rowOff>
    </xdr:from>
    <xdr:to>
      <xdr:col>1</xdr:col>
      <xdr:colOff>431852</xdr:colOff>
      <xdr:row>12</xdr:row>
      <xdr:rowOff>456466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47625" y="133350"/>
          <a:ext cx="2060627" cy="323116"/>
        </a:xfrm>
        <a:prstGeom prst="rect">
          <a:avLst/>
        </a:prstGeom>
      </xdr:spPr>
    </xdr:pic>
    <xdr:clientData/>
  </xdr:twoCellAnchor>
  <xdr:twoCellAnchor>
    <xdr:from>
      <xdr:col>2</xdr:col>
      <xdr:colOff>9525</xdr:colOff>
      <xdr:row>12</xdr:row>
      <xdr:rowOff>15876</xdr:rowOff>
    </xdr:from>
    <xdr:to>
      <xdr:col>2</xdr:col>
      <xdr:colOff>190500</xdr:colOff>
      <xdr:row>12</xdr:row>
      <xdr:rowOff>549276</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2176463" y="2397126"/>
          <a:ext cx="180975" cy="533400"/>
          <a:chOff x="2238375" y="0"/>
          <a:chExt cx="180975" cy="533400"/>
        </a:xfrm>
      </xdr:grpSpPr>
      <xdr:sp macro="" textlink="">
        <xdr:nvSpPr>
          <xdr:cNvPr id="6" name="Oval 13">
            <a:extLst>
              <a:ext uri="{FF2B5EF4-FFF2-40B4-BE49-F238E27FC236}">
                <a16:creationId xmlns:a16="http://schemas.microsoft.com/office/drawing/2014/main" id="{00000000-0008-0000-0000-000006000000}"/>
              </a:ext>
            </a:extLst>
          </xdr:cNvPr>
          <xdr:cNvSpPr>
            <a:spLocks noChangeArrowheads="1"/>
          </xdr:cNvSpPr>
        </xdr:nvSpPr>
        <xdr:spPr bwMode="auto">
          <a:xfrm>
            <a:off x="2238375" y="0"/>
            <a:ext cx="180975" cy="168442"/>
          </a:xfrm>
          <a:prstGeom prst="ellipse">
            <a:avLst/>
          </a:prstGeom>
          <a:solidFill>
            <a:srgbClr val="FF0000"/>
          </a:solidFill>
          <a:ln w="9525">
            <a:noFill/>
            <a:round/>
            <a:headEnd/>
            <a:tailEnd/>
          </a:ln>
        </xdr:spPr>
      </xdr:sp>
      <xdr:sp macro="" textlink="">
        <xdr:nvSpPr>
          <xdr:cNvPr id="7" name="Oval 14">
            <a:extLst>
              <a:ext uri="{FF2B5EF4-FFF2-40B4-BE49-F238E27FC236}">
                <a16:creationId xmlns:a16="http://schemas.microsoft.com/office/drawing/2014/main" id="{00000000-0008-0000-0000-000007000000}"/>
              </a:ext>
            </a:extLst>
          </xdr:cNvPr>
          <xdr:cNvSpPr>
            <a:spLocks noChangeArrowheads="1"/>
          </xdr:cNvSpPr>
        </xdr:nvSpPr>
        <xdr:spPr bwMode="auto">
          <a:xfrm>
            <a:off x="2238375" y="177800"/>
            <a:ext cx="180975" cy="177800"/>
          </a:xfrm>
          <a:prstGeom prst="ellipse">
            <a:avLst/>
          </a:prstGeom>
          <a:solidFill>
            <a:srgbClr val="FFC000"/>
          </a:solidFill>
          <a:ln w="9525">
            <a:noFill/>
            <a:round/>
            <a:headEnd/>
            <a:tailEnd/>
          </a:ln>
        </xdr:spPr>
      </xdr:sp>
      <xdr:sp macro="" textlink="">
        <xdr:nvSpPr>
          <xdr:cNvPr id="8" name="Oval 15">
            <a:extLst>
              <a:ext uri="{FF2B5EF4-FFF2-40B4-BE49-F238E27FC236}">
                <a16:creationId xmlns:a16="http://schemas.microsoft.com/office/drawing/2014/main" id="{00000000-0008-0000-0000-000008000000}"/>
              </a:ext>
            </a:extLst>
          </xdr:cNvPr>
          <xdr:cNvSpPr>
            <a:spLocks noChangeArrowheads="1"/>
          </xdr:cNvSpPr>
        </xdr:nvSpPr>
        <xdr:spPr bwMode="auto">
          <a:xfrm>
            <a:off x="2238375" y="364958"/>
            <a:ext cx="180975" cy="168442"/>
          </a:xfrm>
          <a:prstGeom prst="ellipse">
            <a:avLst/>
          </a:prstGeom>
          <a:solidFill>
            <a:srgbClr val="008000"/>
          </a:solidFill>
          <a:ln w="9525">
            <a:noFill/>
            <a:round/>
            <a:headEnd/>
            <a:tailEnd/>
          </a:ln>
        </xdr:spPr>
      </xdr:sp>
    </xdr:grpSp>
    <xdr:clientData/>
  </xdr:twoCellAnchor>
  <xdr:twoCellAnchor>
    <xdr:from>
      <xdr:col>5</xdr:col>
      <xdr:colOff>254005</xdr:colOff>
      <xdr:row>0</xdr:row>
      <xdr:rowOff>127000</xdr:rowOff>
    </xdr:from>
    <xdr:to>
      <xdr:col>5</xdr:col>
      <xdr:colOff>444773</xdr:colOff>
      <xdr:row>0</xdr:row>
      <xdr:rowOff>336550</xdr:rowOff>
    </xdr:to>
    <xdr:sp macro="" textlink="">
      <xdr:nvSpPr>
        <xdr:cNvPr id="11" name="arrow_14" title="Icon of a circle made of a curved arrow pointing counterclockwise">
          <a:hlinkClick xmlns:r="http://schemas.openxmlformats.org/officeDocument/2006/relationships" r:id="rId2"/>
          <a:extLst>
            <a:ext uri="{FF2B5EF4-FFF2-40B4-BE49-F238E27FC236}">
              <a16:creationId xmlns:a16="http://schemas.microsoft.com/office/drawing/2014/main" id="{C3F76ED1-3881-4D61-A263-5B6CB6DF4C6F}"/>
            </a:ext>
          </a:extLst>
        </xdr:cNvPr>
        <xdr:cNvSpPr>
          <a:spLocks noChangeAspect="1" noEditPoints="1"/>
        </xdr:cNvSpPr>
      </xdr:nvSpPr>
      <xdr:spPr bwMode="auto">
        <a:xfrm>
          <a:off x="8056568" y="12700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rgbClr val="005B92"/>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1190625</xdr:colOff>
      <xdr:row>0</xdr:row>
      <xdr:rowOff>152400</xdr:rowOff>
    </xdr:from>
    <xdr:to>
      <xdr:col>0</xdr:col>
      <xdr:colOff>1381393</xdr:colOff>
      <xdr:row>0</xdr:row>
      <xdr:rowOff>361950</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64F97928-2F11-4B90-8F2F-3DE1EC618B2C}"/>
            </a:ext>
          </a:extLst>
        </xdr:cNvPr>
        <xdr:cNvSpPr>
          <a:spLocks noChangeAspect="1" noEditPoints="1"/>
        </xdr:cNvSpPr>
      </xdr:nvSpPr>
      <xdr:spPr bwMode="auto">
        <a:xfrm>
          <a:off x="1190625" y="15240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1219200</xdr:colOff>
      <xdr:row>0</xdr:row>
      <xdr:rowOff>180975</xdr:rowOff>
    </xdr:from>
    <xdr:to>
      <xdr:col>0</xdr:col>
      <xdr:colOff>1409968</xdr:colOff>
      <xdr:row>0</xdr:row>
      <xdr:rowOff>390525</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37F62433-E940-4A76-A26E-54F88E788322}"/>
            </a:ext>
          </a:extLst>
        </xdr:cNvPr>
        <xdr:cNvSpPr>
          <a:spLocks noChangeAspect="1" noEditPoints="1"/>
        </xdr:cNvSpPr>
      </xdr:nvSpPr>
      <xdr:spPr bwMode="auto">
        <a:xfrm>
          <a:off x="1219200"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857250</xdr:colOff>
      <xdr:row>0</xdr:row>
      <xdr:rowOff>180975</xdr:rowOff>
    </xdr:from>
    <xdr:to>
      <xdr:col>0</xdr:col>
      <xdr:colOff>1048018</xdr:colOff>
      <xdr:row>0</xdr:row>
      <xdr:rowOff>390525</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3C5D8D69-9224-4B7D-B292-FB317E5E7312}"/>
            </a:ext>
          </a:extLst>
        </xdr:cNvPr>
        <xdr:cNvSpPr>
          <a:spLocks noChangeAspect="1" noEditPoints="1"/>
        </xdr:cNvSpPr>
      </xdr:nvSpPr>
      <xdr:spPr bwMode="auto">
        <a:xfrm>
          <a:off x="857250"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0</xdr:row>
      <xdr:rowOff>180975</xdr:rowOff>
    </xdr:from>
    <xdr:to>
      <xdr:col>0</xdr:col>
      <xdr:colOff>514618</xdr:colOff>
      <xdr:row>0</xdr:row>
      <xdr:rowOff>390525</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775FD685-74AE-4D4C-BFD9-D3DB1A3BE992}"/>
            </a:ext>
          </a:extLst>
        </xdr:cNvPr>
        <xdr:cNvSpPr>
          <a:spLocks noChangeAspect="1" noEditPoints="1"/>
        </xdr:cNvSpPr>
      </xdr:nvSpPr>
      <xdr:spPr bwMode="auto">
        <a:xfrm>
          <a:off x="323850"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819150</xdr:colOff>
      <xdr:row>0</xdr:row>
      <xdr:rowOff>180975</xdr:rowOff>
    </xdr:from>
    <xdr:to>
      <xdr:col>0</xdr:col>
      <xdr:colOff>1009918</xdr:colOff>
      <xdr:row>0</xdr:row>
      <xdr:rowOff>390525</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2B4A953D-CAD3-46FA-8D96-B97F0B018A04}"/>
            </a:ext>
          </a:extLst>
        </xdr:cNvPr>
        <xdr:cNvSpPr>
          <a:spLocks noChangeAspect="1" noEditPoints="1"/>
        </xdr:cNvSpPr>
      </xdr:nvSpPr>
      <xdr:spPr bwMode="auto">
        <a:xfrm>
          <a:off x="819150"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542925</xdr:colOff>
      <xdr:row>0</xdr:row>
      <xdr:rowOff>180975</xdr:rowOff>
    </xdr:from>
    <xdr:to>
      <xdr:col>0</xdr:col>
      <xdr:colOff>733693</xdr:colOff>
      <xdr:row>0</xdr:row>
      <xdr:rowOff>390525</xdr:rowOff>
    </xdr:to>
    <xdr:sp macro="" textlink="">
      <xdr:nvSpPr>
        <xdr:cNvPr id="3"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22548F70-429D-4153-A458-2FDEE36435F0}"/>
            </a:ext>
          </a:extLst>
        </xdr:cNvPr>
        <xdr:cNvSpPr>
          <a:spLocks noChangeAspect="1" noEditPoints="1"/>
        </xdr:cNvSpPr>
      </xdr:nvSpPr>
      <xdr:spPr bwMode="auto">
        <a:xfrm>
          <a:off x="542925"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1219200</xdr:colOff>
      <xdr:row>0</xdr:row>
      <xdr:rowOff>171450</xdr:rowOff>
    </xdr:from>
    <xdr:to>
      <xdr:col>0</xdr:col>
      <xdr:colOff>1409968</xdr:colOff>
      <xdr:row>0</xdr:row>
      <xdr:rowOff>381000</xdr:rowOff>
    </xdr:to>
    <xdr:sp macro="" textlink="">
      <xdr:nvSpPr>
        <xdr:cNvPr id="3"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9F6E3CAC-F75B-4FE6-8B3D-90A39DA1EAD6}"/>
            </a:ext>
          </a:extLst>
        </xdr:cNvPr>
        <xdr:cNvSpPr>
          <a:spLocks noChangeAspect="1" noEditPoints="1"/>
        </xdr:cNvSpPr>
      </xdr:nvSpPr>
      <xdr:spPr bwMode="auto">
        <a:xfrm>
          <a:off x="1219200"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1219200</xdr:colOff>
      <xdr:row>0</xdr:row>
      <xdr:rowOff>171450</xdr:rowOff>
    </xdr:from>
    <xdr:to>
      <xdr:col>0</xdr:col>
      <xdr:colOff>1409968</xdr:colOff>
      <xdr:row>0</xdr:row>
      <xdr:rowOff>381000</xdr:rowOff>
    </xdr:to>
    <xdr:sp macro="" textlink="">
      <xdr:nvSpPr>
        <xdr:cNvPr id="5"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04C1EB6E-62AC-4D81-8009-BDF384A47D13}"/>
            </a:ext>
          </a:extLst>
        </xdr:cNvPr>
        <xdr:cNvSpPr>
          <a:spLocks noChangeAspect="1" noEditPoints="1"/>
        </xdr:cNvSpPr>
      </xdr:nvSpPr>
      <xdr:spPr bwMode="auto">
        <a:xfrm>
          <a:off x="1219200"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twoCellAnchor editAs="oneCell">
    <xdr:from>
      <xdr:col>0</xdr:col>
      <xdr:colOff>1657350</xdr:colOff>
      <xdr:row>14</xdr:row>
      <xdr:rowOff>133349</xdr:rowOff>
    </xdr:from>
    <xdr:to>
      <xdr:col>2</xdr:col>
      <xdr:colOff>0</xdr:colOff>
      <xdr:row>19</xdr:row>
      <xdr:rowOff>123825</xdr:rowOff>
    </xdr:to>
    <xdr:pic>
      <xdr:nvPicPr>
        <xdr:cNvPr id="10" name="Graphic 9">
          <a:extLst>
            <a:ext uri="{FF2B5EF4-FFF2-40B4-BE49-F238E27FC236}">
              <a16:creationId xmlns:a16="http://schemas.microsoft.com/office/drawing/2014/main" id="{50EF3370-03E9-4F96-8A57-26E18D28FE7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l="11489" t="1295" r="11650" b="21683"/>
        <a:stretch/>
      </xdr:blipFill>
      <xdr:spPr>
        <a:xfrm flipV="1">
          <a:off x="1657350" y="3181349"/>
          <a:ext cx="1962150" cy="1019176"/>
        </a:xfrm>
        <a:prstGeom prst="rect">
          <a:avLst/>
        </a:prstGeom>
      </xdr:spPr>
    </xdr:pic>
    <xdr:clientData/>
  </xdr:twoCellAnchor>
  <xdr:twoCellAnchor editAs="oneCell">
    <xdr:from>
      <xdr:col>0</xdr:col>
      <xdr:colOff>1657350</xdr:colOff>
      <xdr:row>20</xdr:row>
      <xdr:rowOff>57149</xdr:rowOff>
    </xdr:from>
    <xdr:to>
      <xdr:col>2</xdr:col>
      <xdr:colOff>0</xdr:colOff>
      <xdr:row>27</xdr:row>
      <xdr:rowOff>47625</xdr:rowOff>
    </xdr:to>
    <xdr:pic>
      <xdr:nvPicPr>
        <xdr:cNvPr id="12" name="Graphic 11">
          <a:extLst>
            <a:ext uri="{FF2B5EF4-FFF2-40B4-BE49-F238E27FC236}">
              <a16:creationId xmlns:a16="http://schemas.microsoft.com/office/drawing/2014/main" id="{FB8AD682-8F1F-4227-B416-EB88318C28B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l="11489" t="1295" r="11650" b="21683"/>
        <a:stretch/>
      </xdr:blipFill>
      <xdr:spPr>
        <a:xfrm>
          <a:off x="1657350" y="4295774"/>
          <a:ext cx="1962150" cy="1019176"/>
        </a:xfrm>
        <a:prstGeom prst="rect">
          <a:avLst/>
        </a:prstGeom>
      </xdr:spPr>
    </xdr:pic>
    <xdr:clientData/>
  </xdr:twoCellAnchor>
  <xdr:twoCellAnchor editAs="oneCell">
    <xdr:from>
      <xdr:col>3</xdr:col>
      <xdr:colOff>9525</xdr:colOff>
      <xdr:row>14</xdr:row>
      <xdr:rowOff>133349</xdr:rowOff>
    </xdr:from>
    <xdr:to>
      <xdr:col>4</xdr:col>
      <xdr:colOff>1914525</xdr:colOff>
      <xdr:row>19</xdr:row>
      <xdr:rowOff>123825</xdr:rowOff>
    </xdr:to>
    <xdr:pic>
      <xdr:nvPicPr>
        <xdr:cNvPr id="13" name="Graphic 12">
          <a:extLst>
            <a:ext uri="{FF2B5EF4-FFF2-40B4-BE49-F238E27FC236}">
              <a16:creationId xmlns:a16="http://schemas.microsoft.com/office/drawing/2014/main" id="{DE8FE564-B029-41F2-A65D-A48D1B62D74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l="11489" t="1295" r="11650" b="21683"/>
        <a:stretch/>
      </xdr:blipFill>
      <xdr:spPr>
        <a:xfrm flipH="1" flipV="1">
          <a:off x="7191375" y="3181349"/>
          <a:ext cx="1962150" cy="1019176"/>
        </a:xfrm>
        <a:prstGeom prst="rect">
          <a:avLst/>
        </a:prstGeom>
      </xdr:spPr>
    </xdr:pic>
    <xdr:clientData/>
  </xdr:twoCellAnchor>
  <xdr:twoCellAnchor editAs="oneCell">
    <xdr:from>
      <xdr:col>3</xdr:col>
      <xdr:colOff>9525</xdr:colOff>
      <xdr:row>20</xdr:row>
      <xdr:rowOff>57149</xdr:rowOff>
    </xdr:from>
    <xdr:to>
      <xdr:col>4</xdr:col>
      <xdr:colOff>1914525</xdr:colOff>
      <xdr:row>27</xdr:row>
      <xdr:rowOff>47625</xdr:rowOff>
    </xdr:to>
    <xdr:pic>
      <xdr:nvPicPr>
        <xdr:cNvPr id="14" name="Graphic 13">
          <a:extLst>
            <a:ext uri="{FF2B5EF4-FFF2-40B4-BE49-F238E27FC236}">
              <a16:creationId xmlns:a16="http://schemas.microsoft.com/office/drawing/2014/main" id="{482F03B9-CC3B-4ACA-8206-69C9CBA32F4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l="11489" t="1295" r="11650" b="21683"/>
        <a:stretch/>
      </xdr:blipFill>
      <xdr:spPr>
        <a:xfrm flipH="1">
          <a:off x="7191375" y="4295774"/>
          <a:ext cx="1962150" cy="101917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1219200</xdr:colOff>
      <xdr:row>0</xdr:row>
      <xdr:rowOff>171450</xdr:rowOff>
    </xdr:from>
    <xdr:to>
      <xdr:col>0</xdr:col>
      <xdr:colOff>1409968</xdr:colOff>
      <xdr:row>0</xdr:row>
      <xdr:rowOff>381000</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765C2A36-6FC3-4135-B13E-232CF7FA131C}"/>
            </a:ext>
          </a:extLst>
        </xdr:cNvPr>
        <xdr:cNvSpPr>
          <a:spLocks noChangeAspect="1" noEditPoints="1"/>
        </xdr:cNvSpPr>
      </xdr:nvSpPr>
      <xdr:spPr bwMode="auto">
        <a:xfrm>
          <a:off x="1219200"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twoCellAnchor editAs="oneCell">
    <xdr:from>
      <xdr:col>0</xdr:col>
      <xdr:colOff>0</xdr:colOff>
      <xdr:row>1</xdr:row>
      <xdr:rowOff>190500</xdr:rowOff>
    </xdr:from>
    <xdr:to>
      <xdr:col>0</xdr:col>
      <xdr:colOff>4344527</xdr:colOff>
      <xdr:row>6</xdr:row>
      <xdr:rowOff>1200150</xdr:rowOff>
    </xdr:to>
    <xdr:pic>
      <xdr:nvPicPr>
        <xdr:cNvPr id="3" name="Picture 2">
          <a:extLst>
            <a:ext uri="{FF2B5EF4-FFF2-40B4-BE49-F238E27FC236}">
              <a16:creationId xmlns:a16="http://schemas.microsoft.com/office/drawing/2014/main" id="{69F77CA4-277B-43EA-86B2-851FC71314B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670" t="-1948" r="-505" b="-1552"/>
        <a:stretch/>
      </xdr:blipFill>
      <xdr:spPr>
        <a:xfrm>
          <a:off x="0" y="742950"/>
          <a:ext cx="4344527" cy="32194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121920</xdr:colOff>
      <xdr:row>1</xdr:row>
      <xdr:rowOff>190500</xdr:rowOff>
    </xdr:from>
    <xdr:to>
      <xdr:col>0</xdr:col>
      <xdr:colOff>2207312</xdr:colOff>
      <xdr:row>1</xdr:row>
      <xdr:rowOff>513616</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stretch>
          <a:fillRect/>
        </a:stretch>
      </xdr:blipFill>
      <xdr:spPr>
        <a:xfrm>
          <a:off x="121920" y="742950"/>
          <a:ext cx="2085392" cy="323116"/>
        </a:xfrm>
        <a:prstGeom prst="rect">
          <a:avLst/>
        </a:prstGeom>
      </xdr:spPr>
    </xdr:pic>
    <xdr:clientData/>
  </xdr:twoCellAnchor>
  <xdr:twoCellAnchor>
    <xdr:from>
      <xdr:col>0</xdr:col>
      <xdr:colOff>1228725</xdr:colOff>
      <xdr:row>0</xdr:row>
      <xdr:rowOff>180975</xdr:rowOff>
    </xdr:from>
    <xdr:to>
      <xdr:col>0</xdr:col>
      <xdr:colOff>1419493</xdr:colOff>
      <xdr:row>0</xdr:row>
      <xdr:rowOff>390525</xdr:rowOff>
    </xdr:to>
    <xdr:sp macro="" textlink="">
      <xdr:nvSpPr>
        <xdr:cNvPr id="3" name="arrow_14" title="Icon of a circle made of a curved arrow pointing counterclockwise">
          <a:hlinkClick xmlns:r="http://schemas.openxmlformats.org/officeDocument/2006/relationships" r:id="rId2"/>
          <a:extLst>
            <a:ext uri="{FF2B5EF4-FFF2-40B4-BE49-F238E27FC236}">
              <a16:creationId xmlns:a16="http://schemas.microsoft.com/office/drawing/2014/main" id="{4221CFD2-B062-440B-9B2B-3B8A7B1A4598}"/>
            </a:ext>
          </a:extLst>
        </xdr:cNvPr>
        <xdr:cNvSpPr>
          <a:spLocks noChangeAspect="1" noEditPoints="1"/>
        </xdr:cNvSpPr>
      </xdr:nvSpPr>
      <xdr:spPr bwMode="auto">
        <a:xfrm>
          <a:off x="1228725"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1219200</xdr:colOff>
      <xdr:row>0</xdr:row>
      <xdr:rowOff>133350</xdr:rowOff>
    </xdr:from>
    <xdr:to>
      <xdr:col>0</xdr:col>
      <xdr:colOff>1409968</xdr:colOff>
      <xdr:row>0</xdr:row>
      <xdr:rowOff>342900</xdr:rowOff>
    </xdr:to>
    <xdr:sp macro="" textlink="">
      <xdr:nvSpPr>
        <xdr:cNvPr id="3"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3A303E86-55D7-4FC3-BE5F-72C95FDAB4E3}"/>
            </a:ext>
          </a:extLst>
        </xdr:cNvPr>
        <xdr:cNvSpPr>
          <a:spLocks noChangeAspect="1" noEditPoints="1"/>
        </xdr:cNvSpPr>
      </xdr:nvSpPr>
      <xdr:spPr bwMode="auto">
        <a:xfrm>
          <a:off x="1219200" y="1333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942975</xdr:colOff>
      <xdr:row>0</xdr:row>
      <xdr:rowOff>142875</xdr:rowOff>
    </xdr:from>
    <xdr:to>
      <xdr:col>0</xdr:col>
      <xdr:colOff>1133743</xdr:colOff>
      <xdr:row>0</xdr:row>
      <xdr:rowOff>352425</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FC8F7A99-E941-4FA9-9EAA-CBB8CBB65755}"/>
            </a:ext>
          </a:extLst>
        </xdr:cNvPr>
        <xdr:cNvSpPr>
          <a:spLocks noChangeAspect="1" noEditPoints="1"/>
        </xdr:cNvSpPr>
      </xdr:nvSpPr>
      <xdr:spPr bwMode="auto">
        <a:xfrm>
          <a:off x="942975" y="1428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695325</xdr:colOff>
      <xdr:row>0</xdr:row>
      <xdr:rowOff>180975</xdr:rowOff>
    </xdr:from>
    <xdr:to>
      <xdr:col>0</xdr:col>
      <xdr:colOff>886093</xdr:colOff>
      <xdr:row>0</xdr:row>
      <xdr:rowOff>390525</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C108E3EE-3D15-4567-88FB-9D8C1894C69F}"/>
            </a:ext>
          </a:extLst>
        </xdr:cNvPr>
        <xdr:cNvSpPr>
          <a:spLocks noChangeAspect="1" noEditPoints="1"/>
        </xdr:cNvSpPr>
      </xdr:nvSpPr>
      <xdr:spPr bwMode="auto">
        <a:xfrm>
          <a:off x="695325"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800100</xdr:colOff>
      <xdr:row>0</xdr:row>
      <xdr:rowOff>171450</xdr:rowOff>
    </xdr:from>
    <xdr:to>
      <xdr:col>0</xdr:col>
      <xdr:colOff>990868</xdr:colOff>
      <xdr:row>0</xdr:row>
      <xdr:rowOff>381000</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3A069BA3-588B-4C4A-A8F4-ED5C9A7D1B8A}"/>
            </a:ext>
          </a:extLst>
        </xdr:cNvPr>
        <xdr:cNvSpPr>
          <a:spLocks noChangeAspect="1" noEditPoints="1"/>
        </xdr:cNvSpPr>
      </xdr:nvSpPr>
      <xdr:spPr bwMode="auto">
        <a:xfrm>
          <a:off x="800100"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1219200</xdr:colOff>
      <xdr:row>0</xdr:row>
      <xdr:rowOff>171450</xdr:rowOff>
    </xdr:from>
    <xdr:to>
      <xdr:col>0</xdr:col>
      <xdr:colOff>1409968</xdr:colOff>
      <xdr:row>0</xdr:row>
      <xdr:rowOff>381000</xdr:rowOff>
    </xdr:to>
    <xdr:sp macro="" textlink="">
      <xdr:nvSpPr>
        <xdr:cNvPr id="5"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C29DBE61-1117-4332-A1A1-826E90A68F5F}"/>
            </a:ext>
          </a:extLst>
        </xdr:cNvPr>
        <xdr:cNvSpPr>
          <a:spLocks noChangeAspect="1" noEditPoints="1"/>
        </xdr:cNvSpPr>
      </xdr:nvSpPr>
      <xdr:spPr bwMode="auto">
        <a:xfrm>
          <a:off x="1219200"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952500</xdr:colOff>
      <xdr:row>0</xdr:row>
      <xdr:rowOff>190500</xdr:rowOff>
    </xdr:from>
    <xdr:to>
      <xdr:col>0</xdr:col>
      <xdr:colOff>1143268</xdr:colOff>
      <xdr:row>0</xdr:row>
      <xdr:rowOff>400050</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EF71E3D1-8690-46E9-915E-C6FE6C89E6C7}"/>
            </a:ext>
          </a:extLst>
        </xdr:cNvPr>
        <xdr:cNvSpPr>
          <a:spLocks noChangeAspect="1" noEditPoints="1"/>
        </xdr:cNvSpPr>
      </xdr:nvSpPr>
      <xdr:spPr bwMode="auto">
        <a:xfrm>
          <a:off x="952500" y="19050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1219200</xdr:colOff>
      <xdr:row>0</xdr:row>
      <xdr:rowOff>180975</xdr:rowOff>
    </xdr:from>
    <xdr:to>
      <xdr:col>0</xdr:col>
      <xdr:colOff>1409968</xdr:colOff>
      <xdr:row>0</xdr:row>
      <xdr:rowOff>390525</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3C1F913C-02E3-406F-A555-1FC0C86C73CE}"/>
            </a:ext>
          </a:extLst>
        </xdr:cNvPr>
        <xdr:cNvSpPr>
          <a:spLocks noChangeAspect="1" noEditPoints="1"/>
        </xdr:cNvSpPr>
      </xdr:nvSpPr>
      <xdr:spPr bwMode="auto">
        <a:xfrm>
          <a:off x="1219200"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1181100</xdr:colOff>
      <xdr:row>0</xdr:row>
      <xdr:rowOff>180975</xdr:rowOff>
    </xdr:from>
    <xdr:to>
      <xdr:col>0</xdr:col>
      <xdr:colOff>1371868</xdr:colOff>
      <xdr:row>0</xdr:row>
      <xdr:rowOff>390525</xdr:rowOff>
    </xdr:to>
    <xdr:sp macro="" textlink="">
      <xdr:nvSpPr>
        <xdr:cNvPr id="11"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4174ADD9-3891-4585-A30B-54F2CBDFEFBB}"/>
            </a:ext>
          </a:extLst>
        </xdr:cNvPr>
        <xdr:cNvSpPr>
          <a:spLocks noChangeAspect="1" noEditPoints="1"/>
        </xdr:cNvSpPr>
      </xdr:nvSpPr>
      <xdr:spPr bwMode="auto">
        <a:xfrm>
          <a:off x="1181100"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twoCellAnchor>
    <xdr:from>
      <xdr:col>0</xdr:col>
      <xdr:colOff>95250</xdr:colOff>
      <xdr:row>1</xdr:row>
      <xdr:rowOff>638175</xdr:rowOff>
    </xdr:from>
    <xdr:to>
      <xdr:col>1</xdr:col>
      <xdr:colOff>2447925</xdr:colOff>
      <xdr:row>3</xdr:row>
      <xdr:rowOff>962025</xdr:rowOff>
    </xdr:to>
    <xdr:grpSp>
      <xdr:nvGrpSpPr>
        <xdr:cNvPr id="26" name="Group 25">
          <a:extLst>
            <a:ext uri="{FF2B5EF4-FFF2-40B4-BE49-F238E27FC236}">
              <a16:creationId xmlns:a16="http://schemas.microsoft.com/office/drawing/2014/main" id="{7E66A215-AF68-44D6-92B4-19C374D890FE}"/>
            </a:ext>
          </a:extLst>
        </xdr:cNvPr>
        <xdr:cNvGrpSpPr/>
      </xdr:nvGrpSpPr>
      <xdr:grpSpPr>
        <a:xfrm>
          <a:off x="95250" y="1190625"/>
          <a:ext cx="5495925" cy="3486150"/>
          <a:chOff x="1563542" y="1969424"/>
          <a:chExt cx="6016917" cy="3376354"/>
        </a:xfrm>
      </xdr:grpSpPr>
      <xdr:sp macro="" textlink="">
        <xdr:nvSpPr>
          <xdr:cNvPr id="27" name="TextBox 3">
            <a:extLst>
              <a:ext uri="{FF2B5EF4-FFF2-40B4-BE49-F238E27FC236}">
                <a16:creationId xmlns:a16="http://schemas.microsoft.com/office/drawing/2014/main" id="{66219B25-F196-4053-9DDB-16AAB0BE5511}"/>
              </a:ext>
            </a:extLst>
          </xdr:cNvPr>
          <xdr:cNvSpPr txBox="1"/>
        </xdr:nvSpPr>
        <xdr:spPr>
          <a:xfrm>
            <a:off x="1563542" y="3045780"/>
            <a:ext cx="2415072" cy="1084471"/>
          </a:xfrm>
          <a:prstGeom prst="roundRect">
            <a:avLst/>
          </a:prstGeom>
          <a:solidFill>
            <a:schemeClr val="accent4">
              <a:lumMod val="75000"/>
            </a:schemeClr>
          </a:solidFill>
        </xdr:spPr>
        <xdr:txBody>
          <a:bodyPr wrap="square" rtlCol="0" anchor="ctr">
            <a:noAutofit/>
          </a:bodyPr>
          <a:lstStyle>
            <a:defPPr>
              <a:defRPr lang="en-US"/>
            </a:defPPr>
            <a:lvl1pPr algn="l" rtl="0" fontAlgn="base">
              <a:spcBef>
                <a:spcPct val="0"/>
              </a:spcBef>
              <a:spcAft>
                <a:spcPct val="0"/>
              </a:spcAft>
              <a:defRPr b="1" kern="1200">
                <a:solidFill>
                  <a:schemeClr val="tx1"/>
                </a:solidFill>
                <a:latin typeface="Arial" charset="0"/>
                <a:ea typeface="+mn-ea"/>
                <a:cs typeface="+mn-cs"/>
              </a:defRPr>
            </a:lvl1pPr>
            <a:lvl2pPr marL="457200" algn="l" rtl="0" fontAlgn="base">
              <a:spcBef>
                <a:spcPct val="0"/>
              </a:spcBef>
              <a:spcAft>
                <a:spcPct val="0"/>
              </a:spcAft>
              <a:defRPr b="1" kern="1200">
                <a:solidFill>
                  <a:schemeClr val="tx1"/>
                </a:solidFill>
                <a:latin typeface="Arial" charset="0"/>
                <a:ea typeface="+mn-ea"/>
                <a:cs typeface="+mn-cs"/>
              </a:defRPr>
            </a:lvl2pPr>
            <a:lvl3pPr marL="914400" algn="l" rtl="0" fontAlgn="base">
              <a:spcBef>
                <a:spcPct val="0"/>
              </a:spcBef>
              <a:spcAft>
                <a:spcPct val="0"/>
              </a:spcAft>
              <a:defRPr b="1" kern="1200">
                <a:solidFill>
                  <a:schemeClr val="tx1"/>
                </a:solidFill>
                <a:latin typeface="Arial" charset="0"/>
                <a:ea typeface="+mn-ea"/>
                <a:cs typeface="+mn-cs"/>
              </a:defRPr>
            </a:lvl3pPr>
            <a:lvl4pPr marL="1371600" algn="l" rtl="0" fontAlgn="base">
              <a:spcBef>
                <a:spcPct val="0"/>
              </a:spcBef>
              <a:spcAft>
                <a:spcPct val="0"/>
              </a:spcAft>
              <a:defRPr b="1" kern="1200">
                <a:solidFill>
                  <a:schemeClr val="tx1"/>
                </a:solidFill>
                <a:latin typeface="Arial" charset="0"/>
                <a:ea typeface="+mn-ea"/>
                <a:cs typeface="+mn-cs"/>
              </a:defRPr>
            </a:lvl4pPr>
            <a:lvl5pPr marL="1828800" algn="l" rtl="0" fontAlgn="base">
              <a:spcBef>
                <a:spcPct val="0"/>
              </a:spcBef>
              <a:spcAft>
                <a:spcPct val="0"/>
              </a:spcAft>
              <a:defRPr b="1" kern="1200">
                <a:solidFill>
                  <a:schemeClr val="tx1"/>
                </a:solidFill>
                <a:latin typeface="Arial" charset="0"/>
                <a:ea typeface="+mn-ea"/>
                <a:cs typeface="+mn-cs"/>
              </a:defRPr>
            </a:lvl5pPr>
            <a:lvl6pPr marL="2286000" algn="l" defTabSz="914400" rtl="0" eaLnBrk="1" latinLnBrk="0" hangingPunct="1">
              <a:defRPr b="1" kern="1200">
                <a:solidFill>
                  <a:schemeClr val="tx1"/>
                </a:solidFill>
                <a:latin typeface="Arial" charset="0"/>
                <a:ea typeface="+mn-ea"/>
                <a:cs typeface="+mn-cs"/>
              </a:defRPr>
            </a:lvl6pPr>
            <a:lvl7pPr marL="2743200" algn="l" defTabSz="914400" rtl="0" eaLnBrk="1" latinLnBrk="0" hangingPunct="1">
              <a:defRPr b="1" kern="1200">
                <a:solidFill>
                  <a:schemeClr val="tx1"/>
                </a:solidFill>
                <a:latin typeface="Arial" charset="0"/>
                <a:ea typeface="+mn-ea"/>
                <a:cs typeface="+mn-cs"/>
              </a:defRPr>
            </a:lvl7pPr>
            <a:lvl8pPr marL="3200400" algn="l" defTabSz="914400" rtl="0" eaLnBrk="1" latinLnBrk="0" hangingPunct="1">
              <a:defRPr b="1" kern="1200">
                <a:solidFill>
                  <a:schemeClr val="tx1"/>
                </a:solidFill>
                <a:latin typeface="Arial" charset="0"/>
                <a:ea typeface="+mn-ea"/>
                <a:cs typeface="+mn-cs"/>
              </a:defRPr>
            </a:lvl8pPr>
            <a:lvl9pPr marL="3657600" algn="l" defTabSz="914400" rtl="0" eaLnBrk="1" latinLnBrk="0" hangingPunct="1">
              <a:defRPr b="1" kern="1200">
                <a:solidFill>
                  <a:schemeClr val="tx1"/>
                </a:solidFill>
                <a:latin typeface="Arial" charset="0"/>
                <a:ea typeface="+mn-ea"/>
                <a:cs typeface="+mn-cs"/>
              </a:defRPr>
            </a:lvl9pPr>
          </a:lstStyle>
          <a:p>
            <a:pPr algn="ctr"/>
            <a:r>
              <a:rPr lang="en-US" sz="1100">
                <a:solidFill>
                  <a:schemeClr val="bg1"/>
                </a:solidFill>
                <a:latin typeface="Arial" panose="020B0604020202020204" pitchFamily="34" charset="0"/>
                <a:cs typeface="Arial" panose="020B0604020202020204" pitchFamily="34" charset="0"/>
              </a:rPr>
              <a:t>Feature</a:t>
            </a:r>
          </a:p>
          <a:p>
            <a:pPr algn="ctr"/>
            <a:r>
              <a:rPr lang="en-US" sz="1100" i="1">
                <a:solidFill>
                  <a:schemeClr val="bg1"/>
                </a:solidFill>
                <a:latin typeface="Arial" panose="020B0604020202020204" pitchFamily="34" charset="0"/>
                <a:cs typeface="Arial" panose="020B0604020202020204" pitchFamily="34" charset="0"/>
              </a:rPr>
              <a:t>What it is, how it works</a:t>
            </a:r>
          </a:p>
        </xdr:txBody>
      </xdr:sp>
      <xdr:sp macro="" textlink="">
        <xdr:nvSpPr>
          <xdr:cNvPr id="28" name="TextBox 4">
            <a:extLst>
              <a:ext uri="{FF2B5EF4-FFF2-40B4-BE49-F238E27FC236}">
                <a16:creationId xmlns:a16="http://schemas.microsoft.com/office/drawing/2014/main" id="{64108B27-99F7-498A-A052-58260FE71F5E}"/>
              </a:ext>
            </a:extLst>
          </xdr:cNvPr>
          <xdr:cNvSpPr txBox="1"/>
        </xdr:nvSpPr>
        <xdr:spPr>
          <a:xfrm>
            <a:off x="5165387" y="3045780"/>
            <a:ext cx="2415072" cy="1084471"/>
          </a:xfrm>
          <a:prstGeom prst="roundRect">
            <a:avLst/>
          </a:prstGeom>
          <a:solidFill>
            <a:srgbClr val="0070C0"/>
          </a:solidFill>
        </xdr:spPr>
        <xdr:txBody>
          <a:bodyPr wrap="square" rtlCol="0" anchor="ctr">
            <a:noAutofit/>
          </a:bodyPr>
          <a:lstStyle>
            <a:defPPr>
              <a:defRPr lang="en-US"/>
            </a:defPPr>
            <a:lvl1pPr algn="l" rtl="0" fontAlgn="base">
              <a:spcBef>
                <a:spcPct val="0"/>
              </a:spcBef>
              <a:spcAft>
                <a:spcPct val="0"/>
              </a:spcAft>
              <a:defRPr b="1" kern="1200">
                <a:solidFill>
                  <a:schemeClr val="tx1"/>
                </a:solidFill>
                <a:latin typeface="Arial" charset="0"/>
                <a:ea typeface="+mn-ea"/>
                <a:cs typeface="+mn-cs"/>
              </a:defRPr>
            </a:lvl1pPr>
            <a:lvl2pPr marL="457200" algn="l" rtl="0" fontAlgn="base">
              <a:spcBef>
                <a:spcPct val="0"/>
              </a:spcBef>
              <a:spcAft>
                <a:spcPct val="0"/>
              </a:spcAft>
              <a:defRPr b="1" kern="1200">
                <a:solidFill>
                  <a:schemeClr val="tx1"/>
                </a:solidFill>
                <a:latin typeface="Arial" charset="0"/>
                <a:ea typeface="+mn-ea"/>
                <a:cs typeface="+mn-cs"/>
              </a:defRPr>
            </a:lvl2pPr>
            <a:lvl3pPr marL="914400" algn="l" rtl="0" fontAlgn="base">
              <a:spcBef>
                <a:spcPct val="0"/>
              </a:spcBef>
              <a:spcAft>
                <a:spcPct val="0"/>
              </a:spcAft>
              <a:defRPr b="1" kern="1200">
                <a:solidFill>
                  <a:schemeClr val="tx1"/>
                </a:solidFill>
                <a:latin typeface="Arial" charset="0"/>
                <a:ea typeface="+mn-ea"/>
                <a:cs typeface="+mn-cs"/>
              </a:defRPr>
            </a:lvl3pPr>
            <a:lvl4pPr marL="1371600" algn="l" rtl="0" fontAlgn="base">
              <a:spcBef>
                <a:spcPct val="0"/>
              </a:spcBef>
              <a:spcAft>
                <a:spcPct val="0"/>
              </a:spcAft>
              <a:defRPr b="1" kern="1200">
                <a:solidFill>
                  <a:schemeClr val="tx1"/>
                </a:solidFill>
                <a:latin typeface="Arial" charset="0"/>
                <a:ea typeface="+mn-ea"/>
                <a:cs typeface="+mn-cs"/>
              </a:defRPr>
            </a:lvl4pPr>
            <a:lvl5pPr marL="1828800" algn="l" rtl="0" fontAlgn="base">
              <a:spcBef>
                <a:spcPct val="0"/>
              </a:spcBef>
              <a:spcAft>
                <a:spcPct val="0"/>
              </a:spcAft>
              <a:defRPr b="1" kern="1200">
                <a:solidFill>
                  <a:schemeClr val="tx1"/>
                </a:solidFill>
                <a:latin typeface="Arial" charset="0"/>
                <a:ea typeface="+mn-ea"/>
                <a:cs typeface="+mn-cs"/>
              </a:defRPr>
            </a:lvl5pPr>
            <a:lvl6pPr marL="2286000" algn="l" defTabSz="914400" rtl="0" eaLnBrk="1" latinLnBrk="0" hangingPunct="1">
              <a:defRPr b="1" kern="1200">
                <a:solidFill>
                  <a:schemeClr val="tx1"/>
                </a:solidFill>
                <a:latin typeface="Arial" charset="0"/>
                <a:ea typeface="+mn-ea"/>
                <a:cs typeface="+mn-cs"/>
              </a:defRPr>
            </a:lvl6pPr>
            <a:lvl7pPr marL="2743200" algn="l" defTabSz="914400" rtl="0" eaLnBrk="1" latinLnBrk="0" hangingPunct="1">
              <a:defRPr b="1" kern="1200">
                <a:solidFill>
                  <a:schemeClr val="tx1"/>
                </a:solidFill>
                <a:latin typeface="Arial" charset="0"/>
                <a:ea typeface="+mn-ea"/>
                <a:cs typeface="+mn-cs"/>
              </a:defRPr>
            </a:lvl7pPr>
            <a:lvl8pPr marL="3200400" algn="l" defTabSz="914400" rtl="0" eaLnBrk="1" latinLnBrk="0" hangingPunct="1">
              <a:defRPr b="1" kern="1200">
                <a:solidFill>
                  <a:schemeClr val="tx1"/>
                </a:solidFill>
                <a:latin typeface="Arial" charset="0"/>
                <a:ea typeface="+mn-ea"/>
                <a:cs typeface="+mn-cs"/>
              </a:defRPr>
            </a:lvl8pPr>
            <a:lvl9pPr marL="3657600" algn="l" defTabSz="914400" rtl="0" eaLnBrk="1" latinLnBrk="0" hangingPunct="1">
              <a:defRPr b="1" kern="1200">
                <a:solidFill>
                  <a:schemeClr val="tx1"/>
                </a:solidFill>
                <a:latin typeface="Arial" charset="0"/>
                <a:ea typeface="+mn-ea"/>
                <a:cs typeface="+mn-cs"/>
              </a:defRPr>
            </a:lvl9pPr>
          </a:lstStyle>
          <a:p>
            <a:pPr algn="ctr"/>
            <a:r>
              <a:rPr lang="en-US" sz="1100">
                <a:solidFill>
                  <a:schemeClr val="bg1"/>
                </a:solidFill>
                <a:latin typeface="Arial" panose="020B0604020202020204" pitchFamily="34" charset="0"/>
                <a:cs typeface="Arial" panose="020B0604020202020204" pitchFamily="34" charset="0"/>
              </a:rPr>
              <a:t>Benefit</a:t>
            </a:r>
          </a:p>
          <a:p>
            <a:pPr algn="ctr"/>
            <a:r>
              <a:rPr lang="en-US" sz="1100" i="1">
                <a:solidFill>
                  <a:schemeClr val="bg1"/>
                </a:solidFill>
                <a:latin typeface="Arial" panose="020B0604020202020204" pitchFamily="34" charset="0"/>
                <a:cs typeface="Arial" panose="020B0604020202020204" pitchFamily="34" charset="0"/>
              </a:rPr>
              <a:t>Advantages the customer needs/wants</a:t>
            </a:r>
          </a:p>
        </xdr:txBody>
      </xdr:sp>
      <xdr:sp macro="" textlink="">
        <xdr:nvSpPr>
          <xdr:cNvPr id="29" name="Arrow: Curved Down 28">
            <a:extLst>
              <a:ext uri="{FF2B5EF4-FFF2-40B4-BE49-F238E27FC236}">
                <a16:creationId xmlns:a16="http://schemas.microsoft.com/office/drawing/2014/main" id="{1453F6F1-5CC5-4BE4-A758-AFA09CECBDF9}"/>
              </a:ext>
            </a:extLst>
          </xdr:cNvPr>
          <xdr:cNvSpPr/>
        </xdr:nvSpPr>
        <xdr:spPr>
          <a:xfrm>
            <a:off x="2875418" y="2177395"/>
            <a:ext cx="3424818" cy="808619"/>
          </a:xfrm>
          <a:prstGeom prst="curvedDownArrow">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fontAlgn="base">
              <a:spcBef>
                <a:spcPct val="0"/>
              </a:spcBef>
              <a:spcAft>
                <a:spcPct val="0"/>
              </a:spcAft>
              <a:defRPr b="1" kern="1200">
                <a:solidFill>
                  <a:schemeClr val="lt1"/>
                </a:solidFill>
                <a:latin typeface="+mn-lt"/>
                <a:ea typeface="+mn-ea"/>
                <a:cs typeface="+mn-cs"/>
              </a:defRPr>
            </a:lvl1pPr>
            <a:lvl2pPr marL="457200" algn="l" rtl="0" fontAlgn="base">
              <a:spcBef>
                <a:spcPct val="0"/>
              </a:spcBef>
              <a:spcAft>
                <a:spcPct val="0"/>
              </a:spcAft>
              <a:defRPr b="1" kern="1200">
                <a:solidFill>
                  <a:schemeClr val="lt1"/>
                </a:solidFill>
                <a:latin typeface="+mn-lt"/>
                <a:ea typeface="+mn-ea"/>
                <a:cs typeface="+mn-cs"/>
              </a:defRPr>
            </a:lvl2pPr>
            <a:lvl3pPr marL="914400" algn="l" rtl="0" fontAlgn="base">
              <a:spcBef>
                <a:spcPct val="0"/>
              </a:spcBef>
              <a:spcAft>
                <a:spcPct val="0"/>
              </a:spcAft>
              <a:defRPr b="1" kern="1200">
                <a:solidFill>
                  <a:schemeClr val="lt1"/>
                </a:solidFill>
                <a:latin typeface="+mn-lt"/>
                <a:ea typeface="+mn-ea"/>
                <a:cs typeface="+mn-cs"/>
              </a:defRPr>
            </a:lvl3pPr>
            <a:lvl4pPr marL="1371600" algn="l" rtl="0" fontAlgn="base">
              <a:spcBef>
                <a:spcPct val="0"/>
              </a:spcBef>
              <a:spcAft>
                <a:spcPct val="0"/>
              </a:spcAft>
              <a:defRPr b="1" kern="1200">
                <a:solidFill>
                  <a:schemeClr val="lt1"/>
                </a:solidFill>
                <a:latin typeface="+mn-lt"/>
                <a:ea typeface="+mn-ea"/>
                <a:cs typeface="+mn-cs"/>
              </a:defRPr>
            </a:lvl4pPr>
            <a:lvl5pPr marL="1828800" algn="l" rtl="0" fontAlgn="base">
              <a:spcBef>
                <a:spcPct val="0"/>
              </a:spcBef>
              <a:spcAft>
                <a:spcPct val="0"/>
              </a:spcAft>
              <a:defRPr b="1" kern="1200">
                <a:solidFill>
                  <a:schemeClr val="lt1"/>
                </a:solidFill>
                <a:latin typeface="+mn-lt"/>
                <a:ea typeface="+mn-ea"/>
                <a:cs typeface="+mn-cs"/>
              </a:defRPr>
            </a:lvl5pPr>
            <a:lvl6pPr marL="2286000" algn="l" defTabSz="914400" rtl="0" eaLnBrk="1" latinLnBrk="0" hangingPunct="1">
              <a:defRPr b="1" kern="1200">
                <a:solidFill>
                  <a:schemeClr val="lt1"/>
                </a:solidFill>
                <a:latin typeface="+mn-lt"/>
                <a:ea typeface="+mn-ea"/>
                <a:cs typeface="+mn-cs"/>
              </a:defRPr>
            </a:lvl6pPr>
            <a:lvl7pPr marL="2743200" algn="l" defTabSz="914400" rtl="0" eaLnBrk="1" latinLnBrk="0" hangingPunct="1">
              <a:defRPr b="1" kern="1200">
                <a:solidFill>
                  <a:schemeClr val="lt1"/>
                </a:solidFill>
                <a:latin typeface="+mn-lt"/>
                <a:ea typeface="+mn-ea"/>
                <a:cs typeface="+mn-cs"/>
              </a:defRPr>
            </a:lvl7pPr>
            <a:lvl8pPr marL="3200400" algn="l" defTabSz="914400" rtl="0" eaLnBrk="1" latinLnBrk="0" hangingPunct="1">
              <a:defRPr b="1" kern="1200">
                <a:solidFill>
                  <a:schemeClr val="lt1"/>
                </a:solidFill>
                <a:latin typeface="+mn-lt"/>
                <a:ea typeface="+mn-ea"/>
                <a:cs typeface="+mn-cs"/>
              </a:defRPr>
            </a:lvl8pPr>
            <a:lvl9pPr marL="3657600" algn="l" defTabSz="914400" rtl="0" eaLnBrk="1" latinLnBrk="0" hangingPunct="1">
              <a:defRPr b="1" kern="1200">
                <a:solidFill>
                  <a:schemeClr val="lt1"/>
                </a:solidFill>
                <a:latin typeface="+mn-lt"/>
                <a:ea typeface="+mn-ea"/>
                <a:cs typeface="+mn-cs"/>
              </a:defRPr>
            </a:lvl9pPr>
          </a:lstStyle>
          <a:p>
            <a:pPr algn="ctr"/>
            <a:endParaRPr lang="en-US">
              <a:solidFill>
                <a:schemeClr val="tx1"/>
              </a:solidFill>
            </a:endParaRPr>
          </a:p>
        </xdr:txBody>
      </xdr:sp>
      <xdr:sp macro="" textlink="">
        <xdr:nvSpPr>
          <xdr:cNvPr id="30" name="Rectangle 29">
            <a:extLst>
              <a:ext uri="{FF2B5EF4-FFF2-40B4-BE49-F238E27FC236}">
                <a16:creationId xmlns:a16="http://schemas.microsoft.com/office/drawing/2014/main" id="{0CA06FFA-1B7F-4349-B91C-3EAAFD6703A5}"/>
              </a:ext>
            </a:extLst>
          </xdr:cNvPr>
          <xdr:cNvSpPr/>
        </xdr:nvSpPr>
        <xdr:spPr>
          <a:xfrm>
            <a:off x="3513180" y="1969424"/>
            <a:ext cx="2140933" cy="573731"/>
          </a:xfrm>
          <a:prstGeom prst="rect">
            <a:avLst/>
          </a:prstGeom>
        </xdr:spPr>
        <xdr:txBody>
          <a:bodyPr spcFirstLastPara="1" wrap="square" numCol="1">
            <a:prstTxWarp prst="textArchUp">
              <a:avLst>
                <a:gd name="adj" fmla="val 10749542"/>
              </a:avLst>
            </a:prstTxWarp>
            <a:spAutoFit/>
          </a:bodyPr>
          <a:lstStyle>
            <a:defPPr>
              <a:defRPr lang="en-US"/>
            </a:defPPr>
            <a:lvl1pPr algn="l" rtl="0" fontAlgn="base">
              <a:spcBef>
                <a:spcPct val="0"/>
              </a:spcBef>
              <a:spcAft>
                <a:spcPct val="0"/>
              </a:spcAft>
              <a:defRPr b="1" kern="1200">
                <a:solidFill>
                  <a:schemeClr val="tx1"/>
                </a:solidFill>
                <a:latin typeface="Arial" charset="0"/>
                <a:ea typeface="+mn-ea"/>
                <a:cs typeface="+mn-cs"/>
              </a:defRPr>
            </a:lvl1pPr>
            <a:lvl2pPr marL="457200" algn="l" rtl="0" fontAlgn="base">
              <a:spcBef>
                <a:spcPct val="0"/>
              </a:spcBef>
              <a:spcAft>
                <a:spcPct val="0"/>
              </a:spcAft>
              <a:defRPr b="1" kern="1200">
                <a:solidFill>
                  <a:schemeClr val="tx1"/>
                </a:solidFill>
                <a:latin typeface="Arial" charset="0"/>
                <a:ea typeface="+mn-ea"/>
                <a:cs typeface="+mn-cs"/>
              </a:defRPr>
            </a:lvl2pPr>
            <a:lvl3pPr marL="914400" algn="l" rtl="0" fontAlgn="base">
              <a:spcBef>
                <a:spcPct val="0"/>
              </a:spcBef>
              <a:spcAft>
                <a:spcPct val="0"/>
              </a:spcAft>
              <a:defRPr b="1" kern="1200">
                <a:solidFill>
                  <a:schemeClr val="tx1"/>
                </a:solidFill>
                <a:latin typeface="Arial" charset="0"/>
                <a:ea typeface="+mn-ea"/>
                <a:cs typeface="+mn-cs"/>
              </a:defRPr>
            </a:lvl3pPr>
            <a:lvl4pPr marL="1371600" algn="l" rtl="0" fontAlgn="base">
              <a:spcBef>
                <a:spcPct val="0"/>
              </a:spcBef>
              <a:spcAft>
                <a:spcPct val="0"/>
              </a:spcAft>
              <a:defRPr b="1" kern="1200">
                <a:solidFill>
                  <a:schemeClr val="tx1"/>
                </a:solidFill>
                <a:latin typeface="Arial" charset="0"/>
                <a:ea typeface="+mn-ea"/>
                <a:cs typeface="+mn-cs"/>
              </a:defRPr>
            </a:lvl4pPr>
            <a:lvl5pPr marL="1828800" algn="l" rtl="0" fontAlgn="base">
              <a:spcBef>
                <a:spcPct val="0"/>
              </a:spcBef>
              <a:spcAft>
                <a:spcPct val="0"/>
              </a:spcAft>
              <a:defRPr b="1" kern="1200">
                <a:solidFill>
                  <a:schemeClr val="tx1"/>
                </a:solidFill>
                <a:latin typeface="Arial" charset="0"/>
                <a:ea typeface="+mn-ea"/>
                <a:cs typeface="+mn-cs"/>
              </a:defRPr>
            </a:lvl5pPr>
            <a:lvl6pPr marL="2286000" algn="l" defTabSz="914400" rtl="0" eaLnBrk="1" latinLnBrk="0" hangingPunct="1">
              <a:defRPr b="1" kern="1200">
                <a:solidFill>
                  <a:schemeClr val="tx1"/>
                </a:solidFill>
                <a:latin typeface="Arial" charset="0"/>
                <a:ea typeface="+mn-ea"/>
                <a:cs typeface="+mn-cs"/>
              </a:defRPr>
            </a:lvl6pPr>
            <a:lvl7pPr marL="2743200" algn="l" defTabSz="914400" rtl="0" eaLnBrk="1" latinLnBrk="0" hangingPunct="1">
              <a:defRPr b="1" kern="1200">
                <a:solidFill>
                  <a:schemeClr val="tx1"/>
                </a:solidFill>
                <a:latin typeface="Arial" charset="0"/>
                <a:ea typeface="+mn-ea"/>
                <a:cs typeface="+mn-cs"/>
              </a:defRPr>
            </a:lvl7pPr>
            <a:lvl8pPr marL="3200400" algn="l" defTabSz="914400" rtl="0" eaLnBrk="1" latinLnBrk="0" hangingPunct="1">
              <a:defRPr b="1" kern="1200">
                <a:solidFill>
                  <a:schemeClr val="tx1"/>
                </a:solidFill>
                <a:latin typeface="Arial" charset="0"/>
                <a:ea typeface="+mn-ea"/>
                <a:cs typeface="+mn-cs"/>
              </a:defRPr>
            </a:lvl8pPr>
            <a:lvl9pPr marL="3657600" algn="l" defTabSz="914400" rtl="0" eaLnBrk="1" latinLnBrk="0" hangingPunct="1">
              <a:defRPr b="1" kern="1200">
                <a:solidFill>
                  <a:schemeClr val="tx1"/>
                </a:solidFill>
                <a:latin typeface="Arial" charset="0"/>
                <a:ea typeface="+mn-ea"/>
                <a:cs typeface="+mn-cs"/>
              </a:defRPr>
            </a:lvl9pPr>
          </a:lstStyle>
          <a:p>
            <a:pPr algn="ctr">
              <a:defRPr/>
            </a:pPr>
            <a:r>
              <a:rPr lang="en-US" sz="1400" kern="0">
                <a:ln w="3175">
                  <a:noFill/>
                </a:ln>
                <a:solidFill>
                  <a:schemeClr val="tx1">
                    <a:lumMod val="75000"/>
                    <a:lumOff val="25000"/>
                  </a:schemeClr>
                </a:solidFill>
                <a:latin typeface="Segoe UI Light" panose="020B0502040204020203" pitchFamily="34" charset="0"/>
                <a:cs typeface="Segoe UI Light" panose="020B0502040204020203" pitchFamily="34" charset="0"/>
              </a:rPr>
              <a:t>For every feature ask “So what?</a:t>
            </a:r>
          </a:p>
        </xdr:txBody>
      </xdr:sp>
      <xdr:sp macro="" textlink="">
        <xdr:nvSpPr>
          <xdr:cNvPr id="31" name="Rectangle 30">
            <a:extLst>
              <a:ext uri="{FF2B5EF4-FFF2-40B4-BE49-F238E27FC236}">
                <a16:creationId xmlns:a16="http://schemas.microsoft.com/office/drawing/2014/main" id="{13FA9D4C-0076-46D2-BA2C-079F528067CB}"/>
              </a:ext>
            </a:extLst>
          </xdr:cNvPr>
          <xdr:cNvSpPr/>
        </xdr:nvSpPr>
        <xdr:spPr>
          <a:xfrm>
            <a:off x="3441235" y="4952419"/>
            <a:ext cx="2284823" cy="393359"/>
          </a:xfrm>
          <a:prstGeom prst="rect">
            <a:avLst/>
          </a:prstGeom>
        </xdr:spPr>
        <xdr:txBody>
          <a:bodyPr spcFirstLastPara="1" wrap="square" numCol="1">
            <a:prstTxWarp prst="textArchDown">
              <a:avLst>
                <a:gd name="adj" fmla="val 21174749"/>
              </a:avLst>
            </a:prstTxWarp>
            <a:spAutoFit/>
          </a:bodyPr>
          <a:lstStyle>
            <a:defPPr>
              <a:defRPr lang="en-US"/>
            </a:defPPr>
            <a:lvl1pPr algn="l" rtl="0" fontAlgn="base">
              <a:spcBef>
                <a:spcPct val="0"/>
              </a:spcBef>
              <a:spcAft>
                <a:spcPct val="0"/>
              </a:spcAft>
              <a:defRPr b="1" kern="1200">
                <a:solidFill>
                  <a:schemeClr val="tx1"/>
                </a:solidFill>
                <a:latin typeface="Arial" charset="0"/>
                <a:ea typeface="+mn-ea"/>
                <a:cs typeface="+mn-cs"/>
              </a:defRPr>
            </a:lvl1pPr>
            <a:lvl2pPr marL="457200" algn="l" rtl="0" fontAlgn="base">
              <a:spcBef>
                <a:spcPct val="0"/>
              </a:spcBef>
              <a:spcAft>
                <a:spcPct val="0"/>
              </a:spcAft>
              <a:defRPr b="1" kern="1200">
                <a:solidFill>
                  <a:schemeClr val="tx1"/>
                </a:solidFill>
                <a:latin typeface="Arial" charset="0"/>
                <a:ea typeface="+mn-ea"/>
                <a:cs typeface="+mn-cs"/>
              </a:defRPr>
            </a:lvl2pPr>
            <a:lvl3pPr marL="914400" algn="l" rtl="0" fontAlgn="base">
              <a:spcBef>
                <a:spcPct val="0"/>
              </a:spcBef>
              <a:spcAft>
                <a:spcPct val="0"/>
              </a:spcAft>
              <a:defRPr b="1" kern="1200">
                <a:solidFill>
                  <a:schemeClr val="tx1"/>
                </a:solidFill>
                <a:latin typeface="Arial" charset="0"/>
                <a:ea typeface="+mn-ea"/>
                <a:cs typeface="+mn-cs"/>
              </a:defRPr>
            </a:lvl3pPr>
            <a:lvl4pPr marL="1371600" algn="l" rtl="0" fontAlgn="base">
              <a:spcBef>
                <a:spcPct val="0"/>
              </a:spcBef>
              <a:spcAft>
                <a:spcPct val="0"/>
              </a:spcAft>
              <a:defRPr b="1" kern="1200">
                <a:solidFill>
                  <a:schemeClr val="tx1"/>
                </a:solidFill>
                <a:latin typeface="Arial" charset="0"/>
                <a:ea typeface="+mn-ea"/>
                <a:cs typeface="+mn-cs"/>
              </a:defRPr>
            </a:lvl4pPr>
            <a:lvl5pPr marL="1828800" algn="l" rtl="0" fontAlgn="base">
              <a:spcBef>
                <a:spcPct val="0"/>
              </a:spcBef>
              <a:spcAft>
                <a:spcPct val="0"/>
              </a:spcAft>
              <a:defRPr b="1" kern="1200">
                <a:solidFill>
                  <a:schemeClr val="tx1"/>
                </a:solidFill>
                <a:latin typeface="Arial" charset="0"/>
                <a:ea typeface="+mn-ea"/>
                <a:cs typeface="+mn-cs"/>
              </a:defRPr>
            </a:lvl5pPr>
            <a:lvl6pPr marL="2286000" algn="l" defTabSz="914400" rtl="0" eaLnBrk="1" latinLnBrk="0" hangingPunct="1">
              <a:defRPr b="1" kern="1200">
                <a:solidFill>
                  <a:schemeClr val="tx1"/>
                </a:solidFill>
                <a:latin typeface="Arial" charset="0"/>
                <a:ea typeface="+mn-ea"/>
                <a:cs typeface="+mn-cs"/>
              </a:defRPr>
            </a:lvl6pPr>
            <a:lvl7pPr marL="2743200" algn="l" defTabSz="914400" rtl="0" eaLnBrk="1" latinLnBrk="0" hangingPunct="1">
              <a:defRPr b="1" kern="1200">
                <a:solidFill>
                  <a:schemeClr val="tx1"/>
                </a:solidFill>
                <a:latin typeface="Arial" charset="0"/>
                <a:ea typeface="+mn-ea"/>
                <a:cs typeface="+mn-cs"/>
              </a:defRPr>
            </a:lvl7pPr>
            <a:lvl8pPr marL="3200400" algn="l" defTabSz="914400" rtl="0" eaLnBrk="1" latinLnBrk="0" hangingPunct="1">
              <a:defRPr b="1" kern="1200">
                <a:solidFill>
                  <a:schemeClr val="tx1"/>
                </a:solidFill>
                <a:latin typeface="Arial" charset="0"/>
                <a:ea typeface="+mn-ea"/>
                <a:cs typeface="+mn-cs"/>
              </a:defRPr>
            </a:lvl8pPr>
            <a:lvl9pPr marL="3657600" algn="l" defTabSz="914400" rtl="0" eaLnBrk="1" latinLnBrk="0" hangingPunct="1">
              <a:defRPr b="1" kern="1200">
                <a:solidFill>
                  <a:schemeClr val="tx1"/>
                </a:solidFill>
                <a:latin typeface="Arial" charset="0"/>
                <a:ea typeface="+mn-ea"/>
                <a:cs typeface="+mn-cs"/>
              </a:defRPr>
            </a:lvl9pPr>
          </a:lstStyle>
          <a:p>
            <a:pPr lvl="0" algn="ctr">
              <a:defRPr/>
            </a:pPr>
            <a:r>
              <a:rPr lang="en-US" sz="1400" kern="0">
                <a:ln w="3175">
                  <a:noFill/>
                </a:ln>
                <a:solidFill>
                  <a:schemeClr val="tx1">
                    <a:lumMod val="75000"/>
                    <a:lumOff val="25000"/>
                  </a:schemeClr>
                </a:solidFill>
                <a:latin typeface="Segoe UI Light" panose="020B0502040204020203" pitchFamily="34" charset="0"/>
                <a:cs typeface="Segoe UI Light" panose="020B0502040204020203" pitchFamily="34" charset="0"/>
              </a:rPr>
              <a:t>For every benefit ask “How so?”</a:t>
            </a:r>
          </a:p>
        </xdr:txBody>
      </xdr:sp>
      <xdr:sp macro="" textlink="">
        <xdr:nvSpPr>
          <xdr:cNvPr id="32" name="Arrow: Curved Down 31">
            <a:extLst>
              <a:ext uri="{FF2B5EF4-FFF2-40B4-BE49-F238E27FC236}">
                <a16:creationId xmlns:a16="http://schemas.microsoft.com/office/drawing/2014/main" id="{67C5BF79-824B-4E7E-9234-97EDBCE5A04A}"/>
              </a:ext>
            </a:extLst>
          </xdr:cNvPr>
          <xdr:cNvSpPr/>
        </xdr:nvSpPr>
        <xdr:spPr>
          <a:xfrm flipH="1" flipV="1">
            <a:off x="2871237" y="4269641"/>
            <a:ext cx="3424818" cy="808619"/>
          </a:xfrm>
          <a:prstGeom prst="curvedDownArrow">
            <a:avLst/>
          </a:pr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fontAlgn="base">
              <a:spcBef>
                <a:spcPct val="0"/>
              </a:spcBef>
              <a:spcAft>
                <a:spcPct val="0"/>
              </a:spcAft>
              <a:defRPr b="1" kern="1200">
                <a:solidFill>
                  <a:schemeClr val="lt1"/>
                </a:solidFill>
                <a:latin typeface="+mn-lt"/>
                <a:ea typeface="+mn-ea"/>
                <a:cs typeface="+mn-cs"/>
              </a:defRPr>
            </a:lvl1pPr>
            <a:lvl2pPr marL="457200" algn="l" rtl="0" fontAlgn="base">
              <a:spcBef>
                <a:spcPct val="0"/>
              </a:spcBef>
              <a:spcAft>
                <a:spcPct val="0"/>
              </a:spcAft>
              <a:defRPr b="1" kern="1200">
                <a:solidFill>
                  <a:schemeClr val="lt1"/>
                </a:solidFill>
                <a:latin typeface="+mn-lt"/>
                <a:ea typeface="+mn-ea"/>
                <a:cs typeface="+mn-cs"/>
              </a:defRPr>
            </a:lvl2pPr>
            <a:lvl3pPr marL="914400" algn="l" rtl="0" fontAlgn="base">
              <a:spcBef>
                <a:spcPct val="0"/>
              </a:spcBef>
              <a:spcAft>
                <a:spcPct val="0"/>
              </a:spcAft>
              <a:defRPr b="1" kern="1200">
                <a:solidFill>
                  <a:schemeClr val="lt1"/>
                </a:solidFill>
                <a:latin typeface="+mn-lt"/>
                <a:ea typeface="+mn-ea"/>
                <a:cs typeface="+mn-cs"/>
              </a:defRPr>
            </a:lvl3pPr>
            <a:lvl4pPr marL="1371600" algn="l" rtl="0" fontAlgn="base">
              <a:spcBef>
                <a:spcPct val="0"/>
              </a:spcBef>
              <a:spcAft>
                <a:spcPct val="0"/>
              </a:spcAft>
              <a:defRPr b="1" kern="1200">
                <a:solidFill>
                  <a:schemeClr val="lt1"/>
                </a:solidFill>
                <a:latin typeface="+mn-lt"/>
                <a:ea typeface="+mn-ea"/>
                <a:cs typeface="+mn-cs"/>
              </a:defRPr>
            </a:lvl4pPr>
            <a:lvl5pPr marL="1828800" algn="l" rtl="0" fontAlgn="base">
              <a:spcBef>
                <a:spcPct val="0"/>
              </a:spcBef>
              <a:spcAft>
                <a:spcPct val="0"/>
              </a:spcAft>
              <a:defRPr b="1" kern="1200">
                <a:solidFill>
                  <a:schemeClr val="lt1"/>
                </a:solidFill>
                <a:latin typeface="+mn-lt"/>
                <a:ea typeface="+mn-ea"/>
                <a:cs typeface="+mn-cs"/>
              </a:defRPr>
            </a:lvl5pPr>
            <a:lvl6pPr marL="2286000" algn="l" defTabSz="914400" rtl="0" eaLnBrk="1" latinLnBrk="0" hangingPunct="1">
              <a:defRPr b="1" kern="1200">
                <a:solidFill>
                  <a:schemeClr val="lt1"/>
                </a:solidFill>
                <a:latin typeface="+mn-lt"/>
                <a:ea typeface="+mn-ea"/>
                <a:cs typeface="+mn-cs"/>
              </a:defRPr>
            </a:lvl6pPr>
            <a:lvl7pPr marL="2743200" algn="l" defTabSz="914400" rtl="0" eaLnBrk="1" latinLnBrk="0" hangingPunct="1">
              <a:defRPr b="1" kern="1200">
                <a:solidFill>
                  <a:schemeClr val="lt1"/>
                </a:solidFill>
                <a:latin typeface="+mn-lt"/>
                <a:ea typeface="+mn-ea"/>
                <a:cs typeface="+mn-cs"/>
              </a:defRPr>
            </a:lvl7pPr>
            <a:lvl8pPr marL="3200400" algn="l" defTabSz="914400" rtl="0" eaLnBrk="1" latinLnBrk="0" hangingPunct="1">
              <a:defRPr b="1" kern="1200">
                <a:solidFill>
                  <a:schemeClr val="lt1"/>
                </a:solidFill>
                <a:latin typeface="+mn-lt"/>
                <a:ea typeface="+mn-ea"/>
                <a:cs typeface="+mn-cs"/>
              </a:defRPr>
            </a:lvl8pPr>
            <a:lvl9pPr marL="3657600" algn="l" defTabSz="914400" rtl="0" eaLnBrk="1" latinLnBrk="0" hangingPunct="1">
              <a:defRPr b="1" kern="1200">
                <a:solidFill>
                  <a:schemeClr val="lt1"/>
                </a:solidFill>
                <a:latin typeface="+mn-lt"/>
                <a:ea typeface="+mn-ea"/>
                <a:cs typeface="+mn-cs"/>
              </a:defRPr>
            </a:lvl9pPr>
          </a:lstStyle>
          <a:p>
            <a:pPr algn="ctr"/>
            <a:endParaRPr lang="en-US">
              <a:solidFill>
                <a:schemeClr val="tx1"/>
              </a:solidFill>
            </a:endParaRPr>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1219200</xdr:colOff>
      <xdr:row>0</xdr:row>
      <xdr:rowOff>180975</xdr:rowOff>
    </xdr:from>
    <xdr:to>
      <xdr:col>0</xdr:col>
      <xdr:colOff>1409968</xdr:colOff>
      <xdr:row>0</xdr:row>
      <xdr:rowOff>390525</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ED81ED4B-FFCA-49CB-A2AE-3F67FE60CEBB}"/>
            </a:ext>
          </a:extLst>
        </xdr:cNvPr>
        <xdr:cNvSpPr>
          <a:spLocks noChangeAspect="1" noEditPoints="1"/>
        </xdr:cNvSpPr>
      </xdr:nvSpPr>
      <xdr:spPr bwMode="auto">
        <a:xfrm>
          <a:off x="1219200"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952500</xdr:colOff>
      <xdr:row>0</xdr:row>
      <xdr:rowOff>171450</xdr:rowOff>
    </xdr:from>
    <xdr:to>
      <xdr:col>0</xdr:col>
      <xdr:colOff>1143268</xdr:colOff>
      <xdr:row>0</xdr:row>
      <xdr:rowOff>381000</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4F467053-F199-497C-867B-10E77C4ECC55}"/>
            </a:ext>
          </a:extLst>
        </xdr:cNvPr>
        <xdr:cNvSpPr>
          <a:spLocks noChangeAspect="1" noEditPoints="1"/>
        </xdr:cNvSpPr>
      </xdr:nvSpPr>
      <xdr:spPr bwMode="auto">
        <a:xfrm>
          <a:off x="952500"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1219200</xdr:colOff>
      <xdr:row>0</xdr:row>
      <xdr:rowOff>171450</xdr:rowOff>
    </xdr:from>
    <xdr:to>
      <xdr:col>0</xdr:col>
      <xdr:colOff>1409968</xdr:colOff>
      <xdr:row>0</xdr:row>
      <xdr:rowOff>381000</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26C75510-F2CA-498E-B5B2-BEB85DA1FA4C}"/>
            </a:ext>
          </a:extLst>
        </xdr:cNvPr>
        <xdr:cNvSpPr>
          <a:spLocks noChangeAspect="1" noEditPoints="1"/>
        </xdr:cNvSpPr>
      </xdr:nvSpPr>
      <xdr:spPr bwMode="auto">
        <a:xfrm>
          <a:off x="1219200"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1476375</xdr:colOff>
      <xdr:row>0</xdr:row>
      <xdr:rowOff>171450</xdr:rowOff>
    </xdr:from>
    <xdr:to>
      <xdr:col>0</xdr:col>
      <xdr:colOff>1667143</xdr:colOff>
      <xdr:row>0</xdr:row>
      <xdr:rowOff>381000</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E822B0FE-BCB1-467E-A5C9-33E69817A4EB}"/>
            </a:ext>
          </a:extLst>
        </xdr:cNvPr>
        <xdr:cNvSpPr>
          <a:spLocks noChangeAspect="1" noEditPoints="1"/>
        </xdr:cNvSpPr>
      </xdr:nvSpPr>
      <xdr:spPr bwMode="auto">
        <a:xfrm>
          <a:off x="1476375"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952500</xdr:colOff>
      <xdr:row>0</xdr:row>
      <xdr:rowOff>180975</xdr:rowOff>
    </xdr:from>
    <xdr:to>
      <xdr:col>0</xdr:col>
      <xdr:colOff>1143268</xdr:colOff>
      <xdr:row>0</xdr:row>
      <xdr:rowOff>390525</xdr:rowOff>
    </xdr:to>
    <xdr:sp macro="" textlink="">
      <xdr:nvSpPr>
        <xdr:cNvPr id="2"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A2ADF438-5715-4A4D-9056-BA60351C819A}"/>
            </a:ext>
          </a:extLst>
        </xdr:cNvPr>
        <xdr:cNvSpPr>
          <a:spLocks noChangeAspect="1" noEditPoints="1"/>
        </xdr:cNvSpPr>
      </xdr:nvSpPr>
      <xdr:spPr bwMode="auto">
        <a:xfrm>
          <a:off x="952500" y="180975"/>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1219200</xdr:colOff>
      <xdr:row>0</xdr:row>
      <xdr:rowOff>171450</xdr:rowOff>
    </xdr:from>
    <xdr:to>
      <xdr:col>0</xdr:col>
      <xdr:colOff>1409968</xdr:colOff>
      <xdr:row>0</xdr:row>
      <xdr:rowOff>381000</xdr:rowOff>
    </xdr:to>
    <xdr:sp macro="" textlink="">
      <xdr:nvSpPr>
        <xdr:cNvPr id="3"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6271F62E-9843-4B65-9254-ACC0436953A7}"/>
            </a:ext>
          </a:extLst>
        </xdr:cNvPr>
        <xdr:cNvSpPr>
          <a:spLocks noChangeAspect="1" noEditPoints="1"/>
        </xdr:cNvSpPr>
      </xdr:nvSpPr>
      <xdr:spPr bwMode="auto">
        <a:xfrm>
          <a:off x="1219200"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666750</xdr:colOff>
      <xdr:row>0</xdr:row>
      <xdr:rowOff>171450</xdr:rowOff>
    </xdr:from>
    <xdr:to>
      <xdr:col>0</xdr:col>
      <xdr:colOff>857518</xdr:colOff>
      <xdr:row>0</xdr:row>
      <xdr:rowOff>381000</xdr:rowOff>
    </xdr:to>
    <xdr:sp macro="" textlink="">
      <xdr:nvSpPr>
        <xdr:cNvPr id="4"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0E519501-E237-4184-BA5F-2F85783082C8}"/>
            </a:ext>
          </a:extLst>
        </xdr:cNvPr>
        <xdr:cNvSpPr>
          <a:spLocks noChangeAspect="1" noEditPoints="1"/>
        </xdr:cNvSpPr>
      </xdr:nvSpPr>
      <xdr:spPr bwMode="auto">
        <a:xfrm>
          <a:off x="666750"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600075</xdr:colOff>
      <xdr:row>0</xdr:row>
      <xdr:rowOff>171450</xdr:rowOff>
    </xdr:from>
    <xdr:to>
      <xdr:col>0</xdr:col>
      <xdr:colOff>790843</xdr:colOff>
      <xdr:row>0</xdr:row>
      <xdr:rowOff>381000</xdr:rowOff>
    </xdr:to>
    <xdr:sp macro="" textlink="">
      <xdr:nvSpPr>
        <xdr:cNvPr id="3"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9011EE19-0CB6-47B7-94A7-2B8DE99555A1}"/>
            </a:ext>
          </a:extLst>
        </xdr:cNvPr>
        <xdr:cNvSpPr>
          <a:spLocks noChangeAspect="1" noEditPoints="1"/>
        </xdr:cNvSpPr>
      </xdr:nvSpPr>
      <xdr:spPr bwMode="auto">
        <a:xfrm>
          <a:off x="600075"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twoCellAnchor editAs="oneCell">
    <xdr:from>
      <xdr:col>0</xdr:col>
      <xdr:colOff>200025</xdr:colOff>
      <xdr:row>2</xdr:row>
      <xdr:rowOff>57150</xdr:rowOff>
    </xdr:from>
    <xdr:to>
      <xdr:col>1</xdr:col>
      <xdr:colOff>4780745</xdr:colOff>
      <xdr:row>23</xdr:row>
      <xdr:rowOff>47196</xdr:rowOff>
    </xdr:to>
    <xdr:pic>
      <xdr:nvPicPr>
        <xdr:cNvPr id="4" name="Picture 3">
          <a:extLst>
            <a:ext uri="{FF2B5EF4-FFF2-40B4-BE49-F238E27FC236}">
              <a16:creationId xmlns:a16="http://schemas.microsoft.com/office/drawing/2014/main" id="{F5F82CB1-D30D-45C9-ADDA-DCFC8B72FE2C}"/>
            </a:ext>
          </a:extLst>
        </xdr:cNvPr>
        <xdr:cNvPicPr>
          <a:picLocks noChangeAspect="1"/>
        </xdr:cNvPicPr>
      </xdr:nvPicPr>
      <xdr:blipFill>
        <a:blip xmlns:r="http://schemas.openxmlformats.org/officeDocument/2006/relationships" r:embed="rId2"/>
        <a:stretch>
          <a:fillRect/>
        </a:stretch>
      </xdr:blipFill>
      <xdr:spPr>
        <a:xfrm>
          <a:off x="200025" y="895350"/>
          <a:ext cx="6438095" cy="3428571"/>
        </a:xfrm>
        <a:prstGeom prst="rect">
          <a:avLst/>
        </a:prstGeom>
      </xdr:spPr>
    </xdr:pic>
    <xdr:clientData/>
  </xdr:twoCellAnchor>
  <xdr:twoCellAnchor editAs="oneCell">
    <xdr:from>
      <xdr:col>0</xdr:col>
      <xdr:colOff>228600</xdr:colOff>
      <xdr:row>25</xdr:row>
      <xdr:rowOff>57150</xdr:rowOff>
    </xdr:from>
    <xdr:to>
      <xdr:col>1</xdr:col>
      <xdr:colOff>4800600</xdr:colOff>
      <xdr:row>45</xdr:row>
      <xdr:rowOff>161507</xdr:rowOff>
    </xdr:to>
    <xdr:pic>
      <xdr:nvPicPr>
        <xdr:cNvPr id="5" name="Picture 4">
          <a:extLst>
            <a:ext uri="{FF2B5EF4-FFF2-40B4-BE49-F238E27FC236}">
              <a16:creationId xmlns:a16="http://schemas.microsoft.com/office/drawing/2014/main" id="{3C1D419C-DAC0-40FA-BC0E-AB299EF65B60}"/>
            </a:ext>
          </a:extLst>
        </xdr:cNvPr>
        <xdr:cNvPicPr>
          <a:picLocks noChangeAspect="1"/>
        </xdr:cNvPicPr>
      </xdr:nvPicPr>
      <xdr:blipFill>
        <a:blip xmlns:r="http://schemas.openxmlformats.org/officeDocument/2006/relationships" r:embed="rId3"/>
        <a:stretch>
          <a:fillRect/>
        </a:stretch>
      </xdr:blipFill>
      <xdr:spPr>
        <a:xfrm>
          <a:off x="228600" y="4695825"/>
          <a:ext cx="6429375" cy="334285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476250</xdr:colOff>
      <xdr:row>0</xdr:row>
      <xdr:rowOff>171450</xdr:rowOff>
    </xdr:from>
    <xdr:to>
      <xdr:col>0</xdr:col>
      <xdr:colOff>667018</xdr:colOff>
      <xdr:row>0</xdr:row>
      <xdr:rowOff>381000</xdr:rowOff>
    </xdr:to>
    <xdr:sp macro="" textlink="">
      <xdr:nvSpPr>
        <xdr:cNvPr id="4" name="arrow_14" title="Icon of a circle made of a curved arrow pointing counterclockwise">
          <a:hlinkClick xmlns:r="http://schemas.openxmlformats.org/officeDocument/2006/relationships" r:id="rId1"/>
          <a:extLst>
            <a:ext uri="{FF2B5EF4-FFF2-40B4-BE49-F238E27FC236}">
              <a16:creationId xmlns:a16="http://schemas.microsoft.com/office/drawing/2014/main" id="{BBBF6FD3-BCAA-4E97-8CBA-9C3575C2D020}"/>
            </a:ext>
          </a:extLst>
        </xdr:cNvPr>
        <xdr:cNvSpPr>
          <a:spLocks noChangeAspect="1" noEditPoints="1"/>
        </xdr:cNvSpPr>
      </xdr:nvSpPr>
      <xdr:spPr bwMode="auto">
        <a:xfrm>
          <a:off x="476250" y="171450"/>
          <a:ext cx="190768" cy="209550"/>
        </a:xfrm>
        <a:custGeom>
          <a:avLst/>
          <a:gdLst>
            <a:gd name="T0" fmla="*/ 0 w 293"/>
            <a:gd name="T1" fmla="*/ 110 h 298"/>
            <a:gd name="T2" fmla="*/ 144 w 293"/>
            <a:gd name="T3" fmla="*/ 0 h 298"/>
            <a:gd name="T4" fmla="*/ 293 w 293"/>
            <a:gd name="T5" fmla="*/ 149 h 298"/>
            <a:gd name="T6" fmla="*/ 144 w 293"/>
            <a:gd name="T7" fmla="*/ 298 h 298"/>
            <a:gd name="T8" fmla="*/ 0 w 293"/>
            <a:gd name="T9" fmla="*/ 187 h 298"/>
            <a:gd name="T10" fmla="*/ 0 w 293"/>
            <a:gd name="T11" fmla="*/ 36 h 298"/>
            <a:gd name="T12" fmla="*/ 0 w 293"/>
            <a:gd name="T13" fmla="*/ 109 h 298"/>
            <a:gd name="T14" fmla="*/ 73 w 293"/>
            <a:gd name="T15" fmla="*/ 109 h 29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298">
              <a:moveTo>
                <a:pt x="0" y="110"/>
              </a:moveTo>
              <a:cubicBezTo>
                <a:pt x="17" y="46"/>
                <a:pt x="75" y="0"/>
                <a:pt x="144" y="0"/>
              </a:cubicBezTo>
              <a:cubicBezTo>
                <a:pt x="226" y="0"/>
                <a:pt x="293" y="66"/>
                <a:pt x="293" y="149"/>
              </a:cubicBezTo>
              <a:cubicBezTo>
                <a:pt x="293" y="231"/>
                <a:pt x="226" y="298"/>
                <a:pt x="144" y="298"/>
              </a:cubicBezTo>
              <a:cubicBezTo>
                <a:pt x="75" y="298"/>
                <a:pt x="17" y="251"/>
                <a:pt x="0" y="187"/>
              </a:cubicBezTo>
              <a:moveTo>
                <a:pt x="0" y="36"/>
              </a:moveTo>
              <a:cubicBezTo>
                <a:pt x="0" y="109"/>
                <a:pt x="0" y="109"/>
                <a:pt x="0" y="109"/>
              </a:cubicBezTo>
              <a:cubicBezTo>
                <a:pt x="73" y="109"/>
                <a:pt x="73" y="109"/>
                <a:pt x="73" y="109"/>
              </a:cubicBezTo>
            </a:path>
          </a:pathLst>
        </a:custGeom>
        <a:noFill/>
        <a:ln w="38100" cap="sq">
          <a:solidFill>
            <a:schemeClr val="bg1"/>
          </a:solidFill>
          <a:prstDash val="solid"/>
          <a:miter lim="800000"/>
          <a:headEnd/>
          <a:tailEnd/>
        </a:ln>
      </xdr:spPr>
      <xdr:txBody>
        <a:bodyPr vert="horz" wrap="square" lIns="89642" tIns="44821" rIns="89642" bIns="44821" numCol="1" anchor="t" anchorCtr="0" compatLnSpc="1">
          <a:prstTxWarp prst="textNoShape">
            <a:avLst/>
          </a:prstTxWarp>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defTabSz="914367"/>
          <a:endParaRPr lang="en-US" sz="1765">
            <a:solidFill>
              <a:srgbClr val="505050"/>
            </a:solidFill>
            <a:latin typeface="Segoe UI"/>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B976E5-78C2-4361-AB29-1E60D70997B5}" name="Table2" displayName="Table2" ref="A2:B7" headerRowCount="0" totalsRowShown="0" headerRowDxfId="191" dataDxfId="190">
  <tableColumns count="2">
    <tableColumn id="1" xr3:uid="{2072ED6D-9A37-4345-B7BB-E7AEC236CBC1}" name="Column1" headerRowDxfId="189" dataDxfId="188"/>
    <tableColumn id="2" xr3:uid="{F2E889C6-602D-4DCA-920D-F8FA5EAA8BB2}" name="Column2" headerRowDxfId="187" dataDxfId="18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9CC595-BA60-4AFC-9746-1C5D4E1E438D}" name="Table3" displayName="Table3" ref="A2:B7" headerRowCount="0" totalsRowShown="0" headerRowDxfId="185" dataDxfId="184">
  <tableColumns count="2">
    <tableColumn id="1" xr3:uid="{AFD7D5F6-0AA7-4102-BF6A-525E0F298D0A}" name="Column1" headerRowDxfId="183" dataDxfId="182"/>
    <tableColumn id="2" xr3:uid="{322A1150-74D0-4439-A4C8-87AE91AA8552}" name="Column2" headerRowDxfId="181" dataDxfId="18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FD7F4B-08F1-4C71-B814-380329C60B1E}" name="Table4" displayName="Table4" ref="A2:B9" headerRowCount="0" totalsRowShown="0" headerRowDxfId="179" dataDxfId="177" headerRowBorderDxfId="178" tableBorderDxfId="176">
  <tableColumns count="2">
    <tableColumn id="1" xr3:uid="{5AECDD06-6C72-4F83-8B26-692A7569637D}" name="Column1" headerRowDxfId="175" dataDxfId="174"/>
    <tableColumn id="2" xr3:uid="{5E0C9BBA-655A-4093-B79A-5A3912BC7733}" name="Column2" headerRowDxfId="173" dataDxfId="17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5AA18E-CD30-4A29-A95A-850427B454E5}" name="Table5" displayName="Table5" ref="A2:B5" headerRowCount="0" totalsRowShown="0" headerRowDxfId="171" dataDxfId="170">
  <tableColumns count="2">
    <tableColumn id="1" xr3:uid="{9DE6DE6E-66E9-473B-B2D2-23073CDC9B31}" name="Column1" headerRowDxfId="169" dataDxfId="168"/>
    <tableColumn id="2" xr3:uid="{18FCB2FA-1E3C-414D-A21C-09615A6E7DA3}" name="Column2" headerRowDxfId="167" dataDxfId="166"/>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7A0E3A-DDD7-4E9F-91CE-ED17C4F08B53}" name="Table6" displayName="Table6" ref="A2:F10" totalsRowShown="0" headerRowDxfId="165" dataDxfId="163" headerRowBorderDxfId="164" tableBorderDxfId="162" totalsRowBorderDxfId="161">
  <autoFilter ref="A2:F10" xr:uid="{197A0E3A-DDD7-4E9F-91CE-ED17C4F08B53}">
    <filterColumn colId="0" hiddenButton="1"/>
    <filterColumn colId="1" hiddenButton="1"/>
    <filterColumn colId="2" hiddenButton="1"/>
    <filterColumn colId="3" hiddenButton="1"/>
    <filterColumn colId="4" hiddenButton="1"/>
    <filterColumn colId="5" hiddenButton="1"/>
  </autoFilter>
  <tableColumns count="6">
    <tableColumn id="6" xr3:uid="{0E768CDF-C07E-44E1-946E-9F4AF4773BAC}" name="Hot Button Owner" dataDxfId="160"/>
    <tableColumn id="1" xr3:uid="{DC46C672-B075-4900-B92A-ED0C891775D6}" name="Issues" dataDxfId="159"/>
    <tableColumn id="2" xr3:uid="{8E2A6D71-8ADE-4AF5-883E-5FBFEA7C7D68}" name="Objectives" dataDxfId="158"/>
    <tableColumn id="3" xr3:uid="{AFECB64A-22A0-46FB-9A77-041DF28AF060}" name="Hot Buttons" dataDxfId="157"/>
    <tableColumn id="4" xr3:uid="{55A68227-5E5D-4915-9247-146C265BF329}" name="Evidence" dataDxfId="156"/>
    <tableColumn id="5" xr3:uid="{D8C60F97-CBCA-41DC-8917-E09CE86F01A6}" name="Impact" dataDxfId="155"/>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564B0-930A-4AFA-8971-897B88444F5F}" name="Table8" displayName="Table8" ref="A2:B8" headerRowCount="0" totalsRowShown="0" headerRowDxfId="154" dataDxfId="153">
  <tableColumns count="2">
    <tableColumn id="1" xr3:uid="{1861A02D-523D-40CA-A43B-4164713E8A19}" name="Column1" headerRowDxfId="152" dataDxfId="151"/>
    <tableColumn id="2" xr3:uid="{3A2D7E9C-B5E9-4186-91A9-EAA6B3F895EC}" name="Column2" headerRowDxfId="150" dataDxfId="149"/>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64E0A66-CC01-439F-B9EC-154864252D9A}" name="Table10" displayName="Table10" ref="A11:D19" totalsRowShown="0" headerRowDxfId="148" dataDxfId="147">
  <autoFilter ref="A11:D19" xr:uid="{864E0A66-CC01-439F-B9EC-154864252D9A}">
    <filterColumn colId="0" hiddenButton="1"/>
    <filterColumn colId="1" hiddenButton="1"/>
    <filterColumn colId="2" hiddenButton="1"/>
    <filterColumn colId="3" hiddenButton="1"/>
  </autoFilter>
  <tableColumns count="4">
    <tableColumn id="1" xr3:uid="{456A8A37-5C22-4DF8-84B9-3B0C62997D84}" name="Hot buttons" dataDxfId="146"/>
    <tableColumn id="2" xr3:uid="{DDC1849D-4041-40A7-91BD-246A32F72376}" name="Competitor's available solution" dataDxfId="145"/>
    <tableColumn id="3" xr3:uid="{0F756EB3-7991-4610-9AEA-FD588A78795D}" name="Competitor's discriminator(s)" dataDxfId="144"/>
    <tableColumn id="4" xr3:uid="{4A4B170B-ABE8-40EE-AA7C-E57382B60F07}" name="Gap" dataDxfId="143"/>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2E9DDE9-201F-456A-A226-88C0471CA0FA}" name="Table12" displayName="Table12" ref="A2:B8" headerRowCount="0" totalsRowShown="0" headerRowDxfId="142" dataDxfId="141">
  <tableColumns count="2">
    <tableColumn id="1" xr3:uid="{96E05A93-DA52-4903-9385-E9A11C70BC13}" name="Column1" headerRowDxfId="140" dataDxfId="139"/>
    <tableColumn id="2" xr3:uid="{5E3D693D-7806-4CF6-8545-7313E95BC6FA}" name="Column2" headerRowDxfId="138" dataDxfId="137"/>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2C77685-C71E-4D8A-8726-C026B978FD5C}" name="Table13" displayName="Table13" ref="A10:D18" totalsRowShown="0" headerRowDxfId="136" dataDxfId="135">
  <autoFilter ref="A10:D18" xr:uid="{D2C77685-C71E-4D8A-8726-C026B978FD5C}">
    <filterColumn colId="0" hiddenButton="1"/>
    <filterColumn colId="1" hiddenButton="1"/>
    <filterColumn colId="2" hiddenButton="1"/>
    <filterColumn colId="3" hiddenButton="1"/>
  </autoFilter>
  <tableColumns count="4">
    <tableColumn id="1" xr3:uid="{75F04CD2-3AA9-432A-ACE8-CFE379CDE24E}" name="Hot buttons" dataDxfId="134"/>
    <tableColumn id="2" xr3:uid="{36A5F5A3-0828-438A-949F-F360DB08AA16}" name="Our solution" dataDxfId="133"/>
    <tableColumn id="3" xr3:uid="{4EB1C562-7B2C-4ADA-B4C5-A8206A6A5851}" name="Our discriminator(s)" dataDxfId="132"/>
    <tableColumn id="5" xr3:uid="{F88EBC2D-0A97-4F31-9292-8C893303AF17}" name="Gap" dataDxfId="131"/>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CA4B8AA-98D8-48D0-B524-C96406AC7ED7}" name="Table14" displayName="Table14" ref="A8:C18" totalsRowShown="0" headerRowDxfId="130" dataDxfId="129">
  <autoFilter ref="A8:C18" xr:uid="{CCA4B8AA-98D8-48D0-B524-C96406AC7ED7}">
    <filterColumn colId="0" hiddenButton="1"/>
    <filterColumn colId="1" hiddenButton="1"/>
    <filterColumn colId="2" hiddenButton="1"/>
  </autoFilter>
  <tableColumns count="3">
    <tableColumn id="1" xr3:uid="{2C855B63-9540-49A9-9767-6C204A91E6AC}" name="Minimum addressable budget" dataDxfId="128"/>
    <tableColumn id="2" xr3:uid="{164B78EF-5B22-42B8-8369-F3221008DAB6}" name="Minimum capability*" dataDxfId="127"/>
    <tableColumn id="3" xr3:uid="{91B55690-73FA-4509-994B-34FF1F3BF6DE}" name="Maximum capability*" dataDxfId="126"/>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419C25D-7731-4DFC-A87F-C2EBF194E9B8}" name="Table15" displayName="Table15" ref="A2:C9" totalsRowShown="0" headerRowDxfId="125" dataDxfId="124">
  <autoFilter ref="A2:C9" xr:uid="{7419C25D-7731-4DFC-A87F-C2EBF194E9B8}">
    <filterColumn colId="0" hiddenButton="1"/>
    <filterColumn colId="1" hiddenButton="1"/>
    <filterColumn colId="2" hiddenButton="1"/>
  </autoFilter>
  <tableColumns count="3">
    <tableColumn id="1" xr3:uid="{AC0087EB-5DCE-4D63-A203-A7440897FD30}" name="We will leverage our strength in:" dataDxfId="123"/>
    <tableColumn id="2" xr3:uid="{0ADBD184-422E-4AB2-8B76-D474C642EFE0}" name="By taking these actions:" dataDxfId="122"/>
    <tableColumn id="3" xr3:uid="{6C1DBEF9-4801-4468-93B7-FA146CA0DC67}" name="To achieve (what):" dataDxfId="121"/>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1AFE7D6-C3F4-4B39-9D3F-A5862AB11FC8}" name="Table16" displayName="Table16" ref="A2:C9" totalsRowShown="0" headerRowDxfId="120" dataDxfId="119">
  <autoFilter ref="A2:C9" xr:uid="{B1AFE7D6-C3F4-4B39-9D3F-A5862AB11FC8}">
    <filterColumn colId="0" hiddenButton="1"/>
    <filterColumn colId="1" hiddenButton="1"/>
    <filterColumn colId="2" hiddenButton="1"/>
  </autoFilter>
  <tableColumns count="3">
    <tableColumn id="1" xr3:uid="{57675DAA-7CEA-46CD-86A1-29556FC28D07}" name="We will mitigate our weakness in:" dataDxfId="118"/>
    <tableColumn id="2" xr3:uid="{570AE7D7-FF73-4B41-A81F-4C0245219ED5}" name="By taking these actions:" dataDxfId="117"/>
    <tableColumn id="3" xr3:uid="{13A80FE3-12C0-4094-8DAF-500C16B5EAFF}" name="To achieve (what):" dataDxfId="116"/>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0D731EA-5F1D-41ED-BE2A-6E1680F7D8B7}" name="Table17" displayName="Table17" ref="A2:C10" totalsRowShown="0" headerRowDxfId="115" dataDxfId="114">
  <autoFilter ref="A2:C10" xr:uid="{70D731EA-5F1D-41ED-BE2A-6E1680F7D8B7}">
    <filterColumn colId="0" hiddenButton="1"/>
    <filterColumn colId="1" hiddenButton="1"/>
    <filterColumn colId="2" hiddenButton="1"/>
  </autoFilter>
  <tableColumns count="3">
    <tableColumn id="1" xr3:uid="{33F6BAE3-1843-4F9F-A103-7C1E5B144014}" name="We will exploit our competitor's _x000a_weakness in:" dataDxfId="113"/>
    <tableColumn id="2" xr3:uid="{F80B582E-12C8-458A-81E3-9FA332F758E8}" name="By taking these actions:" dataDxfId="112"/>
    <tableColumn id="3" xr3:uid="{62142911-A6BE-4F2C-9DAD-CC0EA1E24839}" name="To achieve (what):" dataDxfId="111"/>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17DDF91-ECAD-4AFC-BCAE-70E726B2D079}" name="Table18" displayName="Table18" ref="A2:C13" totalsRowShown="0" headerRowDxfId="110" dataDxfId="109">
  <autoFilter ref="A2:C13" xr:uid="{317DDF91-ECAD-4AFC-BCAE-70E726B2D079}">
    <filterColumn colId="0" hiddenButton="1"/>
    <filterColumn colId="1" hiddenButton="1"/>
    <filterColumn colId="2" hiddenButton="1"/>
  </autoFilter>
  <tableColumns count="3">
    <tableColumn id="1" xr3:uid="{B73DA27A-7E6E-4D8C-86F2-BC79912E5796}" name="We will neutralize our competitor's_x000a_strength in:" dataDxfId="108"/>
    <tableColumn id="2" xr3:uid="{16E9EBB8-23D0-45E2-8634-0D43A918F897}" name="By taking these actions:" dataDxfId="107"/>
    <tableColumn id="3" xr3:uid="{A5DBB257-264A-4487-A783-0F4B06DE7040}" name="To achieve (what):" dataDxfId="106"/>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8BC5B4A-6224-45C6-9715-0684FB671AB5}" name="Table19" displayName="Table19" ref="A2:G22" headerRowCount="0" totalsRowShown="0" headerRowDxfId="105" dataDxfId="104" headerRowCellStyle="Normal 2 2">
  <tableColumns count="7">
    <tableColumn id="1" xr3:uid="{7F00A706-EAD8-4B16-AE6E-9614F26D71E3}" name="Column1" headerRowDxfId="103" dataDxfId="102" headerRowCellStyle="Normal 2 2"/>
    <tableColumn id="2" xr3:uid="{BC09775C-6069-41AA-B87D-661D9FF886F5}" name="Column2" headerRowDxfId="101" dataDxfId="100" headerRowCellStyle="Normal 2 2"/>
    <tableColumn id="3" xr3:uid="{83CD72F6-233B-42B5-ACCA-3BB2D77742E5}" name="Column3" headerRowDxfId="99" dataDxfId="98" headerRowCellStyle="Normal 2 2"/>
    <tableColumn id="4" xr3:uid="{07E7F9A3-1EDE-4B60-BD34-F9B76052D2A0}" name="Column4" headerRowDxfId="97" dataDxfId="96" headerRowCellStyle="Normal 2 2"/>
    <tableColumn id="5" xr3:uid="{F5949203-78C2-4068-9940-226DE08ABACB}" name="Column5" headerRowDxfId="95" dataDxfId="94" headerRowCellStyle="Normal 2 2"/>
    <tableColumn id="6" xr3:uid="{3B2A9896-56AB-4F44-8038-DBFBAA60C5A0}" name="Column6" headerRowDxfId="93" dataDxfId="92" headerRowCellStyle="Normal 2 2"/>
    <tableColumn id="7" xr3:uid="{B1C9D705-A07F-4418-9CD6-503EF75D1C48}" name="Column7" headerRowDxfId="91" dataDxfId="90" headerRowCellStyle="Normal 2 2"/>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A6B0D2-8D78-419A-9705-64772945C466}" name="Table20" displayName="Table20" ref="A2:J10" totalsRowShown="0" headerRowDxfId="89" dataDxfId="88">
  <autoFilter ref="A2:J10" xr:uid="{4AA6B0D2-8D78-419A-9705-64772945C46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C38C754-9F9D-42BB-A20A-3A67612C4E48}" name="Customer issues_x000a_(hot buttons)" dataDxfId="87"/>
    <tableColumn id="2" xr3:uid="{95C7758C-C446-46E9-9D02-D059C1D2BD00}" name="Customer_x000a_requirements" dataDxfId="86"/>
    <tableColumn id="3" xr3:uid="{0E86254E-B3CD-424F-9657-06390771C62A}" name="Discriminator" dataDxfId="85"/>
    <tableColumn id="4" xr3:uid="{07ADCFF2-8397-4609-8677-8938CB4A2CC4}" name="Our solution" dataDxfId="84"/>
    <tableColumn id="5" xr3:uid="{92C227DB-B995-41D5-95E1-DF59D1EDFBE2}" name="Gap_x000a_(Y or N)" dataDxfId="83"/>
    <tableColumn id="6" xr3:uid="{5AA308E6-C677-44BD-A1C5-CA54225323AE}" name="Competitor's_x000a_solution" dataDxfId="82"/>
    <tableColumn id="7" xr3:uid="{6A8362DA-37BB-46CE-BFAC-9A5566C8029D}" name="Competitor Gap_x000a_(Y or N)" dataDxfId="81"/>
    <tableColumn id="8" xr3:uid="{7B707DEF-6053-4C23-A442-D0B8AC9C0C7E}" name="Competitor's discriminator_x000a_(positive or negative)" dataDxfId="80"/>
    <tableColumn id="9" xr3:uid="{2B5DC089-92AA-4E95-8A7C-9F35BB17BCF7}" name="Strategy" dataDxfId="79"/>
    <tableColumn id="10" xr3:uid="{6E7D17A7-0FBC-4BA8-8142-2D5C3184678F}" name="Action plan" dataDxfId="78"/>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5CD07AD-40D9-49CE-AFD9-51F0658EB677}" name="Table21" displayName="Table21" ref="A7:E14" totalsRowShown="0" headerRowDxfId="77" dataDxfId="76">
  <autoFilter ref="A7:E14" xr:uid="{F5CD07AD-40D9-49CE-AFD9-51F0658EB677}">
    <filterColumn colId="0" hiddenButton="1"/>
    <filterColumn colId="1" hiddenButton="1"/>
    <filterColumn colId="2" hiddenButton="1"/>
    <filterColumn colId="3" hiddenButton="1"/>
    <filterColumn colId="4" hiddenButton="1"/>
  </autoFilter>
  <tableColumns count="5">
    <tableColumn id="1" xr3:uid="{7A440466-43AC-462B-BC2A-EDF45866BEA3}" name="Acknowledge concern" dataDxfId="75"/>
    <tableColumn id="2" xr3:uid="{D85E9DEA-AF3E-4005-A94C-5C7EAE475FDB}" name="State solution" dataDxfId="74"/>
    <tableColumn id="3" xr3:uid="{18494A29-3218-43A5-92D9-C80566278D90}" name="Discriminator" dataDxfId="73"/>
    <tableColumn id="4" xr3:uid="{B48A9D5B-254E-4529-BA7C-0A8AD3EC7B7A}" name="Benefit and feature" dataDxfId="72"/>
    <tableColumn id="5" xr3:uid="{BFF2B5A2-AFFB-4358-8F9C-BFBE63A4D01A}" name="Proof" dataDxfId="71"/>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7D2A914-7C81-42B7-A5B7-CBBC7ED5439A}" name="Table22" displayName="Table22" ref="A5:C13" totalsRowShown="0" headerRowDxfId="70" dataDxfId="69">
  <autoFilter ref="A5:C13" xr:uid="{47D2A914-7C81-42B7-A5B7-CBBC7ED5439A}">
    <filterColumn colId="0" hiddenButton="1"/>
    <filterColumn colId="1" hiddenButton="1"/>
    <filterColumn colId="2" hiddenButton="1"/>
  </autoFilter>
  <tableColumns count="3">
    <tableColumn id="1" xr3:uid="{DD565A90-8251-4E5A-B564-B1BD1368A719}" name="Solution feature" dataDxfId="68"/>
    <tableColumn id="2" xr3:uid="{196EA16B-C622-4392-AC69-D72316617F57}" name="Advantage" dataDxfId="67"/>
    <tableColumn id="3" xr3:uid="{D75B3BC1-05F8-4641-93AC-F4CE5DDF96F9}" name="Benefit" dataDxfId="66"/>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65E7A19-5734-4B0E-BF5A-72A442034E55}" name="Table24" displayName="Table24" ref="A2:F13" totalsRowShown="0" headerRowDxfId="65" dataDxfId="64">
  <autoFilter ref="A2:F13" xr:uid="{865E7A19-5734-4B0E-BF5A-72A442034E55}">
    <filterColumn colId="0" hiddenButton="1"/>
    <filterColumn colId="1" hiddenButton="1"/>
    <filterColumn colId="2" hiddenButton="1"/>
    <filterColumn colId="3" hiddenButton="1"/>
    <filterColumn colId="4" hiddenButton="1"/>
    <filterColumn colId="5" hiddenButton="1"/>
  </autoFilter>
  <tableColumns count="6">
    <tableColumn id="1" xr3:uid="{26527B51-8DE9-474E-A13B-8615569C2D84}" name="Contact objective_x000a_(end in mind)" dataDxfId="63"/>
    <tableColumn id="2" xr3:uid="{468B516A-B9C0-4364-A04D-9B8A8AB82192}" name="Who will you_x000a_meet with?" dataDxfId="62"/>
    <tableColumn id="3" xr3:uid="{48E1E61F-4E10-455E-8BAD-E8E7833555F6}" name="Where/how_x000a_(in person, call, virtual)" dataDxfId="61"/>
    <tableColumn id="4" xr3:uid="{24DA9DFC-0E7D-41DC-A6A8-5AD25A053866}" name="When_x000a_(date)" dataDxfId="60"/>
    <tableColumn id="5" xr3:uid="{CBFC5DA6-A65F-4637-A498-EDC0B3923994}" name="Cost_x000a_(if applicable)" dataDxfId="59"/>
    <tableColumn id="6" xr3:uid="{9996DF67-967E-45F3-B8EB-256C7B127D8A}" name="Action/status" dataDxfId="58"/>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CD61EE8-6B1C-44DA-B15B-766E1F5B6F86}" name="Table25" displayName="Table25" ref="A2:K16" totalsRowShown="0" headerRowDxfId="57" dataDxfId="56" headerRowCellStyle="Normal 2 2">
  <autoFilter ref="A2:K16" xr:uid="{6CD61EE8-6B1C-44DA-B15B-766E1F5B6F8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0A9B84E-B234-4BDC-B907-7AF3DB8631F7}" name="Category" dataDxfId="55"/>
    <tableColumn id="2" xr3:uid="{3164E4D5-424B-4C24-B164-97DE345D29D7}" name="Title/role" dataDxfId="54"/>
    <tableColumn id="3" xr3:uid="{5AA52CBA-023A-400A-82B9-8B468540A28E}" name="Name" dataDxfId="53"/>
    <tableColumn id="4" xr3:uid="{84E66ACA-1789-4E12-9BC6-54CD5F5C4B14}" name="Reports to" dataDxfId="52"/>
    <tableColumn id="5" xr3:uid="{16EB11AD-2BDD-488B-B564-3A5C445C1047}" name="Contact information " dataDxfId="51"/>
    <tableColumn id="6" xr3:uid="{75DBB319-1513-45C7-B222-89E830AD11DD}" name="Level of_x000a_contact" dataDxfId="50"/>
    <tableColumn id="7" xr3:uid="{5AA45356-06EE-448E-9B77-138E7F502AFC}" name="Level of support" dataDxfId="49"/>
    <tableColumn id="8" xr3:uid="{BEFBC932-0900-4601-A515-8DDFC4F49279}" name="Role in decision" dataDxfId="48"/>
    <tableColumn id="9" xr3:uid="{94EA7A5D-7076-49CB-ACCB-B79DBC067B52}" name="Hot buttons" dataDxfId="47"/>
    <tableColumn id="10" xr3:uid="{437F2729-2D54-45DD-9915-5B5C0F47A9B6}" name="Influenced by " dataDxfId="46"/>
    <tableColumn id="11" xr3:uid="{6177D7A8-F903-4330-BDAA-D1C8C2E20CA7}" name="Team member assigned" dataDxfId="45"/>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CA60F6C-C388-4E51-9363-46F51A680671}" name="Table26" displayName="Table26" ref="A2:F11" totalsRowShown="0" headerRowDxfId="44" dataDxfId="43">
  <autoFilter ref="A2:F11" xr:uid="{0CA60F6C-C388-4E51-9363-46F51A680671}">
    <filterColumn colId="0" hiddenButton="1"/>
    <filterColumn colId="1" hiddenButton="1"/>
    <filterColumn colId="2" hiddenButton="1"/>
    <filterColumn colId="3" hiddenButton="1"/>
    <filterColumn colId="4" hiddenButton="1"/>
    <filterColumn colId="5" hiddenButton="1"/>
  </autoFilter>
  <tableColumns count="6">
    <tableColumn id="1" xr3:uid="{A91F2622-78E0-47BB-92B1-186384358A55}" name="Intelligence objective" dataDxfId="42"/>
    <tableColumn id="2" xr3:uid="{E8BE3AD7-58DB-4E8E-BC15-C9468693A401}" name="Assigned to" dataDxfId="41"/>
    <tableColumn id="3" xr3:uid="{F45EDAD7-8B31-4E1B-87EC-7F1424C3BC8B}" name="Date required/_x000a_date received" dataDxfId="40"/>
    <tableColumn id="4" xr3:uid="{12A25EE3-FE2A-44D9-99FE-FADDE2580684}" name="How (web research, 3rd party etc.)" dataDxfId="39"/>
    <tableColumn id="5" xr3:uid="{9CFB5CC3-0804-4595-906E-C785AB11A58F}" name="Cost" dataDxfId="38"/>
    <tableColumn id="6" xr3:uid="{C3916F4F-E971-46F1-96FC-E4481A7F3E41}" name="Action/status" dataDxfId="37"/>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D07B541-20AF-48C9-8918-B3B956AA6879}" name="Table27" displayName="Table27" ref="A2:E11" totalsRowShown="0" headerRowDxfId="36" dataDxfId="35">
  <autoFilter ref="A2:E11" xr:uid="{AD07B541-20AF-48C9-8918-B3B956AA6879}">
    <filterColumn colId="0" hiddenButton="1"/>
    <filterColumn colId="1" hiddenButton="1"/>
    <filterColumn colId="2" hiddenButton="1"/>
    <filterColumn colId="3" hiddenButton="1"/>
    <filterColumn colId="4" hiddenButton="1"/>
  </autoFilter>
  <tableColumns count="5">
    <tableColumn id="1" xr3:uid="{5EA7E469-E6F4-4C07-BFEB-8D26FAC35DB5}" name="Solution element" dataDxfId="34"/>
    <tableColumn id="2" xr3:uid="{06E0103C-DEAE-4C47-91D6-5392E10AF2EA}" name="Assigned to" dataDxfId="33"/>
    <tableColumn id="3" xr3:uid="{1C2427C3-26AF-4790-8628-17D42489753F}" name="Date required/ _x000a_date received" dataDxfId="32"/>
    <tableColumn id="4" xr3:uid="{15585CAA-66DA-41BA-8CC6-E73405048CDE}" name="Cost" dataDxfId="31"/>
    <tableColumn id="5" xr3:uid="{75F503D4-D6AC-4678-B85A-0FE764C671DD}" name="Action/status" dataDxfId="30"/>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6E8EF72-0AEE-42D7-96D7-102AAC29214B}" name="Table28" displayName="Table28" ref="A2:F12" totalsRowShown="0" headerRowDxfId="29" dataDxfId="28">
  <autoFilter ref="A2:F12" xr:uid="{B6E8EF72-0AEE-42D7-96D7-102AAC29214B}">
    <filterColumn colId="0" hiddenButton="1"/>
    <filterColumn colId="1" hiddenButton="1"/>
    <filterColumn colId="2" hiddenButton="1"/>
    <filterColumn colId="3" hiddenButton="1"/>
    <filterColumn colId="4" hiddenButton="1"/>
    <filterColumn colId="5" hiddenButton="1"/>
  </autoFilter>
  <tableColumns count="6">
    <tableColumn id="1" xr3:uid="{863AE382-078B-4E72-A3EE-76B0BC3DB9E3}" name="Event" dataDxfId="27"/>
    <tableColumn id="2" xr3:uid="{7ED88B72-A497-42BD-975F-7D4884DF22E4}" name="Probablity" dataDxfId="26"/>
    <tableColumn id="3" xr3:uid="{7FF98489-9757-42C3-9389-E5490D130954}" name="Impact" dataDxfId="25"/>
    <tableColumn id="4" xr3:uid="{A469E912-B7F9-4E8F-9DDC-C8BDBED140F6}" name="Area (personnel, solution, pricing etc.)" dataDxfId="24"/>
    <tableColumn id="5" xr3:uid="{02C163FA-44B7-4AA5-94A0-DFF64D88085F}" name="Response actions" dataDxfId="23"/>
    <tableColumn id="6" xr3:uid="{487F502C-281A-4E52-A3D1-15FBAC293EC8}" name="Action/status" dataDxfId="22"/>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05CB4F2-A82A-4C63-ADC3-6A3A68219D11}" name="Table29" displayName="Table29" ref="A2:F12" totalsRowShown="0" headerRowDxfId="21" dataDxfId="20">
  <autoFilter ref="A2:F12" xr:uid="{205CB4F2-A82A-4C63-ADC3-6A3A68219D11}">
    <filterColumn colId="0" hiddenButton="1"/>
    <filterColumn colId="1" hiddenButton="1"/>
    <filterColumn colId="2" hiddenButton="1"/>
    <filterColumn colId="3" hiddenButton="1"/>
    <filterColumn colId="4" hiddenButton="1"/>
    <filterColumn colId="5" hiddenButton="1"/>
  </autoFilter>
  <tableColumns count="6">
    <tableColumn id="1" xr3:uid="{B4E5D128-E9D8-4F54-89F8-CF6996C95ED1}" name="Risk area" dataDxfId="19"/>
    <tableColumn id="2" xr3:uid="{321D38A3-9E4E-43BC-B364-287A067BFE0E}" name=" Probability" dataDxfId="18"/>
    <tableColumn id="3" xr3:uid="{465E3896-3258-4BF6-B7CC-75A3F1748C5F}" name="Impact" dataDxfId="17"/>
    <tableColumn id="4" xr3:uid="{AE0F6FAE-ED59-466E-8BEE-5E5DB3D254D0}" name="Likelihood" dataDxfId="16"/>
    <tableColumn id="5" xr3:uid="{50FF4D17-A85A-42B1-BC5D-39434DF9746F}" name="Mitigation plan" dataDxfId="15"/>
    <tableColumn id="6" xr3:uid="{D117CD95-9133-47C0-986C-08FF7B753B97}" name="Status/actions" dataDxfId="14"/>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AB4EB5A-D032-432E-A9F1-2662E1CFCBF1}" name="Table30" displayName="Table30" ref="A2:F24" totalsRowShown="0" headerRowDxfId="13" dataDxfId="12">
  <autoFilter ref="A2:F24" xr:uid="{BAB4EB5A-D032-432E-A9F1-2662E1CFCBF1}">
    <filterColumn colId="0" hiddenButton="1"/>
    <filterColumn colId="1" hiddenButton="1"/>
    <filterColumn colId="2" hiddenButton="1"/>
    <filterColumn colId="3" hiddenButton="1"/>
    <filterColumn colId="4" hiddenButton="1"/>
    <filterColumn colId="5" hiddenButton="1"/>
  </autoFilter>
  <tableColumns count="6">
    <tableColumn id="1" xr3:uid="{7100F665-D6A2-40FB-8DE5-C6274A3EA88C}" name="Checklist Item" dataDxfId="11"/>
    <tableColumn id="2" xr3:uid="{14A9EC9F-54DA-4F31-A53C-106690B98B19}" name="Yes" dataDxfId="10"/>
    <tableColumn id="3" xr3:uid="{59F8773D-87DA-44A1-AE6D-255A50FB0A7F}" name="No" dataDxfId="9"/>
    <tableColumn id="4" xr3:uid="{E3212E6C-4338-4330-8394-C777DEA78C07}" name="Action required (link to appropriate action plan)" dataDxfId="8"/>
    <tableColumn id="5" xr3:uid="{A78FF4C5-48EF-4C16-9522-3BDC1DD3B33E}" name="Who" dataDxfId="7"/>
    <tableColumn id="6" xr3:uid="{9BEBE0C5-BF91-40B9-B876-D171ADDEAFAD}" name="When" dataDxfId="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Shipley">
      <a:dk1>
        <a:srgbClr val="0E3357"/>
      </a:dk1>
      <a:lt1>
        <a:sysClr val="window" lastClr="FFFFFF"/>
      </a:lt1>
      <a:dk2>
        <a:srgbClr val="005B93"/>
      </a:dk2>
      <a:lt2>
        <a:srgbClr val="FFFFFF"/>
      </a:lt2>
      <a:accent1>
        <a:srgbClr val="005B93"/>
      </a:accent1>
      <a:accent2>
        <a:srgbClr val="F37022"/>
      </a:accent2>
      <a:accent3>
        <a:srgbClr val="0AA0AA"/>
      </a:accent3>
      <a:accent4>
        <a:srgbClr val="6AB6E5"/>
      </a:accent4>
      <a:accent5>
        <a:srgbClr val="65AC5D"/>
      </a:accent5>
      <a:accent6>
        <a:srgbClr val="95A0A9"/>
      </a:accent6>
      <a:hlink>
        <a:srgbClr val="0AA0AA"/>
      </a:hlink>
      <a:folHlink>
        <a:srgbClr val="6AB6E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5.bin"/><Relationship Id="rId1" Type="http://schemas.openxmlformats.org/officeDocument/2006/relationships/hyperlink" Target="mailto:XXXX@XXXX.com" TargetMode="External"/><Relationship Id="rId4" Type="http://schemas.openxmlformats.org/officeDocument/2006/relationships/table" Target="../tables/table20.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0.xml"/><Relationship Id="rId1" Type="http://schemas.openxmlformats.org/officeDocument/2006/relationships/printerSettings" Target="../printerSettings/printerSettings32.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97EB1-4CFD-42DA-BA0E-B2B76CF4F854}">
  <sheetPr codeName="Sheet3">
    <pageSetUpPr fitToPage="1"/>
  </sheetPr>
  <dimension ref="A1:L7"/>
  <sheetViews>
    <sheetView zoomScaleNormal="100" workbookViewId="0">
      <selection activeCell="B15" sqref="B15"/>
    </sheetView>
  </sheetViews>
  <sheetFormatPr defaultColWidth="9.140625" defaultRowHeight="12.75"/>
  <cols>
    <col min="1" max="1" width="30" style="9" customWidth="1"/>
    <col min="2" max="2" width="69.140625" style="9" customWidth="1"/>
    <col min="3" max="3" width="9.7109375" style="9" customWidth="1"/>
    <col min="4" max="4" width="9.28515625" style="9" customWidth="1"/>
    <col min="5" max="16384" width="9.140625" style="9"/>
  </cols>
  <sheetData>
    <row r="1" spans="1:12" ht="43.5" customHeight="1">
      <c r="A1" s="198" t="s">
        <v>0</v>
      </c>
      <c r="B1" s="198"/>
      <c r="D1" s="168"/>
      <c r="E1" s="169"/>
      <c r="F1" s="169"/>
      <c r="G1" s="169"/>
      <c r="H1" s="169"/>
      <c r="I1" s="169"/>
      <c r="J1" s="169"/>
      <c r="K1" s="169"/>
      <c r="L1" s="169"/>
    </row>
    <row r="2" spans="1:12">
      <c r="A2" s="28" t="s">
        <v>1</v>
      </c>
      <c r="B2" s="29"/>
    </row>
    <row r="3" spans="1:12">
      <c r="A3" s="28" t="s">
        <v>2</v>
      </c>
    </row>
    <row r="4" spans="1:12">
      <c r="A4" s="28" t="s">
        <v>3</v>
      </c>
    </row>
    <row r="5" spans="1:12">
      <c r="A5" s="28" t="s">
        <v>4</v>
      </c>
    </row>
    <row r="6" spans="1:12">
      <c r="A6" s="28" t="s">
        <v>5</v>
      </c>
    </row>
    <row r="7" spans="1:12">
      <c r="A7" s="28" t="s">
        <v>6</v>
      </c>
    </row>
  </sheetData>
  <mergeCells count="1">
    <mergeCell ref="A1:B1"/>
  </mergeCells>
  <pageMargins left="0.5" right="0.5" top="0.5" bottom="0.5" header="0.25" footer="0.25"/>
  <pageSetup scale="97" fitToHeight="0" orientation="portrait" verticalDpi="1200" r:id="rId1"/>
  <headerFooter alignWithMargins="0">
    <oddFooter>&amp;L&amp;9Copyright Shipley Associates&amp;C&amp;9&amp;D&amp;R&amp;9&amp;P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4363-FECE-4FB5-982C-0C27640EE905}">
  <sheetPr codeName="Sheet5">
    <pageSetUpPr fitToPage="1"/>
  </sheetPr>
  <dimension ref="A1:C42"/>
  <sheetViews>
    <sheetView tabSelected="1" topLeftCell="A7" workbookViewId="0">
      <selection sqref="A1:B1"/>
    </sheetView>
  </sheetViews>
  <sheetFormatPr defaultColWidth="9.140625" defaultRowHeight="12.75"/>
  <cols>
    <col min="1" max="1" width="39.42578125" style="9" customWidth="1"/>
    <col min="2" max="2" width="58.7109375" style="9" customWidth="1"/>
    <col min="3" max="3" width="19.140625" style="9" customWidth="1"/>
    <col min="4" max="16384" width="9.140625" style="9"/>
  </cols>
  <sheetData>
    <row r="1" spans="1:3" ht="43.5" customHeight="1">
      <c r="A1" s="199" t="s">
        <v>7</v>
      </c>
      <c r="B1" s="200"/>
    </row>
    <row r="2" spans="1:3" ht="15.75">
      <c r="A2" s="158" t="s">
        <v>8</v>
      </c>
      <c r="B2" s="13" t="s">
        <v>9</v>
      </c>
    </row>
    <row r="3" spans="1:3" ht="4.5" customHeight="1">
      <c r="B3" s="10"/>
    </row>
    <row r="4" spans="1:3" ht="15.75" customHeight="1">
      <c r="A4" s="159" t="s">
        <v>10</v>
      </c>
      <c r="B4" s="15" t="s">
        <v>11</v>
      </c>
    </row>
    <row r="5" spans="1:3" ht="4.5" customHeight="1">
      <c r="A5" s="79"/>
      <c r="B5" s="12"/>
    </row>
    <row r="6" spans="1:3" ht="15.75" customHeight="1">
      <c r="A6" s="160" t="s">
        <v>12</v>
      </c>
      <c r="B6" s="14" t="s">
        <v>13</v>
      </c>
      <c r="C6" s="12"/>
    </row>
    <row r="7" spans="1:3" ht="15.75" customHeight="1">
      <c r="A7" s="161"/>
      <c r="B7" s="14" t="s">
        <v>14</v>
      </c>
    </row>
    <row r="8" spans="1:3" ht="4.5" customHeight="1">
      <c r="A8" s="79"/>
      <c r="B8" s="12"/>
    </row>
    <row r="9" spans="1:3" ht="15.75" customHeight="1">
      <c r="A9" s="162" t="s">
        <v>15</v>
      </c>
      <c r="B9" s="16" t="s">
        <v>16</v>
      </c>
    </row>
    <row r="10" spans="1:3" ht="15.75" customHeight="1">
      <c r="A10" s="162"/>
      <c r="B10" s="16" t="s">
        <v>17</v>
      </c>
    </row>
    <row r="11" spans="1:3" ht="15.75" customHeight="1">
      <c r="A11" s="162"/>
      <c r="B11" s="16" t="s">
        <v>18</v>
      </c>
    </row>
    <row r="12" spans="1:3" ht="15.75" customHeight="1">
      <c r="A12" s="162"/>
      <c r="B12" s="16" t="s">
        <v>19</v>
      </c>
    </row>
    <row r="13" spans="1:3" ht="15.75" customHeight="1">
      <c r="A13" s="162"/>
      <c r="B13" s="16" t="s">
        <v>20</v>
      </c>
    </row>
    <row r="14" spans="1:3" ht="4.5" customHeight="1">
      <c r="A14" s="163"/>
      <c r="B14" s="12"/>
    </row>
    <row r="15" spans="1:3" ht="15.75" customHeight="1">
      <c r="A15" s="164" t="s">
        <v>21</v>
      </c>
      <c r="B15" s="17" t="s">
        <v>22</v>
      </c>
    </row>
    <row r="16" spans="1:3" ht="15.75" customHeight="1">
      <c r="A16" s="164"/>
      <c r="B16" s="17" t="s">
        <v>23</v>
      </c>
    </row>
    <row r="17" spans="1:2" ht="15.75" customHeight="1">
      <c r="A17" s="164"/>
      <c r="B17" s="17" t="s">
        <v>24</v>
      </c>
    </row>
    <row r="18" spans="1:2" ht="15.75" customHeight="1">
      <c r="A18" s="164"/>
      <c r="B18" s="17" t="s">
        <v>25</v>
      </c>
    </row>
    <row r="19" spans="1:2" ht="4.5" customHeight="1">
      <c r="A19" s="163"/>
      <c r="B19" s="12"/>
    </row>
    <row r="20" spans="1:2" ht="15.75" customHeight="1">
      <c r="A20" s="165" t="s">
        <v>26</v>
      </c>
      <c r="B20" s="21" t="s">
        <v>27</v>
      </c>
    </row>
    <row r="21" spans="1:2" ht="15.75" customHeight="1">
      <c r="A21" s="165"/>
      <c r="B21" s="21" t="s">
        <v>28</v>
      </c>
    </row>
    <row r="22" spans="1:2" ht="15.75" customHeight="1">
      <c r="A22" s="165"/>
      <c r="B22" s="21" t="s">
        <v>29</v>
      </c>
    </row>
    <row r="23" spans="1:2" ht="15.75" customHeight="1">
      <c r="A23" s="165"/>
      <c r="B23" s="21" t="s">
        <v>30</v>
      </c>
    </row>
    <row r="24" spans="1:2" ht="15.75" customHeight="1">
      <c r="A24" s="165"/>
      <c r="B24" s="21" t="s">
        <v>31</v>
      </c>
    </row>
    <row r="25" spans="1:2" ht="15.75" customHeight="1">
      <c r="A25" s="165"/>
      <c r="B25" s="21" t="s">
        <v>32</v>
      </c>
    </row>
    <row r="26" spans="1:2" ht="15.75" customHeight="1">
      <c r="A26" s="165"/>
      <c r="B26" s="21" t="s">
        <v>33</v>
      </c>
    </row>
    <row r="27" spans="1:2" ht="15.75" customHeight="1">
      <c r="A27" s="165"/>
      <c r="B27" s="22" t="s">
        <v>34</v>
      </c>
    </row>
    <row r="28" spans="1:2" ht="15.75" customHeight="1">
      <c r="A28" s="165"/>
      <c r="B28" s="22" t="s">
        <v>35</v>
      </c>
    </row>
    <row r="29" spans="1:2" ht="4.5" customHeight="1">
      <c r="A29" s="163"/>
      <c r="B29" s="12"/>
    </row>
    <row r="30" spans="1:2" ht="15.75" customHeight="1">
      <c r="A30" s="166" t="s">
        <v>36</v>
      </c>
      <c r="B30" s="18" t="s">
        <v>37</v>
      </c>
    </row>
    <row r="31" spans="1:2" ht="15.75" customHeight="1">
      <c r="A31" s="166"/>
      <c r="B31" s="19" t="s">
        <v>38</v>
      </c>
    </row>
    <row r="32" spans="1:2" ht="15.75" customHeight="1">
      <c r="A32" s="166"/>
      <c r="B32" s="18" t="s">
        <v>39</v>
      </c>
    </row>
    <row r="33" spans="1:2" ht="15.75" customHeight="1">
      <c r="A33" s="166"/>
      <c r="B33" s="18" t="s">
        <v>40</v>
      </c>
    </row>
    <row r="34" spans="1:2" ht="15.75" customHeight="1">
      <c r="A34" s="166"/>
      <c r="B34" s="18" t="s">
        <v>41</v>
      </c>
    </row>
    <row r="35" spans="1:2" ht="15.75" customHeight="1">
      <c r="A35" s="166"/>
      <c r="B35" s="18" t="s">
        <v>42</v>
      </c>
    </row>
    <row r="36" spans="1:2" ht="4.5" customHeight="1">
      <c r="A36" s="163"/>
      <c r="B36" s="12"/>
    </row>
    <row r="37" spans="1:2" ht="15" customHeight="1">
      <c r="A37" s="201" t="s">
        <v>43</v>
      </c>
      <c r="B37" s="171" t="s">
        <v>44</v>
      </c>
    </row>
    <row r="38" spans="1:2" ht="21.75" customHeight="1">
      <c r="A38" s="201"/>
      <c r="B38" s="171" t="s">
        <v>45</v>
      </c>
    </row>
    <row r="39" spans="1:2" ht="5.25" customHeight="1">
      <c r="A39" s="101"/>
      <c r="B39" s="25"/>
    </row>
    <row r="40" spans="1:2" ht="26.25" customHeight="1">
      <c r="A40" s="167" t="s">
        <v>46</v>
      </c>
      <c r="B40" s="20" t="s">
        <v>47</v>
      </c>
    </row>
    <row r="41" spans="1:2" ht="26.25" customHeight="1">
      <c r="B41" s="10"/>
    </row>
    <row r="42" spans="1:2" ht="15.75" customHeight="1">
      <c r="B42" s="10"/>
    </row>
  </sheetData>
  <mergeCells count="2">
    <mergeCell ref="A1:B1"/>
    <mergeCell ref="A37:A38"/>
  </mergeCells>
  <hyperlinks>
    <hyperlink ref="B9" location="'Opp Description'!A1" display="Opportunity Description" xr:uid="{6B7838CC-F931-4E5C-8D29-8D09BAFCB7BE}"/>
    <hyperlink ref="B10" location="'Cust Profile'!A1" display="Customer Profile" xr:uid="{F453C9CA-1328-445F-94D5-CA3DA4792AA7}"/>
    <hyperlink ref="B11" location="'Hot Buttons'!A1" display="Hot Buttons" xr:uid="{2964F67B-EEDB-4001-88A3-B0767651E54D}"/>
    <hyperlink ref="B12" location="'Competitive Intel 1'!A1" display="Competitive Intelligence Part 1" xr:uid="{9D9CC8F4-2C3D-46BF-AE76-DFF8F74EC427}"/>
    <hyperlink ref="B13" location="'Competitive Intel 2'!A1" display="Competitive Intelligence Part 2" xr:uid="{6CDBEC09-AE32-44EC-991F-5622B0F46C32}"/>
    <hyperlink ref="B15" location="'Our Position Pt 1'!A1" display="Our Competitive Position Part 1" xr:uid="{4CD7779C-7876-49A0-AAD7-5AE388984D24}"/>
    <hyperlink ref="B16" location="'Our Position Pt 2'!A1" display="Our Competitive Position Part 2" xr:uid="{9B60EC40-CA5C-43D8-9288-5E6F328E1ECC}"/>
    <hyperlink ref="B17" location="'Winning Price'!A1" display="Estimate of Winning Price" xr:uid="{772A31D8-F9FE-4392-BFA2-03B897B7A318}"/>
    <hyperlink ref="B21" location="Leverage!A1" display="Leverage our strength" xr:uid="{646D8F12-2971-4720-82C0-41EE51622A0B}"/>
    <hyperlink ref="B22" location="Mitigate!A1" display="Mitigate our weakness" xr:uid="{25B57B08-16BB-4845-B558-042ED061D639}"/>
    <hyperlink ref="B23" location="Exploit!A1" display="Exploit competitor weakness" xr:uid="{FD6A3293-3241-4F46-8E56-6DC2CED676B9}"/>
    <hyperlink ref="B24" location="Neutralize!A1" display="Neutralize competitor strength" xr:uid="{2D248B5F-A4FB-4BBF-8265-F2ED617ECF12}"/>
    <hyperlink ref="B30" location="'Cust contact'!A1" display="Customer Contact Plan" xr:uid="{95C662A3-2151-409C-95F5-F50DDE3F0F7B}"/>
    <hyperlink ref="B32" location="'Intel collection'!A1" display="Intelligence collection Plan" xr:uid="{3C8844D3-06DC-4469-AF67-198203041D0E}"/>
    <hyperlink ref="B33" location="'Solution Development'!A1" display="Solution Development Plan" xr:uid="{12830450-69F0-40A2-9721-DF728BC080C6}"/>
    <hyperlink ref="B34" location="Contingency!A1" display="Contingency Plan" xr:uid="{A23083A2-31FD-459E-B712-A539EE710498}"/>
    <hyperlink ref="B35" location="Risk!A1" display="Risk Management plan" xr:uid="{5F94696B-E6B5-421A-B7EA-8AF9CA1C8377}"/>
    <hyperlink ref="B27" location="'Win themes'!A1" display="'Win themes'!A1" xr:uid="{B73855F6-9483-43B4-9A8A-C80D81A79741}"/>
    <hyperlink ref="B28" location="'Benefit-Feature'!A1" display="Benefit feature" xr:uid="{035A5008-2709-46F5-BCAF-FD03E2DA5DFC}"/>
    <hyperlink ref="B31" location="'Cust Stakeholders'!A1" display="Customer Stakeholders" xr:uid="{A39E941C-35E2-4F65-940F-AC00B3C1A8C0}"/>
    <hyperlink ref="B40" location="'90-Day Action Plan Schedule'!A1" display="'90-Day Action Plan Schedule'!A1" xr:uid="{25C3E88C-B465-4231-B324-04727B3E4ABA}"/>
    <hyperlink ref="B4" location="'Executive Overview'!A1" display="Executive Overview" xr:uid="{93B71A14-F03D-4444-8F24-226EBB5D04B3}"/>
    <hyperlink ref="B18" location="'PTW Window'!A1" display="Internal Analysis: Pricing to Win Window" xr:uid="{847045A7-ECD5-4B43-938B-C9DB40DF56AC}"/>
    <hyperlink ref="B37" location="'Preliminary bid CL'!A1" display="Preliminary Bid Checklist" xr:uid="{C287574E-D8F8-45F2-8CA8-47FA7F195CC9}"/>
    <hyperlink ref="B38" location="'Preliminary Bid Planning'!A1" display="Preliminary Planning and Content" xr:uid="{B0C9C29F-BF6C-43E8-9CC5-BF9CEF28C846}"/>
    <hyperlink ref="B7" location="'Pwin Calculator'!A1" display="Pwin Calculator" xr:uid="{3279D655-D11A-409D-9526-966B74B5E79A}"/>
    <hyperlink ref="B6" location="'Pwin Parameters'!A1" display="Pwin Parameters" xr:uid="{2088CBEE-4907-4D5C-9FAE-1671450608CE}"/>
    <hyperlink ref="B25" location="Teaming!A1" display="Teaming!A1" xr:uid="{7A75D1D6-C1B2-4F7C-A70F-67EB5F9A1DAD}"/>
    <hyperlink ref="B20" location="'Bidder Comparison'!A1" display="Bidder Comparison Chart" xr:uid="{E230E3C8-DB25-4D7D-B39B-5F0453BC9008}"/>
    <hyperlink ref="B26" location="ISW!A1" display="Integrated Solution Worksheet (ISW)" xr:uid="{1D8762C3-8ABB-499F-8B04-78F16EF64CF7}"/>
  </hyperlinks>
  <pageMargins left="0.5" right="0.5" top="0.5" bottom="0.5" header="0.25" footer="0.25"/>
  <pageSetup scale="97" fitToHeight="0" orientation="portrait" r:id="rId1"/>
  <headerFooter alignWithMargins="0">
    <oddFooter>&amp;L&amp;9Copyright Shipley Associates&amp;C&amp;9&amp;D&amp;R&amp;9&amp;P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6308-CF81-44D8-91E9-287B8C7807EF}">
  <sheetPr codeName="Sheet6">
    <tabColor rgb="FFF37122"/>
    <pageSetUpPr fitToPage="1"/>
  </sheetPr>
  <dimension ref="A1:B7"/>
  <sheetViews>
    <sheetView zoomScaleNormal="100" workbookViewId="0">
      <selection sqref="A1:B1"/>
    </sheetView>
  </sheetViews>
  <sheetFormatPr defaultColWidth="9.140625" defaultRowHeight="12.75"/>
  <cols>
    <col min="1" max="1" width="39.42578125" style="9" customWidth="1"/>
    <col min="2" max="2" width="69.140625" style="9" customWidth="1"/>
    <col min="3" max="16384" width="9.140625" style="9"/>
  </cols>
  <sheetData>
    <row r="1" spans="1:2" ht="43.5" customHeight="1">
      <c r="A1" s="202" t="s">
        <v>11</v>
      </c>
      <c r="B1" s="202"/>
    </row>
    <row r="2" spans="1:2">
      <c r="A2" s="27" t="s">
        <v>48</v>
      </c>
      <c r="B2" s="26"/>
    </row>
    <row r="3" spans="1:2">
      <c r="A3" s="27" t="s">
        <v>49</v>
      </c>
      <c r="B3" s="26"/>
    </row>
    <row r="4" spans="1:2">
      <c r="A4" s="27" t="s">
        <v>50</v>
      </c>
      <c r="B4" s="26"/>
    </row>
    <row r="5" spans="1:2">
      <c r="A5" s="27" t="s">
        <v>51</v>
      </c>
      <c r="B5" s="26"/>
    </row>
    <row r="6" spans="1:2">
      <c r="A6" s="27" t="s">
        <v>52</v>
      </c>
      <c r="B6" s="26"/>
    </row>
    <row r="7" spans="1:2">
      <c r="A7" s="27" t="s">
        <v>53</v>
      </c>
      <c r="B7" s="26"/>
    </row>
  </sheetData>
  <mergeCells count="1">
    <mergeCell ref="A1:B1"/>
  </mergeCells>
  <printOptions horizontalCentered="1"/>
  <pageMargins left="0.5" right="0.5" top="0.5" bottom="0.5" header="0.25" footer="0.25"/>
  <pageSetup scale="89" orientation="portrait" verticalDpi="1200" r:id="rId1"/>
  <headerFooter alignWithMargins="0">
    <oddFooter>&amp;L&amp;9Copyright Shipley Associates&amp;C&amp;9&amp;D&amp;R&amp;9&amp;P</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005B93"/>
    <pageSetUpPr fitToPage="1"/>
  </sheetPr>
  <dimension ref="A1:E75"/>
  <sheetViews>
    <sheetView topLeftCell="A68" zoomScale="120" zoomScaleNormal="120" workbookViewId="0">
      <selection activeCell="E13" sqref="E13"/>
    </sheetView>
  </sheetViews>
  <sheetFormatPr defaultColWidth="9.140625" defaultRowHeight="12.75"/>
  <cols>
    <col min="1" max="1" width="24.5703125" style="9" customWidth="1"/>
    <col min="2" max="2" width="71.42578125" style="9" customWidth="1"/>
    <col min="3" max="3" width="7.140625" style="9" customWidth="1"/>
    <col min="4" max="4" width="15.42578125" style="9" customWidth="1"/>
    <col min="5" max="16384" width="9.140625" style="9"/>
  </cols>
  <sheetData>
    <row r="1" spans="1:5">
      <c r="A1" s="205" t="s">
        <v>54</v>
      </c>
      <c r="B1" s="205"/>
      <c r="C1" s="205"/>
      <c r="D1" s="205"/>
      <c r="E1" s="205"/>
    </row>
    <row r="2" spans="1:5">
      <c r="A2" s="206" t="s">
        <v>55</v>
      </c>
      <c r="B2" s="206"/>
      <c r="C2" s="206"/>
      <c r="D2" s="206"/>
      <c r="E2" s="206"/>
    </row>
    <row r="3" spans="1:5">
      <c r="A3" s="206" t="s">
        <v>56</v>
      </c>
      <c r="B3" s="206"/>
      <c r="C3" s="206"/>
      <c r="D3" s="206"/>
      <c r="E3" s="206"/>
    </row>
    <row r="4" spans="1:5">
      <c r="A4" s="206" t="s">
        <v>57</v>
      </c>
      <c r="B4" s="206"/>
      <c r="C4" s="206"/>
      <c r="D4" s="206"/>
      <c r="E4" s="206"/>
    </row>
    <row r="5" spans="1:5">
      <c r="A5" s="207" t="s">
        <v>58</v>
      </c>
      <c r="B5" s="207"/>
      <c r="C5" s="207"/>
      <c r="D5" s="207"/>
      <c r="E5" s="207"/>
    </row>
    <row r="6" spans="1:5">
      <c r="A6" s="206" t="s">
        <v>59</v>
      </c>
      <c r="B6" s="206"/>
      <c r="C6" s="206"/>
      <c r="D6" s="206"/>
      <c r="E6" s="206"/>
    </row>
    <row r="7" spans="1:5">
      <c r="A7" s="206" t="s">
        <v>60</v>
      </c>
      <c r="B7" s="206"/>
      <c r="C7" s="206"/>
      <c r="D7" s="206"/>
      <c r="E7" s="206"/>
    </row>
    <row r="8" spans="1:5">
      <c r="A8" s="203"/>
      <c r="B8" s="203"/>
      <c r="C8" s="203"/>
      <c r="D8" s="203"/>
      <c r="E8" s="203"/>
    </row>
    <row r="9" spans="1:5" ht="26.25">
      <c r="A9" s="204" t="s">
        <v>61</v>
      </c>
      <c r="B9" s="204"/>
      <c r="C9" s="204"/>
      <c r="D9" s="204"/>
      <c r="E9" s="204"/>
    </row>
    <row r="10" spans="1:5">
      <c r="A10" s="143" t="s">
        <v>62</v>
      </c>
      <c r="B10" s="144" t="s">
        <v>63</v>
      </c>
      <c r="C10" s="145" t="s">
        <v>64</v>
      </c>
      <c r="D10" s="146" t="s">
        <v>65</v>
      </c>
      <c r="E10" s="146" t="s">
        <v>66</v>
      </c>
    </row>
    <row r="11" spans="1:5">
      <c r="A11" s="147" t="s">
        <v>67</v>
      </c>
      <c r="B11" s="148" t="s">
        <v>68</v>
      </c>
      <c r="C11" s="149">
        <v>4</v>
      </c>
      <c r="D11" s="150" t="s">
        <v>69</v>
      </c>
      <c r="E11" s="151">
        <v>3.5</v>
      </c>
    </row>
    <row r="12" spans="1:5">
      <c r="A12" s="152"/>
      <c r="B12" s="148" t="s">
        <v>70</v>
      </c>
      <c r="C12" s="149">
        <v>3</v>
      </c>
      <c r="D12" s="150" t="s">
        <v>71</v>
      </c>
      <c r="E12" s="151">
        <v>2.5</v>
      </c>
    </row>
    <row r="13" spans="1:5">
      <c r="A13" s="152"/>
      <c r="B13" s="148" t="s">
        <v>72</v>
      </c>
      <c r="C13" s="149">
        <v>2</v>
      </c>
      <c r="D13" s="150" t="s">
        <v>73</v>
      </c>
      <c r="E13" s="151">
        <v>1.5</v>
      </c>
    </row>
    <row r="14" spans="1:5">
      <c r="A14" s="152"/>
      <c r="B14" s="148" t="s">
        <v>74</v>
      </c>
      <c r="C14" s="149">
        <v>1</v>
      </c>
      <c r="D14" s="150"/>
      <c r="E14" s="149"/>
    </row>
    <row r="15" spans="1:5">
      <c r="A15" s="153"/>
      <c r="B15" s="30"/>
      <c r="C15" s="30"/>
      <c r="D15" s="150"/>
      <c r="E15" s="149"/>
    </row>
    <row r="16" spans="1:5">
      <c r="A16" s="147" t="s">
        <v>75</v>
      </c>
      <c r="B16" s="148" t="s">
        <v>76</v>
      </c>
      <c r="C16" s="149">
        <v>4</v>
      </c>
      <c r="D16" s="150"/>
      <c r="E16" s="149"/>
    </row>
    <row r="17" spans="1:5">
      <c r="A17" s="152"/>
      <c r="B17" s="148" t="s">
        <v>77</v>
      </c>
      <c r="C17" s="149">
        <v>3</v>
      </c>
      <c r="D17" s="153"/>
      <c r="E17" s="149"/>
    </row>
    <row r="18" spans="1:5">
      <c r="A18" s="152"/>
      <c r="B18" s="148" t="s">
        <v>78</v>
      </c>
      <c r="C18" s="149">
        <v>2</v>
      </c>
      <c r="D18" s="149"/>
      <c r="E18" s="149"/>
    </row>
    <row r="19" spans="1:5">
      <c r="A19" s="152"/>
      <c r="B19" s="148" t="s">
        <v>79</v>
      </c>
      <c r="C19" s="149">
        <v>1</v>
      </c>
      <c r="D19" s="149"/>
      <c r="E19" s="149"/>
    </row>
    <row r="20" spans="1:5">
      <c r="A20" s="152"/>
      <c r="B20" s="30"/>
      <c r="C20" s="30"/>
      <c r="D20" s="149"/>
      <c r="E20" s="149"/>
    </row>
    <row r="21" spans="1:5">
      <c r="A21" s="147" t="s">
        <v>80</v>
      </c>
      <c r="B21" s="148" t="s">
        <v>81</v>
      </c>
      <c r="C21" s="149">
        <v>4</v>
      </c>
      <c r="D21" s="149"/>
      <c r="E21" s="149"/>
    </row>
    <row r="22" spans="1:5">
      <c r="A22" s="152"/>
      <c r="B22" s="148" t="s">
        <v>82</v>
      </c>
      <c r="C22" s="149">
        <v>3</v>
      </c>
      <c r="D22" s="149"/>
      <c r="E22" s="149"/>
    </row>
    <row r="23" spans="1:5">
      <c r="A23" s="152"/>
      <c r="B23" s="148" t="s">
        <v>83</v>
      </c>
      <c r="C23" s="149">
        <v>2</v>
      </c>
      <c r="D23" s="149"/>
      <c r="E23" s="149"/>
    </row>
    <row r="24" spans="1:5">
      <c r="A24" s="152"/>
      <c r="B24" s="148" t="s">
        <v>84</v>
      </c>
      <c r="C24" s="149">
        <v>1</v>
      </c>
      <c r="D24" s="149"/>
      <c r="E24" s="149"/>
    </row>
    <row r="25" spans="1:5">
      <c r="A25" s="152"/>
      <c r="B25" s="30"/>
      <c r="C25" s="30"/>
      <c r="D25" s="149"/>
      <c r="E25" s="149"/>
    </row>
    <row r="26" spans="1:5">
      <c r="A26" s="147" t="s">
        <v>85</v>
      </c>
      <c r="B26" s="148" t="s">
        <v>86</v>
      </c>
      <c r="C26" s="149">
        <v>4</v>
      </c>
      <c r="D26" s="149"/>
      <c r="E26" s="149"/>
    </row>
    <row r="27" spans="1:5">
      <c r="A27" s="152"/>
      <c r="B27" s="148" t="s">
        <v>87</v>
      </c>
      <c r="C27" s="149">
        <v>3</v>
      </c>
      <c r="D27" s="149"/>
      <c r="E27" s="149"/>
    </row>
    <row r="28" spans="1:5">
      <c r="A28" s="152"/>
      <c r="B28" s="148" t="s">
        <v>88</v>
      </c>
      <c r="C28" s="149">
        <v>2</v>
      </c>
      <c r="D28" s="149"/>
      <c r="E28" s="149"/>
    </row>
    <row r="29" spans="1:5">
      <c r="A29" s="152"/>
      <c r="B29" s="148" t="s">
        <v>89</v>
      </c>
      <c r="C29" s="149">
        <v>1</v>
      </c>
      <c r="D29" s="149"/>
      <c r="E29" s="149"/>
    </row>
    <row r="30" spans="1:5">
      <c r="A30" s="152"/>
      <c r="B30" s="30"/>
      <c r="C30" s="30"/>
      <c r="D30" s="149"/>
      <c r="E30" s="149"/>
    </row>
    <row r="31" spans="1:5">
      <c r="A31" s="147" t="s">
        <v>90</v>
      </c>
      <c r="B31" s="148" t="s">
        <v>91</v>
      </c>
      <c r="C31" s="149">
        <v>4</v>
      </c>
      <c r="D31" s="149"/>
      <c r="E31" s="149"/>
    </row>
    <row r="32" spans="1:5">
      <c r="A32" s="152"/>
      <c r="B32" s="148" t="s">
        <v>92</v>
      </c>
      <c r="C32" s="149">
        <v>3</v>
      </c>
      <c r="D32" s="149"/>
      <c r="E32" s="149"/>
    </row>
    <row r="33" spans="1:5">
      <c r="A33" s="152"/>
      <c r="B33" s="148" t="s">
        <v>93</v>
      </c>
      <c r="C33" s="149">
        <v>2</v>
      </c>
      <c r="D33" s="149"/>
      <c r="E33" s="149"/>
    </row>
    <row r="34" spans="1:5">
      <c r="A34" s="152"/>
      <c r="B34" s="148" t="s">
        <v>94</v>
      </c>
      <c r="C34" s="149">
        <v>1</v>
      </c>
      <c r="D34" s="149"/>
      <c r="E34" s="149"/>
    </row>
    <row r="35" spans="1:5">
      <c r="A35" s="152"/>
      <c r="B35" s="30"/>
      <c r="C35" s="30"/>
      <c r="D35" s="149"/>
      <c r="E35" s="149"/>
    </row>
    <row r="36" spans="1:5">
      <c r="A36" s="147" t="s">
        <v>95</v>
      </c>
      <c r="B36" s="148" t="s">
        <v>96</v>
      </c>
      <c r="C36" s="149">
        <v>4</v>
      </c>
      <c r="D36" s="154"/>
      <c r="E36" s="154"/>
    </row>
    <row r="37" spans="1:5">
      <c r="A37" s="152"/>
      <c r="B37" s="148" t="s">
        <v>97</v>
      </c>
      <c r="C37" s="149">
        <v>3</v>
      </c>
      <c r="D37" s="149"/>
      <c r="E37" s="149"/>
    </row>
    <row r="38" spans="1:5">
      <c r="A38" s="152"/>
      <c r="B38" s="148" t="s">
        <v>98</v>
      </c>
      <c r="C38" s="149">
        <v>2</v>
      </c>
      <c r="D38" s="149"/>
      <c r="E38" s="149"/>
    </row>
    <row r="39" spans="1:5">
      <c r="A39" s="152"/>
      <c r="B39" s="148" t="s">
        <v>99</v>
      </c>
      <c r="C39" s="149">
        <v>1</v>
      </c>
      <c r="D39" s="149"/>
      <c r="E39" s="149"/>
    </row>
    <row r="40" spans="1:5">
      <c r="A40" s="152"/>
      <c r="B40" s="30"/>
      <c r="C40" s="30"/>
      <c r="D40" s="149"/>
      <c r="E40" s="149"/>
    </row>
    <row r="41" spans="1:5">
      <c r="A41" s="147" t="s">
        <v>100</v>
      </c>
      <c r="B41" s="148" t="s">
        <v>101</v>
      </c>
      <c r="C41" s="149">
        <v>4</v>
      </c>
      <c r="D41" s="149"/>
      <c r="E41" s="149"/>
    </row>
    <row r="42" spans="1:5">
      <c r="A42" s="152"/>
      <c r="B42" s="148" t="s">
        <v>102</v>
      </c>
      <c r="C42" s="149">
        <v>3</v>
      </c>
      <c r="D42" s="149"/>
      <c r="E42" s="149"/>
    </row>
    <row r="43" spans="1:5">
      <c r="A43" s="152"/>
      <c r="B43" s="148" t="s">
        <v>103</v>
      </c>
      <c r="C43" s="149">
        <v>2</v>
      </c>
      <c r="D43" s="149"/>
      <c r="E43" s="149"/>
    </row>
    <row r="44" spans="1:5">
      <c r="A44" s="152"/>
      <c r="B44" s="148" t="s">
        <v>104</v>
      </c>
      <c r="C44" s="149">
        <v>1</v>
      </c>
      <c r="D44" s="149"/>
      <c r="E44" s="149"/>
    </row>
    <row r="45" spans="1:5">
      <c r="A45" s="152"/>
      <c r="B45" s="30"/>
      <c r="C45" s="30"/>
      <c r="D45" s="149"/>
      <c r="E45" s="149"/>
    </row>
    <row r="46" spans="1:5">
      <c r="A46" s="147" t="s">
        <v>105</v>
      </c>
      <c r="B46" s="148" t="s">
        <v>106</v>
      </c>
      <c r="C46" s="149">
        <v>4</v>
      </c>
      <c r="D46" s="149"/>
      <c r="E46" s="149"/>
    </row>
    <row r="47" spans="1:5">
      <c r="A47" s="152"/>
      <c r="B47" s="148" t="s">
        <v>107</v>
      </c>
      <c r="C47" s="149">
        <v>3</v>
      </c>
      <c r="D47" s="149"/>
      <c r="E47" s="149"/>
    </row>
    <row r="48" spans="1:5">
      <c r="A48" s="152"/>
      <c r="B48" s="148" t="s">
        <v>108</v>
      </c>
      <c r="C48" s="149">
        <v>2</v>
      </c>
      <c r="D48" s="149"/>
      <c r="E48" s="149"/>
    </row>
    <row r="49" spans="1:5">
      <c r="A49" s="152"/>
      <c r="B49" s="148" t="s">
        <v>109</v>
      </c>
      <c r="C49" s="149">
        <v>1</v>
      </c>
      <c r="D49" s="149"/>
      <c r="E49" s="149"/>
    </row>
    <row r="50" spans="1:5">
      <c r="A50" s="152"/>
      <c r="B50" s="30"/>
      <c r="C50" s="30"/>
      <c r="D50" s="149"/>
      <c r="E50" s="149"/>
    </row>
    <row r="51" spans="1:5">
      <c r="A51" s="147" t="s">
        <v>110</v>
      </c>
      <c r="B51" s="148" t="s">
        <v>111</v>
      </c>
      <c r="C51" s="149">
        <v>4</v>
      </c>
      <c r="D51" s="149"/>
      <c r="E51" s="149"/>
    </row>
    <row r="52" spans="1:5">
      <c r="A52" s="152"/>
      <c r="B52" s="148" t="s">
        <v>112</v>
      </c>
      <c r="C52" s="149">
        <v>3</v>
      </c>
      <c r="D52" s="149"/>
      <c r="E52" s="149"/>
    </row>
    <row r="53" spans="1:5">
      <c r="A53" s="152"/>
      <c r="B53" s="148" t="s">
        <v>113</v>
      </c>
      <c r="C53" s="149">
        <v>2</v>
      </c>
      <c r="D53" s="149"/>
      <c r="E53" s="149"/>
    </row>
    <row r="54" spans="1:5">
      <c r="A54" s="152"/>
      <c r="B54" s="148" t="s">
        <v>114</v>
      </c>
      <c r="C54" s="149">
        <v>1</v>
      </c>
      <c r="D54" s="149"/>
      <c r="E54" s="149"/>
    </row>
    <row r="55" spans="1:5">
      <c r="A55" s="152"/>
      <c r="B55" s="30"/>
      <c r="C55" s="30"/>
      <c r="D55" s="149"/>
      <c r="E55" s="149"/>
    </row>
    <row r="56" spans="1:5">
      <c r="A56" s="147" t="s">
        <v>115</v>
      </c>
      <c r="B56" s="148" t="s">
        <v>116</v>
      </c>
      <c r="C56" s="149">
        <v>4</v>
      </c>
      <c r="D56" s="149"/>
      <c r="E56" s="149"/>
    </row>
    <row r="57" spans="1:5">
      <c r="A57" s="152"/>
      <c r="B57" s="148" t="s">
        <v>117</v>
      </c>
      <c r="C57" s="149">
        <v>3</v>
      </c>
      <c r="D57" s="149"/>
      <c r="E57" s="149"/>
    </row>
    <row r="58" spans="1:5">
      <c r="A58" s="152"/>
      <c r="B58" s="148" t="s">
        <v>118</v>
      </c>
      <c r="C58" s="149">
        <v>2</v>
      </c>
      <c r="D58" s="149"/>
      <c r="E58" s="149"/>
    </row>
    <row r="59" spans="1:5">
      <c r="A59" s="152"/>
      <c r="B59" s="148" t="s">
        <v>119</v>
      </c>
      <c r="C59" s="149">
        <v>1</v>
      </c>
      <c r="D59" s="149"/>
      <c r="E59" s="149"/>
    </row>
    <row r="60" spans="1:5">
      <c r="A60" s="152"/>
      <c r="B60" s="30"/>
      <c r="C60" s="30"/>
      <c r="D60" s="149"/>
      <c r="E60" s="149"/>
    </row>
    <row r="61" spans="1:5">
      <c r="A61" s="147" t="s">
        <v>120</v>
      </c>
      <c r="B61" s="148" t="s">
        <v>121</v>
      </c>
      <c r="C61" s="149">
        <v>4</v>
      </c>
      <c r="D61" s="149"/>
      <c r="E61" s="149"/>
    </row>
    <row r="62" spans="1:5">
      <c r="A62" s="152"/>
      <c r="B62" s="148" t="s">
        <v>122</v>
      </c>
      <c r="C62" s="149">
        <v>3</v>
      </c>
      <c r="D62" s="149"/>
      <c r="E62" s="149"/>
    </row>
    <row r="63" spans="1:5">
      <c r="A63" s="152"/>
      <c r="B63" s="148" t="s">
        <v>123</v>
      </c>
      <c r="C63" s="149">
        <v>2</v>
      </c>
      <c r="D63" s="149"/>
      <c r="E63" s="149"/>
    </row>
    <row r="64" spans="1:5">
      <c r="A64" s="152"/>
      <c r="B64" s="148" t="s">
        <v>124</v>
      </c>
      <c r="C64" s="149">
        <v>1</v>
      </c>
      <c r="D64" s="149"/>
      <c r="E64" s="149"/>
    </row>
    <row r="65" spans="1:5">
      <c r="A65" s="152"/>
      <c r="B65" s="30"/>
      <c r="C65" s="30"/>
      <c r="D65" s="149"/>
      <c r="E65" s="149"/>
    </row>
    <row r="66" spans="1:5">
      <c r="A66" s="155" t="s">
        <v>125</v>
      </c>
      <c r="B66" s="156" t="s">
        <v>126</v>
      </c>
      <c r="C66" s="149">
        <v>4</v>
      </c>
      <c r="D66" s="157"/>
      <c r="E66" s="157"/>
    </row>
    <row r="67" spans="1:5">
      <c r="A67" s="152"/>
      <c r="B67" s="156" t="s">
        <v>127</v>
      </c>
      <c r="C67" s="149">
        <v>3</v>
      </c>
      <c r="D67" s="149"/>
      <c r="E67" s="149"/>
    </row>
    <row r="68" spans="1:5">
      <c r="A68" s="152"/>
      <c r="B68" s="156" t="s">
        <v>128</v>
      </c>
      <c r="C68" s="149">
        <v>2</v>
      </c>
      <c r="D68" s="149"/>
      <c r="E68" s="149"/>
    </row>
    <row r="69" spans="1:5">
      <c r="A69" s="152"/>
      <c r="B69" s="156" t="s">
        <v>129</v>
      </c>
      <c r="C69" s="149">
        <v>1</v>
      </c>
      <c r="D69" s="149"/>
      <c r="E69" s="149"/>
    </row>
    <row r="70" spans="1:5">
      <c r="A70" s="152"/>
      <c r="B70" s="30"/>
      <c r="C70" s="30"/>
      <c r="D70" s="149"/>
      <c r="E70" s="149"/>
    </row>
    <row r="71" spans="1:5">
      <c r="A71" s="155" t="s">
        <v>130</v>
      </c>
      <c r="B71" s="156" t="s">
        <v>131</v>
      </c>
      <c r="C71" s="149">
        <v>4</v>
      </c>
      <c r="D71" s="157"/>
      <c r="E71" s="157"/>
    </row>
    <row r="72" spans="1:5">
      <c r="A72" s="152"/>
      <c r="B72" s="156" t="s">
        <v>132</v>
      </c>
      <c r="C72" s="149">
        <v>3</v>
      </c>
      <c r="D72" s="149"/>
      <c r="E72" s="149"/>
    </row>
    <row r="73" spans="1:5">
      <c r="A73" s="152"/>
      <c r="B73" s="156" t="s">
        <v>133</v>
      </c>
      <c r="C73" s="149">
        <v>2</v>
      </c>
      <c r="D73" s="149"/>
      <c r="E73" s="149"/>
    </row>
    <row r="74" spans="1:5">
      <c r="A74" s="152"/>
      <c r="B74" s="156" t="s">
        <v>134</v>
      </c>
      <c r="C74" s="149">
        <v>1</v>
      </c>
      <c r="D74" s="149"/>
      <c r="E74" s="149"/>
    </row>
    <row r="75" spans="1:5">
      <c r="A75" s="87"/>
      <c r="D75" s="35"/>
      <c r="E75" s="35"/>
    </row>
  </sheetData>
  <sheetProtection selectLockedCells="1" selectUnlockedCells="1"/>
  <mergeCells count="9">
    <mergeCell ref="A8:E8"/>
    <mergeCell ref="A9:E9"/>
    <mergeCell ref="A1:E1"/>
    <mergeCell ref="A3:E3"/>
    <mergeCell ref="A4:E4"/>
    <mergeCell ref="A5:E5"/>
    <mergeCell ref="A6:E6"/>
    <mergeCell ref="A7:E7"/>
    <mergeCell ref="A2:E2"/>
  </mergeCells>
  <printOptions horizontalCentered="1"/>
  <pageMargins left="0.5" right="0.5" top="0.5" bottom="0.5" header="0.25" footer="0.25"/>
  <pageSetup fitToHeight="0" orientation="landscape" r:id="rId1"/>
  <headerFooter alignWithMargins="0">
    <oddFooter>&amp;L&amp;9Copyright Shipley Associates&amp;C&amp;9&amp;D&amp;R&amp;9&amp;P</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5B93"/>
    <pageSetUpPr fitToPage="1"/>
  </sheetPr>
  <dimension ref="A1:AB102"/>
  <sheetViews>
    <sheetView showRuler="0" zoomScale="120" zoomScaleNormal="120" zoomScalePageLayoutView="80" workbookViewId="0">
      <selection activeCell="B14" sqref="B14:E14"/>
    </sheetView>
  </sheetViews>
  <sheetFormatPr defaultColWidth="9.140625" defaultRowHeight="12.75"/>
  <cols>
    <col min="1" max="1" width="25.140625" style="9" customWidth="1"/>
    <col min="2" max="2" width="7.42578125" style="33" customWidth="1"/>
    <col min="3" max="3" width="71.42578125" style="33" customWidth="1"/>
    <col min="4" max="5" width="6.5703125" style="33" customWidth="1"/>
    <col min="6" max="6" width="9.5703125" style="33" customWidth="1"/>
    <col min="7" max="7" width="9.5703125" style="34" customWidth="1"/>
    <col min="8" max="8" width="9.140625" style="35" customWidth="1"/>
    <col min="9" max="22" width="9.140625" style="33" customWidth="1"/>
    <col min="23" max="16384" width="9.140625" style="9"/>
  </cols>
  <sheetData>
    <row r="1" spans="1:23" ht="52.5" customHeight="1">
      <c r="A1" s="208" t="s">
        <v>135</v>
      </c>
      <c r="B1" s="209"/>
      <c r="C1" s="209"/>
      <c r="D1" s="209"/>
      <c r="E1" s="209"/>
    </row>
    <row r="3" spans="1:23" s="87" customFormat="1" ht="12">
      <c r="A3" s="210" t="s">
        <v>136</v>
      </c>
      <c r="B3" s="210"/>
      <c r="C3" s="210"/>
      <c r="D3" s="210"/>
      <c r="E3" s="210"/>
      <c r="F3" s="115"/>
      <c r="G3" s="115"/>
      <c r="H3" s="35"/>
      <c r="I3" s="115"/>
      <c r="J3" s="115"/>
      <c r="K3" s="115"/>
      <c r="L3" s="115"/>
      <c r="M3" s="115"/>
      <c r="N3" s="115"/>
      <c r="O3" s="115"/>
      <c r="P3" s="115"/>
      <c r="Q3" s="115"/>
      <c r="R3" s="115"/>
      <c r="S3" s="115"/>
      <c r="T3" s="115"/>
      <c r="U3" s="115"/>
      <c r="V3" s="115"/>
    </row>
    <row r="4" spans="1:23" s="87" customFormat="1" ht="12">
      <c r="A4" s="206" t="s">
        <v>137</v>
      </c>
      <c r="B4" s="206"/>
      <c r="C4" s="206"/>
      <c r="D4" s="206"/>
      <c r="E4" s="206"/>
      <c r="F4" s="115"/>
      <c r="G4" s="115"/>
      <c r="H4" s="35"/>
      <c r="I4" s="115"/>
      <c r="J4" s="115"/>
      <c r="K4" s="115"/>
      <c r="L4" s="115"/>
      <c r="M4" s="115"/>
      <c r="N4" s="115"/>
      <c r="O4" s="115"/>
      <c r="P4" s="115"/>
      <c r="Q4" s="115"/>
      <c r="R4" s="115"/>
      <c r="S4" s="115"/>
      <c r="T4" s="115"/>
      <c r="U4" s="115"/>
      <c r="V4" s="115"/>
    </row>
    <row r="5" spans="1:23" s="87" customFormat="1" ht="12">
      <c r="A5" s="206" t="s">
        <v>138</v>
      </c>
      <c r="B5" s="206"/>
      <c r="C5" s="206"/>
      <c r="D5" s="206"/>
      <c r="E5" s="206"/>
      <c r="F5" s="115"/>
      <c r="G5" s="115"/>
      <c r="H5" s="35"/>
      <c r="I5" s="115"/>
      <c r="J5" s="115"/>
      <c r="K5" s="115"/>
      <c r="L5" s="115"/>
      <c r="M5" s="115"/>
      <c r="N5" s="219"/>
      <c r="O5" s="219"/>
      <c r="P5" s="219"/>
      <c r="Q5" s="219"/>
      <c r="R5" s="219"/>
      <c r="S5" s="115"/>
      <c r="T5" s="115"/>
      <c r="U5" s="115"/>
      <c r="V5" s="115"/>
    </row>
    <row r="6" spans="1:23" s="87" customFormat="1" ht="14.25" customHeight="1">
      <c r="A6" s="206" t="s">
        <v>139</v>
      </c>
      <c r="B6" s="206"/>
      <c r="C6" s="206"/>
      <c r="D6" s="31"/>
      <c r="E6" s="31"/>
      <c r="F6" s="115"/>
      <c r="G6" s="115"/>
      <c r="H6" s="35"/>
      <c r="I6" s="115"/>
      <c r="J6" s="115"/>
      <c r="K6" s="115"/>
      <c r="L6" s="115"/>
      <c r="M6" s="115"/>
      <c r="N6" s="36"/>
      <c r="O6" s="36"/>
      <c r="P6" s="36"/>
      <c r="Q6" s="36"/>
      <c r="R6" s="36"/>
      <c r="S6" s="115"/>
      <c r="T6" s="115"/>
      <c r="U6" s="115"/>
      <c r="V6" s="115"/>
    </row>
    <row r="7" spans="1:23" s="118" customFormat="1" ht="12">
      <c r="A7" s="206" t="s">
        <v>140</v>
      </c>
      <c r="B7" s="206"/>
      <c r="C7" s="206"/>
      <c r="D7" s="206"/>
      <c r="E7" s="206"/>
      <c r="F7" s="36"/>
      <c r="G7" s="116"/>
      <c r="H7" s="117"/>
      <c r="I7" s="116"/>
      <c r="J7" s="116"/>
      <c r="K7" s="116"/>
      <c r="L7" s="116"/>
      <c r="M7" s="116"/>
      <c r="N7" s="36"/>
      <c r="O7" s="36"/>
      <c r="P7" s="36"/>
      <c r="Q7" s="36"/>
      <c r="R7" s="36"/>
      <c r="S7" s="116"/>
      <c r="T7" s="116"/>
      <c r="U7" s="116"/>
      <c r="V7" s="116"/>
    </row>
    <row r="8" spans="1:23" s="118" customFormat="1" ht="12">
      <c r="A8" s="206" t="s">
        <v>141</v>
      </c>
      <c r="B8" s="206"/>
      <c r="C8" s="206"/>
      <c r="D8" s="206"/>
      <c r="E8" s="206"/>
      <c r="F8" s="36"/>
      <c r="G8" s="116"/>
      <c r="H8" s="117"/>
      <c r="I8" s="116"/>
      <c r="J8" s="116"/>
      <c r="K8" s="116"/>
      <c r="L8" s="116"/>
      <c r="M8" s="116"/>
      <c r="N8" s="36"/>
      <c r="O8" s="36"/>
      <c r="P8" s="36"/>
      <c r="Q8" s="36"/>
      <c r="R8" s="36"/>
      <c r="S8" s="116"/>
      <c r="T8" s="116"/>
      <c r="U8" s="116"/>
      <c r="V8" s="116"/>
    </row>
    <row r="9" spans="1:23" s="118" customFormat="1" ht="12">
      <c r="A9" s="206" t="s">
        <v>142</v>
      </c>
      <c r="B9" s="206"/>
      <c r="C9" s="206"/>
      <c r="D9" s="206"/>
      <c r="E9" s="206"/>
      <c r="F9" s="36"/>
      <c r="G9" s="116"/>
      <c r="H9" s="117"/>
      <c r="I9" s="116"/>
      <c r="J9" s="116"/>
      <c r="K9" s="116"/>
      <c r="L9" s="116"/>
      <c r="M9" s="116"/>
      <c r="N9" s="119"/>
      <c r="O9" s="119"/>
      <c r="P9" s="119"/>
      <c r="Q9" s="119"/>
      <c r="R9" s="119"/>
      <c r="S9" s="116"/>
      <c r="T9" s="116"/>
      <c r="U9" s="116"/>
      <c r="V9" s="116"/>
    </row>
    <row r="10" spans="1:23" s="118" customFormat="1" ht="12">
      <c r="A10" s="206" t="s">
        <v>143</v>
      </c>
      <c r="B10" s="206"/>
      <c r="C10" s="206"/>
      <c r="D10" s="206"/>
      <c r="E10" s="206"/>
      <c r="F10" s="36"/>
      <c r="G10" s="116"/>
      <c r="H10" s="117"/>
      <c r="I10" s="116"/>
      <c r="J10" s="116"/>
      <c r="K10" s="116"/>
      <c r="L10" s="116"/>
      <c r="M10" s="116"/>
      <c r="N10" s="220"/>
      <c r="O10" s="220"/>
      <c r="P10" s="220"/>
      <c r="Q10" s="220"/>
      <c r="R10" s="220"/>
      <c r="S10" s="116"/>
      <c r="T10" s="116"/>
      <c r="U10" s="116"/>
      <c r="V10" s="116"/>
    </row>
    <row r="11" spans="1:23" s="118" customFormat="1">
      <c r="A11" s="219" t="s">
        <v>144</v>
      </c>
      <c r="B11" s="219"/>
      <c r="C11" s="219"/>
      <c r="D11" s="219"/>
      <c r="E11" s="219"/>
      <c r="F11" s="36"/>
      <c r="G11" s="116"/>
      <c r="H11" s="117"/>
      <c r="I11" s="116"/>
      <c r="J11" s="116"/>
      <c r="K11" s="116"/>
      <c r="L11" s="116"/>
      <c r="M11" s="116"/>
      <c r="N11" s="79"/>
      <c r="O11" s="79"/>
      <c r="P11" s="79"/>
      <c r="Q11" s="79"/>
      <c r="R11" s="79"/>
      <c r="S11" s="116"/>
      <c r="T11" s="116"/>
      <c r="U11" s="116"/>
      <c r="V11" s="116"/>
    </row>
    <row r="12" spans="1:23" s="118" customFormat="1">
      <c r="A12" s="211"/>
      <c r="B12" s="211"/>
      <c r="C12" s="211"/>
      <c r="D12" s="211"/>
      <c r="E12" s="211"/>
      <c r="F12" s="36"/>
      <c r="G12" s="116"/>
      <c r="H12" s="117"/>
      <c r="I12" s="116"/>
      <c r="J12" s="116"/>
      <c r="K12" s="116"/>
      <c r="L12" s="116"/>
      <c r="M12" s="116"/>
      <c r="N12" s="79"/>
      <c r="O12" s="79"/>
      <c r="P12" s="79"/>
      <c r="Q12" s="79"/>
      <c r="R12" s="79"/>
      <c r="S12" s="116"/>
      <c r="T12" s="116"/>
      <c r="U12" s="116"/>
      <c r="V12" s="116"/>
    </row>
    <row r="13" spans="1:23" ht="43.5" customHeight="1">
      <c r="A13" s="221"/>
      <c r="B13" s="222"/>
      <c r="C13" s="223" t="s">
        <v>389</v>
      </c>
      <c r="D13" s="224"/>
      <c r="E13" s="225"/>
      <c r="F13" s="121"/>
      <c r="G13" s="29"/>
      <c r="N13" s="219"/>
      <c r="O13" s="219"/>
      <c r="P13" s="219"/>
      <c r="Q13" s="219"/>
      <c r="R13" s="219"/>
      <c r="S13" s="122"/>
      <c r="T13" s="122"/>
      <c r="U13" s="122"/>
      <c r="V13" s="122"/>
      <c r="W13" s="122"/>
    </row>
    <row r="14" spans="1:23" ht="12" customHeight="1">
      <c r="A14" s="123" t="s">
        <v>1</v>
      </c>
      <c r="B14" s="212"/>
      <c r="C14" s="213"/>
      <c r="D14" s="213"/>
      <c r="E14" s="214"/>
      <c r="F14" s="87"/>
      <c r="G14" s="87"/>
      <c r="N14" s="9"/>
      <c r="O14" s="9"/>
      <c r="P14" s="9"/>
      <c r="Q14" s="9"/>
      <c r="R14" s="9"/>
      <c r="S14" s="124"/>
      <c r="T14" s="124"/>
      <c r="U14" s="124"/>
      <c r="V14" s="124"/>
      <c r="W14" s="124"/>
    </row>
    <row r="15" spans="1:23" ht="12" customHeight="1">
      <c r="A15" s="125" t="s">
        <v>145</v>
      </c>
      <c r="B15" s="215"/>
      <c r="C15" s="216"/>
      <c r="D15" s="216"/>
      <c r="E15" s="217"/>
      <c r="F15" s="87"/>
      <c r="G15" s="87"/>
      <c r="N15" s="9"/>
      <c r="O15" s="9"/>
      <c r="P15" s="9"/>
      <c r="Q15" s="9"/>
      <c r="R15" s="9"/>
      <c r="S15" s="124"/>
      <c r="T15" s="124"/>
      <c r="U15" s="124"/>
      <c r="V15" s="124"/>
      <c r="W15" s="124"/>
    </row>
    <row r="16" spans="1:23" s="72" customFormat="1" ht="12" customHeight="1">
      <c r="A16" s="126" t="s">
        <v>146</v>
      </c>
      <c r="B16" s="127" t="s">
        <v>147</v>
      </c>
      <c r="C16" s="127" t="s">
        <v>148</v>
      </c>
      <c r="D16" s="127" t="s">
        <v>64</v>
      </c>
      <c r="E16" s="128" t="s">
        <v>149</v>
      </c>
      <c r="F16" s="129"/>
      <c r="G16" s="87"/>
      <c r="H16" s="35"/>
      <c r="I16" s="29"/>
      <c r="S16" s="115"/>
      <c r="T16" s="115"/>
      <c r="U16" s="115"/>
      <c r="V16" s="115"/>
      <c r="W16" s="115"/>
    </row>
    <row r="17" spans="1:28" s="79" customFormat="1" ht="12" customHeight="1">
      <c r="A17" s="1" t="str">
        <f>'Pwin Parameters'!$A$11</f>
        <v>Pre-RFP Marketing</v>
      </c>
      <c r="B17" s="130"/>
      <c r="C17" s="131"/>
      <c r="D17" s="132">
        <f>IF(C17&gt;0,VLOOKUP($C17,'Pwin Parameters'!B11:C74,2,FALSE),0)</f>
        <v>0</v>
      </c>
      <c r="E17" s="133" t="str">
        <f>IF(C17&gt;0,(1+0.1*B17)*(D17-'Pwin Parameters'!$E$13),"")</f>
        <v/>
      </c>
      <c r="F17" s="134"/>
      <c r="G17" s="87"/>
      <c r="H17" s="35"/>
      <c r="I17" s="29"/>
      <c r="S17" s="115"/>
      <c r="T17" s="115"/>
      <c r="U17" s="115"/>
      <c r="V17" s="115"/>
      <c r="W17" s="115"/>
    </row>
    <row r="18" spans="1:28" s="79" customFormat="1" ht="12" customHeight="1">
      <c r="A18" s="2" t="str">
        <f>'Pwin Parameters'!$A$16</f>
        <v>Customer's Preference</v>
      </c>
      <c r="B18" s="135"/>
      <c r="C18" s="136"/>
      <c r="D18" s="132">
        <f>IF(C18&gt;0,VLOOKUP($C18,'Pwin Parameters'!B12:C75,2,FALSE),0)</f>
        <v>0</v>
      </c>
      <c r="E18" s="133" t="str">
        <f>IF(C18&gt;0,(1+0.1*B18)*(D18-'Pwin Parameters'!$E$13),"")</f>
        <v/>
      </c>
      <c r="F18" s="134"/>
      <c r="G18" s="87"/>
      <c r="H18" s="35"/>
      <c r="I18" s="29"/>
      <c r="S18" s="115"/>
      <c r="T18" s="115"/>
      <c r="U18" s="115"/>
      <c r="V18" s="115"/>
      <c r="W18" s="115"/>
    </row>
    <row r="19" spans="1:28" s="79" customFormat="1" ht="12" customHeight="1">
      <c r="A19" s="2" t="str">
        <f>'Pwin Parameters'!$A$21</f>
        <v>Customer's Knowledge of Us</v>
      </c>
      <c r="B19" s="135"/>
      <c r="C19" s="136"/>
      <c r="D19" s="132">
        <f>IF(C19&gt;0,VLOOKUP($C19,'Pwin Parameters'!B13:C76,2,FALSE),0)</f>
        <v>0</v>
      </c>
      <c r="E19" s="133" t="str">
        <f>IF(C19&gt;0,(1+0.1*B19)*(D19-'Pwin Parameters'!$E$13),"")</f>
        <v/>
      </c>
      <c r="F19" s="134"/>
      <c r="G19" s="87"/>
      <c r="H19" s="35"/>
      <c r="S19" s="115"/>
      <c r="T19" s="115"/>
      <c r="U19" s="115"/>
      <c r="V19" s="115"/>
      <c r="W19" s="115"/>
    </row>
    <row r="20" spans="1:28" s="79" customFormat="1" ht="12" customHeight="1">
      <c r="A20" s="2" t="str">
        <f>'Pwin Parameters'!$A$26</f>
        <v>Technical</v>
      </c>
      <c r="B20" s="135"/>
      <c r="C20" s="136"/>
      <c r="D20" s="132">
        <f>IF(C20&gt;0,VLOOKUP($C20,'Pwin Parameters'!B14:C77,2,FALSE),0)</f>
        <v>0</v>
      </c>
      <c r="E20" s="133" t="str">
        <f>IF(C20&gt;0,(1+0.1*B20)*(D20-'Pwin Parameters'!$E$13),"")</f>
        <v/>
      </c>
      <c r="F20" s="134"/>
      <c r="G20" s="9"/>
      <c r="H20" s="9"/>
      <c r="N20" s="115"/>
      <c r="O20" s="115"/>
      <c r="P20" s="115"/>
      <c r="Q20" s="115"/>
      <c r="R20" s="115"/>
      <c r="S20" s="115"/>
      <c r="T20" s="115"/>
      <c r="U20" s="115"/>
      <c r="V20" s="115"/>
      <c r="W20" s="115"/>
    </row>
    <row r="21" spans="1:28" s="79" customFormat="1" ht="12" customHeight="1">
      <c r="A21" s="2" t="str">
        <f>'Pwin Parameters'!$A$31</f>
        <v>Management</v>
      </c>
      <c r="B21" s="135"/>
      <c r="C21" s="136"/>
      <c r="D21" s="132">
        <f>IF(C21&gt;0,VLOOKUP($C21,'Pwin Parameters'!B15:C78,2,FALSE),0)</f>
        <v>0</v>
      </c>
      <c r="E21" s="133" t="str">
        <f>IF(C21&gt;0,(1+0.1*B21)*(D21-'Pwin Parameters'!$E$13),"")</f>
        <v/>
      </c>
      <c r="F21" s="134"/>
      <c r="G21" s="87"/>
      <c r="H21" s="35"/>
      <c r="N21" s="115"/>
      <c r="O21" s="115"/>
      <c r="P21" s="115"/>
      <c r="Q21" s="115"/>
      <c r="R21" s="115"/>
      <c r="S21" s="115"/>
      <c r="T21" s="115"/>
      <c r="U21" s="115"/>
      <c r="V21" s="115"/>
      <c r="W21" s="115"/>
    </row>
    <row r="22" spans="1:28" s="79" customFormat="1" ht="12" customHeight="1">
      <c r="A22" s="2" t="str">
        <f>'Pwin Parameters'!$A$36</f>
        <v xml:space="preserve">Cost </v>
      </c>
      <c r="B22" s="135"/>
      <c r="C22" s="136"/>
      <c r="D22" s="132">
        <f>IF(C22&gt;0,VLOOKUP($C22,'Pwin Parameters'!B16:C79,2,FALSE),0)</f>
        <v>0</v>
      </c>
      <c r="E22" s="133" t="str">
        <f>IF(C22&gt;0,(1+0.1*B22)*(D22-'Pwin Parameters'!$E$13),"")</f>
        <v/>
      </c>
      <c r="F22" s="134"/>
      <c r="G22" s="87"/>
      <c r="H22" s="35"/>
      <c r="N22" s="115"/>
      <c r="O22" s="115"/>
      <c r="P22" s="115"/>
      <c r="Q22" s="115"/>
      <c r="R22" s="115"/>
      <c r="S22" s="115"/>
      <c r="T22" s="115"/>
      <c r="U22" s="115"/>
      <c r="V22" s="115"/>
      <c r="W22" s="115"/>
    </row>
    <row r="23" spans="1:28" s="79" customFormat="1" ht="12" customHeight="1">
      <c r="A23" s="2" t="str">
        <f>'Pwin Parameters'!$A$41</f>
        <v>Incumbency</v>
      </c>
      <c r="B23" s="135"/>
      <c r="C23" s="136"/>
      <c r="D23" s="132">
        <f>IF(C23&gt;0,VLOOKUP($C23,'Pwin Parameters'!B17:C80,2,FALSE),0)</f>
        <v>0</v>
      </c>
      <c r="E23" s="133" t="str">
        <f>IF(C23&gt;0,(1+0.1*B23)*(D23-'Pwin Parameters'!$E$13),"")</f>
        <v/>
      </c>
      <c r="F23" s="134"/>
      <c r="G23" s="87"/>
      <c r="H23" s="35"/>
      <c r="N23" s="115"/>
      <c r="O23" s="115"/>
      <c r="P23" s="115"/>
      <c r="Q23" s="115"/>
      <c r="R23" s="115"/>
      <c r="S23" s="115"/>
      <c r="T23" s="115"/>
      <c r="U23" s="115"/>
      <c r="V23" s="115"/>
      <c r="W23" s="115"/>
    </row>
    <row r="24" spans="1:28" s="79" customFormat="1" ht="12" customHeight="1">
      <c r="A24" s="2" t="str">
        <f>'Pwin Parameters'!$A$46</f>
        <v>Experience</v>
      </c>
      <c r="B24" s="135"/>
      <c r="C24" s="136"/>
      <c r="D24" s="132">
        <f>IF(C24&gt;0,VLOOKUP($C24,'Pwin Parameters'!B18:C81,2,FALSE),0)</f>
        <v>0</v>
      </c>
      <c r="E24" s="133" t="str">
        <f>IF(C24&gt;0,(1+0.1*B24)*(D24-'Pwin Parameters'!$E$13),"")</f>
        <v/>
      </c>
      <c r="F24" s="134"/>
      <c r="G24" s="87"/>
      <c r="H24" s="35"/>
      <c r="N24" s="115"/>
      <c r="O24" s="115"/>
      <c r="P24" s="115"/>
      <c r="Q24" s="115"/>
      <c r="R24" s="115"/>
      <c r="S24" s="115"/>
      <c r="T24" s="115"/>
      <c r="U24" s="115"/>
      <c r="V24" s="115"/>
      <c r="W24" s="115"/>
    </row>
    <row r="25" spans="1:28" s="79" customFormat="1" ht="12" customHeight="1">
      <c r="A25" s="2" t="str">
        <f>'Pwin Parameters'!$A$51</f>
        <v>Past Performance</v>
      </c>
      <c r="B25" s="135"/>
      <c r="C25" s="136"/>
      <c r="D25" s="132">
        <f>IF(C25&gt;0,VLOOKUP($C25,'Pwin Parameters'!B19:C97,2,FALSE),0)</f>
        <v>0</v>
      </c>
      <c r="E25" s="133" t="str">
        <f>IF(C25&gt;0,(1+0.1*B25)*(D25-'Pwin Parameters'!$E$13),"")</f>
        <v/>
      </c>
      <c r="F25" s="134"/>
      <c r="G25" s="9"/>
      <c r="H25" s="9"/>
      <c r="N25" s="115"/>
      <c r="O25" s="115"/>
      <c r="P25" s="115"/>
      <c r="Q25" s="115"/>
      <c r="R25" s="115"/>
      <c r="S25" s="115"/>
      <c r="T25" s="115"/>
      <c r="U25" s="115"/>
      <c r="V25" s="115"/>
      <c r="W25" s="115"/>
    </row>
    <row r="26" spans="1:28" s="79" customFormat="1" ht="12" customHeight="1">
      <c r="A26" s="2" t="str">
        <f>'Pwin Parameters'!$A$56</f>
        <v>Contract Risk</v>
      </c>
      <c r="B26" s="135"/>
      <c r="C26" s="136"/>
      <c r="D26" s="132">
        <f>IF(C26&gt;0,VLOOKUP($C26,'Pwin Parameters'!B20:C98,2,FALSE),0)</f>
        <v>0</v>
      </c>
      <c r="E26" s="133" t="str">
        <f>IF(C26&gt;0,(1+0.1*B26)*(D26-'Pwin Parameters'!$E$13),"")</f>
        <v/>
      </c>
      <c r="F26" s="134"/>
      <c r="G26" s="87"/>
      <c r="H26" s="35"/>
      <c r="N26" s="115"/>
      <c r="O26" s="115"/>
      <c r="P26" s="115"/>
      <c r="Q26" s="115"/>
      <c r="R26" s="115"/>
      <c r="S26" s="115"/>
      <c r="T26" s="115"/>
      <c r="U26" s="115"/>
      <c r="V26" s="115"/>
      <c r="W26" s="115"/>
    </row>
    <row r="27" spans="1:28" s="79" customFormat="1" ht="12" customHeight="1">
      <c r="A27" s="2" t="str">
        <f>'Pwin Parameters'!$A$61</f>
        <v>Contract Size</v>
      </c>
      <c r="B27" s="135"/>
      <c r="C27" s="136"/>
      <c r="D27" s="132">
        <f>IF(C27&gt;0,VLOOKUP($C27,'Pwin Parameters'!B21:C99,2,FALSE),0)</f>
        <v>0</v>
      </c>
      <c r="E27" s="133" t="str">
        <f>IF(C27&gt;0,(1+0.1*B27)*(D27-'Pwin Parameters'!$E$13),"")</f>
        <v/>
      </c>
      <c r="F27" s="134"/>
      <c r="G27" s="87"/>
      <c r="H27" s="35"/>
      <c r="N27" s="115"/>
      <c r="O27" s="115"/>
      <c r="P27" s="115"/>
      <c r="Q27" s="115"/>
      <c r="R27" s="115"/>
      <c r="S27" s="115"/>
      <c r="T27" s="115"/>
      <c r="U27" s="115"/>
      <c r="V27" s="115"/>
      <c r="W27" s="120"/>
      <c r="X27" s="137"/>
      <c r="Y27" s="32"/>
      <c r="Z27" s="32"/>
      <c r="AA27" s="32"/>
      <c r="AB27" s="32"/>
    </row>
    <row r="28" spans="1:28" s="79" customFormat="1" ht="12" customHeight="1">
      <c r="A28" s="3" t="str">
        <f>'Pwin Parameters'!$A$66</f>
        <v>Competitor Rating</v>
      </c>
      <c r="B28" s="135"/>
      <c r="C28" s="136"/>
      <c r="D28" s="132">
        <f>IF(C28&gt;0,VLOOKUP($C28,'Pwin Parameters'!B22:C100,2,FALSE),0)</f>
        <v>0</v>
      </c>
      <c r="E28" s="133" t="str">
        <f>IF(C28&gt;0,(1+0.1*B28)*(D28-'Pwin Parameters'!$E$13),"")</f>
        <v/>
      </c>
      <c r="F28" s="134"/>
      <c r="G28" s="87"/>
      <c r="H28" s="35"/>
      <c r="N28" s="115"/>
      <c r="O28" s="115"/>
      <c r="P28" s="115"/>
      <c r="Q28" s="115"/>
      <c r="R28" s="115"/>
      <c r="S28" s="115"/>
      <c r="T28" s="115"/>
      <c r="U28" s="115"/>
      <c r="V28" s="115"/>
      <c r="W28" s="36"/>
      <c r="X28" s="137"/>
      <c r="Y28" s="32"/>
      <c r="Z28" s="32"/>
      <c r="AA28" s="32"/>
      <c r="AB28" s="32"/>
    </row>
    <row r="29" spans="1:28" s="79" customFormat="1" ht="12" customHeight="1">
      <c r="A29" s="3" t="str">
        <f>'Pwin Parameters'!A71</f>
        <v>Other</v>
      </c>
      <c r="B29" s="135"/>
      <c r="C29" s="136"/>
      <c r="D29" s="132">
        <f>IF(C29&gt;0,VLOOKUP($C29,'Pwin Parameters'!B23:C101,2,FALSE),0)</f>
        <v>0</v>
      </c>
      <c r="E29" s="133" t="str">
        <f>IF(C29&gt;0,(1+0.1*B29)*(D29-'Pwin Parameters'!$E$13),"")</f>
        <v/>
      </c>
      <c r="F29" s="134"/>
      <c r="G29" s="87"/>
      <c r="H29" s="35"/>
      <c r="N29" s="115"/>
      <c r="O29" s="115"/>
      <c r="P29" s="115"/>
      <c r="Q29" s="115"/>
      <c r="R29" s="115"/>
      <c r="S29" s="115"/>
      <c r="T29" s="115"/>
      <c r="U29" s="115"/>
      <c r="V29" s="115"/>
      <c r="W29" s="120"/>
      <c r="X29" s="137"/>
      <c r="Y29" s="32"/>
      <c r="Z29" s="32"/>
      <c r="AA29" s="32"/>
      <c r="AB29" s="32"/>
    </row>
    <row r="30" spans="1:28" s="79" customFormat="1" ht="24" customHeight="1">
      <c r="B30" s="138"/>
      <c r="C30" s="139"/>
      <c r="D30" s="196" t="s">
        <v>150</v>
      </c>
      <c r="E30" s="197" t="e">
        <f>AVERAGEIF(C17:C29,"&lt;&gt;""",E17:E29)+'Pwin Parameters'!$E$13</f>
        <v>#DIV/0!</v>
      </c>
      <c r="F30" s="140"/>
      <c r="G30" s="9"/>
      <c r="H30" s="9"/>
      <c r="N30" s="115"/>
      <c r="O30" s="115"/>
      <c r="P30" s="115"/>
      <c r="Q30" s="115"/>
      <c r="R30" s="115"/>
      <c r="S30" s="115"/>
      <c r="T30" s="115"/>
      <c r="U30" s="115"/>
      <c r="V30" s="115"/>
      <c r="W30" s="36"/>
      <c r="X30" s="137"/>
      <c r="Y30" s="32"/>
      <c r="Z30" s="32"/>
      <c r="AA30" s="32"/>
      <c r="AB30" s="32"/>
    </row>
    <row r="31" spans="1:28" s="79" customFormat="1" ht="12" customHeight="1">
      <c r="A31" s="218" t="s">
        <v>151</v>
      </c>
      <c r="B31" s="218"/>
      <c r="C31" s="218"/>
      <c r="D31" s="218"/>
      <c r="E31" s="218"/>
      <c r="F31" s="140"/>
      <c r="G31" s="87"/>
      <c r="H31" s="35"/>
      <c r="N31" s="115"/>
      <c r="O31" s="115"/>
      <c r="P31" s="115"/>
      <c r="Q31" s="115"/>
      <c r="R31" s="115"/>
      <c r="S31" s="115"/>
      <c r="T31" s="115"/>
      <c r="U31" s="115"/>
      <c r="V31" s="115"/>
      <c r="W31" s="36"/>
      <c r="X31" s="137"/>
      <c r="Y31" s="32"/>
      <c r="Z31" s="32"/>
      <c r="AA31" s="32"/>
      <c r="AB31" s="32"/>
    </row>
    <row r="32" spans="1:28" s="79" customFormat="1" ht="12" customHeight="1">
      <c r="A32" s="87"/>
      <c r="B32" s="115"/>
      <c r="C32" s="115"/>
      <c r="D32" s="115"/>
      <c r="E32" s="115"/>
      <c r="F32" s="115"/>
      <c r="G32" s="87"/>
      <c r="H32" s="35"/>
      <c r="N32" s="115"/>
      <c r="O32" s="115"/>
      <c r="P32" s="115"/>
      <c r="Q32" s="115"/>
      <c r="R32" s="115"/>
      <c r="S32" s="115"/>
      <c r="T32" s="115"/>
      <c r="U32" s="115"/>
      <c r="V32" s="115"/>
      <c r="W32" s="32"/>
      <c r="X32" s="137"/>
      <c r="Y32" s="32"/>
      <c r="Z32" s="32"/>
      <c r="AA32" s="32"/>
      <c r="AB32" s="32"/>
    </row>
    <row r="33" spans="2:28" s="79" customFormat="1" ht="12" customHeight="1">
      <c r="G33" s="87"/>
      <c r="H33" s="35"/>
      <c r="N33" s="115"/>
      <c r="O33" s="115"/>
      <c r="P33" s="115"/>
      <c r="Q33" s="115"/>
      <c r="R33" s="115"/>
      <c r="S33" s="115"/>
      <c r="T33" s="115"/>
      <c r="U33" s="115"/>
      <c r="V33" s="115"/>
      <c r="W33" s="32"/>
      <c r="X33" s="137"/>
      <c r="Y33" s="32"/>
      <c r="Z33" s="32"/>
      <c r="AA33" s="32"/>
      <c r="AB33" s="32"/>
    </row>
    <row r="34" spans="2:28" s="79" customFormat="1" ht="12" customHeight="1">
      <c r="G34" s="87"/>
      <c r="H34" s="35"/>
      <c r="N34" s="115"/>
      <c r="O34" s="115"/>
      <c r="P34" s="115"/>
      <c r="Q34" s="115"/>
      <c r="R34" s="115"/>
      <c r="S34" s="115"/>
      <c r="T34" s="115"/>
      <c r="U34" s="115"/>
      <c r="V34" s="115"/>
      <c r="W34" s="32"/>
      <c r="X34" s="137"/>
      <c r="Y34" s="32"/>
      <c r="Z34" s="32"/>
      <c r="AA34" s="32"/>
      <c r="AB34" s="32"/>
    </row>
    <row r="35" spans="2:28" s="79" customFormat="1" ht="12" customHeight="1">
      <c r="G35" s="9"/>
      <c r="H35" s="9"/>
      <c r="N35" s="115"/>
      <c r="O35" s="115"/>
      <c r="P35" s="115"/>
      <c r="Q35" s="115"/>
      <c r="R35" s="115"/>
      <c r="S35" s="115"/>
      <c r="T35" s="115"/>
      <c r="U35" s="115"/>
      <c r="V35" s="115"/>
      <c r="W35" s="32"/>
      <c r="X35" s="137"/>
      <c r="Y35" s="32"/>
      <c r="Z35" s="32"/>
      <c r="AA35" s="32"/>
      <c r="AB35" s="32"/>
    </row>
    <row r="36" spans="2:28" s="79" customFormat="1" ht="12" customHeight="1">
      <c r="G36" s="87"/>
      <c r="H36" s="35"/>
      <c r="N36" s="115"/>
      <c r="O36" s="115"/>
      <c r="P36" s="115"/>
      <c r="Q36" s="115"/>
      <c r="R36" s="115"/>
      <c r="S36" s="115"/>
      <c r="T36" s="115"/>
      <c r="U36" s="115"/>
      <c r="V36" s="115"/>
      <c r="W36" s="32"/>
      <c r="X36" s="137"/>
      <c r="Y36" s="32"/>
      <c r="Z36" s="32"/>
      <c r="AA36" s="32"/>
      <c r="AB36" s="32"/>
    </row>
    <row r="37" spans="2:28" s="79" customFormat="1" ht="12" customHeight="1">
      <c r="G37" s="87"/>
      <c r="H37" s="35"/>
      <c r="N37" s="115"/>
      <c r="O37" s="115"/>
      <c r="P37" s="115"/>
      <c r="Q37" s="115"/>
      <c r="R37" s="115"/>
      <c r="S37" s="115"/>
      <c r="T37" s="115"/>
      <c r="U37" s="115"/>
      <c r="V37" s="115"/>
      <c r="W37" s="32"/>
      <c r="X37" s="137"/>
      <c r="Y37" s="32"/>
      <c r="Z37" s="32"/>
      <c r="AA37" s="32"/>
      <c r="AB37" s="32"/>
    </row>
    <row r="38" spans="2:28" s="79" customFormat="1" ht="12" customHeight="1">
      <c r="G38" s="87"/>
      <c r="H38" s="35"/>
      <c r="N38" s="115"/>
      <c r="O38" s="115"/>
      <c r="P38" s="115"/>
      <c r="Q38" s="115"/>
      <c r="R38" s="115"/>
      <c r="S38" s="115"/>
      <c r="T38" s="115"/>
      <c r="U38" s="115"/>
      <c r="V38" s="115"/>
      <c r="W38" s="32"/>
      <c r="X38" s="137"/>
      <c r="Y38" s="32"/>
      <c r="Z38" s="32"/>
      <c r="AA38" s="32"/>
      <c r="AB38" s="32"/>
    </row>
    <row r="39" spans="2:28" s="79" customFormat="1" ht="12" customHeight="1">
      <c r="G39" s="87"/>
      <c r="H39" s="35"/>
      <c r="N39" s="115"/>
      <c r="O39" s="115"/>
      <c r="P39" s="115"/>
      <c r="Q39" s="115"/>
      <c r="R39" s="115"/>
      <c r="S39" s="115"/>
      <c r="T39" s="115"/>
      <c r="U39" s="115"/>
      <c r="V39" s="115"/>
      <c r="W39" s="32"/>
      <c r="X39" s="137"/>
      <c r="Y39" s="32"/>
      <c r="Z39" s="32"/>
      <c r="AA39" s="32"/>
      <c r="AB39" s="32"/>
    </row>
    <row r="40" spans="2:28" s="79" customFormat="1" ht="12" customHeight="1">
      <c r="G40" s="9"/>
      <c r="H40" s="9"/>
      <c r="I40" s="29"/>
      <c r="N40" s="115"/>
      <c r="O40" s="115"/>
      <c r="P40" s="115"/>
      <c r="Q40" s="115"/>
      <c r="R40" s="115"/>
      <c r="S40" s="115"/>
      <c r="T40" s="115"/>
      <c r="U40" s="115"/>
      <c r="V40" s="115"/>
      <c r="W40" s="32"/>
      <c r="X40" s="137"/>
      <c r="Y40" s="32"/>
      <c r="Z40" s="32"/>
      <c r="AA40" s="32"/>
      <c r="AB40" s="32"/>
    </row>
    <row r="41" spans="2:28" s="29" customFormat="1" ht="12" customHeight="1">
      <c r="G41" s="87"/>
      <c r="H41" s="35"/>
      <c r="N41" s="115"/>
      <c r="O41" s="115"/>
      <c r="P41" s="115"/>
      <c r="Q41" s="115"/>
      <c r="R41" s="115"/>
      <c r="S41" s="115"/>
      <c r="T41" s="115"/>
      <c r="U41" s="115"/>
      <c r="V41" s="115"/>
      <c r="W41" s="87"/>
      <c r="X41" s="87"/>
      <c r="Y41" s="87"/>
      <c r="Z41" s="87"/>
      <c r="AA41" s="87"/>
      <c r="AB41" s="87"/>
    </row>
    <row r="42" spans="2:28" s="29" customFormat="1" ht="12" customHeight="1">
      <c r="G42" s="87"/>
      <c r="H42" s="35"/>
      <c r="N42" s="115"/>
      <c r="O42" s="115"/>
      <c r="P42" s="115"/>
      <c r="Q42" s="115"/>
      <c r="R42" s="115"/>
      <c r="S42" s="115"/>
      <c r="T42" s="115"/>
      <c r="U42" s="115"/>
      <c r="V42" s="115"/>
      <c r="W42" s="87"/>
      <c r="X42" s="87"/>
      <c r="Y42" s="87"/>
      <c r="Z42" s="87"/>
      <c r="AA42" s="87"/>
      <c r="AB42" s="87"/>
    </row>
    <row r="43" spans="2:28" s="29" customFormat="1" ht="12" customHeight="1">
      <c r="G43" s="87"/>
      <c r="H43" s="35"/>
      <c r="I43" s="33"/>
      <c r="N43" s="115"/>
      <c r="O43" s="115"/>
      <c r="P43" s="115"/>
      <c r="Q43" s="115"/>
      <c r="R43" s="115"/>
      <c r="S43" s="115"/>
      <c r="T43" s="115"/>
      <c r="U43" s="115"/>
      <c r="V43" s="115"/>
      <c r="W43" s="87"/>
      <c r="X43" s="87"/>
      <c r="Y43" s="87"/>
      <c r="Z43" s="87"/>
      <c r="AA43" s="87"/>
      <c r="AB43" s="87"/>
    </row>
    <row r="44" spans="2:28" ht="12" customHeight="1">
      <c r="G44" s="87"/>
      <c r="I44" s="79"/>
      <c r="N44" s="115"/>
      <c r="O44" s="115"/>
      <c r="P44" s="115"/>
      <c r="Q44" s="115"/>
      <c r="R44" s="115"/>
      <c r="S44" s="115"/>
      <c r="T44" s="115"/>
      <c r="U44" s="115"/>
      <c r="V44" s="115"/>
      <c r="W44" s="87"/>
      <c r="X44" s="87"/>
      <c r="Y44" s="87"/>
      <c r="Z44" s="87"/>
      <c r="AA44" s="87"/>
      <c r="AB44" s="87"/>
    </row>
    <row r="45" spans="2:28" s="79" customFormat="1" ht="12" customHeight="1">
      <c r="G45" s="9"/>
      <c r="H45" s="9"/>
      <c r="I45" s="9"/>
      <c r="N45" s="115"/>
      <c r="O45" s="115"/>
      <c r="P45" s="115"/>
      <c r="Q45" s="115"/>
      <c r="R45" s="115"/>
      <c r="S45" s="115"/>
      <c r="T45" s="115"/>
      <c r="U45" s="115"/>
      <c r="V45" s="115"/>
      <c r="W45" s="32"/>
      <c r="X45" s="32"/>
      <c r="Y45" s="32"/>
      <c r="Z45" s="32"/>
      <c r="AA45" s="32"/>
      <c r="AB45" s="32"/>
    </row>
    <row r="46" spans="2:28" ht="12" customHeight="1">
      <c r="B46" s="9"/>
      <c r="C46" s="9"/>
      <c r="D46" s="9"/>
      <c r="E46" s="9"/>
      <c r="F46" s="9"/>
      <c r="G46" s="87"/>
      <c r="I46" s="9"/>
      <c r="J46" s="9"/>
      <c r="K46" s="9"/>
      <c r="L46" s="9"/>
      <c r="M46" s="9"/>
      <c r="N46" s="115"/>
      <c r="O46" s="115"/>
      <c r="P46" s="115"/>
      <c r="Q46" s="115"/>
      <c r="R46" s="115"/>
      <c r="S46" s="115"/>
      <c r="T46" s="115"/>
      <c r="U46" s="115"/>
      <c r="V46" s="115"/>
      <c r="W46" s="87"/>
      <c r="X46" s="87"/>
      <c r="Y46" s="87"/>
      <c r="Z46" s="87"/>
      <c r="AA46" s="87"/>
      <c r="AB46" s="87"/>
    </row>
    <row r="47" spans="2:28" ht="12" customHeight="1">
      <c r="B47" s="9"/>
      <c r="C47" s="9"/>
      <c r="D47" s="9"/>
      <c r="E47" s="9"/>
      <c r="F47" s="9"/>
      <c r="G47" s="87"/>
      <c r="I47" s="9"/>
      <c r="J47" s="9"/>
      <c r="K47" s="9"/>
      <c r="L47" s="9"/>
      <c r="M47" s="9"/>
      <c r="N47" s="115"/>
      <c r="O47" s="115"/>
      <c r="P47" s="115"/>
      <c r="Q47" s="115"/>
      <c r="R47" s="115"/>
      <c r="S47" s="115"/>
      <c r="T47" s="115"/>
      <c r="U47" s="115"/>
      <c r="V47" s="115"/>
      <c r="W47" s="87"/>
      <c r="X47" s="87"/>
      <c r="Y47" s="87"/>
      <c r="Z47" s="87"/>
      <c r="AA47" s="87"/>
      <c r="AB47" s="87"/>
    </row>
    <row r="48" spans="2:28" ht="12" customHeight="1">
      <c r="B48" s="9"/>
      <c r="C48" s="9"/>
      <c r="D48" s="9"/>
      <c r="E48" s="9"/>
      <c r="F48" s="9"/>
      <c r="G48" s="87"/>
      <c r="I48" s="9"/>
      <c r="J48" s="9"/>
      <c r="K48" s="9"/>
      <c r="L48" s="9"/>
      <c r="M48" s="9"/>
      <c r="N48" s="115"/>
      <c r="O48" s="115"/>
      <c r="P48" s="115"/>
      <c r="Q48" s="115"/>
      <c r="R48" s="115"/>
      <c r="S48" s="115"/>
      <c r="T48" s="115"/>
      <c r="U48" s="115"/>
      <c r="V48" s="115"/>
      <c r="W48" s="87"/>
      <c r="X48" s="87"/>
      <c r="Y48" s="87"/>
      <c r="Z48" s="87"/>
      <c r="AA48" s="87"/>
      <c r="AB48" s="87"/>
    </row>
    <row r="49" spans="7:28" s="9" customFormat="1" ht="12" customHeight="1">
      <c r="G49" s="87"/>
      <c r="H49" s="35"/>
      <c r="N49" s="115"/>
      <c r="O49" s="115"/>
      <c r="P49" s="115"/>
      <c r="Q49" s="115"/>
      <c r="R49" s="115"/>
      <c r="S49" s="115"/>
      <c r="T49" s="115"/>
      <c r="U49" s="115"/>
      <c r="V49" s="115"/>
      <c r="W49" s="87"/>
      <c r="X49" s="87"/>
      <c r="Y49" s="87"/>
      <c r="Z49" s="87"/>
      <c r="AA49" s="87"/>
      <c r="AB49" s="87"/>
    </row>
    <row r="50" spans="7:28" s="9" customFormat="1" ht="12" customHeight="1">
      <c r="N50" s="115"/>
      <c r="O50" s="115"/>
      <c r="P50" s="115"/>
      <c r="Q50" s="115"/>
      <c r="R50" s="115"/>
      <c r="S50" s="115"/>
      <c r="T50" s="115"/>
      <c r="U50" s="115"/>
      <c r="V50" s="115"/>
      <c r="W50" s="87"/>
      <c r="X50" s="87"/>
      <c r="Y50" s="87"/>
      <c r="Z50" s="87"/>
      <c r="AA50" s="87"/>
      <c r="AB50" s="87"/>
    </row>
    <row r="51" spans="7:28" s="9" customFormat="1" ht="12" customHeight="1">
      <c r="G51" s="87"/>
      <c r="H51" s="35"/>
      <c r="N51" s="115"/>
      <c r="O51" s="115"/>
      <c r="P51" s="115"/>
      <c r="Q51" s="115"/>
      <c r="R51" s="115"/>
      <c r="S51" s="115"/>
      <c r="T51" s="115"/>
      <c r="U51" s="115"/>
      <c r="V51" s="115"/>
      <c r="W51" s="87"/>
      <c r="X51" s="87"/>
      <c r="Y51" s="87"/>
      <c r="Z51" s="87"/>
      <c r="AA51" s="87"/>
      <c r="AB51" s="87"/>
    </row>
    <row r="52" spans="7:28" s="9" customFormat="1" ht="12" customHeight="1">
      <c r="G52" s="87"/>
      <c r="H52" s="35"/>
      <c r="N52" s="115"/>
      <c r="O52" s="115"/>
      <c r="P52" s="115"/>
      <c r="Q52" s="115"/>
      <c r="R52" s="115"/>
      <c r="S52" s="115"/>
      <c r="T52" s="115"/>
      <c r="U52" s="115"/>
      <c r="V52" s="115"/>
      <c r="W52" s="87"/>
      <c r="X52" s="87"/>
      <c r="Y52" s="87"/>
      <c r="Z52" s="87"/>
      <c r="AA52" s="87"/>
      <c r="AB52" s="87"/>
    </row>
    <row r="53" spans="7:28" s="9" customFormat="1" ht="12" customHeight="1">
      <c r="G53" s="87"/>
      <c r="H53" s="35"/>
      <c r="N53" s="115"/>
      <c r="O53" s="115"/>
      <c r="P53" s="115"/>
      <c r="Q53" s="115"/>
      <c r="R53" s="115"/>
      <c r="S53" s="115"/>
      <c r="T53" s="115"/>
      <c r="U53" s="115"/>
      <c r="V53" s="115"/>
      <c r="W53" s="87"/>
      <c r="X53" s="87"/>
      <c r="Y53" s="87"/>
      <c r="Z53" s="87"/>
      <c r="AA53" s="87"/>
      <c r="AB53" s="87"/>
    </row>
    <row r="54" spans="7:28" s="9" customFormat="1" ht="12" customHeight="1">
      <c r="G54" s="87"/>
      <c r="H54" s="35"/>
      <c r="N54" s="115"/>
      <c r="O54" s="115"/>
      <c r="P54" s="115"/>
      <c r="Q54" s="115"/>
      <c r="R54" s="115"/>
      <c r="S54" s="115"/>
      <c r="T54" s="115"/>
      <c r="U54" s="115"/>
      <c r="V54" s="115"/>
      <c r="W54" s="87"/>
      <c r="X54" s="87"/>
      <c r="Y54" s="87"/>
      <c r="Z54" s="87"/>
      <c r="AA54" s="87"/>
      <c r="AB54" s="87"/>
    </row>
    <row r="55" spans="7:28" s="9" customFormat="1" ht="12" customHeight="1">
      <c r="N55" s="115"/>
      <c r="O55" s="115"/>
      <c r="P55" s="115"/>
      <c r="Q55" s="115"/>
      <c r="R55" s="115"/>
      <c r="S55" s="115"/>
      <c r="T55" s="115"/>
      <c r="U55" s="115"/>
      <c r="V55" s="115"/>
      <c r="W55" s="87"/>
      <c r="X55" s="87"/>
      <c r="Y55" s="87"/>
      <c r="Z55" s="87"/>
      <c r="AA55" s="87"/>
      <c r="AB55" s="87"/>
    </row>
    <row r="56" spans="7:28" s="9" customFormat="1" ht="12" customHeight="1">
      <c r="G56" s="87"/>
      <c r="H56" s="35"/>
      <c r="N56" s="115"/>
      <c r="O56" s="115"/>
      <c r="P56" s="115"/>
      <c r="Q56" s="115"/>
      <c r="R56" s="115"/>
      <c r="S56" s="115"/>
      <c r="T56" s="115"/>
      <c r="U56" s="115"/>
      <c r="V56" s="115"/>
      <c r="W56" s="87"/>
      <c r="X56" s="87"/>
      <c r="Y56" s="87"/>
      <c r="Z56" s="87"/>
      <c r="AA56" s="87"/>
      <c r="AB56" s="87"/>
    </row>
    <row r="57" spans="7:28" s="9" customFormat="1" ht="12" customHeight="1">
      <c r="G57" s="87"/>
      <c r="H57" s="35"/>
      <c r="N57" s="115"/>
      <c r="O57" s="115"/>
      <c r="P57" s="115"/>
      <c r="Q57" s="115"/>
      <c r="R57" s="115"/>
      <c r="S57" s="115"/>
      <c r="T57" s="115"/>
      <c r="U57" s="115"/>
      <c r="V57" s="115"/>
      <c r="W57" s="87"/>
      <c r="X57" s="87"/>
      <c r="Y57" s="87"/>
      <c r="Z57" s="87"/>
      <c r="AA57" s="87"/>
      <c r="AB57" s="87"/>
    </row>
    <row r="58" spans="7:28" s="9" customFormat="1" ht="12" customHeight="1">
      <c r="G58" s="87"/>
      <c r="H58" s="35"/>
      <c r="N58" s="115"/>
      <c r="O58" s="115"/>
      <c r="P58" s="115"/>
      <c r="Q58" s="115"/>
      <c r="R58" s="115"/>
      <c r="S58" s="115"/>
      <c r="T58" s="115"/>
      <c r="U58" s="115"/>
      <c r="V58" s="115"/>
      <c r="W58" s="87"/>
      <c r="X58" s="87"/>
      <c r="Y58" s="87"/>
      <c r="Z58" s="87"/>
      <c r="AA58" s="87"/>
      <c r="AB58" s="87"/>
    </row>
    <row r="59" spans="7:28" s="9" customFormat="1" ht="12" customHeight="1">
      <c r="G59" s="87"/>
      <c r="H59" s="35"/>
      <c r="N59" s="115"/>
      <c r="O59" s="115"/>
      <c r="P59" s="115"/>
      <c r="Q59" s="115"/>
      <c r="R59" s="115"/>
      <c r="S59" s="115"/>
      <c r="T59" s="115"/>
      <c r="U59" s="115"/>
      <c r="V59" s="115"/>
      <c r="W59" s="87"/>
      <c r="X59" s="87"/>
      <c r="Y59" s="87"/>
      <c r="Z59" s="87"/>
      <c r="AA59" s="87"/>
      <c r="AB59" s="87"/>
    </row>
    <row r="60" spans="7:28" s="9" customFormat="1" ht="12" customHeight="1">
      <c r="N60" s="115"/>
      <c r="O60" s="115"/>
      <c r="P60" s="115"/>
      <c r="Q60" s="115"/>
      <c r="R60" s="115"/>
      <c r="S60" s="115"/>
      <c r="T60" s="115"/>
      <c r="U60" s="115"/>
      <c r="V60" s="115"/>
      <c r="W60" s="87"/>
      <c r="X60" s="87"/>
      <c r="Y60" s="87"/>
      <c r="Z60" s="87"/>
      <c r="AA60" s="87"/>
      <c r="AB60" s="87"/>
    </row>
    <row r="61" spans="7:28" s="9" customFormat="1" ht="12" customHeight="1">
      <c r="G61" s="87"/>
      <c r="H61" s="35"/>
      <c r="N61" s="115"/>
      <c r="O61" s="115"/>
      <c r="P61" s="115"/>
      <c r="Q61" s="115"/>
      <c r="R61" s="115"/>
      <c r="S61" s="115"/>
      <c r="T61" s="115"/>
      <c r="U61" s="115"/>
      <c r="V61" s="115"/>
      <c r="W61" s="87"/>
      <c r="X61" s="87"/>
      <c r="Y61" s="87"/>
      <c r="Z61" s="87"/>
      <c r="AA61" s="87"/>
      <c r="AB61" s="87"/>
    </row>
    <row r="62" spans="7:28" s="9" customFormat="1" ht="12" customHeight="1">
      <c r="G62" s="87"/>
      <c r="H62" s="35"/>
      <c r="N62" s="115"/>
      <c r="O62" s="115"/>
      <c r="P62" s="115"/>
      <c r="Q62" s="115"/>
      <c r="R62" s="115"/>
      <c r="S62" s="115"/>
      <c r="T62" s="115"/>
      <c r="U62" s="115"/>
      <c r="V62" s="115"/>
      <c r="W62" s="87"/>
      <c r="X62" s="87"/>
      <c r="Y62" s="87"/>
      <c r="Z62" s="87"/>
      <c r="AA62" s="87"/>
      <c r="AB62" s="87"/>
    </row>
    <row r="63" spans="7:28" s="9" customFormat="1" ht="12" customHeight="1">
      <c r="G63" s="87"/>
      <c r="H63" s="35"/>
      <c r="N63" s="115"/>
      <c r="O63" s="115"/>
      <c r="P63" s="115"/>
      <c r="Q63" s="115"/>
      <c r="R63" s="115"/>
      <c r="S63" s="115"/>
      <c r="T63" s="115"/>
      <c r="U63" s="115"/>
      <c r="V63" s="115"/>
      <c r="W63" s="87"/>
      <c r="X63" s="87"/>
      <c r="Y63" s="87"/>
      <c r="Z63" s="87"/>
      <c r="AA63" s="87"/>
      <c r="AB63" s="87"/>
    </row>
    <row r="64" spans="7:28" s="9" customFormat="1" ht="12" customHeight="1">
      <c r="G64" s="87"/>
      <c r="H64" s="35"/>
      <c r="N64" s="115"/>
      <c r="O64" s="115"/>
      <c r="P64" s="115"/>
      <c r="Q64" s="115"/>
      <c r="R64" s="115"/>
      <c r="S64" s="115"/>
      <c r="T64" s="115"/>
      <c r="U64" s="115"/>
      <c r="V64" s="115"/>
      <c r="W64" s="87"/>
      <c r="X64" s="87"/>
      <c r="Y64" s="87"/>
      <c r="Z64" s="87"/>
      <c r="AA64" s="87"/>
      <c r="AB64" s="87"/>
    </row>
    <row r="65" spans="7:28" s="9" customFormat="1" ht="12" customHeight="1">
      <c r="N65" s="115"/>
      <c r="O65" s="115"/>
      <c r="P65" s="115"/>
      <c r="Q65" s="115"/>
      <c r="R65" s="115"/>
      <c r="S65" s="115"/>
      <c r="T65" s="115"/>
      <c r="U65" s="115"/>
      <c r="V65" s="115"/>
      <c r="W65" s="87"/>
      <c r="X65" s="87"/>
      <c r="Y65" s="87"/>
      <c r="Z65" s="87"/>
      <c r="AA65" s="87"/>
      <c r="AB65" s="87"/>
    </row>
    <row r="66" spans="7:28" s="9" customFormat="1" ht="12" customHeight="1">
      <c r="G66" s="141"/>
      <c r="H66" s="35"/>
      <c r="N66" s="115"/>
      <c r="O66" s="115"/>
      <c r="P66" s="115"/>
      <c r="Q66" s="115"/>
      <c r="R66" s="115"/>
      <c r="S66" s="115"/>
      <c r="T66" s="115"/>
      <c r="U66" s="115"/>
      <c r="V66" s="115"/>
      <c r="W66" s="87"/>
      <c r="X66" s="87"/>
      <c r="Y66" s="87"/>
      <c r="Z66" s="87"/>
      <c r="AA66" s="87"/>
      <c r="AB66" s="87"/>
    </row>
    <row r="67" spans="7:28" s="9" customFormat="1" ht="12" customHeight="1">
      <c r="G67" s="141"/>
      <c r="H67" s="35"/>
      <c r="N67" s="115"/>
      <c r="O67" s="115"/>
      <c r="P67" s="115"/>
      <c r="Q67" s="115"/>
      <c r="R67" s="115"/>
      <c r="S67" s="115"/>
      <c r="T67" s="115"/>
      <c r="U67" s="115"/>
      <c r="V67" s="115"/>
      <c r="W67" s="87"/>
      <c r="X67" s="87"/>
      <c r="Y67" s="87"/>
      <c r="Z67" s="87"/>
      <c r="AA67" s="87"/>
      <c r="AB67" s="87"/>
    </row>
    <row r="68" spans="7:28" s="9" customFormat="1" ht="12" customHeight="1">
      <c r="G68" s="141"/>
      <c r="H68" s="35"/>
      <c r="N68" s="115"/>
      <c r="O68" s="115"/>
      <c r="P68" s="115"/>
      <c r="Q68" s="115"/>
      <c r="R68" s="115"/>
      <c r="S68" s="115"/>
      <c r="T68" s="115"/>
      <c r="U68" s="115"/>
      <c r="V68" s="115"/>
      <c r="W68" s="87"/>
      <c r="X68" s="87"/>
      <c r="Y68" s="87"/>
      <c r="Z68" s="87"/>
      <c r="AA68" s="87"/>
      <c r="AB68" s="87"/>
    </row>
    <row r="69" spans="7:28" s="9" customFormat="1" ht="12" customHeight="1">
      <c r="G69" s="141"/>
      <c r="H69" s="35"/>
      <c r="N69" s="115"/>
      <c r="O69" s="115"/>
      <c r="P69" s="115"/>
      <c r="Q69" s="115"/>
      <c r="R69" s="115"/>
      <c r="S69" s="115"/>
      <c r="T69" s="115"/>
      <c r="U69" s="115"/>
      <c r="V69" s="115"/>
      <c r="W69" s="87"/>
      <c r="X69" s="87"/>
      <c r="Y69" s="87"/>
      <c r="Z69" s="87"/>
      <c r="AA69" s="87"/>
      <c r="AB69" s="87"/>
    </row>
    <row r="70" spans="7:28" s="9" customFormat="1" ht="12" customHeight="1">
      <c r="N70" s="115"/>
      <c r="O70" s="115"/>
      <c r="P70" s="115"/>
      <c r="Q70" s="115"/>
      <c r="R70" s="115"/>
      <c r="S70" s="115"/>
      <c r="T70" s="115"/>
      <c r="U70" s="115"/>
      <c r="V70" s="115"/>
      <c r="W70" s="87"/>
      <c r="X70" s="87"/>
      <c r="Y70" s="87"/>
      <c r="Z70" s="87"/>
      <c r="AA70" s="87"/>
      <c r="AB70" s="87"/>
    </row>
    <row r="71" spans="7:28" s="9" customFormat="1" ht="12" customHeight="1">
      <c r="G71" s="141"/>
      <c r="H71" s="35"/>
      <c r="N71" s="115"/>
      <c r="O71" s="115"/>
      <c r="P71" s="115"/>
      <c r="Q71" s="115"/>
      <c r="R71" s="115"/>
      <c r="S71" s="115"/>
      <c r="T71" s="115"/>
      <c r="U71" s="115"/>
      <c r="V71" s="115"/>
      <c r="W71" s="87"/>
      <c r="X71" s="87"/>
      <c r="Y71" s="87"/>
      <c r="Z71" s="87"/>
      <c r="AA71" s="87"/>
      <c r="AB71" s="87"/>
    </row>
    <row r="72" spans="7:28" s="9" customFormat="1" ht="12" customHeight="1">
      <c r="G72" s="141"/>
      <c r="H72" s="35"/>
      <c r="N72" s="115"/>
      <c r="O72" s="115"/>
      <c r="P72" s="115"/>
      <c r="Q72" s="115"/>
      <c r="R72" s="115"/>
      <c r="S72" s="115"/>
      <c r="T72" s="115"/>
      <c r="U72" s="115"/>
      <c r="V72" s="115"/>
      <c r="W72" s="87"/>
      <c r="X72" s="87"/>
      <c r="Y72" s="87"/>
      <c r="Z72" s="87"/>
      <c r="AA72" s="87"/>
      <c r="AB72" s="87"/>
    </row>
    <row r="73" spans="7:28" s="9" customFormat="1" ht="12" customHeight="1">
      <c r="G73" s="141"/>
      <c r="H73" s="35"/>
      <c r="N73" s="115"/>
      <c r="O73" s="115"/>
      <c r="P73" s="115"/>
      <c r="Q73" s="115"/>
      <c r="R73" s="115"/>
      <c r="S73" s="115"/>
      <c r="T73" s="115"/>
      <c r="U73" s="115"/>
      <c r="V73" s="115"/>
      <c r="W73" s="87"/>
      <c r="X73" s="87"/>
      <c r="Y73" s="87"/>
      <c r="Z73" s="87"/>
      <c r="AA73" s="87"/>
      <c r="AB73" s="87"/>
    </row>
    <row r="74" spans="7:28" s="9" customFormat="1">
      <c r="G74" s="141"/>
      <c r="H74" s="35"/>
      <c r="N74" s="115"/>
      <c r="O74" s="115"/>
      <c r="P74" s="115"/>
      <c r="Q74" s="115"/>
      <c r="R74" s="115"/>
      <c r="S74" s="115"/>
      <c r="T74" s="115"/>
      <c r="U74" s="115"/>
      <c r="V74" s="115"/>
      <c r="W74" s="87"/>
      <c r="X74" s="87"/>
      <c r="Y74" s="87"/>
      <c r="Z74" s="87"/>
      <c r="AA74" s="87"/>
      <c r="AB74" s="87"/>
    </row>
    <row r="75" spans="7:28" s="9" customFormat="1">
      <c r="G75" s="26"/>
      <c r="N75" s="33"/>
      <c r="O75" s="33"/>
      <c r="P75" s="33"/>
      <c r="Q75" s="33"/>
      <c r="R75" s="33"/>
      <c r="S75" s="33"/>
      <c r="T75" s="33"/>
      <c r="U75" s="33"/>
      <c r="V75" s="33"/>
    </row>
    <row r="76" spans="7:28" s="9" customFormat="1">
      <c r="G76" s="29"/>
      <c r="H76" s="35"/>
      <c r="N76" s="33"/>
      <c r="O76" s="33"/>
      <c r="P76" s="33"/>
      <c r="Q76" s="33"/>
      <c r="R76" s="33"/>
      <c r="S76" s="33"/>
      <c r="T76" s="33"/>
      <c r="U76" s="33"/>
      <c r="V76" s="33"/>
    </row>
    <row r="77" spans="7:28" s="9" customFormat="1">
      <c r="G77" s="29"/>
      <c r="H77" s="35"/>
      <c r="N77" s="33"/>
      <c r="O77" s="33"/>
      <c r="P77" s="33"/>
      <c r="Q77" s="33"/>
      <c r="R77" s="33"/>
      <c r="S77" s="33"/>
      <c r="T77" s="33"/>
      <c r="U77" s="33"/>
      <c r="V77" s="33"/>
    </row>
    <row r="78" spans="7:28" s="9" customFormat="1">
      <c r="G78" s="29"/>
      <c r="H78" s="35"/>
      <c r="N78" s="33"/>
      <c r="O78" s="33"/>
      <c r="P78" s="33"/>
      <c r="Q78" s="33"/>
      <c r="R78" s="33"/>
      <c r="S78" s="33"/>
      <c r="T78" s="33"/>
      <c r="U78" s="33"/>
      <c r="V78" s="33"/>
    </row>
    <row r="79" spans="7:28" s="9" customFormat="1">
      <c r="G79" s="29"/>
      <c r="H79" s="35"/>
      <c r="N79" s="33"/>
      <c r="O79" s="33"/>
      <c r="P79" s="33"/>
      <c r="Q79" s="33"/>
      <c r="R79" s="33"/>
      <c r="S79" s="33"/>
      <c r="T79" s="33"/>
      <c r="U79" s="33"/>
      <c r="V79" s="33"/>
    </row>
    <row r="80" spans="7:28" s="9" customFormat="1">
      <c r="G80" s="29"/>
      <c r="H80" s="29"/>
      <c r="N80" s="33"/>
      <c r="O80" s="33"/>
      <c r="P80" s="33"/>
      <c r="Q80" s="33"/>
      <c r="R80" s="33"/>
      <c r="S80" s="33"/>
      <c r="T80" s="33"/>
      <c r="U80" s="33"/>
      <c r="V80" s="33"/>
    </row>
    <row r="81" spans="7:22" s="9" customFormat="1">
      <c r="G81" s="29"/>
      <c r="H81" s="35"/>
      <c r="I81" s="33"/>
      <c r="N81" s="33"/>
      <c r="O81" s="33"/>
      <c r="P81" s="33"/>
      <c r="Q81" s="33"/>
      <c r="R81" s="33"/>
      <c r="S81" s="33"/>
      <c r="T81" s="33"/>
      <c r="U81" s="33"/>
      <c r="V81" s="33"/>
    </row>
    <row r="82" spans="7:22" s="9" customFormat="1">
      <c r="G82" s="29"/>
      <c r="H82" s="35"/>
      <c r="I82" s="33"/>
      <c r="J82" s="33"/>
      <c r="K82" s="33"/>
      <c r="L82" s="33"/>
      <c r="M82" s="33"/>
      <c r="N82" s="33"/>
      <c r="O82" s="33"/>
      <c r="P82" s="33"/>
      <c r="Q82" s="33"/>
      <c r="R82" s="33"/>
      <c r="S82" s="33"/>
      <c r="T82" s="33"/>
      <c r="U82" s="33"/>
      <c r="V82" s="33"/>
    </row>
    <row r="83" spans="7:22" s="9" customFormat="1">
      <c r="G83" s="29"/>
      <c r="H83" s="35"/>
      <c r="I83" s="33"/>
      <c r="J83" s="33"/>
      <c r="K83" s="33"/>
      <c r="L83" s="33"/>
      <c r="M83" s="33"/>
      <c r="N83" s="33"/>
      <c r="O83" s="33"/>
      <c r="P83" s="33"/>
      <c r="Q83" s="33"/>
      <c r="R83" s="33"/>
      <c r="S83" s="33"/>
      <c r="T83" s="33"/>
      <c r="U83" s="33"/>
      <c r="V83" s="33"/>
    </row>
    <row r="84" spans="7:22" s="9" customFormat="1">
      <c r="G84" s="29"/>
      <c r="H84" s="35"/>
      <c r="I84" s="33"/>
      <c r="J84" s="33"/>
      <c r="K84" s="33"/>
      <c r="L84" s="33"/>
      <c r="M84" s="33"/>
      <c r="N84" s="33"/>
      <c r="O84" s="33"/>
      <c r="P84" s="33"/>
      <c r="Q84" s="33"/>
      <c r="R84" s="33"/>
      <c r="S84" s="33"/>
      <c r="T84" s="33"/>
      <c r="U84" s="33"/>
      <c r="V84" s="33"/>
    </row>
    <row r="85" spans="7:22" s="9" customFormat="1">
      <c r="G85" s="29"/>
      <c r="H85" s="35"/>
      <c r="I85" s="33"/>
      <c r="J85" s="33"/>
      <c r="K85" s="33"/>
      <c r="L85" s="33"/>
      <c r="M85" s="33"/>
      <c r="N85" s="33"/>
      <c r="O85" s="33"/>
      <c r="P85" s="33"/>
      <c r="Q85" s="33"/>
      <c r="R85" s="33"/>
      <c r="S85" s="33"/>
      <c r="T85" s="33"/>
      <c r="U85" s="33"/>
      <c r="V85" s="33"/>
    </row>
    <row r="86" spans="7:22" s="9" customFormat="1">
      <c r="G86" s="29"/>
      <c r="H86" s="35"/>
      <c r="I86" s="33"/>
      <c r="J86" s="33"/>
      <c r="K86" s="33"/>
      <c r="L86" s="33"/>
      <c r="M86" s="33"/>
      <c r="N86" s="33"/>
      <c r="O86" s="33"/>
      <c r="P86" s="33"/>
      <c r="Q86" s="33"/>
      <c r="R86" s="33"/>
      <c r="S86" s="33"/>
      <c r="T86" s="33"/>
      <c r="U86" s="33"/>
      <c r="V86" s="33"/>
    </row>
    <row r="87" spans="7:22" s="9" customFormat="1">
      <c r="G87" s="29"/>
      <c r="H87" s="35"/>
      <c r="I87" s="33"/>
      <c r="J87" s="33"/>
      <c r="K87" s="33"/>
      <c r="L87" s="33"/>
      <c r="M87" s="33"/>
      <c r="N87" s="33"/>
      <c r="O87" s="33"/>
      <c r="P87" s="33"/>
      <c r="Q87" s="33"/>
      <c r="R87" s="33"/>
      <c r="S87" s="33"/>
      <c r="T87" s="33"/>
      <c r="U87" s="33"/>
      <c r="V87" s="33"/>
    </row>
    <row r="88" spans="7:22" s="9" customFormat="1">
      <c r="G88" s="29"/>
      <c r="H88" s="35"/>
      <c r="I88" s="33"/>
      <c r="J88" s="33"/>
      <c r="K88" s="33"/>
      <c r="L88" s="33"/>
      <c r="M88" s="33"/>
      <c r="N88" s="33"/>
      <c r="O88" s="33"/>
      <c r="P88" s="33"/>
      <c r="Q88" s="33"/>
      <c r="R88" s="33"/>
      <c r="S88" s="33"/>
      <c r="T88" s="33"/>
      <c r="U88" s="33"/>
      <c r="V88" s="33"/>
    </row>
    <row r="89" spans="7:22" s="9" customFormat="1">
      <c r="G89" s="29"/>
      <c r="H89" s="35"/>
      <c r="I89" s="33"/>
      <c r="J89" s="33"/>
      <c r="K89" s="33"/>
      <c r="L89" s="33"/>
      <c r="M89" s="33"/>
      <c r="N89" s="33"/>
      <c r="O89" s="33"/>
      <c r="P89" s="33"/>
      <c r="Q89" s="33"/>
      <c r="R89" s="33"/>
      <c r="S89" s="33"/>
      <c r="T89" s="33"/>
      <c r="U89" s="33"/>
      <c r="V89" s="33"/>
    </row>
    <row r="90" spans="7:22" s="9" customFormat="1">
      <c r="G90" s="29"/>
      <c r="H90" s="35"/>
      <c r="I90" s="33"/>
      <c r="J90" s="33"/>
      <c r="K90" s="33"/>
      <c r="L90" s="33"/>
      <c r="M90" s="33"/>
      <c r="N90" s="33"/>
      <c r="O90" s="33"/>
      <c r="P90" s="33"/>
      <c r="Q90" s="33"/>
      <c r="R90" s="33"/>
      <c r="S90" s="33"/>
      <c r="T90" s="33"/>
      <c r="U90" s="33"/>
      <c r="V90" s="33"/>
    </row>
    <row r="91" spans="7:22" s="9" customFormat="1">
      <c r="G91" s="29"/>
      <c r="H91" s="35"/>
      <c r="I91" s="33"/>
      <c r="J91" s="33"/>
      <c r="K91" s="33"/>
      <c r="L91" s="33"/>
      <c r="M91" s="33"/>
      <c r="N91" s="33"/>
      <c r="O91" s="33"/>
      <c r="P91" s="33"/>
      <c r="Q91" s="33"/>
      <c r="R91" s="33"/>
      <c r="S91" s="33"/>
      <c r="T91" s="33"/>
      <c r="U91" s="33"/>
      <c r="V91" s="33"/>
    </row>
    <row r="92" spans="7:22" s="9" customFormat="1">
      <c r="G92" s="29"/>
      <c r="H92" s="35"/>
      <c r="I92" s="33"/>
      <c r="J92" s="33"/>
      <c r="K92" s="33"/>
      <c r="L92" s="33"/>
      <c r="M92" s="33"/>
      <c r="N92" s="33"/>
      <c r="O92" s="33"/>
      <c r="P92" s="33"/>
      <c r="Q92" s="33"/>
      <c r="R92" s="33"/>
      <c r="S92" s="33"/>
      <c r="T92" s="33"/>
      <c r="U92" s="33"/>
      <c r="V92" s="33"/>
    </row>
    <row r="93" spans="7:22" s="9" customFormat="1">
      <c r="G93" s="29"/>
      <c r="H93" s="35"/>
      <c r="I93" s="33"/>
      <c r="J93" s="33"/>
      <c r="K93" s="33"/>
      <c r="L93" s="33"/>
      <c r="M93" s="33"/>
      <c r="N93" s="33"/>
      <c r="O93" s="33"/>
      <c r="P93" s="33"/>
      <c r="Q93" s="33"/>
      <c r="R93" s="33"/>
      <c r="S93" s="33"/>
      <c r="T93" s="33"/>
      <c r="U93" s="33"/>
      <c r="V93" s="33"/>
    </row>
    <row r="94" spans="7:22" s="9" customFormat="1">
      <c r="G94" s="29"/>
      <c r="H94" s="35"/>
      <c r="I94" s="33"/>
      <c r="J94" s="33"/>
      <c r="K94" s="33"/>
      <c r="L94" s="33"/>
      <c r="M94" s="33"/>
      <c r="N94" s="33"/>
      <c r="O94" s="33"/>
      <c r="P94" s="33"/>
      <c r="Q94" s="33"/>
      <c r="R94" s="33"/>
      <c r="S94" s="33"/>
      <c r="T94" s="33"/>
      <c r="U94" s="33"/>
      <c r="V94" s="33"/>
    </row>
    <row r="95" spans="7:22" s="9" customFormat="1">
      <c r="G95" s="29"/>
      <c r="H95" s="35"/>
      <c r="I95" s="33"/>
      <c r="J95" s="33"/>
      <c r="K95" s="33"/>
      <c r="L95" s="33"/>
      <c r="M95" s="33"/>
      <c r="N95" s="33"/>
      <c r="O95" s="33"/>
      <c r="P95" s="33"/>
      <c r="Q95" s="33"/>
      <c r="R95" s="33"/>
      <c r="S95" s="33"/>
      <c r="T95" s="33"/>
      <c r="U95" s="33"/>
      <c r="V95" s="33"/>
    </row>
    <row r="96" spans="7:22" s="9" customFormat="1">
      <c r="G96" s="29"/>
      <c r="H96" s="35"/>
      <c r="I96" s="33"/>
      <c r="J96" s="33"/>
      <c r="K96" s="33"/>
      <c r="L96" s="33"/>
      <c r="M96" s="33"/>
      <c r="N96" s="33"/>
      <c r="O96" s="33"/>
      <c r="P96" s="33"/>
      <c r="Q96" s="33"/>
      <c r="R96" s="33"/>
      <c r="S96" s="33"/>
      <c r="T96" s="33"/>
      <c r="U96" s="33"/>
      <c r="V96" s="33"/>
    </row>
    <row r="97" spans="2:7">
      <c r="B97" s="9"/>
      <c r="C97" s="9"/>
      <c r="D97" s="9"/>
      <c r="E97" s="9"/>
      <c r="F97" s="9"/>
      <c r="G97" s="29"/>
    </row>
    <row r="98" spans="2:7">
      <c r="B98" s="9"/>
      <c r="C98" s="9"/>
      <c r="D98" s="9"/>
      <c r="E98" s="9"/>
      <c r="F98" s="9"/>
      <c r="G98" s="29"/>
    </row>
    <row r="99" spans="2:7">
      <c r="B99" s="9"/>
      <c r="C99" s="9"/>
      <c r="D99" s="9"/>
      <c r="E99" s="9"/>
      <c r="F99" s="9"/>
    </row>
    <row r="100" spans="2:7">
      <c r="B100" s="9"/>
      <c r="C100" s="9"/>
      <c r="D100" s="9"/>
      <c r="E100" s="9"/>
      <c r="F100" s="9"/>
    </row>
    <row r="102" spans="2:7">
      <c r="C102" s="142"/>
    </row>
  </sheetData>
  <sheetProtection sheet="1" selectLockedCells="1"/>
  <mergeCells count="19">
    <mergeCell ref="B14:E14"/>
    <mergeCell ref="B15:E15"/>
    <mergeCell ref="A31:E31"/>
    <mergeCell ref="N5:R5"/>
    <mergeCell ref="A9:E9"/>
    <mergeCell ref="A8:E8"/>
    <mergeCell ref="A7:E7"/>
    <mergeCell ref="N10:R10"/>
    <mergeCell ref="N13:R13"/>
    <mergeCell ref="A10:E10"/>
    <mergeCell ref="A11:E11"/>
    <mergeCell ref="A13:B13"/>
    <mergeCell ref="C13:E13"/>
    <mergeCell ref="A6:C6"/>
    <mergeCell ref="A1:E1"/>
    <mergeCell ref="A3:E3"/>
    <mergeCell ref="A4:E4"/>
    <mergeCell ref="A5:E5"/>
    <mergeCell ref="A12:E12"/>
  </mergeCells>
  <phoneticPr fontId="0" type="noConversion"/>
  <conditionalFormatting sqref="D17:D29">
    <cfRule type="expression" dxfId="5" priority="2">
      <formula>$C17&gt;0</formula>
    </cfRule>
  </conditionalFormatting>
  <conditionalFormatting sqref="E17:E29">
    <cfRule type="expression" dxfId="4" priority="11">
      <formula>$D17:$D29&gt;0</formula>
    </cfRule>
  </conditionalFormatting>
  <dataValidations xWindow="270" yWindow="474" count="1">
    <dataValidation type="decimal" operator="greaterThanOrEqual" allowBlank="1" showInputMessage="1" showErrorMessage="1" errorTitle="Invalid Entry" error="Please enter a weight increment greater than -10. (An increment of -10 lowers contribution of the factor to zero.)" promptTitle="Weight Increment" prompt="If factor is of average importance, leave blank._x000a__x000a_Positive increments raise importance by 10 percent each. Negative increments lower importance by 10 percent each." sqref="B17:B29" xr:uid="{00000000-0002-0000-0000-00000D000000}">
      <formula1>-10</formula1>
    </dataValidation>
  </dataValidations>
  <printOptions horizontalCentered="1"/>
  <pageMargins left="0.5" right="0.5" top="0.5" bottom="0.5" header="0.25" footer="0.25"/>
  <pageSetup fitToHeight="0" orientation="landscape" verticalDpi="300" r:id="rId1"/>
  <headerFooter alignWithMargins="0">
    <oddFooter>&amp;L&amp;9Copyright Shipley Associates&amp;C&amp;9&amp;D&amp;R&amp;9&amp;P</oddFooter>
  </headerFooter>
  <ignoredErrors>
    <ignoredError sqref="A23:A26 A28:A29 A18:A20"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colorScale" priority="1" id="{6A9EAB59-7E3E-4096-899F-F094195310C8}">
            <x14:colorScale>
              <x14:cfvo type="num">
                <xm:f>'Pwin Parameters'!$E$11</xm:f>
              </x14:cfvo>
              <x14:cfvo type="num">
                <xm:f>'Pwin Parameters'!$E$12</xm:f>
              </x14:cfvo>
              <x14:cfvo type="num">
                <xm:f>'Pwin Parameters'!$E$13</xm:f>
              </x14:cfvo>
              <x14:color rgb="FFC00000"/>
              <x14:color rgb="FFFFC000"/>
              <x14:color rgb="FF00B050"/>
            </x14:colorScale>
          </x14:cfRule>
          <xm:sqref>E30</xm:sqref>
        </x14:conditionalFormatting>
      </x14:conditionalFormattings>
    </ext>
    <ext xmlns:x14="http://schemas.microsoft.com/office/spreadsheetml/2009/9/main" uri="{CCE6A557-97BC-4b89-ADB6-D9C93CAAB3DF}">
      <x14:dataValidations xmlns:xm="http://schemas.microsoft.com/office/excel/2006/main" xWindow="270" yWindow="474" count="13">
        <x14:dataValidation type="list" allowBlank="1" showErrorMessage="1" errorTitle="Entry Error" error="Please select one of the four ratings in the drop-down list." xr:uid="{00000000-0002-0000-0000-000000000000}">
          <x14:formula1>
            <xm:f>'Pwin Parameters'!$B$66:$B$69</xm:f>
          </x14:formula1>
          <xm:sqref>C28</xm:sqref>
        </x14:dataValidation>
        <x14:dataValidation type="list" allowBlank="1" showErrorMessage="1" errorTitle="Entry Error" error="Please select one of the four ratings in the drop-down list." xr:uid="{00000000-0002-0000-0000-000001000000}">
          <x14:formula1>
            <xm:f>'Pwin Parameters'!$B$11:$B$14</xm:f>
          </x14:formula1>
          <xm:sqref>C17</xm:sqref>
        </x14:dataValidation>
        <x14:dataValidation type="list" allowBlank="1" showErrorMessage="1" errorTitle="Entry Error" error="Please select one of the four ratings in the drop-down list." xr:uid="{00000000-0002-0000-0000-000002000000}">
          <x14:formula1>
            <xm:f>'Pwin Parameters'!$B$16:$B$19</xm:f>
          </x14:formula1>
          <xm:sqref>C18</xm:sqref>
        </x14:dataValidation>
        <x14:dataValidation type="list" allowBlank="1" showErrorMessage="1" errorTitle="Entry Error" error="Please select one of the four ratings in the drop-down list." xr:uid="{00000000-0002-0000-0000-000003000000}">
          <x14:formula1>
            <xm:f>'Pwin Parameters'!$B$21:$B$24</xm:f>
          </x14:formula1>
          <xm:sqref>C19</xm:sqref>
        </x14:dataValidation>
        <x14:dataValidation type="list" allowBlank="1" showErrorMessage="1" errorTitle="Entry Error" error="Please select one of the four ratings in the drop-down list." xr:uid="{00000000-0002-0000-0000-000004000000}">
          <x14:formula1>
            <xm:f>'Pwin Parameters'!$B$26:$B$29</xm:f>
          </x14:formula1>
          <xm:sqref>C20</xm:sqref>
        </x14:dataValidation>
        <x14:dataValidation type="list" allowBlank="1" showErrorMessage="1" errorTitle="Entry Error" error="Please select one of the four ratings in the drop-down list." xr:uid="{00000000-0002-0000-0000-000005000000}">
          <x14:formula1>
            <xm:f>'Pwin Parameters'!$B$31:$B$34</xm:f>
          </x14:formula1>
          <xm:sqref>C21</xm:sqref>
        </x14:dataValidation>
        <x14:dataValidation type="list" allowBlank="1" showErrorMessage="1" errorTitle="Entry Error" error="Please select one of the four ratings in the drop-down list." xr:uid="{00000000-0002-0000-0000-000006000000}">
          <x14:formula1>
            <xm:f>'Pwin Parameters'!$B$36:$B$39</xm:f>
          </x14:formula1>
          <xm:sqref>C22</xm:sqref>
        </x14:dataValidation>
        <x14:dataValidation type="list" allowBlank="1" showErrorMessage="1" errorTitle="Entry Error" error="Please select one of the four ratings in the drop-down list." xr:uid="{00000000-0002-0000-0000-000007000000}">
          <x14:formula1>
            <xm:f>'Pwin Parameters'!$B$41:$B$44</xm:f>
          </x14:formula1>
          <xm:sqref>C23</xm:sqref>
        </x14:dataValidation>
        <x14:dataValidation type="list" allowBlank="1" showErrorMessage="1" errorTitle="Entry Error" error="Please select one of the four ratings in the drop-down list." xr:uid="{00000000-0002-0000-0000-000008000000}">
          <x14:formula1>
            <xm:f>'Pwin Parameters'!$B$46:$B$49</xm:f>
          </x14:formula1>
          <xm:sqref>C24</xm:sqref>
        </x14:dataValidation>
        <x14:dataValidation type="list" allowBlank="1" showErrorMessage="1" errorTitle="Entry Error" error="Please select one of the four ratings in the drop-down list." xr:uid="{00000000-0002-0000-0000-000009000000}">
          <x14:formula1>
            <xm:f>'Pwin Parameters'!$B$51:$B$54</xm:f>
          </x14:formula1>
          <xm:sqref>C25</xm:sqref>
        </x14:dataValidation>
        <x14:dataValidation type="list" allowBlank="1" showErrorMessage="1" errorTitle="Entry Error" error="Please select one of the four ratings in the drop-down list." xr:uid="{00000000-0002-0000-0000-00000A000000}">
          <x14:formula1>
            <xm:f>'Pwin Parameters'!$B$56:$B$59</xm:f>
          </x14:formula1>
          <xm:sqref>C26</xm:sqref>
        </x14:dataValidation>
        <x14:dataValidation type="list" allowBlank="1" showErrorMessage="1" errorTitle="Entry Error" error="Please select one of the four ratings in the drop-down list." xr:uid="{00000000-0002-0000-0000-00000B000000}">
          <x14:formula1>
            <xm:f>'Pwin Parameters'!$B$61:$B$64</xm:f>
          </x14:formula1>
          <xm:sqref>C27</xm:sqref>
        </x14:dataValidation>
        <x14:dataValidation type="list" allowBlank="1" showErrorMessage="1" errorTitle="Entry Error" error="Please select one of the four ratings in the drop-down list." xr:uid="{00000000-0002-0000-0000-00000C000000}">
          <x14:formula1>
            <xm:f>'Pwin Parameters'!$B$71:$B$74</xm:f>
          </x14:formula1>
          <xm:sqref>C29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FC8C5-74DD-4C16-9D52-4946D36A4070}">
  <sheetPr codeName="Sheet7">
    <tabColor rgb="FF0AA0AA"/>
    <pageSetUpPr fitToPage="1"/>
  </sheetPr>
  <dimension ref="A1:B9"/>
  <sheetViews>
    <sheetView workbookViewId="0">
      <selection sqref="A1:B1"/>
    </sheetView>
  </sheetViews>
  <sheetFormatPr defaultColWidth="9.140625" defaultRowHeight="12.75"/>
  <cols>
    <col min="1" max="1" width="39.42578125" style="9" customWidth="1"/>
    <col min="2" max="2" width="69.140625" style="9" customWidth="1"/>
    <col min="3" max="16384" width="9.140625" style="9"/>
  </cols>
  <sheetData>
    <row r="1" spans="1:2" ht="43.5" customHeight="1">
      <c r="A1" s="226" t="s">
        <v>152</v>
      </c>
      <c r="B1" s="226"/>
    </row>
    <row r="2" spans="1:2">
      <c r="A2" s="27" t="s">
        <v>153</v>
      </c>
      <c r="B2" s="26"/>
    </row>
    <row r="3" spans="1:2">
      <c r="A3" s="27" t="s">
        <v>154</v>
      </c>
      <c r="B3" s="26"/>
    </row>
    <row r="4" spans="1:2">
      <c r="A4" s="27" t="s">
        <v>155</v>
      </c>
      <c r="B4" s="26"/>
    </row>
    <row r="5" spans="1:2">
      <c r="A5" s="27" t="s">
        <v>156</v>
      </c>
      <c r="B5" s="26"/>
    </row>
    <row r="6" spans="1:2">
      <c r="A6" s="27" t="s">
        <v>157</v>
      </c>
      <c r="B6" s="26"/>
    </row>
    <row r="7" spans="1:2">
      <c r="A7" s="27" t="s">
        <v>46</v>
      </c>
      <c r="B7" s="26"/>
    </row>
    <row r="8" spans="1:2">
      <c r="A8" s="27" t="s">
        <v>158</v>
      </c>
      <c r="B8" s="26"/>
    </row>
    <row r="9" spans="1:2">
      <c r="A9" s="27" t="s">
        <v>159</v>
      </c>
      <c r="B9" s="26"/>
    </row>
  </sheetData>
  <mergeCells count="1">
    <mergeCell ref="A1:B1"/>
  </mergeCells>
  <printOptions horizontalCentered="1"/>
  <pageMargins left="0.5" right="0.5" top="0.5" bottom="0.5" header="0.25" footer="0.25"/>
  <pageSetup scale="89" orientation="portrait" verticalDpi="1200" r:id="rId1"/>
  <headerFooter alignWithMargins="0">
    <oddFooter>&amp;L&amp;9Copyright Shipley Associates&amp;C&amp;9&amp;D&amp;R&amp;9&amp;P</oddFoot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68C5-AF02-4EB7-8888-C2176F1D30DB}">
  <sheetPr codeName="Sheet8">
    <tabColor rgb="FF0AA0AA"/>
    <pageSetUpPr fitToPage="1"/>
  </sheetPr>
  <dimension ref="A1:B5"/>
  <sheetViews>
    <sheetView zoomScaleNormal="100" workbookViewId="0">
      <selection sqref="A1:B1"/>
    </sheetView>
  </sheetViews>
  <sheetFormatPr defaultColWidth="9.140625" defaultRowHeight="12.75"/>
  <cols>
    <col min="1" max="1" width="39.42578125" style="9" customWidth="1"/>
    <col min="2" max="2" width="69.140625" style="9" customWidth="1"/>
    <col min="3" max="16384" width="9.140625" style="9"/>
  </cols>
  <sheetData>
    <row r="1" spans="1:2" ht="43.5" customHeight="1">
      <c r="A1" s="227" t="s">
        <v>160</v>
      </c>
      <c r="B1" s="227"/>
    </row>
    <row r="2" spans="1:2">
      <c r="A2" s="37" t="s">
        <v>161</v>
      </c>
      <c r="B2" s="26"/>
    </row>
    <row r="3" spans="1:2">
      <c r="A3" s="27" t="s">
        <v>162</v>
      </c>
      <c r="B3" s="26"/>
    </row>
    <row r="4" spans="1:2">
      <c r="A4" s="27" t="s">
        <v>163</v>
      </c>
      <c r="B4" s="26"/>
    </row>
    <row r="5" spans="1:2">
      <c r="A5" s="27" t="s">
        <v>164</v>
      </c>
      <c r="B5" s="26"/>
    </row>
  </sheetData>
  <mergeCells count="1">
    <mergeCell ref="A1:B1"/>
  </mergeCells>
  <printOptions horizontalCentered="1"/>
  <pageMargins left="0.5" right="0.5" top="0.5" bottom="0.5" header="0.25" footer="0.25"/>
  <pageSetup scale="89" fitToHeight="0" orientation="portrait" verticalDpi="1200" r:id="rId1"/>
  <headerFooter alignWithMargins="0">
    <oddFooter>&amp;L&amp;9Copyright Shipley Associates&amp;C&amp;9&amp;D&amp;R&amp;9&amp;P</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9B053-EDC4-4EF3-84CB-DE513F8819D7}">
  <sheetPr codeName="Sheet9">
    <tabColor rgb="FF0AA0AA"/>
    <pageSetUpPr fitToPage="1"/>
  </sheetPr>
  <dimension ref="A1:F10"/>
  <sheetViews>
    <sheetView zoomScaleNormal="100" workbookViewId="0">
      <selection activeCell="A2" sqref="A2"/>
    </sheetView>
  </sheetViews>
  <sheetFormatPr defaultColWidth="9.140625" defaultRowHeight="12.75"/>
  <cols>
    <col min="1" max="6" width="28.5703125" style="9" customWidth="1"/>
    <col min="7" max="16384" width="9.140625" style="9"/>
  </cols>
  <sheetData>
    <row r="1" spans="1:6" ht="43.5" customHeight="1">
      <c r="A1" s="227" t="s">
        <v>165</v>
      </c>
      <c r="B1" s="227"/>
      <c r="C1" s="227"/>
      <c r="D1" s="227"/>
      <c r="E1" s="227"/>
      <c r="F1" s="227"/>
    </row>
    <row r="2" spans="1:6">
      <c r="A2" s="106" t="s">
        <v>382</v>
      </c>
      <c r="B2" s="107" t="s">
        <v>166</v>
      </c>
      <c r="C2" s="106" t="s">
        <v>167</v>
      </c>
      <c r="D2" s="106" t="s">
        <v>18</v>
      </c>
      <c r="E2" s="106" t="s">
        <v>168</v>
      </c>
      <c r="F2" s="108" t="s">
        <v>169</v>
      </c>
    </row>
    <row r="3" spans="1:6">
      <c r="A3" s="39"/>
      <c r="B3" s="59"/>
      <c r="C3" s="41" t="s">
        <v>170</v>
      </c>
      <c r="D3" s="41"/>
      <c r="E3" s="41"/>
      <c r="F3" s="109"/>
    </row>
    <row r="4" spans="1:6">
      <c r="A4" s="40"/>
      <c r="B4" s="110"/>
      <c r="C4" s="40"/>
      <c r="D4" s="40"/>
      <c r="E4" s="40"/>
      <c r="F4" s="111"/>
    </row>
    <row r="5" spans="1:6">
      <c r="A5" s="40"/>
      <c r="B5" s="110"/>
      <c r="C5" s="40"/>
      <c r="D5" s="40"/>
      <c r="E5" s="40"/>
      <c r="F5" s="111"/>
    </row>
    <row r="6" spans="1:6">
      <c r="A6" s="40"/>
      <c r="B6" s="110"/>
      <c r="C6" s="40"/>
      <c r="D6" s="40"/>
      <c r="E6" s="40"/>
      <c r="F6" s="111"/>
    </row>
    <row r="7" spans="1:6">
      <c r="A7" s="40"/>
      <c r="B7" s="110"/>
      <c r="C7" s="40"/>
      <c r="D7" s="40"/>
      <c r="E7" s="40"/>
      <c r="F7" s="111"/>
    </row>
    <row r="8" spans="1:6">
      <c r="A8" s="40"/>
      <c r="B8" s="110"/>
      <c r="C8" s="40"/>
      <c r="D8" s="40"/>
      <c r="E8" s="40"/>
      <c r="F8" s="111"/>
    </row>
    <row r="9" spans="1:6">
      <c r="A9" s="40"/>
      <c r="B9" s="110"/>
      <c r="C9" s="40"/>
      <c r="D9" s="40"/>
      <c r="E9" s="40"/>
      <c r="F9" s="111"/>
    </row>
    <row r="10" spans="1:6">
      <c r="A10" s="112"/>
      <c r="B10" s="113"/>
      <c r="C10" s="112"/>
      <c r="D10" s="112"/>
      <c r="E10" s="112"/>
      <c r="F10" s="114"/>
    </row>
  </sheetData>
  <mergeCells count="1">
    <mergeCell ref="A1:F1"/>
  </mergeCells>
  <printOptions horizontalCentered="1"/>
  <pageMargins left="0.5" right="0.5" top="0.5" bottom="0.5" header="0.25" footer="0.25"/>
  <pageSetup scale="74" fitToHeight="0" orientation="landscape" verticalDpi="1200" r:id="rId1"/>
  <headerFooter alignWithMargins="0">
    <oddFooter>&amp;L&amp;9Copyright Shipley Associates&amp;C&amp;9&amp;D&amp;R&amp;9&amp;P</oddFoot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D5CB-6399-41C0-9255-1BFA847C6BAB}">
  <sheetPr codeName="Sheet10">
    <tabColor rgb="FF0AA0AA"/>
    <pageSetUpPr fitToPage="1"/>
  </sheetPr>
  <dimension ref="A1:E8"/>
  <sheetViews>
    <sheetView zoomScaleNormal="100" workbookViewId="0">
      <selection activeCell="C1" sqref="C1"/>
    </sheetView>
  </sheetViews>
  <sheetFormatPr defaultColWidth="9.140625" defaultRowHeight="12.75"/>
  <cols>
    <col min="1" max="1" width="39.42578125" style="9" customWidth="1"/>
    <col min="2" max="2" width="69.140625" style="9" customWidth="1"/>
    <col min="3" max="16384" width="9.140625" style="9"/>
  </cols>
  <sheetData>
    <row r="1" spans="1:5" ht="43.5" customHeight="1">
      <c r="A1" s="227" t="s">
        <v>381</v>
      </c>
      <c r="B1" s="227"/>
    </row>
    <row r="2" spans="1:5" ht="12.75" customHeight="1">
      <c r="A2" s="27" t="s">
        <v>171</v>
      </c>
      <c r="B2" s="26"/>
      <c r="C2" s="11"/>
      <c r="D2" s="228" t="s">
        <v>172</v>
      </c>
      <c r="E2" s="228"/>
    </row>
    <row r="3" spans="1:5">
      <c r="A3" s="27" t="s">
        <v>173</v>
      </c>
      <c r="B3" s="26"/>
      <c r="D3" s="228"/>
      <c r="E3" s="228"/>
    </row>
    <row r="4" spans="1:5">
      <c r="A4" s="27" t="s">
        <v>174</v>
      </c>
      <c r="B4" s="26"/>
      <c r="D4" s="228"/>
      <c r="E4" s="228"/>
    </row>
    <row r="5" spans="1:5">
      <c r="A5" s="27" t="s">
        <v>175</v>
      </c>
      <c r="B5" s="26"/>
      <c r="D5" s="228"/>
      <c r="E5" s="228"/>
    </row>
    <row r="6" spans="1:5">
      <c r="A6" s="27" t="s">
        <v>176</v>
      </c>
      <c r="B6" s="26"/>
      <c r="D6" s="228"/>
      <c r="E6" s="228"/>
    </row>
    <row r="7" spans="1:5">
      <c r="A7" s="27" t="s">
        <v>177</v>
      </c>
      <c r="B7" s="26"/>
    </row>
    <row r="8" spans="1:5">
      <c r="A8" s="27" t="s">
        <v>178</v>
      </c>
      <c r="B8" s="26"/>
    </row>
  </sheetData>
  <mergeCells count="2">
    <mergeCell ref="A1:B1"/>
    <mergeCell ref="D2:E6"/>
  </mergeCells>
  <printOptions horizontalCentered="1"/>
  <pageMargins left="0.5" right="0.5" top="0.5" bottom="0.5" header="0.25" footer="0.25"/>
  <pageSetup scale="89" fitToHeight="0" orientation="portrait" verticalDpi="1200" r:id="rId1"/>
  <headerFooter alignWithMargins="0">
    <oddFooter>&amp;L&amp;9Copyright Shipley Associates&amp;C&amp;9&amp;D&amp;R&amp;9&amp;P</oddFoot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D0009-4C4D-4A2B-8747-C7DB6FF35299}">
  <sheetPr codeName="Sheet11">
    <tabColor rgb="FF0AA0AA"/>
    <pageSetUpPr fitToPage="1"/>
  </sheetPr>
  <dimension ref="A1:D19"/>
  <sheetViews>
    <sheetView workbookViewId="0">
      <selection activeCell="A11" sqref="A11"/>
    </sheetView>
  </sheetViews>
  <sheetFormatPr defaultColWidth="9.140625" defaultRowHeight="12.75"/>
  <cols>
    <col min="1" max="1" width="39.42578125" style="9" customWidth="1"/>
    <col min="2" max="2" width="55.140625" style="9" customWidth="1"/>
    <col min="3" max="3" width="36.42578125" style="9" customWidth="1"/>
    <col min="4" max="4" width="11.140625" style="9" customWidth="1"/>
    <col min="5" max="16384" width="9.140625" style="9"/>
  </cols>
  <sheetData>
    <row r="1" spans="1:4" ht="42.75" customHeight="1">
      <c r="A1" s="227" t="s">
        <v>179</v>
      </c>
      <c r="B1" s="227"/>
      <c r="C1" s="227"/>
      <c r="D1" s="227"/>
    </row>
    <row r="2" spans="1:4">
      <c r="A2" s="235" t="s">
        <v>180</v>
      </c>
      <c r="B2" s="103" t="s">
        <v>181</v>
      </c>
      <c r="C2" s="238" t="s">
        <v>182</v>
      </c>
      <c r="D2" s="239"/>
    </row>
    <row r="3" spans="1:4">
      <c r="A3" s="236"/>
      <c r="B3" s="41"/>
      <c r="C3" s="229"/>
      <c r="D3" s="230"/>
    </row>
    <row r="4" spans="1:4">
      <c r="A4" s="236"/>
      <c r="B4" s="41"/>
      <c r="C4" s="229"/>
      <c r="D4" s="230"/>
    </row>
    <row r="5" spans="1:4">
      <c r="A5" s="236"/>
      <c r="B5" s="41"/>
      <c r="C5" s="229"/>
      <c r="D5" s="230"/>
    </row>
    <row r="6" spans="1:4">
      <c r="A6" s="236"/>
      <c r="B6" s="41"/>
      <c r="C6" s="229"/>
      <c r="D6" s="230"/>
    </row>
    <row r="7" spans="1:4">
      <c r="A7" s="236"/>
      <c r="B7" s="41"/>
      <c r="C7" s="229"/>
      <c r="D7" s="230"/>
    </row>
    <row r="8" spans="1:4">
      <c r="A8" s="236"/>
      <c r="B8" s="41"/>
      <c r="C8" s="229"/>
      <c r="D8" s="230"/>
    </row>
    <row r="9" spans="1:4">
      <c r="A9" s="236"/>
      <c r="B9" s="104"/>
      <c r="C9" s="233"/>
      <c r="D9" s="234"/>
    </row>
    <row r="10" spans="1:4">
      <c r="A10" s="237"/>
      <c r="B10" s="29"/>
      <c r="C10" s="231"/>
      <c r="D10" s="232"/>
    </row>
    <row r="11" spans="1:4">
      <c r="A11" s="89" t="s">
        <v>183</v>
      </c>
      <c r="B11" s="105" t="s">
        <v>184</v>
      </c>
      <c r="C11" s="105" t="s">
        <v>185</v>
      </c>
      <c r="D11" s="89" t="s">
        <v>186</v>
      </c>
    </row>
    <row r="12" spans="1:4">
      <c r="A12" s="26"/>
      <c r="B12" s="29"/>
      <c r="C12" s="29"/>
      <c r="D12" s="26"/>
    </row>
    <row r="13" spans="1:4">
      <c r="A13" s="29"/>
      <c r="B13" s="26"/>
      <c r="C13" s="26"/>
      <c r="D13" s="29"/>
    </row>
    <row r="14" spans="1:4">
      <c r="A14" s="29"/>
      <c r="B14" s="26"/>
      <c r="C14" s="26"/>
      <c r="D14" s="29"/>
    </row>
    <row r="15" spans="1:4">
      <c r="A15" s="29"/>
      <c r="B15" s="26"/>
      <c r="C15" s="26"/>
      <c r="D15" s="29"/>
    </row>
    <row r="16" spans="1:4">
      <c r="A16" s="29"/>
      <c r="B16" s="26"/>
      <c r="C16" s="26"/>
      <c r="D16" s="29"/>
    </row>
    <row r="17" spans="1:4">
      <c r="A17" s="29"/>
      <c r="B17" s="26"/>
      <c r="C17" s="26"/>
      <c r="D17" s="29"/>
    </row>
    <row r="18" spans="1:4">
      <c r="A18" s="29"/>
      <c r="B18" s="26"/>
      <c r="C18" s="26"/>
      <c r="D18" s="29"/>
    </row>
    <row r="19" spans="1:4">
      <c r="A19" s="29"/>
      <c r="B19" s="26"/>
      <c r="C19" s="26"/>
      <c r="D19" s="29"/>
    </row>
  </sheetData>
  <mergeCells count="11">
    <mergeCell ref="A1:D1"/>
    <mergeCell ref="C8:D8"/>
    <mergeCell ref="C10:D10"/>
    <mergeCell ref="C9:D9"/>
    <mergeCell ref="A2:A10"/>
    <mergeCell ref="C2:D2"/>
    <mergeCell ref="C3:D3"/>
    <mergeCell ref="C4:D4"/>
    <mergeCell ref="C5:D5"/>
    <mergeCell ref="C6:D6"/>
    <mergeCell ref="C7:D7"/>
  </mergeCells>
  <phoneticPr fontId="78" type="noConversion"/>
  <printOptions horizontalCentered="1"/>
  <pageMargins left="0.5" right="0.5" top="0.5" bottom="0.5" header="0.25" footer="0.25"/>
  <pageSetup scale="90" fitToHeight="0" orientation="landscape" verticalDpi="1200" r:id="rId1"/>
  <headerFooter alignWithMargins="0">
    <oddFooter>&amp;L&amp;9Copyright Shipley Associates&amp;C&amp;9&amp;D&amp;R&amp;9&amp;P</oddFooter>
  </headerFooter>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64642-9DB6-4C00-AF8B-68656E47E59F}">
  <sheetPr codeName="Sheet12">
    <tabColor rgb="FF6AB6E5"/>
    <pageSetUpPr fitToPage="1"/>
  </sheetPr>
  <dimension ref="A1:B8"/>
  <sheetViews>
    <sheetView zoomScaleNormal="100" workbookViewId="0">
      <selection sqref="A1:B1"/>
    </sheetView>
  </sheetViews>
  <sheetFormatPr defaultColWidth="9.140625" defaultRowHeight="12.75"/>
  <cols>
    <col min="1" max="1" width="39.42578125" style="9" customWidth="1"/>
    <col min="2" max="2" width="69.140625" style="9" customWidth="1"/>
    <col min="3" max="16384" width="9.140625" style="9"/>
  </cols>
  <sheetData>
    <row r="1" spans="1:2" ht="43.5" customHeight="1">
      <c r="A1" s="240" t="s">
        <v>187</v>
      </c>
      <c r="B1" s="240"/>
    </row>
    <row r="2" spans="1:2">
      <c r="A2" s="27" t="s">
        <v>171</v>
      </c>
      <c r="B2" s="26"/>
    </row>
    <row r="3" spans="1:2">
      <c r="A3" s="27" t="s">
        <v>173</v>
      </c>
      <c r="B3" s="26"/>
    </row>
    <row r="4" spans="1:2">
      <c r="A4" s="27" t="s">
        <v>174</v>
      </c>
      <c r="B4" s="26"/>
    </row>
    <row r="5" spans="1:2">
      <c r="A5" s="27" t="s">
        <v>175</v>
      </c>
      <c r="B5" s="26"/>
    </row>
    <row r="6" spans="1:2">
      <c r="A6" s="27" t="s">
        <v>176</v>
      </c>
      <c r="B6" s="26"/>
    </row>
    <row r="7" spans="1:2">
      <c r="A7" s="27" t="s">
        <v>177</v>
      </c>
      <c r="B7" s="26"/>
    </row>
    <row r="8" spans="1:2">
      <c r="A8" s="27" t="s">
        <v>178</v>
      </c>
      <c r="B8" s="26"/>
    </row>
  </sheetData>
  <mergeCells count="1">
    <mergeCell ref="A1:B1"/>
  </mergeCells>
  <printOptions horizontalCentered="1"/>
  <pageMargins left="0.5" right="0.5" top="0.5" bottom="0.5" header="0.25" footer="0.25"/>
  <pageSetup fitToHeight="0" orientation="landscape" verticalDpi="1200" r:id="rId1"/>
  <headerFooter alignWithMargins="0">
    <oddFooter>&amp;L&amp;9Copyright Shipley Associates&amp;C&amp;9&amp;D&amp;R&amp;9&amp;P</oddFooter>
  </headerFooter>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77F4B-001E-4F48-B6FD-1D35BDBE31B2}">
  <sheetPr codeName="Sheet13">
    <tabColor rgb="FF6AB6E5"/>
    <pageSetUpPr fitToPage="1"/>
  </sheetPr>
  <dimension ref="A1:D18"/>
  <sheetViews>
    <sheetView zoomScaleNormal="100" workbookViewId="0">
      <selection activeCell="A10" sqref="A10"/>
    </sheetView>
  </sheetViews>
  <sheetFormatPr defaultColWidth="9.140625" defaultRowHeight="12.75"/>
  <cols>
    <col min="1" max="1" width="39.42578125" style="9" customWidth="1"/>
    <col min="2" max="2" width="55.140625" style="9" customWidth="1"/>
    <col min="3" max="3" width="36.42578125" style="9" customWidth="1"/>
    <col min="4" max="4" width="11.140625" style="9" customWidth="1"/>
    <col min="5" max="16384" width="9.140625" style="9"/>
  </cols>
  <sheetData>
    <row r="1" spans="1:4" ht="43.5" customHeight="1">
      <c r="A1" s="240" t="s">
        <v>188</v>
      </c>
      <c r="B1" s="240"/>
      <c r="C1" s="240"/>
      <c r="D1" s="240"/>
    </row>
    <row r="2" spans="1:4">
      <c r="A2" s="241" t="s">
        <v>180</v>
      </c>
      <c r="B2" s="54" t="s">
        <v>181</v>
      </c>
      <c r="C2" s="241" t="s">
        <v>182</v>
      </c>
      <c r="D2" s="241"/>
    </row>
    <row r="3" spans="1:4">
      <c r="A3" s="241"/>
      <c r="B3" s="41"/>
      <c r="C3" s="242"/>
      <c r="D3" s="242"/>
    </row>
    <row r="4" spans="1:4">
      <c r="A4" s="241"/>
      <c r="B4" s="41"/>
      <c r="C4" s="242"/>
      <c r="D4" s="242"/>
    </row>
    <row r="5" spans="1:4">
      <c r="A5" s="241"/>
      <c r="B5" s="41"/>
      <c r="C5" s="242"/>
      <c r="D5" s="242"/>
    </row>
    <row r="6" spans="1:4">
      <c r="A6" s="241"/>
      <c r="B6" s="41"/>
      <c r="C6" s="242"/>
      <c r="D6" s="242"/>
    </row>
    <row r="7" spans="1:4">
      <c r="A7" s="241"/>
      <c r="B7" s="41"/>
      <c r="C7" s="242"/>
      <c r="D7" s="242"/>
    </row>
    <row r="8" spans="1:4">
      <c r="A8" s="241"/>
      <c r="B8" s="41"/>
      <c r="C8" s="242"/>
      <c r="D8" s="242"/>
    </row>
    <row r="9" spans="1:4">
      <c r="A9" s="241"/>
      <c r="B9" s="29"/>
      <c r="C9" s="233"/>
      <c r="D9" s="243"/>
    </row>
    <row r="10" spans="1:4">
      <c r="A10" s="89" t="s">
        <v>183</v>
      </c>
      <c r="B10" s="89" t="s">
        <v>189</v>
      </c>
      <c r="C10" s="89" t="s">
        <v>190</v>
      </c>
      <c r="D10" s="89" t="s">
        <v>186</v>
      </c>
    </row>
    <row r="11" spans="1:4">
      <c r="A11" s="101"/>
      <c r="B11" s="101"/>
      <c r="C11" s="101"/>
      <c r="D11" s="101"/>
    </row>
    <row r="12" spans="1:4">
      <c r="B12" s="102"/>
      <c r="C12" s="102"/>
    </row>
    <row r="13" spans="1:4">
      <c r="B13" s="102"/>
      <c r="C13" s="102"/>
    </row>
    <row r="14" spans="1:4">
      <c r="B14" s="102"/>
      <c r="C14" s="102"/>
    </row>
    <row r="15" spans="1:4">
      <c r="B15" s="102"/>
      <c r="C15" s="102"/>
    </row>
    <row r="16" spans="1:4">
      <c r="B16" s="102"/>
      <c r="C16" s="102"/>
    </row>
    <row r="17" spans="2:3">
      <c r="B17" s="102"/>
      <c r="C17" s="102"/>
    </row>
    <row r="18" spans="2:3">
      <c r="B18" s="102"/>
      <c r="C18" s="102"/>
    </row>
  </sheetData>
  <mergeCells count="10">
    <mergeCell ref="C2:D2"/>
    <mergeCell ref="C3:D3"/>
    <mergeCell ref="C4:D4"/>
    <mergeCell ref="C5:D5"/>
    <mergeCell ref="A1:D1"/>
    <mergeCell ref="A2:A9"/>
    <mergeCell ref="C6:D6"/>
    <mergeCell ref="C7:D7"/>
    <mergeCell ref="C8:D8"/>
    <mergeCell ref="C9:D9"/>
  </mergeCells>
  <printOptions horizontalCentered="1"/>
  <pageMargins left="0.5" right="0.5" top="0.5" bottom="0.5" header="0.25" footer="0.25"/>
  <pageSetup scale="91" fitToHeight="0" orientation="landscape" verticalDpi="0" r:id="rId1"/>
  <headerFooter alignWithMargins="0">
    <oddFooter>&amp;L&amp;9Copyright Shipley Associates&amp;C&amp;9&amp;D&amp;R&amp;9&amp;P</oddFooter>
  </headerFooter>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97B4A-A4AE-4C20-B05A-1C82D4EA36F0}">
  <sheetPr codeName="Sheet15">
    <tabColor rgb="FF6AB6E5"/>
    <pageSetUpPr fitToPage="1"/>
  </sheetPr>
  <dimension ref="A1:I37"/>
  <sheetViews>
    <sheetView showGridLines="0" workbookViewId="0">
      <selection sqref="A1:E1"/>
    </sheetView>
  </sheetViews>
  <sheetFormatPr defaultColWidth="9.140625" defaultRowHeight="12.75"/>
  <cols>
    <col min="1" max="1" width="53.42578125" style="9" customWidth="1"/>
    <col min="2" max="2" width="0.85546875" style="9" customWidth="1"/>
    <col min="3" max="3" width="53.42578125" style="9" customWidth="1"/>
    <col min="4" max="4" width="0.85546875" style="9" customWidth="1"/>
    <col min="5" max="5" width="53.42578125" style="9" customWidth="1"/>
    <col min="6" max="16384" width="9.140625" style="9"/>
  </cols>
  <sheetData>
    <row r="1" spans="1:9" ht="43.5" customHeight="1">
      <c r="A1" s="240" t="s">
        <v>191</v>
      </c>
      <c r="B1" s="240"/>
      <c r="C1" s="240"/>
      <c r="D1" s="240"/>
      <c r="E1" s="240"/>
    </row>
    <row r="2" spans="1:9" ht="4.5" customHeight="1"/>
    <row r="3" spans="1:9">
      <c r="A3" s="27" t="s">
        <v>192</v>
      </c>
      <c r="B3" s="27"/>
    </row>
    <row r="4" spans="1:9" ht="18">
      <c r="A4" s="90" t="s">
        <v>193</v>
      </c>
      <c r="B4" s="90"/>
    </row>
    <row r="5" spans="1:9" ht="4.5" customHeight="1">
      <c r="G5" s="29"/>
      <c r="I5" s="29"/>
    </row>
    <row r="6" spans="1:9">
      <c r="A6" s="91" t="s">
        <v>194</v>
      </c>
      <c r="B6" s="92"/>
      <c r="E6" s="91" t="s">
        <v>195</v>
      </c>
    </row>
    <row r="7" spans="1:9" ht="38.25">
      <c r="A7" s="23" t="s">
        <v>196</v>
      </c>
      <c r="B7" s="24"/>
      <c r="D7" s="93"/>
      <c r="E7" s="23" t="s">
        <v>197</v>
      </c>
    </row>
    <row r="8" spans="1:9">
      <c r="A8" s="94"/>
      <c r="D8" s="95"/>
      <c r="E8" s="96"/>
    </row>
    <row r="9" spans="1:9">
      <c r="A9" s="97"/>
      <c r="D9" s="95"/>
      <c r="E9" s="97"/>
      <c r="G9" s="29"/>
      <c r="I9" s="29"/>
    </row>
    <row r="10" spans="1:9">
      <c r="A10" s="98"/>
      <c r="D10" s="95"/>
      <c r="E10" s="98"/>
    </row>
    <row r="11" spans="1:9">
      <c r="A11" s="97"/>
      <c r="D11" s="95"/>
      <c r="E11" s="97"/>
    </row>
    <row r="12" spans="1:9">
      <c r="A12" s="98"/>
      <c r="D12" s="95"/>
      <c r="E12" s="98"/>
    </row>
    <row r="13" spans="1:9">
      <c r="A13" s="97"/>
      <c r="D13" s="95"/>
      <c r="E13" s="97"/>
    </row>
    <row r="14" spans="1:9">
      <c r="A14" s="99"/>
      <c r="D14" s="95"/>
      <c r="E14" s="98"/>
    </row>
    <row r="15" spans="1:9">
      <c r="A15" s="100"/>
      <c r="D15" s="95"/>
      <c r="E15" s="100"/>
    </row>
    <row r="16" spans="1:9" ht="4.5" customHeight="1"/>
    <row r="17" spans="1:5">
      <c r="C17" s="91" t="s">
        <v>198</v>
      </c>
      <c r="D17" s="92"/>
    </row>
    <row r="18" spans="1:5" ht="38.25" customHeight="1">
      <c r="C18" s="23" t="s">
        <v>199</v>
      </c>
      <c r="D18" s="24"/>
    </row>
    <row r="19" spans="1:5">
      <c r="C19" s="96"/>
    </row>
    <row r="20" spans="1:5">
      <c r="C20" s="97"/>
    </row>
    <row r="21" spans="1:5">
      <c r="C21" s="98"/>
    </row>
    <row r="22" spans="1:5">
      <c r="C22" s="97"/>
    </row>
    <row r="23" spans="1:5">
      <c r="C23" s="98"/>
    </row>
    <row r="24" spans="1:5">
      <c r="C24" s="97"/>
    </row>
    <row r="25" spans="1:5">
      <c r="C25" s="98"/>
    </row>
    <row r="26" spans="1:5">
      <c r="C26" s="100"/>
    </row>
    <row r="27" spans="1:5" ht="4.5" customHeight="1"/>
    <row r="28" spans="1:5">
      <c r="A28" s="91" t="s">
        <v>200</v>
      </c>
      <c r="B28" s="92"/>
      <c r="E28" s="91" t="s">
        <v>201</v>
      </c>
    </row>
    <row r="29" spans="1:5" ht="38.25">
      <c r="A29" s="23" t="s">
        <v>202</v>
      </c>
      <c r="B29" s="24"/>
      <c r="C29" s="244" t="s">
        <v>203</v>
      </c>
      <c r="E29" s="23" t="s">
        <v>204</v>
      </c>
    </row>
    <row r="30" spans="1:5" ht="12.75" customHeight="1">
      <c r="A30" s="96"/>
      <c r="C30" s="245"/>
      <c r="E30" s="96"/>
    </row>
    <row r="31" spans="1:5">
      <c r="A31" s="97"/>
      <c r="C31" s="245"/>
      <c r="E31" s="97"/>
    </row>
    <row r="32" spans="1:5">
      <c r="A32" s="98"/>
      <c r="C32" s="245"/>
      <c r="E32" s="98"/>
    </row>
    <row r="33" spans="1:5">
      <c r="A33" s="97"/>
      <c r="C33" s="245"/>
      <c r="E33" s="97"/>
    </row>
    <row r="34" spans="1:5">
      <c r="A34" s="98"/>
      <c r="C34" s="245"/>
      <c r="E34" s="98"/>
    </row>
    <row r="35" spans="1:5">
      <c r="A35" s="97"/>
      <c r="C35" s="245"/>
      <c r="E35" s="97"/>
    </row>
    <row r="36" spans="1:5">
      <c r="A36" s="98"/>
      <c r="C36" s="245"/>
      <c r="E36" s="98"/>
    </row>
    <row r="37" spans="1:5">
      <c r="A37" s="100"/>
      <c r="C37" s="246"/>
      <c r="E37" s="100"/>
    </row>
  </sheetData>
  <mergeCells count="2">
    <mergeCell ref="A1:E1"/>
    <mergeCell ref="C29:C37"/>
  </mergeCells>
  <printOptions horizontalCentered="1"/>
  <pageMargins left="0.5" right="0.5" top="0.5" bottom="0.5" header="0.25" footer="0.25"/>
  <pageSetup scale="80" fitToHeight="0" orientation="landscape" verticalDpi="1200" r:id="rId1"/>
  <headerFooter alignWithMargins="0">
    <oddFooter>&amp;L&amp;9Copyright Shipley Associates&amp;C&amp;9&amp;D&amp;R&amp;9&amp;P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D88BC-D115-4FCD-88A6-C646321DD74E}">
  <sheetPr>
    <tabColor rgb="FF6AB6E5"/>
    <pageSetUpPr fitToPage="1"/>
  </sheetPr>
  <dimension ref="A1:C18"/>
  <sheetViews>
    <sheetView showGridLines="0" workbookViewId="0">
      <selection activeCell="B2" sqref="B2:B7"/>
    </sheetView>
  </sheetViews>
  <sheetFormatPr defaultColWidth="9.140625" defaultRowHeight="12.75"/>
  <cols>
    <col min="1" max="3" width="66.85546875" style="9" customWidth="1"/>
    <col min="4" max="16384" width="9.140625" style="9"/>
  </cols>
  <sheetData>
    <row r="1" spans="1:3" ht="43.5" customHeight="1">
      <c r="A1" s="247" t="s">
        <v>25</v>
      </c>
      <c r="B1" s="248"/>
      <c r="C1" s="249"/>
    </row>
    <row r="2" spans="1:3" ht="21" customHeight="1">
      <c r="A2" s="88"/>
      <c r="B2" s="252" t="s">
        <v>205</v>
      </c>
      <c r="C2" s="250" t="s">
        <v>206</v>
      </c>
    </row>
    <row r="3" spans="1:3" ht="25.5" customHeight="1">
      <c r="A3" s="88"/>
      <c r="B3" s="253"/>
      <c r="C3" s="251"/>
    </row>
    <row r="4" spans="1:3" ht="51" customHeight="1">
      <c r="A4" s="88"/>
      <c r="B4" s="253"/>
      <c r="C4" s="251"/>
    </row>
    <row r="5" spans="1:3" ht="38.25" customHeight="1">
      <c r="A5" s="88"/>
      <c r="B5" s="253"/>
      <c r="C5" s="251"/>
    </row>
    <row r="6" spans="1:3" ht="38.25" customHeight="1">
      <c r="A6" s="88"/>
      <c r="B6" s="253"/>
      <c r="C6" s="251"/>
    </row>
    <row r="7" spans="1:3" ht="106.5" customHeight="1">
      <c r="A7" s="88"/>
      <c r="B7" s="253"/>
      <c r="C7" s="251"/>
    </row>
    <row r="8" spans="1:3">
      <c r="A8" s="89" t="s">
        <v>207</v>
      </c>
      <c r="B8" s="89" t="s">
        <v>208</v>
      </c>
      <c r="C8" s="89" t="s">
        <v>209</v>
      </c>
    </row>
    <row r="9" spans="1:3">
      <c r="A9" s="26"/>
      <c r="B9" s="26"/>
      <c r="C9" s="26"/>
    </row>
    <row r="10" spans="1:3">
      <c r="A10" s="29"/>
      <c r="B10" s="26"/>
      <c r="C10" s="26"/>
    </row>
    <row r="11" spans="1:3">
      <c r="A11" s="29"/>
      <c r="B11" s="26"/>
      <c r="C11" s="26"/>
    </row>
    <row r="12" spans="1:3">
      <c r="A12" s="29"/>
      <c r="B12" s="26"/>
      <c r="C12" s="26"/>
    </row>
    <row r="13" spans="1:3">
      <c r="A13" s="29"/>
      <c r="B13" s="26"/>
      <c r="C13" s="26"/>
    </row>
    <row r="14" spans="1:3">
      <c r="A14" s="29"/>
      <c r="B14" s="26"/>
      <c r="C14" s="26"/>
    </row>
    <row r="15" spans="1:3">
      <c r="A15" s="29"/>
      <c r="B15" s="26"/>
      <c r="C15" s="26"/>
    </row>
    <row r="16" spans="1:3">
      <c r="A16" s="29"/>
      <c r="B16" s="26"/>
      <c r="C16" s="26"/>
    </row>
    <row r="17" spans="1:3">
      <c r="A17" s="29"/>
      <c r="B17" s="29"/>
      <c r="C17" s="29"/>
    </row>
    <row r="18" spans="1:3">
      <c r="A18" s="29"/>
      <c r="B18" s="29"/>
      <c r="C18" s="29"/>
    </row>
  </sheetData>
  <mergeCells count="3">
    <mergeCell ref="A1:C1"/>
    <mergeCell ref="C2:C7"/>
    <mergeCell ref="B2:B7"/>
  </mergeCells>
  <pageMargins left="0.5" right="0.5" top="0.5" bottom="0.5" header="0.25" footer="0.25"/>
  <pageSetup scale="64" fitToHeight="0" orientation="landscape" horizontalDpi="0" verticalDpi="0" r:id="rId1"/>
  <headerFooter>
    <oddFooter>&amp;LCopyright Shipley Associates&amp;C&amp;D</oddFooter>
  </headerFooter>
  <drawing r:id="rId2"/>
  <tableParts count="1">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tabColor rgb="FF65AC5D"/>
    <pageSetUpPr fitToPage="1"/>
  </sheetPr>
  <dimension ref="A1:O16"/>
  <sheetViews>
    <sheetView workbookViewId="0">
      <selection activeCell="E9" sqref="E9"/>
    </sheetView>
  </sheetViews>
  <sheetFormatPr defaultColWidth="9.140625" defaultRowHeight="12.75"/>
  <cols>
    <col min="1" max="1" width="39.5703125" style="9" customWidth="1"/>
    <col min="2" max="16384" width="9.140625" style="9"/>
  </cols>
  <sheetData>
    <row r="1" spans="1:15" ht="43.5" customHeight="1">
      <c r="A1" s="254" t="s">
        <v>395</v>
      </c>
      <c r="B1" s="254"/>
      <c r="C1" s="254"/>
      <c r="D1" s="254"/>
      <c r="E1" s="254"/>
      <c r="F1" s="254"/>
      <c r="G1" s="254"/>
      <c r="H1" s="254"/>
      <c r="I1" s="254"/>
      <c r="J1" s="254"/>
      <c r="K1" s="69"/>
      <c r="L1" s="69"/>
      <c r="M1" s="69"/>
      <c r="N1" s="69"/>
    </row>
    <row r="2" spans="1:15" ht="49.7" customHeight="1">
      <c r="A2" s="70"/>
      <c r="B2" s="70"/>
      <c r="C2" s="70"/>
      <c r="D2" s="70"/>
      <c r="E2" s="70"/>
      <c r="F2" s="70"/>
      <c r="G2" s="70"/>
      <c r="H2" s="70"/>
      <c r="I2" s="70"/>
      <c r="J2" s="70"/>
      <c r="K2" s="206" t="s">
        <v>210</v>
      </c>
      <c r="L2" s="206"/>
      <c r="M2" s="206"/>
      <c r="N2" s="206"/>
    </row>
    <row r="3" spans="1:15">
      <c r="A3" s="258" t="s">
        <v>211</v>
      </c>
      <c r="B3" s="260" t="s">
        <v>212</v>
      </c>
      <c r="C3" s="260" t="s">
        <v>213</v>
      </c>
      <c r="D3" s="260"/>
      <c r="E3" s="262" t="s">
        <v>214</v>
      </c>
      <c r="F3" s="262"/>
      <c r="G3" s="262" t="s">
        <v>215</v>
      </c>
      <c r="H3" s="262"/>
      <c r="I3" s="262" t="s">
        <v>216</v>
      </c>
      <c r="J3" s="262"/>
      <c r="K3" s="71"/>
      <c r="L3" s="72"/>
      <c r="M3" s="72"/>
      <c r="N3" s="72"/>
      <c r="O3" s="72"/>
    </row>
    <row r="4" spans="1:15">
      <c r="A4" s="259"/>
      <c r="B4" s="261"/>
      <c r="C4" s="73" t="s">
        <v>64</v>
      </c>
      <c r="D4" s="73" t="s">
        <v>149</v>
      </c>
      <c r="E4" s="73" t="s">
        <v>64</v>
      </c>
      <c r="F4" s="73" t="s">
        <v>149</v>
      </c>
      <c r="G4" s="73" t="s">
        <v>64</v>
      </c>
      <c r="H4" s="73" t="s">
        <v>149</v>
      </c>
      <c r="I4" s="73" t="s">
        <v>64</v>
      </c>
      <c r="J4" s="73" t="s">
        <v>149</v>
      </c>
      <c r="K4" s="72"/>
      <c r="L4" s="72"/>
      <c r="M4" s="72"/>
      <c r="N4" s="72"/>
      <c r="O4" s="72"/>
    </row>
    <row r="5" spans="1:15" ht="15">
      <c r="A5" s="6"/>
      <c r="B5" s="74"/>
      <c r="C5" s="74"/>
      <c r="D5" s="75">
        <f>B5*C5</f>
        <v>0</v>
      </c>
      <c r="E5" s="74"/>
      <c r="F5" s="76">
        <f>B5*E5</f>
        <v>0</v>
      </c>
      <c r="G5" s="74"/>
      <c r="H5" s="78">
        <f t="shared" ref="H5:H15" si="0">$B5*G5</f>
        <v>0</v>
      </c>
      <c r="I5" s="74"/>
      <c r="J5" s="76">
        <f t="shared" ref="J5:J15" si="1">$B5*I5</f>
        <v>0</v>
      </c>
      <c r="K5" s="256" t="s">
        <v>217</v>
      </c>
      <c r="L5" s="256"/>
      <c r="M5" s="256"/>
      <c r="N5" s="256"/>
      <c r="O5" s="256"/>
    </row>
    <row r="6" spans="1:15" ht="15">
      <c r="A6" s="7"/>
      <c r="B6" s="74"/>
      <c r="C6" s="74"/>
      <c r="D6" s="75">
        <f>B6*C6</f>
        <v>0</v>
      </c>
      <c r="E6" s="74"/>
      <c r="F6" s="76">
        <f t="shared" ref="F6:F15" si="2">B6*E6</f>
        <v>0</v>
      </c>
      <c r="G6" s="77"/>
      <c r="H6" s="78">
        <f t="shared" si="0"/>
        <v>0</v>
      </c>
      <c r="I6" s="77"/>
      <c r="J6" s="78">
        <f t="shared" si="1"/>
        <v>0</v>
      </c>
      <c r="K6" s="255" t="s">
        <v>218</v>
      </c>
      <c r="L6" s="255"/>
      <c r="M6" s="255"/>
      <c r="N6" s="255"/>
      <c r="O6" s="255"/>
    </row>
    <row r="7" spans="1:15" ht="15">
      <c r="A7" s="7"/>
      <c r="B7" s="74"/>
      <c r="C7" s="74"/>
      <c r="D7" s="75">
        <f t="shared" ref="D7:D15" si="3">B7*C7</f>
        <v>0</v>
      </c>
      <c r="E7" s="74"/>
      <c r="F7" s="76">
        <f t="shared" si="2"/>
        <v>0</v>
      </c>
      <c r="G7" s="77"/>
      <c r="H7" s="78">
        <f t="shared" si="0"/>
        <v>0</v>
      </c>
      <c r="I7" s="77"/>
      <c r="J7" s="78">
        <f t="shared" si="1"/>
        <v>0</v>
      </c>
      <c r="K7" s="255" t="s">
        <v>219</v>
      </c>
      <c r="L7" s="255"/>
      <c r="M7" s="255"/>
      <c r="N7" s="255"/>
      <c r="O7" s="255"/>
    </row>
    <row r="8" spans="1:15" ht="15">
      <c r="A8" s="7"/>
      <c r="B8" s="74"/>
      <c r="C8" s="74"/>
      <c r="D8" s="75">
        <f t="shared" si="3"/>
        <v>0</v>
      </c>
      <c r="E8" s="74"/>
      <c r="F8" s="76">
        <f t="shared" si="2"/>
        <v>0</v>
      </c>
      <c r="G8" s="77"/>
      <c r="H8" s="78">
        <f t="shared" si="0"/>
        <v>0</v>
      </c>
      <c r="I8" s="77"/>
      <c r="J8" s="78">
        <f t="shared" si="1"/>
        <v>0</v>
      </c>
      <c r="K8" s="255" t="s">
        <v>220</v>
      </c>
      <c r="L8" s="255"/>
      <c r="M8" s="255"/>
      <c r="N8" s="255"/>
      <c r="O8" s="255"/>
    </row>
    <row r="9" spans="1:15" ht="15">
      <c r="A9" s="7"/>
      <c r="B9" s="74"/>
      <c r="C9" s="74"/>
      <c r="D9" s="75">
        <f t="shared" si="3"/>
        <v>0</v>
      </c>
      <c r="E9" s="74"/>
      <c r="F9" s="76">
        <f t="shared" si="2"/>
        <v>0</v>
      </c>
      <c r="G9" s="77"/>
      <c r="H9" s="78">
        <f t="shared" si="0"/>
        <v>0</v>
      </c>
      <c r="I9" s="77"/>
      <c r="J9" s="78">
        <f t="shared" si="1"/>
        <v>0</v>
      </c>
      <c r="K9" s="257" t="s">
        <v>221</v>
      </c>
      <c r="L9" s="257"/>
      <c r="M9" s="257"/>
      <c r="N9" s="257"/>
      <c r="O9" s="257"/>
    </row>
    <row r="10" spans="1:15" ht="15">
      <c r="A10" s="7"/>
      <c r="B10" s="74"/>
      <c r="C10" s="74"/>
      <c r="D10" s="75">
        <f t="shared" si="3"/>
        <v>0</v>
      </c>
      <c r="E10" s="74"/>
      <c r="F10" s="76">
        <f t="shared" si="2"/>
        <v>0</v>
      </c>
      <c r="G10" s="77"/>
      <c r="H10" s="78">
        <f t="shared" si="0"/>
        <v>0</v>
      </c>
      <c r="I10" s="77"/>
      <c r="J10" s="78">
        <f t="shared" si="1"/>
        <v>0</v>
      </c>
      <c r="K10" s="255" t="s">
        <v>222</v>
      </c>
      <c r="L10" s="255"/>
      <c r="M10" s="255"/>
      <c r="N10" s="255"/>
      <c r="O10" s="255"/>
    </row>
    <row r="11" spans="1:15" ht="15">
      <c r="A11" s="4"/>
      <c r="B11" s="74"/>
      <c r="C11" s="74"/>
      <c r="D11" s="75">
        <f t="shared" si="3"/>
        <v>0</v>
      </c>
      <c r="E11" s="74"/>
      <c r="F11" s="76">
        <f t="shared" si="2"/>
        <v>0</v>
      </c>
      <c r="G11" s="77"/>
      <c r="H11" s="78">
        <f t="shared" si="0"/>
        <v>0</v>
      </c>
      <c r="I11" s="77"/>
      <c r="J11" s="78">
        <f t="shared" si="1"/>
        <v>0</v>
      </c>
      <c r="K11" s="255" t="s">
        <v>223</v>
      </c>
      <c r="L11" s="255"/>
      <c r="M11" s="255"/>
      <c r="N11" s="255"/>
      <c r="O11" s="255"/>
    </row>
    <row r="12" spans="1:15" ht="15">
      <c r="A12" s="4"/>
      <c r="B12" s="74"/>
      <c r="C12" s="74"/>
      <c r="D12" s="75">
        <f t="shared" si="3"/>
        <v>0</v>
      </c>
      <c r="E12" s="74"/>
      <c r="F12" s="76">
        <f t="shared" si="2"/>
        <v>0</v>
      </c>
      <c r="G12" s="77"/>
      <c r="H12" s="78">
        <f t="shared" si="0"/>
        <v>0</v>
      </c>
      <c r="I12" s="77"/>
      <c r="J12" s="78">
        <f t="shared" si="1"/>
        <v>0</v>
      </c>
      <c r="K12" s="79"/>
      <c r="L12" s="80"/>
      <c r="M12" s="79"/>
      <c r="N12" s="79"/>
      <c r="O12" s="79"/>
    </row>
    <row r="13" spans="1:15" ht="15">
      <c r="A13" s="4"/>
      <c r="B13" s="74"/>
      <c r="C13" s="74"/>
      <c r="D13" s="75">
        <f t="shared" si="3"/>
        <v>0</v>
      </c>
      <c r="E13" s="74"/>
      <c r="F13" s="76">
        <f t="shared" si="2"/>
        <v>0</v>
      </c>
      <c r="G13" s="77"/>
      <c r="H13" s="78">
        <f t="shared" si="0"/>
        <v>0</v>
      </c>
      <c r="I13" s="77"/>
      <c r="J13" s="78">
        <f t="shared" si="1"/>
        <v>0</v>
      </c>
      <c r="K13" s="29"/>
      <c r="L13" s="29"/>
      <c r="M13" s="29"/>
      <c r="N13" s="29"/>
      <c r="O13" s="29"/>
    </row>
    <row r="14" spans="1:15" ht="15">
      <c r="A14" s="4"/>
      <c r="B14" s="74"/>
      <c r="C14" s="74"/>
      <c r="D14" s="75">
        <f t="shared" si="3"/>
        <v>0</v>
      </c>
      <c r="E14" s="74"/>
      <c r="F14" s="76">
        <f t="shared" si="2"/>
        <v>0</v>
      </c>
      <c r="G14" s="77"/>
      <c r="H14" s="78">
        <f t="shared" si="0"/>
        <v>0</v>
      </c>
      <c r="I14" s="77"/>
      <c r="J14" s="78">
        <f t="shared" si="1"/>
        <v>0</v>
      </c>
      <c r="K14" s="29"/>
      <c r="L14" s="29"/>
      <c r="M14" s="29"/>
      <c r="N14" s="29"/>
      <c r="O14" s="29"/>
    </row>
    <row r="15" spans="1:15" ht="15.75" thickBot="1">
      <c r="A15" s="5"/>
      <c r="B15" s="74"/>
      <c r="C15" s="74"/>
      <c r="D15" s="75">
        <f t="shared" si="3"/>
        <v>0</v>
      </c>
      <c r="E15" s="74"/>
      <c r="F15" s="76">
        <f t="shared" si="2"/>
        <v>0</v>
      </c>
      <c r="G15" s="81"/>
      <c r="H15" s="82">
        <f t="shared" si="0"/>
        <v>0</v>
      </c>
      <c r="I15" s="81"/>
      <c r="J15" s="82">
        <f t="shared" si="1"/>
        <v>0</v>
      </c>
      <c r="K15" s="29"/>
      <c r="L15" s="29"/>
      <c r="M15" s="29"/>
      <c r="N15" s="29"/>
      <c r="O15" s="29"/>
    </row>
    <row r="16" spans="1:15" ht="13.5" thickTop="1">
      <c r="A16" s="83" t="s">
        <v>224</v>
      </c>
      <c r="B16" s="84"/>
      <c r="C16" s="85"/>
      <c r="D16" s="86">
        <f>SUM(D5:D15)</f>
        <v>0</v>
      </c>
      <c r="E16" s="85"/>
      <c r="F16" s="86">
        <f>SUM(F5:F15)</f>
        <v>0</v>
      </c>
      <c r="G16" s="85"/>
      <c r="H16" s="86">
        <f>SUM(H5:H15)</f>
        <v>0</v>
      </c>
      <c r="I16" s="85"/>
      <c r="J16" s="86">
        <f>SUM(J5:J15)</f>
        <v>0</v>
      </c>
      <c r="K16" s="29"/>
      <c r="L16" s="29"/>
      <c r="M16" s="87"/>
      <c r="N16" s="87"/>
    </row>
  </sheetData>
  <sheetProtection sheet="1" objects="1" scenarios="1" formatCells="0" selectLockedCells="1"/>
  <mergeCells count="15">
    <mergeCell ref="A1:J1"/>
    <mergeCell ref="K11:O11"/>
    <mergeCell ref="K5:O5"/>
    <mergeCell ref="K6:O6"/>
    <mergeCell ref="K7:O7"/>
    <mergeCell ref="K8:O8"/>
    <mergeCell ref="K9:O9"/>
    <mergeCell ref="K10:O10"/>
    <mergeCell ref="K2:N2"/>
    <mergeCell ref="A3:A4"/>
    <mergeCell ref="B3:B4"/>
    <mergeCell ref="C3:D3"/>
    <mergeCell ref="E3:F3"/>
    <mergeCell ref="G3:H3"/>
    <mergeCell ref="I3:J3"/>
  </mergeCells>
  <conditionalFormatting sqref="D5:D15 F5:F15 H5:H15 J5:J15">
    <cfRule type="cellIs" dxfId="3" priority="1" stopIfTrue="1" operator="greaterThan">
      <formula>0</formula>
    </cfRule>
  </conditionalFormatting>
  <conditionalFormatting sqref="D16 F16 H16 J16">
    <cfRule type="cellIs" dxfId="2" priority="2" stopIfTrue="1" operator="equal">
      <formula>0</formula>
    </cfRule>
    <cfRule type="cellIs" dxfId="1" priority="3" stopIfTrue="1" operator="equal">
      <formula>MAX($D$16:$J$16)</formula>
    </cfRule>
    <cfRule type="cellIs" dxfId="0" priority="4" stopIfTrue="1" operator="greaterThan">
      <formula>0</formula>
    </cfRule>
  </conditionalFormatting>
  <dataValidations count="2">
    <dataValidation type="whole" allowBlank="1" showErrorMessage="1" errorTitle="Entry Error" error="Please enter an integer score between 0 and 10." sqref="I5:I15 G5:G15 C5:C15 E5:E15" xr:uid="{00000000-0002-0000-0200-000000000000}">
      <formula1>0</formula1>
      <formula2>10</formula2>
    </dataValidation>
    <dataValidation type="decimal" operator="greaterThan" allowBlank="1" showErrorMessage="1" errorTitle="Entry Error" error="Please enter a positive number." sqref="B5:B15" xr:uid="{00000000-0002-0000-0200-000001000000}">
      <formula1>0</formula1>
    </dataValidation>
  </dataValidations>
  <printOptions horizontalCentered="1"/>
  <pageMargins left="0.5" right="0.5" top="0.5" bottom="0.5" header="0.25" footer="0.25"/>
  <pageSetup fitToHeight="0" orientation="landscape" horizontalDpi="1200" verticalDpi="1200" r:id="rId1"/>
  <headerFooter alignWithMargins="0">
    <oddFooter>&amp;L&amp;9Copyright Shipley Associates&amp;C&amp;9&amp;D&amp;R&amp;9&amp;P</oddFooter>
  </headerFooter>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03D3B-1B28-43FC-AF44-11B072E250CF}">
  <sheetPr codeName="Sheet18">
    <tabColor rgb="FF65AC5D"/>
    <pageSetUpPr fitToPage="1"/>
  </sheetPr>
  <dimension ref="A1:C9"/>
  <sheetViews>
    <sheetView zoomScaleNormal="100" workbookViewId="0">
      <selection activeCell="A2" sqref="A2"/>
    </sheetView>
  </sheetViews>
  <sheetFormatPr defaultColWidth="9.140625" defaultRowHeight="12.75"/>
  <cols>
    <col min="1" max="3" width="47.140625" style="9" customWidth="1"/>
    <col min="4" max="16384" width="9.140625" style="9"/>
  </cols>
  <sheetData>
    <row r="1" spans="1:3" ht="43.5" customHeight="1">
      <c r="A1" s="263" t="s">
        <v>225</v>
      </c>
      <c r="B1" s="263"/>
      <c r="C1" s="263"/>
    </row>
    <row r="2" spans="1:3">
      <c r="A2" s="27" t="s">
        <v>226</v>
      </c>
      <c r="B2" s="27" t="s">
        <v>227</v>
      </c>
      <c r="C2" s="27" t="s">
        <v>228</v>
      </c>
    </row>
    <row r="3" spans="1:3">
      <c r="A3" s="29"/>
      <c r="B3" s="29"/>
      <c r="C3" s="29"/>
    </row>
    <row r="4" spans="1:3">
      <c r="A4" s="29"/>
      <c r="B4" s="29"/>
      <c r="C4" s="29"/>
    </row>
    <row r="5" spans="1:3">
      <c r="A5" s="29"/>
      <c r="B5" s="29"/>
      <c r="C5" s="29"/>
    </row>
    <row r="6" spans="1:3">
      <c r="A6" s="29"/>
      <c r="B6" s="29"/>
      <c r="C6" s="29"/>
    </row>
    <row r="7" spans="1:3">
      <c r="A7" s="29"/>
      <c r="B7" s="29"/>
      <c r="C7" s="29"/>
    </row>
    <row r="8" spans="1:3">
      <c r="A8" s="29"/>
      <c r="B8" s="29"/>
      <c r="C8" s="29"/>
    </row>
    <row r="9" spans="1:3">
      <c r="A9" s="29"/>
      <c r="B9" s="29"/>
      <c r="C9" s="29"/>
    </row>
  </sheetData>
  <mergeCells count="1">
    <mergeCell ref="A1:C1"/>
  </mergeCells>
  <printOptions horizontalCentered="1"/>
  <pageMargins left="0.5" right="0.5" top="0.5" bottom="0.5" header="0.25" footer="0.25"/>
  <pageSetup scale="92" fitToHeight="0" orientation="landscape" verticalDpi="0" r:id="rId1"/>
  <headerFooter alignWithMargins="0">
    <oddFooter>&amp;L&amp;9Copyright Shipley Associates&amp;C&amp;9&amp;D&amp;R&amp;9&amp;P</oddFooter>
  </headerFooter>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84981-0E3F-4B6E-83F9-E524646BF198}">
  <sheetPr codeName="Sheet19">
    <tabColor rgb="FF65AC5D"/>
    <pageSetUpPr fitToPage="1"/>
  </sheetPr>
  <dimension ref="A1:C9"/>
  <sheetViews>
    <sheetView workbookViewId="0">
      <selection activeCell="A2" sqref="A2"/>
    </sheetView>
  </sheetViews>
  <sheetFormatPr defaultColWidth="9.140625" defaultRowHeight="12.75"/>
  <cols>
    <col min="1" max="3" width="47.140625" style="9" customWidth="1"/>
    <col min="4" max="16384" width="9.140625" style="9"/>
  </cols>
  <sheetData>
    <row r="1" spans="1:3" ht="43.5" customHeight="1">
      <c r="A1" s="263" t="s">
        <v>229</v>
      </c>
      <c r="B1" s="263"/>
      <c r="C1" s="263"/>
    </row>
    <row r="2" spans="1:3">
      <c r="A2" s="37" t="s">
        <v>230</v>
      </c>
      <c r="B2" s="37" t="s">
        <v>227</v>
      </c>
      <c r="C2" s="37" t="s">
        <v>228</v>
      </c>
    </row>
    <row r="3" spans="1:3">
      <c r="A3" s="29"/>
      <c r="B3" s="29"/>
      <c r="C3" s="29"/>
    </row>
    <row r="4" spans="1:3">
      <c r="A4" s="29"/>
      <c r="B4" s="29"/>
      <c r="C4" s="29"/>
    </row>
    <row r="5" spans="1:3">
      <c r="A5" s="29"/>
      <c r="B5" s="29"/>
      <c r="C5" s="29"/>
    </row>
    <row r="6" spans="1:3">
      <c r="A6" s="29"/>
      <c r="B6" s="29"/>
      <c r="C6" s="29"/>
    </row>
    <row r="7" spans="1:3">
      <c r="A7" s="29"/>
      <c r="B7" s="29"/>
      <c r="C7" s="29"/>
    </row>
    <row r="8" spans="1:3">
      <c r="A8" s="29"/>
      <c r="B8" s="29"/>
      <c r="C8" s="29"/>
    </row>
    <row r="9" spans="1:3">
      <c r="A9" s="29"/>
      <c r="B9" s="29"/>
      <c r="C9" s="29"/>
    </row>
  </sheetData>
  <mergeCells count="1">
    <mergeCell ref="A1:C1"/>
  </mergeCells>
  <printOptions horizontalCentered="1"/>
  <pageMargins left="0.5" right="0.5" top="0.5" bottom="0.5" header="0.25" footer="0.25"/>
  <pageSetup scale="92" fitToHeight="0" orientation="landscape" verticalDpi="0" r:id="rId1"/>
  <headerFooter alignWithMargins="0">
    <oddFooter>&amp;L&amp;9Copyright Shipley Associates&amp;C&amp;9&amp;D&amp;R&amp;9&amp;P</oddFooter>
  </headerFooter>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FE0A-BBAE-4AD2-80CB-1524334AF3E3}">
  <sheetPr codeName="Sheet20">
    <tabColor rgb="FF65AC5D"/>
    <pageSetUpPr fitToPage="1"/>
  </sheetPr>
  <dimension ref="A1:C10"/>
  <sheetViews>
    <sheetView workbookViewId="0">
      <selection activeCell="A2" sqref="A2"/>
    </sheetView>
  </sheetViews>
  <sheetFormatPr defaultColWidth="9.140625" defaultRowHeight="12.75"/>
  <cols>
    <col min="1" max="3" width="47.140625" style="9" customWidth="1"/>
    <col min="4" max="16384" width="9.140625" style="9"/>
  </cols>
  <sheetData>
    <row r="1" spans="1:3" ht="43.5" customHeight="1">
      <c r="A1" s="263" t="s">
        <v>231</v>
      </c>
      <c r="B1" s="263"/>
      <c r="C1" s="263"/>
    </row>
    <row r="2" spans="1:3" ht="25.5">
      <c r="A2" s="37" t="s">
        <v>232</v>
      </c>
      <c r="B2" s="37" t="s">
        <v>227</v>
      </c>
      <c r="C2" s="37" t="s">
        <v>228</v>
      </c>
    </row>
    <row r="3" spans="1:3">
      <c r="A3" s="26"/>
      <c r="B3" s="26"/>
      <c r="C3" s="26"/>
    </row>
    <row r="4" spans="1:3">
      <c r="A4" s="29"/>
      <c r="B4" s="29"/>
      <c r="C4" s="29"/>
    </row>
    <row r="5" spans="1:3">
      <c r="A5" s="29"/>
      <c r="B5" s="29"/>
      <c r="C5" s="29"/>
    </row>
    <row r="6" spans="1:3">
      <c r="A6" s="29"/>
      <c r="B6" s="29"/>
      <c r="C6" s="29"/>
    </row>
    <row r="7" spans="1:3">
      <c r="A7" s="29"/>
      <c r="B7" s="29"/>
      <c r="C7" s="29"/>
    </row>
    <row r="8" spans="1:3">
      <c r="A8" s="29"/>
      <c r="B8" s="29"/>
      <c r="C8" s="29"/>
    </row>
    <row r="9" spans="1:3">
      <c r="A9" s="29"/>
      <c r="B9" s="29"/>
      <c r="C9" s="29"/>
    </row>
    <row r="10" spans="1:3">
      <c r="A10" s="29"/>
      <c r="B10" s="29"/>
      <c r="C10" s="29"/>
    </row>
  </sheetData>
  <mergeCells count="1">
    <mergeCell ref="A1:C1"/>
  </mergeCells>
  <printOptions horizontalCentered="1"/>
  <pageMargins left="0.5" right="0.5" top="0.5" bottom="0.5" header="0.25" footer="0.25"/>
  <pageSetup scale="92" fitToHeight="0" orientation="landscape" r:id="rId1"/>
  <headerFooter alignWithMargins="0">
    <oddFooter>&amp;L&amp;9Copyright Shipley Associates&amp;C&amp;9&amp;D&amp;R&amp;9&amp;P</oddFooter>
  </headerFooter>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01410-564D-4609-A12A-062975BC7084}">
  <sheetPr codeName="Sheet21">
    <tabColor rgb="FF65AC5D"/>
    <pageSetUpPr fitToPage="1"/>
  </sheetPr>
  <dimension ref="A1:C13"/>
  <sheetViews>
    <sheetView workbookViewId="0">
      <selection activeCell="A2" sqref="A2"/>
    </sheetView>
  </sheetViews>
  <sheetFormatPr defaultColWidth="9.140625" defaultRowHeight="12.75"/>
  <cols>
    <col min="1" max="3" width="47.140625" style="9" customWidth="1"/>
    <col min="4" max="16384" width="9.140625" style="9"/>
  </cols>
  <sheetData>
    <row r="1" spans="1:3" ht="43.5" customHeight="1">
      <c r="A1" s="263" t="s">
        <v>233</v>
      </c>
      <c r="B1" s="263"/>
      <c r="C1" s="263"/>
    </row>
    <row r="2" spans="1:3" ht="25.5">
      <c r="A2" s="37" t="s">
        <v>394</v>
      </c>
      <c r="B2" s="37" t="s">
        <v>227</v>
      </c>
      <c r="C2" s="37" t="s">
        <v>228</v>
      </c>
    </row>
    <row r="3" spans="1:3">
      <c r="A3" s="29"/>
      <c r="B3" s="29"/>
      <c r="C3" s="29"/>
    </row>
    <row r="4" spans="1:3">
      <c r="A4" s="29"/>
      <c r="B4" s="29"/>
      <c r="C4" s="29"/>
    </row>
    <row r="5" spans="1:3">
      <c r="A5" s="29"/>
      <c r="B5" s="29"/>
      <c r="C5" s="29"/>
    </row>
    <row r="6" spans="1:3">
      <c r="A6" s="29"/>
      <c r="B6" s="29"/>
      <c r="C6" s="29"/>
    </row>
    <row r="7" spans="1:3">
      <c r="A7" s="29"/>
      <c r="B7" s="29"/>
      <c r="C7" s="29"/>
    </row>
    <row r="8" spans="1:3">
      <c r="A8" s="29"/>
      <c r="B8" s="29"/>
      <c r="C8" s="29"/>
    </row>
    <row r="9" spans="1:3">
      <c r="A9" s="29"/>
      <c r="B9" s="29"/>
      <c r="C9" s="29"/>
    </row>
    <row r="10" spans="1:3">
      <c r="A10" s="29"/>
      <c r="B10" s="29"/>
      <c r="C10" s="29"/>
    </row>
    <row r="11" spans="1:3">
      <c r="A11" s="29"/>
      <c r="B11" s="29"/>
      <c r="C11" s="29"/>
    </row>
    <row r="12" spans="1:3">
      <c r="A12" s="29"/>
      <c r="B12" s="29"/>
      <c r="C12" s="29"/>
    </row>
    <row r="13" spans="1:3">
      <c r="A13" s="29"/>
      <c r="B13" s="29"/>
      <c r="C13" s="29"/>
    </row>
  </sheetData>
  <mergeCells count="1">
    <mergeCell ref="A1:C1"/>
  </mergeCells>
  <printOptions horizontalCentered="1"/>
  <pageMargins left="0.5" right="0.5" top="0.5" bottom="0.5" header="0.25" footer="0.25"/>
  <pageSetup scale="92" fitToHeight="0" orientation="landscape" r:id="rId1"/>
  <headerFooter alignWithMargins="0">
    <oddFooter>&amp;L&amp;9Copyright Shipley Associates&amp;C&amp;9&amp;D&amp;R&amp;9&amp;P</oddFooter>
  </headerFooter>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B579-26DA-43CF-A9C0-801EE44C15AD}">
  <sheetPr codeName="Sheet17">
    <tabColor rgb="FF65AC5D"/>
    <pageSetUpPr fitToPage="1"/>
  </sheetPr>
  <dimension ref="A1:G22"/>
  <sheetViews>
    <sheetView workbookViewId="0">
      <selection activeCell="B11" sqref="B11"/>
    </sheetView>
  </sheetViews>
  <sheetFormatPr defaultColWidth="9.140625" defaultRowHeight="12.75"/>
  <cols>
    <col min="1" max="2" width="39.42578125" style="9" customWidth="1"/>
    <col min="3" max="3" width="22.42578125" style="9" customWidth="1"/>
    <col min="4" max="4" width="18.7109375" style="9" customWidth="1"/>
    <col min="5" max="5" width="21.5703125" style="9" customWidth="1"/>
    <col min="6" max="6" width="22.42578125" style="9" customWidth="1"/>
    <col min="7" max="7" width="25.42578125" style="9" customWidth="1"/>
    <col min="8" max="16384" width="9.140625" style="9"/>
  </cols>
  <sheetData>
    <row r="1" spans="1:7" ht="43.5" customHeight="1">
      <c r="A1" s="264" t="s">
        <v>234</v>
      </c>
      <c r="B1" s="264"/>
      <c r="C1" s="264"/>
      <c r="D1" s="264"/>
      <c r="E1" s="264"/>
      <c r="F1" s="264"/>
      <c r="G1" s="264"/>
    </row>
    <row r="2" spans="1:7">
      <c r="A2" s="68"/>
      <c r="B2" s="68"/>
      <c r="C2" s="38" t="s">
        <v>235</v>
      </c>
      <c r="D2" s="38" t="s">
        <v>236</v>
      </c>
      <c r="E2" s="38" t="s">
        <v>237</v>
      </c>
      <c r="F2" s="38" t="s">
        <v>238</v>
      </c>
      <c r="G2" s="38" t="s">
        <v>239</v>
      </c>
    </row>
    <row r="3" spans="1:7">
      <c r="A3" s="42" t="s">
        <v>240</v>
      </c>
      <c r="B3" s="51" t="s">
        <v>241</v>
      </c>
      <c r="C3" s="43"/>
      <c r="D3" s="43"/>
      <c r="E3" s="43"/>
      <c r="F3" s="43"/>
      <c r="G3" s="44"/>
    </row>
    <row r="4" spans="1:7" ht="25.5">
      <c r="A4" s="48"/>
      <c r="B4" s="52" t="s">
        <v>393</v>
      </c>
      <c r="C4" s="29"/>
      <c r="D4" s="29"/>
      <c r="E4" s="29"/>
      <c r="F4" s="29"/>
      <c r="G4" s="45"/>
    </row>
    <row r="5" spans="1:7">
      <c r="A5" s="48"/>
      <c r="B5" s="52" t="s">
        <v>242</v>
      </c>
      <c r="C5" s="29"/>
      <c r="D5" s="29"/>
      <c r="E5" s="29"/>
      <c r="F5" s="29"/>
      <c r="G5" s="45"/>
    </row>
    <row r="6" spans="1:7">
      <c r="A6" s="49"/>
      <c r="B6" s="53" t="s">
        <v>243</v>
      </c>
      <c r="C6" s="46"/>
      <c r="D6" s="46"/>
      <c r="E6" s="46"/>
      <c r="F6" s="46"/>
      <c r="G6" s="47"/>
    </row>
    <row r="7" spans="1:7">
      <c r="A7" s="42" t="s">
        <v>244</v>
      </c>
      <c r="B7" s="51" t="s">
        <v>245</v>
      </c>
      <c r="C7" s="43"/>
      <c r="D7" s="43"/>
      <c r="E7" s="43"/>
      <c r="F7" s="43"/>
      <c r="G7" s="44"/>
    </row>
    <row r="8" spans="1:7">
      <c r="A8" s="48"/>
      <c r="B8" s="52" t="s">
        <v>246</v>
      </c>
      <c r="C8" s="29"/>
      <c r="D8" s="29"/>
      <c r="E8" s="29"/>
      <c r="F8" s="29"/>
      <c r="G8" s="45"/>
    </row>
    <row r="9" spans="1:7">
      <c r="A9" s="48"/>
      <c r="B9" s="52" t="s">
        <v>247</v>
      </c>
      <c r="C9" s="29"/>
      <c r="D9" s="29"/>
      <c r="E9" s="29"/>
      <c r="F9" s="29"/>
      <c r="G9" s="45"/>
    </row>
    <row r="10" spans="1:7">
      <c r="A10" s="48"/>
      <c r="B10" s="52" t="s">
        <v>248</v>
      </c>
      <c r="C10" s="29"/>
      <c r="D10" s="29"/>
      <c r="E10" s="29"/>
      <c r="F10" s="29"/>
      <c r="G10" s="45"/>
    </row>
    <row r="11" spans="1:7" ht="25.5">
      <c r="A11" s="49"/>
      <c r="B11" s="53" t="s">
        <v>249</v>
      </c>
      <c r="C11" s="46"/>
      <c r="D11" s="46"/>
      <c r="E11" s="46"/>
      <c r="F11" s="46"/>
      <c r="G11" s="47"/>
    </row>
    <row r="12" spans="1:7" ht="25.5">
      <c r="A12" s="50" t="s">
        <v>250</v>
      </c>
      <c r="B12" s="51" t="s">
        <v>251</v>
      </c>
      <c r="C12" s="43"/>
      <c r="D12" s="43"/>
      <c r="E12" s="43"/>
      <c r="F12" s="43"/>
      <c r="G12" s="44"/>
    </row>
    <row r="13" spans="1:7" ht="25.5">
      <c r="A13" s="48"/>
      <c r="B13" s="52" t="s">
        <v>252</v>
      </c>
      <c r="C13" s="29"/>
      <c r="D13" s="29"/>
      <c r="E13" s="29"/>
      <c r="F13" s="29"/>
      <c r="G13" s="45"/>
    </row>
    <row r="14" spans="1:7" ht="25.5">
      <c r="A14" s="48"/>
      <c r="B14" s="52" t="s">
        <v>253</v>
      </c>
      <c r="C14" s="29"/>
      <c r="D14" s="29"/>
      <c r="E14" s="29"/>
      <c r="F14" s="29"/>
      <c r="G14" s="45"/>
    </row>
    <row r="15" spans="1:7">
      <c r="A15" s="49"/>
      <c r="B15" s="53" t="s">
        <v>243</v>
      </c>
      <c r="C15" s="46"/>
      <c r="D15" s="46"/>
      <c r="E15" s="46"/>
      <c r="F15" s="46"/>
      <c r="G15" s="47"/>
    </row>
    <row r="16" spans="1:7">
      <c r="A16" s="50" t="s">
        <v>254</v>
      </c>
      <c r="B16" s="51" t="s">
        <v>255</v>
      </c>
      <c r="C16" s="43"/>
      <c r="D16" s="43"/>
      <c r="E16" s="43"/>
      <c r="F16" s="43"/>
      <c r="G16" s="44"/>
    </row>
    <row r="17" spans="1:7">
      <c r="A17" s="48"/>
      <c r="B17" s="52" t="s">
        <v>256</v>
      </c>
      <c r="C17" s="29"/>
      <c r="D17" s="29"/>
      <c r="E17" s="29"/>
      <c r="F17" s="29"/>
      <c r="G17" s="45"/>
    </row>
    <row r="18" spans="1:7">
      <c r="A18" s="48"/>
      <c r="B18" s="52" t="s">
        <v>257</v>
      </c>
      <c r="C18" s="29"/>
      <c r="D18" s="29"/>
      <c r="E18" s="29"/>
      <c r="F18" s="29"/>
      <c r="G18" s="45"/>
    </row>
    <row r="19" spans="1:7">
      <c r="A19" s="48"/>
      <c r="B19" s="52" t="s">
        <v>258</v>
      </c>
      <c r="C19" s="29"/>
      <c r="D19" s="29"/>
      <c r="E19" s="29"/>
      <c r="F19" s="29"/>
      <c r="G19" s="45"/>
    </row>
    <row r="20" spans="1:7">
      <c r="A20" s="48"/>
      <c r="B20" s="52" t="s">
        <v>259</v>
      </c>
      <c r="C20" s="29"/>
      <c r="D20" s="29"/>
      <c r="E20" s="29"/>
      <c r="F20" s="29"/>
      <c r="G20" s="45"/>
    </row>
    <row r="21" spans="1:7" ht="25.5">
      <c r="A21" s="48"/>
      <c r="B21" s="52" t="s">
        <v>260</v>
      </c>
      <c r="C21" s="29"/>
      <c r="D21" s="29"/>
      <c r="E21" s="29"/>
      <c r="F21" s="29"/>
      <c r="G21" s="45"/>
    </row>
    <row r="22" spans="1:7">
      <c r="A22" s="49"/>
      <c r="B22" s="53" t="s">
        <v>243</v>
      </c>
      <c r="C22" s="46"/>
      <c r="D22" s="46"/>
      <c r="E22" s="46"/>
      <c r="F22" s="46"/>
      <c r="G22" s="47"/>
    </row>
  </sheetData>
  <mergeCells count="1">
    <mergeCell ref="A1:G1"/>
  </mergeCells>
  <printOptions horizontalCentered="1"/>
  <pageMargins left="0.5" right="0.5" top="0.5" bottom="0.5" header="0.25" footer="0.25"/>
  <pageSetup scale="68" fitToHeight="0" orientation="landscape" verticalDpi="1200" r:id="rId1"/>
  <headerFooter alignWithMargins="0">
    <oddFooter>&amp;L&amp;9Copyright Shipley Associates&amp;C&amp;9&amp;D&amp;R&amp;9&amp;P</oddFooter>
  </headerFooter>
  <drawing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E8AE8-F857-428B-8577-130D84648D4D}">
  <sheetPr codeName="Sheet16">
    <tabColor rgb="FF65AC5D"/>
    <pageSetUpPr fitToPage="1"/>
  </sheetPr>
  <dimension ref="A1:J10"/>
  <sheetViews>
    <sheetView zoomScaleNormal="100" workbookViewId="0">
      <selection activeCell="A2" sqref="A2"/>
    </sheetView>
  </sheetViews>
  <sheetFormatPr defaultColWidth="9.140625" defaultRowHeight="12.75"/>
  <cols>
    <col min="1" max="4" width="31.42578125" style="9" customWidth="1"/>
    <col min="5" max="5" width="18.85546875" style="9" customWidth="1"/>
    <col min="6" max="6" width="31.42578125" style="9" customWidth="1"/>
    <col min="7" max="7" width="18.85546875" style="9" customWidth="1"/>
    <col min="8" max="10" width="31.42578125" style="9" customWidth="1"/>
    <col min="11" max="16384" width="9.140625" style="9"/>
  </cols>
  <sheetData>
    <row r="1" spans="1:10" ht="43.5" customHeight="1">
      <c r="A1" s="254" t="s">
        <v>383</v>
      </c>
      <c r="B1" s="254"/>
      <c r="C1" s="254"/>
      <c r="D1" s="254"/>
      <c r="E1" s="254"/>
      <c r="F1" s="254"/>
      <c r="G1" s="254"/>
      <c r="H1" s="254"/>
      <c r="I1" s="254"/>
      <c r="J1" s="254"/>
    </row>
    <row r="2" spans="1:10" ht="25.5">
      <c r="A2" s="37" t="s">
        <v>261</v>
      </c>
      <c r="B2" s="37" t="s">
        <v>262</v>
      </c>
      <c r="C2" s="37" t="s">
        <v>263</v>
      </c>
      <c r="D2" s="37" t="s">
        <v>189</v>
      </c>
      <c r="E2" s="37" t="s">
        <v>264</v>
      </c>
      <c r="F2" s="55" t="s">
        <v>265</v>
      </c>
      <c r="G2" s="37" t="s">
        <v>266</v>
      </c>
      <c r="H2" s="37" t="s">
        <v>267</v>
      </c>
      <c r="I2" s="37" t="s">
        <v>268</v>
      </c>
      <c r="J2" s="37" t="s">
        <v>269</v>
      </c>
    </row>
    <row r="3" spans="1:10">
      <c r="A3" s="29"/>
      <c r="B3" s="29"/>
      <c r="C3" s="29"/>
      <c r="D3" s="29"/>
      <c r="E3" s="29" t="s">
        <v>170</v>
      </c>
      <c r="F3" s="67"/>
      <c r="G3" s="29" t="s">
        <v>170</v>
      </c>
      <c r="H3" s="29"/>
      <c r="I3" s="29"/>
      <c r="J3" s="29"/>
    </row>
    <row r="4" spans="1:10">
      <c r="A4" s="29"/>
      <c r="B4" s="29"/>
      <c r="C4" s="29"/>
      <c r="D4" s="29"/>
      <c r="E4" s="29"/>
      <c r="F4" s="67"/>
      <c r="G4" s="29"/>
      <c r="H4" s="29"/>
      <c r="I4" s="29"/>
      <c r="J4" s="29"/>
    </row>
    <row r="5" spans="1:10">
      <c r="A5" s="29"/>
      <c r="B5" s="29"/>
      <c r="C5" s="29"/>
      <c r="D5" s="29"/>
      <c r="E5" s="29"/>
      <c r="F5" s="67"/>
      <c r="G5" s="29"/>
      <c r="H5" s="29"/>
      <c r="I5" s="29"/>
      <c r="J5" s="29"/>
    </row>
    <row r="6" spans="1:10">
      <c r="A6" s="29"/>
      <c r="B6" s="29"/>
      <c r="C6" s="29"/>
      <c r="D6" s="29"/>
      <c r="E6" s="29"/>
      <c r="F6" s="67"/>
      <c r="G6" s="29"/>
      <c r="H6" s="29"/>
      <c r="I6" s="29"/>
      <c r="J6" s="29"/>
    </row>
    <row r="7" spans="1:10">
      <c r="A7" s="29"/>
      <c r="B7" s="29"/>
      <c r="C7" s="29"/>
      <c r="D7" s="29"/>
      <c r="E7" s="29"/>
      <c r="F7" s="67"/>
      <c r="G7" s="29"/>
      <c r="H7" s="29"/>
      <c r="I7" s="29"/>
      <c r="J7" s="29"/>
    </row>
    <row r="8" spans="1:10">
      <c r="A8" s="29"/>
      <c r="B8" s="29"/>
      <c r="C8" s="29"/>
      <c r="D8" s="29"/>
      <c r="E8" s="29"/>
      <c r="F8" s="67"/>
      <c r="G8" s="29"/>
      <c r="H8" s="29"/>
      <c r="I8" s="29"/>
      <c r="J8" s="29"/>
    </row>
    <row r="9" spans="1:10">
      <c r="A9" s="29"/>
      <c r="B9" s="29"/>
      <c r="C9" s="29"/>
      <c r="D9" s="29"/>
      <c r="E9" s="29"/>
      <c r="F9" s="67"/>
      <c r="G9" s="29"/>
      <c r="H9" s="29"/>
      <c r="I9" s="29"/>
      <c r="J9" s="29"/>
    </row>
    <row r="10" spans="1:10">
      <c r="A10" s="29"/>
      <c r="B10" s="29"/>
      <c r="C10" s="29"/>
      <c r="D10" s="29"/>
      <c r="E10" s="29"/>
      <c r="F10" s="67"/>
      <c r="G10" s="29"/>
      <c r="H10" s="29"/>
      <c r="I10" s="29"/>
      <c r="J10" s="29"/>
    </row>
  </sheetData>
  <mergeCells count="1">
    <mergeCell ref="A1:J1"/>
  </mergeCells>
  <printOptions horizontalCentered="1"/>
  <pageMargins left="0.5" right="0.5" top="0.5" bottom="0.5" header="0.25" footer="0.25"/>
  <pageSetup scale="43" fitToHeight="0" orientation="landscape" r:id="rId1"/>
  <headerFooter alignWithMargins="0">
    <oddFooter>&amp;L&amp;9Copyright Shipley Associates&amp;C&amp;9&amp;D&amp;R&amp;9&amp;P</oddFooter>
  </headerFooter>
  <drawing r:id="rId2"/>
  <tableParts count="1">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9DBAC-418D-4583-B9D2-B99A7DE9AE62}">
  <sheetPr codeName="Sheet22">
    <tabColor rgb="FF65AC5D"/>
    <pageSetUpPr fitToPage="1"/>
  </sheetPr>
  <dimension ref="A1:E14"/>
  <sheetViews>
    <sheetView zoomScaleNormal="100" workbookViewId="0">
      <selection activeCell="D17" sqref="D17"/>
    </sheetView>
  </sheetViews>
  <sheetFormatPr defaultColWidth="9.140625" defaultRowHeight="12.75"/>
  <cols>
    <col min="1" max="1" width="39.42578125" style="9" customWidth="1"/>
    <col min="2" max="2" width="35.5703125" style="9" customWidth="1"/>
    <col min="3" max="3" width="38.85546875" style="9" customWidth="1"/>
    <col min="4" max="4" width="38.42578125" style="9" customWidth="1"/>
    <col min="5" max="5" width="39.28515625" style="9" customWidth="1"/>
    <col min="6" max="16384" width="9.140625" style="9"/>
  </cols>
  <sheetData>
    <row r="1" spans="1:5" ht="43.5" customHeight="1">
      <c r="A1" s="263" t="s">
        <v>270</v>
      </c>
      <c r="B1" s="263"/>
      <c r="C1" s="263"/>
      <c r="D1" s="263"/>
      <c r="E1" s="263"/>
    </row>
    <row r="2" spans="1:5" ht="50.25" customHeight="1">
      <c r="A2" s="269" t="s">
        <v>396</v>
      </c>
      <c r="B2" s="270"/>
      <c r="C2" s="270"/>
      <c r="D2" s="270"/>
      <c r="E2" s="271"/>
    </row>
    <row r="3" spans="1:5" ht="21" customHeight="1">
      <c r="A3" s="275" t="s">
        <v>271</v>
      </c>
      <c r="B3" s="276"/>
      <c r="C3" s="276"/>
      <c r="D3" s="276"/>
      <c r="E3" s="277"/>
    </row>
    <row r="4" spans="1:5" ht="21" customHeight="1">
      <c r="A4" s="272" t="s">
        <v>384</v>
      </c>
      <c r="B4" s="273"/>
      <c r="C4" s="273"/>
      <c r="D4" s="273"/>
      <c r="E4" s="274"/>
    </row>
    <row r="5" spans="1:5" ht="40.5" customHeight="1">
      <c r="A5" s="266" t="s">
        <v>385</v>
      </c>
      <c r="B5" s="267"/>
      <c r="C5" s="267"/>
      <c r="D5" s="267"/>
      <c r="E5" s="268"/>
    </row>
    <row r="6" spans="1:5">
      <c r="A6" s="265" t="s">
        <v>272</v>
      </c>
      <c r="B6" s="265"/>
      <c r="C6" s="265"/>
      <c r="D6" s="265"/>
      <c r="E6" s="265"/>
    </row>
    <row r="7" spans="1:5">
      <c r="A7" s="27" t="s">
        <v>273</v>
      </c>
      <c r="B7" s="27" t="s">
        <v>274</v>
      </c>
      <c r="C7" s="27" t="s">
        <v>263</v>
      </c>
      <c r="D7" s="27" t="s">
        <v>275</v>
      </c>
      <c r="E7" s="27" t="s">
        <v>276</v>
      </c>
    </row>
    <row r="8" spans="1:5">
      <c r="A8" s="29"/>
      <c r="B8" s="29"/>
      <c r="C8" s="29"/>
      <c r="D8" s="29"/>
      <c r="E8" s="29"/>
    </row>
    <row r="9" spans="1:5">
      <c r="A9" s="29"/>
      <c r="B9" s="29"/>
      <c r="C9" s="29"/>
      <c r="D9" s="29"/>
      <c r="E9" s="29"/>
    </row>
    <row r="10" spans="1:5">
      <c r="A10" s="29"/>
      <c r="B10" s="29"/>
      <c r="C10" s="29"/>
      <c r="D10" s="29"/>
      <c r="E10" s="29"/>
    </row>
    <row r="11" spans="1:5">
      <c r="A11" s="29"/>
      <c r="B11" s="29"/>
      <c r="C11" s="29"/>
      <c r="D11" s="29"/>
      <c r="E11" s="29"/>
    </row>
    <row r="12" spans="1:5">
      <c r="A12" s="29"/>
      <c r="B12" s="29"/>
      <c r="C12" s="29"/>
      <c r="D12" s="29"/>
      <c r="E12" s="29"/>
    </row>
    <row r="13" spans="1:5">
      <c r="A13" s="29"/>
      <c r="B13" s="29"/>
      <c r="C13" s="29"/>
      <c r="D13" s="29"/>
      <c r="E13" s="29"/>
    </row>
    <row r="14" spans="1:5">
      <c r="A14" s="29"/>
      <c r="B14" s="29"/>
      <c r="C14" s="29"/>
      <c r="D14" s="29"/>
      <c r="E14" s="29"/>
    </row>
  </sheetData>
  <mergeCells count="6">
    <mergeCell ref="A6:E6"/>
    <mergeCell ref="A5:E5"/>
    <mergeCell ref="A2:E2"/>
    <mergeCell ref="A1:E1"/>
    <mergeCell ref="A4:E4"/>
    <mergeCell ref="A3:E3"/>
  </mergeCells>
  <printOptions horizontalCentered="1"/>
  <pageMargins left="0.5" right="0.5" top="0.5" bottom="0.5" header="0.25" footer="0.25"/>
  <pageSetup scale="67" fitToHeight="0" orientation="landscape" verticalDpi="1200" r:id="rId1"/>
  <headerFooter alignWithMargins="0">
    <oddFooter>&amp;L&amp;9Copyright Shipley Associates&amp;C&amp;9&amp;D&amp;R&amp;9&amp;P</oddFooter>
  </headerFooter>
  <drawing r:id="rId2"/>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730E1-CE85-4F72-8C90-016B8B902214}">
  <sheetPr codeName="Sheet23">
    <tabColor rgb="FF65AC5D"/>
    <pageSetUpPr fitToPage="1"/>
  </sheetPr>
  <dimension ref="A1:C11"/>
  <sheetViews>
    <sheetView zoomScaleNormal="100" workbookViewId="0">
      <selection activeCell="A5" sqref="A5"/>
    </sheetView>
  </sheetViews>
  <sheetFormatPr defaultColWidth="9.140625" defaultRowHeight="12.75"/>
  <cols>
    <col min="1" max="3" width="47.140625" style="9" customWidth="1"/>
    <col min="4" max="16384" width="9.140625" style="9"/>
  </cols>
  <sheetData>
    <row r="1" spans="1:3" ht="43.5" customHeight="1">
      <c r="A1" s="263" t="s">
        <v>277</v>
      </c>
      <c r="B1" s="263"/>
      <c r="C1" s="263"/>
    </row>
    <row r="2" spans="1:3" ht="124.5" customHeight="1">
      <c r="A2" s="65"/>
      <c r="B2" s="65"/>
      <c r="C2" s="56" t="s">
        <v>278</v>
      </c>
    </row>
    <row r="3" spans="1:3" ht="124.5" customHeight="1">
      <c r="A3" s="65"/>
      <c r="B3" s="65"/>
      <c r="C3" s="57" t="s">
        <v>279</v>
      </c>
    </row>
    <row r="4" spans="1:3" ht="124.5" customHeight="1">
      <c r="A4" s="65"/>
      <c r="B4" s="65"/>
      <c r="C4" s="58" t="s">
        <v>280</v>
      </c>
    </row>
    <row r="5" spans="1:3">
      <c r="A5" s="66" t="s">
        <v>281</v>
      </c>
      <c r="B5" s="66" t="s">
        <v>282</v>
      </c>
      <c r="C5" s="66" t="s">
        <v>283</v>
      </c>
    </row>
    <row r="6" spans="1:3">
      <c r="A6" s="26"/>
      <c r="B6" s="26"/>
      <c r="C6" s="26"/>
    </row>
    <row r="7" spans="1:3">
      <c r="A7" s="26"/>
      <c r="B7" s="26"/>
      <c r="C7" s="26"/>
    </row>
    <row r="8" spans="1:3">
      <c r="A8" s="26"/>
      <c r="B8" s="26"/>
      <c r="C8" s="26"/>
    </row>
    <row r="9" spans="1:3">
      <c r="A9" s="26"/>
      <c r="B9" s="26"/>
      <c r="C9" s="26"/>
    </row>
    <row r="10" spans="1:3">
      <c r="A10" s="26"/>
      <c r="B10" s="26"/>
      <c r="C10" s="26"/>
    </row>
    <row r="11" spans="1:3">
      <c r="A11" s="26"/>
      <c r="B11" s="26"/>
      <c r="C11" s="26"/>
    </row>
  </sheetData>
  <mergeCells count="1">
    <mergeCell ref="A1:C1"/>
  </mergeCells>
  <printOptions horizontalCentered="1"/>
  <pageMargins left="0.5" right="0.5" top="0.5" bottom="0.5" header="0.25" footer="0.25"/>
  <pageSetup scale="68" fitToHeight="0" orientation="portrait" verticalDpi="1200" r:id="rId1"/>
  <headerFooter alignWithMargins="0">
    <oddFooter>&amp;L&amp;9Copyright Shipley Associates&amp;C&amp;9&amp;D&amp;R&amp;9&amp;P</oddFooter>
  </headerFooter>
  <drawing r:id="rId2"/>
  <tableParts count="1">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38E7B-D9DB-41B2-8C0D-61FA1B5ABE9E}">
  <sheetPr codeName="Sheet24">
    <tabColor rgb="FF0E3357"/>
    <pageSetUpPr fitToPage="1"/>
  </sheetPr>
  <dimension ref="A1:F13"/>
  <sheetViews>
    <sheetView workbookViewId="0">
      <selection activeCell="A2" sqref="A2"/>
    </sheetView>
  </sheetViews>
  <sheetFormatPr defaultColWidth="9.140625" defaultRowHeight="12.75"/>
  <cols>
    <col min="1" max="1" width="39.42578125" style="9" customWidth="1"/>
    <col min="2" max="3" width="26.28515625" style="9" customWidth="1"/>
    <col min="4" max="5" width="17.85546875" style="9" customWidth="1"/>
    <col min="6" max="6" width="39.42578125" style="9" customWidth="1"/>
    <col min="7" max="16384" width="9.140625" style="9"/>
  </cols>
  <sheetData>
    <row r="1" spans="1:6" ht="44.25" customHeight="1">
      <c r="A1" s="278" t="s">
        <v>284</v>
      </c>
      <c r="B1" s="278"/>
      <c r="C1" s="278"/>
      <c r="D1" s="278"/>
      <c r="E1" s="278"/>
      <c r="F1" s="278"/>
    </row>
    <row r="2" spans="1:6" ht="25.5">
      <c r="A2" s="37" t="s">
        <v>285</v>
      </c>
      <c r="B2" s="37" t="s">
        <v>286</v>
      </c>
      <c r="C2" s="37" t="s">
        <v>287</v>
      </c>
      <c r="D2" s="37" t="s">
        <v>288</v>
      </c>
      <c r="E2" s="37" t="s">
        <v>289</v>
      </c>
      <c r="F2" s="37" t="s">
        <v>290</v>
      </c>
    </row>
    <row r="3" spans="1:6">
      <c r="A3" s="29"/>
      <c r="B3" s="29"/>
      <c r="C3" s="29"/>
      <c r="D3" s="29"/>
      <c r="E3" s="29"/>
      <c r="F3" s="29"/>
    </row>
    <row r="4" spans="1:6">
      <c r="A4" s="29"/>
      <c r="B4" s="29"/>
      <c r="C4" s="29"/>
      <c r="D4" s="29"/>
      <c r="E4" s="29"/>
      <c r="F4" s="29"/>
    </row>
    <row r="5" spans="1:6">
      <c r="A5" s="29"/>
      <c r="B5" s="29"/>
      <c r="C5" s="29"/>
      <c r="D5" s="29"/>
      <c r="E5" s="29"/>
      <c r="F5" s="29"/>
    </row>
    <row r="6" spans="1:6">
      <c r="A6" s="29"/>
      <c r="B6" s="29"/>
      <c r="C6" s="29"/>
      <c r="D6" s="29"/>
      <c r="E6" s="29"/>
      <c r="F6" s="29"/>
    </row>
    <row r="7" spans="1:6">
      <c r="A7" s="29"/>
      <c r="B7" s="29"/>
      <c r="C7" s="29"/>
      <c r="D7" s="29"/>
      <c r="E7" s="29"/>
      <c r="F7" s="29"/>
    </row>
    <row r="8" spans="1:6">
      <c r="A8" s="29"/>
      <c r="B8" s="29"/>
      <c r="C8" s="29"/>
      <c r="D8" s="29"/>
      <c r="E8" s="29"/>
      <c r="F8" s="29"/>
    </row>
    <row r="9" spans="1:6">
      <c r="A9" s="29"/>
      <c r="B9" s="29"/>
      <c r="C9" s="29"/>
      <c r="D9" s="29"/>
      <c r="E9" s="29"/>
      <c r="F9" s="29"/>
    </row>
    <row r="10" spans="1:6">
      <c r="A10" s="29"/>
      <c r="B10" s="29"/>
      <c r="C10" s="29"/>
      <c r="D10" s="29"/>
      <c r="E10" s="29"/>
      <c r="F10" s="29"/>
    </row>
    <row r="11" spans="1:6">
      <c r="A11" s="29"/>
      <c r="B11" s="29"/>
      <c r="C11" s="29"/>
      <c r="D11" s="29"/>
      <c r="E11" s="29"/>
      <c r="F11" s="29"/>
    </row>
    <row r="12" spans="1:6">
      <c r="A12" s="29"/>
      <c r="B12" s="29"/>
      <c r="C12" s="29"/>
      <c r="D12" s="29"/>
      <c r="E12" s="29"/>
      <c r="F12" s="29"/>
    </row>
    <row r="13" spans="1:6">
      <c r="A13" s="29"/>
      <c r="B13" s="29"/>
      <c r="C13" s="29"/>
      <c r="D13" s="29"/>
      <c r="E13" s="29"/>
      <c r="F13" s="29"/>
    </row>
  </sheetData>
  <mergeCells count="1">
    <mergeCell ref="A1:F1"/>
  </mergeCells>
  <printOptions horizontalCentered="1"/>
  <pageMargins left="0.5" right="0.5" top="0.5" bottom="0.5" header="0.25" footer="0.25"/>
  <pageSetup scale="77" fitToHeight="0" orientation="landscape" verticalDpi="1200" r:id="rId1"/>
  <headerFooter alignWithMargins="0">
    <oddFooter>&amp;L&amp;9Copyright Shipley Associates&amp;C&amp;9&amp;D&amp;R&amp;9&amp;P</oddFooter>
  </headerFooter>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077D-3F25-45BA-AFB0-1CFB1AE729B5}">
  <sheetPr codeName="Sheet25">
    <tabColor rgb="FF0E3357"/>
    <pageSetUpPr fitToPage="1"/>
  </sheetPr>
  <dimension ref="A1:K10"/>
  <sheetViews>
    <sheetView workbookViewId="0">
      <selection activeCell="A2" sqref="A2"/>
    </sheetView>
  </sheetViews>
  <sheetFormatPr defaultColWidth="9.140625" defaultRowHeight="12.75"/>
  <cols>
    <col min="1" max="5" width="27.140625" style="29" customWidth="1"/>
    <col min="6" max="6" width="12.28515625" style="29" customWidth="1"/>
    <col min="7" max="8" width="17.7109375" style="29" customWidth="1"/>
    <col min="9" max="11" width="27.140625" style="29" customWidth="1"/>
    <col min="12" max="16384" width="9.140625" style="29"/>
  </cols>
  <sheetData>
    <row r="1" spans="1:11" ht="43.5" customHeight="1">
      <c r="A1" s="279" t="s">
        <v>291</v>
      </c>
      <c r="B1" s="280"/>
      <c r="C1" s="280"/>
      <c r="D1" s="280"/>
      <c r="E1" s="280"/>
      <c r="F1" s="280"/>
      <c r="G1" s="280"/>
      <c r="H1" s="280"/>
      <c r="I1" s="280"/>
      <c r="J1" s="280"/>
      <c r="K1" s="281"/>
    </row>
    <row r="2" spans="1:11" ht="25.5">
      <c r="A2" s="61" t="s">
        <v>292</v>
      </c>
      <c r="B2" s="61" t="s">
        <v>293</v>
      </c>
      <c r="C2" s="61" t="s">
        <v>294</v>
      </c>
      <c r="D2" s="61" t="s">
        <v>295</v>
      </c>
      <c r="E2" s="61" t="s">
        <v>296</v>
      </c>
      <c r="F2" s="61" t="s">
        <v>297</v>
      </c>
      <c r="G2" s="61" t="s">
        <v>298</v>
      </c>
      <c r="H2" s="61" t="s">
        <v>299</v>
      </c>
      <c r="I2" s="61" t="s">
        <v>183</v>
      </c>
      <c r="J2" s="61" t="s">
        <v>300</v>
      </c>
      <c r="K2" s="61" t="s">
        <v>301</v>
      </c>
    </row>
    <row r="3" spans="1:11">
      <c r="A3" s="62" t="s">
        <v>302</v>
      </c>
      <c r="B3" s="62" t="s">
        <v>303</v>
      </c>
      <c r="C3" s="62" t="s">
        <v>304</v>
      </c>
      <c r="D3" s="62"/>
      <c r="E3" s="62" t="s">
        <v>305</v>
      </c>
      <c r="F3" s="62" t="s">
        <v>306</v>
      </c>
      <c r="G3" s="62" t="s">
        <v>307</v>
      </c>
      <c r="H3" s="62" t="s">
        <v>308</v>
      </c>
      <c r="I3" s="62" t="s">
        <v>309</v>
      </c>
      <c r="J3" s="62" t="s">
        <v>309</v>
      </c>
      <c r="K3" s="62" t="s">
        <v>309</v>
      </c>
    </row>
    <row r="4" spans="1:11">
      <c r="B4" s="29" t="s">
        <v>310</v>
      </c>
      <c r="C4" s="29" t="s">
        <v>311</v>
      </c>
      <c r="D4" s="29" t="s">
        <v>312</v>
      </c>
      <c r="E4" s="60" t="s">
        <v>313</v>
      </c>
      <c r="F4" s="29" t="s">
        <v>314</v>
      </c>
      <c r="G4" s="29" t="s">
        <v>314</v>
      </c>
      <c r="H4" s="29" t="s">
        <v>322</v>
      </c>
      <c r="I4" s="29" t="s">
        <v>315</v>
      </c>
      <c r="J4" s="29" t="s">
        <v>312</v>
      </c>
      <c r="K4" s="29" t="s">
        <v>316</v>
      </c>
    </row>
    <row r="5" spans="1:11">
      <c r="B5" s="29" t="s">
        <v>317</v>
      </c>
      <c r="F5" s="29" t="s">
        <v>318</v>
      </c>
      <c r="G5" s="29" t="s">
        <v>318</v>
      </c>
      <c r="H5" s="29" t="s">
        <v>319</v>
      </c>
    </row>
    <row r="6" spans="1:11">
      <c r="B6" s="29" t="s">
        <v>320</v>
      </c>
      <c r="G6" s="29" t="s">
        <v>321</v>
      </c>
      <c r="H6" s="29" t="s">
        <v>322</v>
      </c>
    </row>
    <row r="7" spans="1:11">
      <c r="B7" s="29" t="s">
        <v>323</v>
      </c>
      <c r="G7" s="29" t="s">
        <v>324</v>
      </c>
      <c r="H7" s="29" t="s">
        <v>85</v>
      </c>
    </row>
    <row r="8" spans="1:11">
      <c r="B8" s="29" t="s">
        <v>325</v>
      </c>
      <c r="H8" s="29" t="s">
        <v>321</v>
      </c>
    </row>
    <row r="9" spans="1:11">
      <c r="B9" s="29" t="s">
        <v>326</v>
      </c>
      <c r="H9" s="29" t="s">
        <v>327</v>
      </c>
    </row>
    <row r="10" spans="1:11">
      <c r="B10" s="29" t="s">
        <v>328</v>
      </c>
      <c r="H10" s="29" t="s">
        <v>329</v>
      </c>
    </row>
  </sheetData>
  <mergeCells count="1">
    <mergeCell ref="A1:K1"/>
  </mergeCells>
  <hyperlinks>
    <hyperlink ref="E4" r:id="rId1" xr:uid="{F8BD000B-FBB8-4782-A802-EB654EA575F8}"/>
  </hyperlinks>
  <printOptions horizontalCentered="1"/>
  <pageMargins left="0.5" right="0.5" top="0.5" bottom="0.5" header="0.25" footer="0.25"/>
  <pageSetup scale="48" fitToHeight="0" orientation="landscape" verticalDpi="1200" r:id="rId2"/>
  <headerFooter alignWithMargins="0">
    <oddFooter>&amp;L&amp;9Copyright Shipley Associates&amp;C&amp;9&amp;D&amp;R&amp;9&amp;P</oddFooter>
  </headerFooter>
  <drawing r:id="rId3"/>
  <tableParts count="1">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A776B-9C24-4DBF-9239-35738BE0CE28}">
  <sheetPr codeName="Sheet26">
    <tabColor rgb="FF0E3357"/>
    <pageSetUpPr fitToPage="1"/>
  </sheetPr>
  <dimension ref="A1:F11"/>
  <sheetViews>
    <sheetView zoomScaleNormal="100" workbookViewId="0">
      <selection activeCell="A2" sqref="A2"/>
    </sheetView>
  </sheetViews>
  <sheetFormatPr defaultColWidth="9.140625" defaultRowHeight="12.75"/>
  <cols>
    <col min="1" max="1" width="39.42578125" style="9" customWidth="1"/>
    <col min="2" max="3" width="27.140625" style="9" customWidth="1"/>
    <col min="4" max="4" width="39.42578125" style="9" customWidth="1"/>
    <col min="5" max="5" width="17.42578125" style="9" customWidth="1"/>
    <col min="6" max="6" width="27.140625" style="9" customWidth="1"/>
    <col min="7" max="16384" width="9.140625" style="9"/>
  </cols>
  <sheetData>
    <row r="1" spans="1:6" ht="42.75" customHeight="1">
      <c r="A1" s="278" t="s">
        <v>330</v>
      </c>
      <c r="B1" s="278"/>
      <c r="C1" s="278"/>
      <c r="D1" s="278"/>
      <c r="E1" s="278"/>
      <c r="F1" s="278"/>
    </row>
    <row r="2" spans="1:6" ht="25.5">
      <c r="A2" s="37" t="s">
        <v>331</v>
      </c>
      <c r="B2" s="37" t="s">
        <v>332</v>
      </c>
      <c r="C2" s="37" t="s">
        <v>333</v>
      </c>
      <c r="D2" s="37" t="s">
        <v>334</v>
      </c>
      <c r="E2" s="37" t="s">
        <v>335</v>
      </c>
      <c r="F2" s="37" t="s">
        <v>290</v>
      </c>
    </row>
    <row r="3" spans="1:6">
      <c r="A3" s="29"/>
      <c r="B3" s="29"/>
      <c r="C3" s="29"/>
      <c r="D3" s="29"/>
      <c r="E3" s="29"/>
      <c r="F3" s="29"/>
    </row>
    <row r="4" spans="1:6">
      <c r="A4" s="29"/>
      <c r="B4" s="29"/>
      <c r="C4" s="29"/>
      <c r="D4" s="29"/>
      <c r="E4" s="29"/>
      <c r="F4" s="29"/>
    </row>
    <row r="5" spans="1:6">
      <c r="A5" s="29"/>
      <c r="B5" s="29"/>
      <c r="C5" s="29"/>
      <c r="D5" s="29"/>
      <c r="E5" s="29"/>
      <c r="F5" s="29"/>
    </row>
    <row r="6" spans="1:6">
      <c r="A6" s="29"/>
      <c r="B6" s="29"/>
      <c r="C6" s="29"/>
      <c r="D6" s="29"/>
      <c r="E6" s="29"/>
      <c r="F6" s="29"/>
    </row>
    <row r="7" spans="1:6">
      <c r="A7" s="29"/>
      <c r="B7" s="29"/>
      <c r="C7" s="29"/>
      <c r="D7" s="29"/>
      <c r="E7" s="29"/>
      <c r="F7" s="29"/>
    </row>
    <row r="8" spans="1:6">
      <c r="A8" s="29"/>
      <c r="B8" s="29"/>
      <c r="C8" s="29"/>
      <c r="D8" s="29"/>
      <c r="E8" s="29"/>
      <c r="F8" s="29"/>
    </row>
    <row r="9" spans="1:6">
      <c r="A9" s="29"/>
      <c r="B9" s="29"/>
      <c r="C9" s="29"/>
      <c r="D9" s="29"/>
      <c r="E9" s="29"/>
      <c r="F9" s="29"/>
    </row>
    <row r="10" spans="1:6">
      <c r="A10" s="29"/>
      <c r="B10" s="29"/>
      <c r="C10" s="29"/>
      <c r="D10" s="29"/>
      <c r="E10" s="29"/>
      <c r="F10" s="29"/>
    </row>
    <row r="11" spans="1:6">
      <c r="A11" s="29"/>
      <c r="B11" s="29"/>
      <c r="C11" s="29"/>
      <c r="D11" s="29"/>
      <c r="E11" s="29"/>
      <c r="F11" s="29"/>
    </row>
  </sheetData>
  <mergeCells count="1">
    <mergeCell ref="A1:F1"/>
  </mergeCells>
  <printOptions horizontalCentered="1"/>
  <pageMargins left="0.5" right="0.5" top="0.5" bottom="0.5" header="0.25" footer="0.25"/>
  <pageSetup scale="72" fitToHeight="0" orientation="landscape" verticalDpi="1200" r:id="rId1"/>
  <headerFooter alignWithMargins="0">
    <oddFooter>&amp;L&amp;9Copyright Shipley Associates&amp;C&amp;9&amp;D&amp;R&amp;9&amp;P</oddFooter>
  </headerFooter>
  <drawing r:id="rId2"/>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370EC-2E9A-42A8-AD12-D6F0695337F9}">
  <sheetPr codeName="Sheet27">
    <tabColor rgb="FF0E3357"/>
    <pageSetUpPr fitToPage="1"/>
  </sheetPr>
  <dimension ref="A1:E11"/>
  <sheetViews>
    <sheetView workbookViewId="0">
      <selection activeCell="A2" sqref="A2"/>
    </sheetView>
  </sheetViews>
  <sheetFormatPr defaultColWidth="9.140625" defaultRowHeight="12.75"/>
  <cols>
    <col min="1" max="1" width="47.140625" style="9" customWidth="1"/>
    <col min="2" max="4" width="27.140625" style="9" customWidth="1"/>
    <col min="5" max="5" width="47.140625" style="9" customWidth="1"/>
    <col min="6" max="16384" width="9.140625" style="9"/>
  </cols>
  <sheetData>
    <row r="1" spans="1:5" ht="43.5" customHeight="1">
      <c r="A1" s="278" t="s">
        <v>336</v>
      </c>
      <c r="B1" s="278"/>
      <c r="C1" s="278"/>
      <c r="D1" s="278"/>
      <c r="E1" s="278"/>
    </row>
    <row r="2" spans="1:5" ht="25.5">
      <c r="A2" s="37" t="s">
        <v>337</v>
      </c>
      <c r="B2" s="37" t="s">
        <v>332</v>
      </c>
      <c r="C2" s="37" t="s">
        <v>338</v>
      </c>
      <c r="D2" s="37" t="s">
        <v>335</v>
      </c>
      <c r="E2" s="37" t="s">
        <v>290</v>
      </c>
    </row>
    <row r="3" spans="1:5">
      <c r="A3" s="29"/>
      <c r="B3" s="29"/>
      <c r="C3" s="29"/>
      <c r="D3" s="29"/>
      <c r="E3" s="29"/>
    </row>
    <row r="4" spans="1:5">
      <c r="A4" s="29"/>
      <c r="B4" s="29"/>
      <c r="C4" s="29"/>
      <c r="D4" s="29"/>
      <c r="E4" s="29"/>
    </row>
    <row r="5" spans="1:5">
      <c r="A5" s="29"/>
      <c r="B5" s="29"/>
      <c r="C5" s="29"/>
      <c r="D5" s="29"/>
      <c r="E5" s="29"/>
    </row>
    <row r="6" spans="1:5">
      <c r="A6" s="29"/>
      <c r="B6" s="29"/>
      <c r="C6" s="29"/>
      <c r="D6" s="29"/>
      <c r="E6" s="29"/>
    </row>
    <row r="7" spans="1:5">
      <c r="A7" s="29"/>
      <c r="B7" s="29"/>
      <c r="C7" s="29"/>
      <c r="D7" s="29"/>
      <c r="E7" s="29"/>
    </row>
    <row r="8" spans="1:5">
      <c r="A8" s="29"/>
      <c r="B8" s="29"/>
      <c r="C8" s="29"/>
      <c r="D8" s="29"/>
      <c r="E8" s="29"/>
    </row>
    <row r="9" spans="1:5">
      <c r="A9" s="29"/>
      <c r="B9" s="29"/>
      <c r="C9" s="29"/>
      <c r="D9" s="29"/>
      <c r="E9" s="29"/>
    </row>
    <row r="10" spans="1:5">
      <c r="A10" s="29"/>
      <c r="B10" s="29"/>
      <c r="C10" s="29"/>
      <c r="D10" s="29"/>
      <c r="E10" s="29"/>
    </row>
    <row r="11" spans="1:5">
      <c r="A11" s="29"/>
      <c r="B11" s="29"/>
      <c r="C11" s="29"/>
      <c r="D11" s="29"/>
      <c r="E11" s="29"/>
    </row>
  </sheetData>
  <mergeCells count="1">
    <mergeCell ref="A1:E1"/>
  </mergeCells>
  <printOptions horizontalCentered="1"/>
  <pageMargins left="0.5" right="0.5" top="0.5" bottom="0.5" header="0.25" footer="0.25"/>
  <pageSetup scale="73" fitToHeight="0" orientation="landscape" verticalDpi="1200" r:id="rId1"/>
  <headerFooter alignWithMargins="0">
    <oddFooter>&amp;L&amp;9Copyright Shipley Associates&amp;C&amp;9&amp;D&amp;R&amp;9&amp;P</oddFooter>
  </headerFooter>
  <drawing r:id="rId2"/>
  <tableParts count="1">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175E0-5B83-4E97-B2AF-10218E96C829}">
  <sheetPr codeName="Sheet28">
    <tabColor rgb="FF0E3357"/>
    <pageSetUpPr fitToPage="1"/>
  </sheetPr>
  <dimension ref="A1:F12"/>
  <sheetViews>
    <sheetView workbookViewId="0">
      <selection activeCell="A2" sqref="A2"/>
    </sheetView>
  </sheetViews>
  <sheetFormatPr defaultColWidth="9.140625" defaultRowHeight="12.75"/>
  <cols>
    <col min="1" max="3" width="31.42578125" style="9" customWidth="1"/>
    <col min="4" max="4" width="37.7109375" style="9" customWidth="1"/>
    <col min="5" max="6" width="31.42578125" style="9" customWidth="1"/>
    <col min="7" max="16384" width="9.140625" style="9"/>
  </cols>
  <sheetData>
    <row r="1" spans="1:6" ht="43.5" customHeight="1">
      <c r="A1" s="278" t="s">
        <v>339</v>
      </c>
      <c r="B1" s="278"/>
      <c r="C1" s="278"/>
      <c r="D1" s="278"/>
      <c r="E1" s="278"/>
      <c r="F1" s="278"/>
    </row>
    <row r="2" spans="1:6">
      <c r="A2" s="37" t="s">
        <v>340</v>
      </c>
      <c r="B2" s="37" t="s">
        <v>341</v>
      </c>
      <c r="C2" s="37" t="s">
        <v>169</v>
      </c>
      <c r="D2" s="37" t="s">
        <v>342</v>
      </c>
      <c r="E2" s="37" t="s">
        <v>343</v>
      </c>
      <c r="F2" s="37" t="s">
        <v>290</v>
      </c>
    </row>
    <row r="3" spans="1:6">
      <c r="A3" s="29"/>
      <c r="B3" s="29"/>
      <c r="C3" s="29"/>
      <c r="D3" s="29"/>
      <c r="E3" s="29"/>
      <c r="F3" s="29"/>
    </row>
    <row r="4" spans="1:6">
      <c r="A4" s="29"/>
      <c r="B4" s="29"/>
      <c r="C4" s="29"/>
      <c r="D4" s="29"/>
      <c r="E4" s="29"/>
      <c r="F4" s="29"/>
    </row>
    <row r="5" spans="1:6">
      <c r="A5" s="29"/>
      <c r="B5" s="29"/>
      <c r="C5" s="29"/>
      <c r="D5" s="29"/>
      <c r="E5" s="29"/>
      <c r="F5" s="29"/>
    </row>
    <row r="6" spans="1:6">
      <c r="A6" s="29"/>
      <c r="B6" s="29"/>
      <c r="C6" s="29"/>
      <c r="D6" s="29"/>
      <c r="E6" s="29"/>
      <c r="F6" s="29"/>
    </row>
    <row r="7" spans="1:6">
      <c r="A7" s="29"/>
      <c r="B7" s="29"/>
      <c r="C7" s="29"/>
      <c r="D7" s="29"/>
      <c r="E7" s="29"/>
      <c r="F7" s="29"/>
    </row>
    <row r="8" spans="1:6">
      <c r="A8" s="29"/>
      <c r="B8" s="29"/>
      <c r="C8" s="29"/>
      <c r="D8" s="29"/>
      <c r="E8" s="29"/>
      <c r="F8" s="29"/>
    </row>
    <row r="9" spans="1:6">
      <c r="A9" s="29"/>
      <c r="B9" s="29"/>
      <c r="C9" s="29"/>
      <c r="D9" s="29"/>
      <c r="E9" s="29"/>
      <c r="F9" s="29"/>
    </row>
    <row r="10" spans="1:6">
      <c r="A10" s="29"/>
      <c r="B10" s="29"/>
      <c r="C10" s="29"/>
      <c r="D10" s="29"/>
      <c r="E10" s="29"/>
      <c r="F10" s="29"/>
    </row>
    <row r="11" spans="1:6">
      <c r="A11" s="29"/>
      <c r="B11" s="29"/>
      <c r="C11" s="29"/>
      <c r="D11" s="29"/>
      <c r="E11" s="29"/>
      <c r="F11" s="29"/>
    </row>
    <row r="12" spans="1:6">
      <c r="A12" s="29"/>
      <c r="B12" s="29"/>
      <c r="C12" s="29"/>
      <c r="D12" s="29"/>
      <c r="E12" s="29"/>
      <c r="F12" s="29"/>
    </row>
  </sheetData>
  <mergeCells count="1">
    <mergeCell ref="A1:F1"/>
  </mergeCells>
  <printOptions horizontalCentered="1"/>
  <pageMargins left="0.5" right="0.5" top="0.5" bottom="0.5" header="0.25" footer="0.25"/>
  <pageSetup scale="66" fitToHeight="0" orientation="landscape" verticalDpi="1200" r:id="rId1"/>
  <headerFooter alignWithMargins="0">
    <oddFooter>&amp;L&amp;9Copyright Shipley Associates&amp;C&amp;9&amp;D&amp;R&amp;9&amp;P</oddFooter>
  </headerFooter>
  <drawing r:id="rId2"/>
  <tableParts count="1">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EFBA-6E39-4F3B-A4CD-CE90DFE1FC18}">
  <sheetPr codeName="Sheet29">
    <tabColor rgb="FF0E3357"/>
    <pageSetUpPr fitToPage="1"/>
  </sheetPr>
  <dimension ref="A1:F14"/>
  <sheetViews>
    <sheetView workbookViewId="0">
      <selection activeCell="A2" sqref="A2"/>
    </sheetView>
  </sheetViews>
  <sheetFormatPr defaultColWidth="9.140625" defaultRowHeight="12.75"/>
  <cols>
    <col min="1" max="1" width="39.42578125" style="9" customWidth="1"/>
    <col min="2" max="4" width="27.140625" style="9" customWidth="1"/>
    <col min="5" max="6" width="39.42578125" style="9" customWidth="1"/>
    <col min="7" max="16384" width="9.140625" style="9"/>
  </cols>
  <sheetData>
    <row r="1" spans="1:6" ht="43.5" customHeight="1">
      <c r="A1" s="278" t="s">
        <v>344</v>
      </c>
      <c r="B1" s="278"/>
      <c r="C1" s="278"/>
      <c r="D1" s="278"/>
      <c r="E1" s="278"/>
      <c r="F1" s="278"/>
    </row>
    <row r="2" spans="1:6">
      <c r="A2" s="27" t="s">
        <v>345</v>
      </c>
      <c r="B2" s="27" t="s">
        <v>346</v>
      </c>
      <c r="C2" s="27" t="s">
        <v>169</v>
      </c>
      <c r="D2" s="27" t="s">
        <v>347</v>
      </c>
      <c r="E2" s="27" t="s">
        <v>348</v>
      </c>
      <c r="F2" s="27" t="s">
        <v>349</v>
      </c>
    </row>
    <row r="3" spans="1:6">
      <c r="A3" s="29"/>
      <c r="B3" s="29"/>
      <c r="C3" s="29"/>
      <c r="D3" s="29"/>
      <c r="E3" s="29"/>
      <c r="F3" s="29"/>
    </row>
    <row r="4" spans="1:6">
      <c r="A4" s="29"/>
      <c r="B4" s="29"/>
      <c r="C4" s="29"/>
      <c r="D4" s="29"/>
      <c r="E4" s="29"/>
      <c r="F4" s="29"/>
    </row>
    <row r="5" spans="1:6">
      <c r="A5" s="29"/>
      <c r="B5" s="29"/>
      <c r="C5" s="29"/>
      <c r="D5" s="29"/>
      <c r="E5" s="29"/>
      <c r="F5" s="29"/>
    </row>
    <row r="6" spans="1:6">
      <c r="A6" s="29"/>
      <c r="B6" s="29"/>
      <c r="C6" s="29"/>
      <c r="D6" s="29"/>
      <c r="E6" s="29"/>
      <c r="F6" s="29"/>
    </row>
    <row r="7" spans="1:6">
      <c r="A7" s="29"/>
      <c r="B7" s="29"/>
      <c r="C7" s="29"/>
      <c r="D7" s="29"/>
      <c r="E7" s="29"/>
      <c r="F7" s="29"/>
    </row>
    <row r="8" spans="1:6">
      <c r="A8" s="29"/>
      <c r="B8" s="29"/>
      <c r="C8" s="29"/>
      <c r="D8" s="29"/>
      <c r="E8" s="29"/>
      <c r="F8" s="29"/>
    </row>
    <row r="9" spans="1:6">
      <c r="A9" s="29"/>
      <c r="B9" s="29"/>
      <c r="C9" s="29"/>
      <c r="D9" s="29"/>
      <c r="E9" s="29"/>
      <c r="F9" s="29"/>
    </row>
    <row r="10" spans="1:6">
      <c r="A10" s="29"/>
      <c r="B10" s="29"/>
      <c r="C10" s="29"/>
      <c r="D10" s="29"/>
      <c r="E10" s="29"/>
      <c r="F10" s="29"/>
    </row>
    <row r="11" spans="1:6">
      <c r="A11" s="29"/>
      <c r="B11" s="29"/>
      <c r="C11" s="29"/>
      <c r="D11" s="29"/>
      <c r="E11" s="29"/>
      <c r="F11" s="29"/>
    </row>
    <row r="12" spans="1:6">
      <c r="A12" s="29"/>
      <c r="B12" s="29"/>
      <c r="C12" s="29"/>
      <c r="D12" s="29"/>
      <c r="E12" s="29"/>
      <c r="F12" s="29"/>
    </row>
    <row r="14" spans="1:6">
      <c r="A14" s="8"/>
    </row>
  </sheetData>
  <mergeCells count="1">
    <mergeCell ref="A1:F1"/>
  </mergeCells>
  <printOptions horizontalCentered="1"/>
  <pageMargins left="0.5" right="0.5" top="0.5" bottom="0.5" header="0.25" footer="0.25"/>
  <pageSetup scale="65" fitToHeight="0" orientation="landscape" verticalDpi="1200" r:id="rId1"/>
  <headerFooter alignWithMargins="0">
    <oddFooter>&amp;L&amp;9Copyright Shipley Associates&amp;C&amp;9&amp;D&amp;R&amp;9&amp;P</oddFooter>
  </headerFooter>
  <drawing r:id="rId2"/>
  <tableParts count="1">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5211-3837-4D3B-B5B3-DD4D04552746}">
  <sheetPr>
    <tabColor theme="9"/>
    <pageSetUpPr fitToPage="1"/>
  </sheetPr>
  <dimension ref="A1:G26"/>
  <sheetViews>
    <sheetView workbookViewId="0">
      <selection sqref="A1:F1"/>
    </sheetView>
  </sheetViews>
  <sheetFormatPr defaultColWidth="8.7109375" defaultRowHeight="15"/>
  <cols>
    <col min="1" max="1" width="53.7109375" style="64" customWidth="1"/>
    <col min="2" max="3" width="10" style="9" customWidth="1"/>
    <col min="4" max="4" width="54.85546875" style="9" customWidth="1"/>
    <col min="5" max="5" width="27.140625" style="9" customWidth="1"/>
    <col min="6" max="6" width="17.5703125" style="9" customWidth="1"/>
    <col min="7" max="16384" width="8.7109375" style="9"/>
  </cols>
  <sheetData>
    <row r="1" spans="1:7" ht="43.5" customHeight="1">
      <c r="A1" s="282" t="s">
        <v>44</v>
      </c>
      <c r="B1" s="282"/>
      <c r="C1" s="282"/>
      <c r="D1" s="282"/>
      <c r="E1" s="282"/>
      <c r="F1" s="282"/>
    </row>
    <row r="2" spans="1:7" ht="12.75">
      <c r="A2" s="105" t="s">
        <v>350</v>
      </c>
      <c r="B2" s="105" t="s">
        <v>351</v>
      </c>
      <c r="C2" s="105" t="s">
        <v>352</v>
      </c>
      <c r="D2" s="105" t="s">
        <v>353</v>
      </c>
      <c r="E2" s="105" t="s">
        <v>354</v>
      </c>
      <c r="F2" s="105" t="s">
        <v>355</v>
      </c>
    </row>
    <row r="3" spans="1:7" ht="25.5">
      <c r="A3" s="29" t="s">
        <v>356</v>
      </c>
      <c r="B3" s="29"/>
      <c r="C3" s="29"/>
      <c r="D3" s="29"/>
      <c r="E3" s="29"/>
      <c r="F3" s="29"/>
      <c r="G3" s="64"/>
    </row>
    <row r="4" spans="1:7">
      <c r="A4" s="29" t="s">
        <v>357</v>
      </c>
      <c r="B4" s="29"/>
      <c r="C4" s="29"/>
      <c r="D4" s="29"/>
      <c r="E4" s="29"/>
      <c r="F4" s="29"/>
      <c r="G4" s="64"/>
    </row>
    <row r="5" spans="1:7" ht="25.5">
      <c r="A5" s="29" t="s">
        <v>358</v>
      </c>
      <c r="B5" s="29"/>
      <c r="C5" s="29"/>
      <c r="D5" s="29"/>
      <c r="E5" s="29"/>
      <c r="F5" s="29"/>
      <c r="G5" s="64"/>
    </row>
    <row r="6" spans="1:7">
      <c r="A6" s="29" t="s">
        <v>359</v>
      </c>
      <c r="B6" s="29"/>
      <c r="C6" s="29"/>
      <c r="D6" s="29"/>
      <c r="E6" s="29"/>
      <c r="F6" s="29"/>
      <c r="G6" s="64"/>
    </row>
    <row r="7" spans="1:7">
      <c r="A7" s="29" t="s">
        <v>360</v>
      </c>
      <c r="B7" s="29"/>
      <c r="C7" s="29"/>
      <c r="D7" s="29"/>
      <c r="E7" s="29"/>
      <c r="F7" s="29"/>
      <c r="G7" s="64"/>
    </row>
    <row r="8" spans="1:7">
      <c r="A8" s="29" t="s">
        <v>361</v>
      </c>
      <c r="B8" s="29"/>
      <c r="C8" s="29"/>
      <c r="D8" s="29"/>
      <c r="E8" s="29"/>
      <c r="F8" s="29"/>
      <c r="G8" s="64"/>
    </row>
    <row r="9" spans="1:7">
      <c r="A9" s="29" t="s">
        <v>362</v>
      </c>
      <c r="B9" s="29"/>
      <c r="C9" s="29"/>
      <c r="D9" s="29"/>
      <c r="E9" s="29"/>
      <c r="F9" s="29"/>
      <c r="G9" s="64"/>
    </row>
    <row r="10" spans="1:7">
      <c r="A10" s="29" t="s">
        <v>363</v>
      </c>
      <c r="B10" s="29"/>
      <c r="C10" s="29"/>
      <c r="D10" s="29"/>
      <c r="E10" s="29"/>
      <c r="F10" s="29"/>
      <c r="G10" s="64"/>
    </row>
    <row r="11" spans="1:7">
      <c r="A11" s="29" t="s">
        <v>364</v>
      </c>
      <c r="B11" s="29"/>
      <c r="C11" s="29"/>
      <c r="D11" s="29"/>
      <c r="E11" s="29"/>
      <c r="F11" s="29"/>
      <c r="G11" s="64"/>
    </row>
    <row r="12" spans="1:7" ht="25.5">
      <c r="A12" s="29" t="s">
        <v>365</v>
      </c>
      <c r="B12" s="29"/>
      <c r="C12" s="29"/>
      <c r="D12" s="29"/>
      <c r="E12" s="29"/>
      <c r="F12" s="29"/>
      <c r="G12" s="64"/>
    </row>
    <row r="13" spans="1:7" ht="25.5">
      <c r="A13" s="29" t="s">
        <v>366</v>
      </c>
      <c r="B13" s="29"/>
      <c r="C13" s="29"/>
      <c r="D13" s="29"/>
      <c r="E13" s="29"/>
      <c r="F13" s="29"/>
      <c r="G13" s="64"/>
    </row>
    <row r="14" spans="1:7">
      <c r="A14" s="29" t="s">
        <v>367</v>
      </c>
      <c r="B14" s="29"/>
      <c r="C14" s="29"/>
      <c r="D14" s="29"/>
      <c r="E14" s="29"/>
      <c r="F14" s="29"/>
      <c r="G14" s="64"/>
    </row>
    <row r="15" spans="1:7" ht="25.5">
      <c r="A15" s="29" t="s">
        <v>390</v>
      </c>
      <c r="B15" s="29"/>
      <c r="C15" s="29"/>
      <c r="D15" s="29"/>
      <c r="E15" s="29"/>
      <c r="F15" s="29"/>
      <c r="G15" s="64"/>
    </row>
    <row r="16" spans="1:7" ht="25.5">
      <c r="A16" s="29" t="s">
        <v>368</v>
      </c>
      <c r="B16" s="29"/>
      <c r="C16" s="29"/>
      <c r="D16" s="29"/>
      <c r="E16" s="29"/>
      <c r="F16" s="29"/>
      <c r="G16" s="64"/>
    </row>
    <row r="17" spans="1:7" ht="25.5">
      <c r="A17" s="29" t="s">
        <v>369</v>
      </c>
      <c r="B17" s="29"/>
      <c r="C17" s="29"/>
      <c r="D17" s="29"/>
      <c r="E17" s="29"/>
      <c r="F17" s="29"/>
      <c r="G17" s="64"/>
    </row>
    <row r="18" spans="1:7" ht="25.5">
      <c r="A18" s="29" t="s">
        <v>370</v>
      </c>
      <c r="B18" s="29"/>
      <c r="C18" s="29"/>
      <c r="D18" s="29"/>
      <c r="E18" s="29"/>
      <c r="F18" s="29"/>
      <c r="G18" s="64"/>
    </row>
    <row r="19" spans="1:7">
      <c r="A19" s="29" t="s">
        <v>371</v>
      </c>
      <c r="B19" s="29"/>
      <c r="C19" s="29"/>
      <c r="D19" s="29"/>
      <c r="E19" s="29"/>
      <c r="F19" s="29"/>
      <c r="G19" s="64"/>
    </row>
    <row r="20" spans="1:7" ht="25.5">
      <c r="A20" s="29" t="s">
        <v>372</v>
      </c>
      <c r="B20" s="29"/>
      <c r="C20" s="29"/>
      <c r="D20" s="29"/>
      <c r="E20" s="29"/>
      <c r="F20" s="29"/>
      <c r="G20" s="64"/>
    </row>
    <row r="21" spans="1:7">
      <c r="A21" s="29" t="s">
        <v>373</v>
      </c>
      <c r="B21" s="29"/>
      <c r="C21" s="29"/>
      <c r="D21" s="29"/>
      <c r="E21" s="29"/>
      <c r="F21" s="29"/>
      <c r="G21" s="64"/>
    </row>
    <row r="22" spans="1:7">
      <c r="A22" s="29" t="s">
        <v>130</v>
      </c>
      <c r="B22" s="29"/>
      <c r="C22" s="29"/>
      <c r="D22" s="29"/>
      <c r="E22" s="29"/>
      <c r="F22" s="29"/>
      <c r="G22" s="64"/>
    </row>
    <row r="23" spans="1:7">
      <c r="A23" s="29" t="s">
        <v>130</v>
      </c>
      <c r="B23" s="29"/>
      <c r="C23" s="29"/>
      <c r="D23" s="29"/>
      <c r="E23" s="29"/>
      <c r="F23" s="29"/>
      <c r="G23" s="64"/>
    </row>
    <row r="24" spans="1:7">
      <c r="A24" s="29" t="s">
        <v>130</v>
      </c>
      <c r="B24" s="29"/>
      <c r="C24" s="29"/>
      <c r="D24" s="29"/>
      <c r="E24" s="29"/>
      <c r="F24" s="29"/>
      <c r="G24" s="64"/>
    </row>
    <row r="25" spans="1:7">
      <c r="B25" s="64"/>
      <c r="C25" s="64"/>
      <c r="D25" s="64"/>
      <c r="E25" s="64"/>
      <c r="F25" s="64"/>
      <c r="G25" s="64"/>
    </row>
    <row r="26" spans="1:7">
      <c r="B26" s="64"/>
      <c r="C26" s="64"/>
      <c r="D26" s="64"/>
      <c r="E26" s="64"/>
      <c r="F26" s="64"/>
      <c r="G26" s="64"/>
    </row>
  </sheetData>
  <mergeCells count="1">
    <mergeCell ref="A1:F1"/>
  </mergeCells>
  <pageMargins left="0.7" right="0.7" top="0.75" bottom="0.75" header="0.3" footer="0.3"/>
  <pageSetup scale="72" fitToHeight="0" orientation="landscape" r:id="rId1"/>
  <headerFooter>
    <oddFooter>&amp;L&amp;9Copyright Shipley Associates&amp;C&amp;9&amp;D&amp;R&amp;9&amp;P</oddFooter>
  </headerFooter>
  <drawing r:id="rId2"/>
  <tableParts count="1">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B7AEF-3911-4180-9F3F-E8D8F1502CF6}">
  <sheetPr>
    <tabColor theme="9"/>
    <pageSetUpPr fitToPage="1"/>
  </sheetPr>
  <dimension ref="A1:E46"/>
  <sheetViews>
    <sheetView workbookViewId="0">
      <selection activeCell="D25" sqref="D25"/>
    </sheetView>
  </sheetViews>
  <sheetFormatPr defaultColWidth="9.140625" defaultRowHeight="12.75"/>
  <cols>
    <col min="1" max="1" width="27.85546875" style="9" customWidth="1"/>
    <col min="2" max="2" width="73.42578125" style="9" customWidth="1"/>
    <col min="3" max="3" width="3.5703125" style="9" customWidth="1"/>
    <col min="4" max="4" width="49" style="9" customWidth="1"/>
    <col min="5" max="5" width="3.5703125" style="9" customWidth="1"/>
    <col min="6" max="16384" width="9.140625" style="9"/>
  </cols>
  <sheetData>
    <row r="1" spans="1:5" s="29" customFormat="1" ht="43.5" customHeight="1">
      <c r="A1" s="282" t="s">
        <v>386</v>
      </c>
      <c r="B1" s="282"/>
      <c r="C1" s="282"/>
      <c r="D1" s="282"/>
      <c r="E1" s="282"/>
    </row>
    <row r="2" spans="1:5" ht="22.5" customHeight="1">
      <c r="A2" s="283" t="s">
        <v>374</v>
      </c>
      <c r="B2" s="283"/>
      <c r="C2" s="170"/>
      <c r="D2" s="184" t="s">
        <v>375</v>
      </c>
      <c r="E2" s="63"/>
    </row>
    <row r="3" spans="1:5" ht="12.75" customHeight="1">
      <c r="A3" s="180"/>
      <c r="B3" s="180"/>
      <c r="C3" s="170"/>
      <c r="D3" s="63"/>
      <c r="E3" s="63"/>
    </row>
    <row r="4" spans="1:5" ht="12.75" customHeight="1">
      <c r="A4" s="181"/>
      <c r="B4" s="182"/>
      <c r="C4" s="170"/>
      <c r="D4" s="177" t="s">
        <v>391</v>
      </c>
      <c r="E4" s="63"/>
    </row>
    <row r="5" spans="1:5" ht="12.75" customHeight="1">
      <c r="A5" s="181"/>
      <c r="B5" s="182"/>
      <c r="C5" s="170"/>
      <c r="D5" s="178" t="s">
        <v>376</v>
      </c>
      <c r="E5" s="63"/>
    </row>
    <row r="6" spans="1:5" ht="12.75" customHeight="1">
      <c r="A6" s="181"/>
      <c r="B6" s="182"/>
      <c r="C6" s="170"/>
      <c r="D6" s="178" t="s">
        <v>32</v>
      </c>
      <c r="E6" s="63"/>
    </row>
    <row r="7" spans="1:5" ht="12.75" customHeight="1">
      <c r="A7" s="181"/>
      <c r="B7" s="182"/>
      <c r="C7" s="170"/>
      <c r="D7" s="178" t="s">
        <v>27</v>
      </c>
      <c r="E7" s="63"/>
    </row>
    <row r="8" spans="1:5" ht="12.75" customHeight="1">
      <c r="A8" s="181"/>
      <c r="B8" s="182"/>
      <c r="C8" s="170"/>
      <c r="D8" s="178" t="s">
        <v>387</v>
      </c>
      <c r="E8" s="63"/>
    </row>
    <row r="9" spans="1:5" ht="12.75" customHeight="1">
      <c r="A9" s="181"/>
      <c r="B9" s="182"/>
      <c r="C9" s="63"/>
      <c r="D9" s="179" t="s">
        <v>377</v>
      </c>
      <c r="E9" s="63"/>
    </row>
    <row r="10" spans="1:5" ht="12.75" customHeight="1">
      <c r="A10" s="181"/>
      <c r="B10" s="182"/>
      <c r="C10" s="63"/>
      <c r="D10" s="172"/>
      <c r="E10" s="63"/>
    </row>
    <row r="11" spans="1:5">
      <c r="A11" s="63"/>
      <c r="B11" s="63"/>
      <c r="C11" s="63"/>
      <c r="D11" s="63"/>
      <c r="E11" s="63"/>
    </row>
    <row r="12" spans="1:5" ht="15.75">
      <c r="A12" s="63"/>
      <c r="B12" s="63"/>
      <c r="C12" s="173"/>
      <c r="D12" s="63"/>
      <c r="E12" s="63"/>
    </row>
    <row r="13" spans="1:5">
      <c r="A13" s="180"/>
      <c r="B13" s="180"/>
      <c r="C13" s="63"/>
      <c r="D13" s="63"/>
      <c r="E13" s="63"/>
    </row>
    <row r="14" spans="1:5">
      <c r="A14" s="181"/>
      <c r="B14" s="183"/>
      <c r="C14" s="63"/>
      <c r="D14" s="63"/>
      <c r="E14" s="63"/>
    </row>
    <row r="15" spans="1:5">
      <c r="A15" s="181"/>
      <c r="B15" s="183"/>
      <c r="C15" s="63"/>
      <c r="D15" s="63"/>
      <c r="E15" s="63"/>
    </row>
    <row r="16" spans="1:5">
      <c r="A16" s="181"/>
      <c r="B16" s="183"/>
      <c r="C16" s="63"/>
      <c r="D16" s="63"/>
      <c r="E16" s="63"/>
    </row>
    <row r="17" spans="1:5">
      <c r="A17" s="181"/>
      <c r="B17" s="183"/>
      <c r="C17" s="63"/>
      <c r="D17" s="63"/>
      <c r="E17" s="63"/>
    </row>
    <row r="18" spans="1:5">
      <c r="A18" s="63"/>
      <c r="B18" s="63"/>
      <c r="C18" s="63"/>
      <c r="D18" s="63"/>
      <c r="E18" s="63"/>
    </row>
    <row r="19" spans="1:5">
      <c r="A19" s="181"/>
      <c r="B19" s="183"/>
      <c r="C19" s="63"/>
      <c r="D19" s="63"/>
      <c r="E19" s="63"/>
    </row>
    <row r="20" spans="1:5">
      <c r="A20" s="181"/>
      <c r="B20" s="183"/>
      <c r="C20" s="63"/>
      <c r="D20" s="63"/>
      <c r="E20" s="63"/>
    </row>
    <row r="21" spans="1:5">
      <c r="A21" s="181"/>
      <c r="B21" s="183"/>
      <c r="C21" s="63"/>
      <c r="D21" s="63"/>
      <c r="E21" s="63"/>
    </row>
    <row r="22" spans="1:5">
      <c r="A22" s="181"/>
      <c r="B22" s="183"/>
      <c r="C22" s="63"/>
      <c r="D22" s="63"/>
      <c r="E22" s="63"/>
    </row>
    <row r="23" spans="1:5">
      <c r="A23" s="181"/>
      <c r="B23" s="183"/>
      <c r="C23" s="63"/>
      <c r="D23" s="63"/>
      <c r="E23" s="63"/>
    </row>
    <row r="24" spans="1:5">
      <c r="A24" s="181"/>
      <c r="B24" s="183"/>
      <c r="C24" s="63"/>
      <c r="D24" s="63"/>
      <c r="E24" s="63"/>
    </row>
    <row r="25" spans="1:5" ht="15.75">
      <c r="A25" s="283" t="s">
        <v>378</v>
      </c>
      <c r="B25" s="283"/>
      <c r="C25" s="63"/>
      <c r="D25" s="173" t="s">
        <v>392</v>
      </c>
      <c r="E25" s="63"/>
    </row>
    <row r="26" spans="1:5">
      <c r="A26" s="63"/>
      <c r="B26" s="63"/>
      <c r="C26" s="63"/>
      <c r="D26" s="63"/>
      <c r="E26" s="63"/>
    </row>
    <row r="27" spans="1:5">
      <c r="A27" s="63"/>
      <c r="B27" s="63"/>
      <c r="C27" s="63"/>
      <c r="D27" s="174"/>
      <c r="E27" s="63"/>
    </row>
    <row r="28" spans="1:5">
      <c r="A28" s="63"/>
      <c r="B28" s="63"/>
      <c r="C28" s="63"/>
      <c r="D28" s="175"/>
      <c r="E28" s="63"/>
    </row>
    <row r="29" spans="1:5">
      <c r="A29" s="63"/>
      <c r="B29" s="63"/>
      <c r="C29" s="63"/>
      <c r="D29" s="175"/>
      <c r="E29" s="63"/>
    </row>
    <row r="30" spans="1:5">
      <c r="A30" s="63"/>
      <c r="B30" s="63"/>
      <c r="C30" s="63"/>
      <c r="D30" s="175"/>
      <c r="E30" s="63"/>
    </row>
    <row r="31" spans="1:5">
      <c r="A31" s="63"/>
      <c r="B31" s="63"/>
      <c r="C31" s="63"/>
      <c r="D31" s="175"/>
      <c r="E31" s="63"/>
    </row>
    <row r="32" spans="1:5">
      <c r="A32" s="63"/>
      <c r="B32" s="63"/>
      <c r="C32" s="63"/>
      <c r="D32" s="175"/>
      <c r="E32" s="63"/>
    </row>
    <row r="33" spans="1:5">
      <c r="A33" s="63"/>
      <c r="B33" s="63"/>
      <c r="C33" s="63"/>
      <c r="D33" s="175"/>
      <c r="E33" s="63"/>
    </row>
    <row r="34" spans="1:5">
      <c r="A34" s="63"/>
      <c r="B34" s="63"/>
      <c r="C34" s="63"/>
      <c r="D34" s="175"/>
      <c r="E34" s="63"/>
    </row>
    <row r="35" spans="1:5">
      <c r="A35" s="63"/>
      <c r="B35" s="63"/>
      <c r="C35" s="63"/>
      <c r="D35" s="175"/>
      <c r="E35" s="63"/>
    </row>
    <row r="36" spans="1:5">
      <c r="A36" s="63"/>
      <c r="B36" s="63"/>
      <c r="C36" s="63"/>
      <c r="D36" s="175"/>
      <c r="E36" s="63"/>
    </row>
    <row r="37" spans="1:5">
      <c r="A37" s="63"/>
      <c r="B37" s="63"/>
      <c r="C37" s="63"/>
      <c r="D37" s="175"/>
      <c r="E37" s="63"/>
    </row>
    <row r="38" spans="1:5">
      <c r="A38" s="63"/>
      <c r="B38" s="63"/>
      <c r="C38" s="63"/>
      <c r="D38" s="175"/>
      <c r="E38" s="63"/>
    </row>
    <row r="39" spans="1:5">
      <c r="A39" s="63"/>
      <c r="B39" s="63"/>
      <c r="C39" s="63"/>
      <c r="D39" s="176"/>
      <c r="E39" s="63"/>
    </row>
    <row r="40" spans="1:5">
      <c r="A40" s="63"/>
      <c r="B40" s="63"/>
      <c r="C40" s="63"/>
      <c r="D40" s="63"/>
      <c r="E40" s="63"/>
    </row>
    <row r="41" spans="1:5">
      <c r="A41" s="63"/>
      <c r="B41" s="63"/>
      <c r="C41" s="63"/>
      <c r="D41" s="63"/>
      <c r="E41" s="63"/>
    </row>
    <row r="42" spans="1:5">
      <c r="A42" s="63"/>
      <c r="B42" s="63"/>
      <c r="C42" s="63"/>
      <c r="D42" s="63"/>
      <c r="E42" s="63"/>
    </row>
    <row r="43" spans="1:5">
      <c r="A43" s="63"/>
      <c r="B43" s="63"/>
      <c r="C43" s="63"/>
      <c r="D43" s="63"/>
      <c r="E43" s="63"/>
    </row>
    <row r="44" spans="1:5">
      <c r="A44" s="63"/>
      <c r="B44" s="63"/>
      <c r="C44" s="63"/>
      <c r="D44" s="63"/>
      <c r="E44" s="63"/>
    </row>
    <row r="45" spans="1:5">
      <c r="A45" s="63"/>
      <c r="B45" s="63"/>
      <c r="C45" s="63"/>
      <c r="D45" s="63"/>
      <c r="E45" s="63"/>
    </row>
    <row r="46" spans="1:5">
      <c r="A46" s="63"/>
      <c r="B46" s="63"/>
      <c r="C46" s="63"/>
      <c r="D46" s="63"/>
      <c r="E46" s="63"/>
    </row>
  </sheetData>
  <mergeCells count="3">
    <mergeCell ref="A2:B2"/>
    <mergeCell ref="A25:B25"/>
    <mergeCell ref="A1:E1"/>
  </mergeCells>
  <pageMargins left="0.7" right="0.7" top="0.75" bottom="0.75" header="0.3" footer="0.3"/>
  <pageSetup scale="78" fitToHeight="0" orientation="landscape" r:id="rId1"/>
  <headerFooter>
    <oddFooter>&amp;L&amp;9Copyright Shipley Associates&amp;C&amp;9&amp;D&amp;R&amp;9&amp;P</oddFooter>
  </headerFooter>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2">
    <tabColor rgb="FFEB9F42"/>
  </sheetPr>
  <dimension ref="A1:CQ49"/>
  <sheetViews>
    <sheetView zoomScaleNormal="100" workbookViewId="0">
      <selection activeCell="A3" sqref="A3"/>
    </sheetView>
  </sheetViews>
  <sheetFormatPr defaultColWidth="9.140625" defaultRowHeight="12.75"/>
  <cols>
    <col min="1" max="2" width="39.42578125" style="29" customWidth="1"/>
    <col min="3" max="95" width="4.28515625" style="29" customWidth="1"/>
    <col min="96" max="16384" width="9.140625" style="9"/>
  </cols>
  <sheetData>
    <row r="1" spans="1:95" ht="43.5" customHeight="1">
      <c r="A1" s="284" t="s">
        <v>388</v>
      </c>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c r="BK1" s="285"/>
      <c r="BL1" s="285"/>
      <c r="BM1" s="285"/>
      <c r="BN1" s="285"/>
      <c r="BO1" s="285"/>
      <c r="BP1" s="285"/>
      <c r="BQ1" s="285"/>
      <c r="BR1" s="285"/>
      <c r="BS1" s="285"/>
      <c r="BT1" s="285"/>
      <c r="BU1" s="285"/>
      <c r="BV1" s="285"/>
      <c r="BW1" s="285"/>
      <c r="BX1" s="285"/>
      <c r="BY1" s="285"/>
      <c r="BZ1" s="285"/>
      <c r="CA1" s="285"/>
      <c r="CB1" s="285"/>
      <c r="CC1" s="285"/>
      <c r="CD1" s="285"/>
      <c r="CE1" s="285"/>
      <c r="CF1" s="285"/>
      <c r="CG1" s="285"/>
      <c r="CH1" s="285"/>
      <c r="CI1" s="285"/>
      <c r="CJ1" s="285"/>
      <c r="CK1" s="285"/>
      <c r="CL1" s="285"/>
      <c r="CM1" s="285"/>
      <c r="CN1" s="285"/>
      <c r="CO1" s="285"/>
      <c r="CP1" s="285"/>
      <c r="CQ1" s="286"/>
    </row>
    <row r="2" spans="1:95" ht="17.25" customHeight="1">
      <c r="A2" s="287" t="s">
        <v>379</v>
      </c>
      <c r="B2" s="288"/>
      <c r="C2" s="288"/>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8"/>
      <c r="CP2" s="288"/>
      <c r="CQ2" s="289"/>
    </row>
    <row r="3" spans="1:95" ht="17.25" customHeight="1">
      <c r="A3" s="185" t="s">
        <v>380</v>
      </c>
      <c r="B3" s="186" t="s">
        <v>354</v>
      </c>
      <c r="C3" s="187">
        <v>1</v>
      </c>
      <c r="D3" s="187">
        <f>C3+1</f>
        <v>2</v>
      </c>
      <c r="E3" s="187">
        <f t="shared" ref="E3" si="0">D3+1</f>
        <v>3</v>
      </c>
      <c r="F3" s="187">
        <f t="shared" ref="F3" si="1">E3+1</f>
        <v>4</v>
      </c>
      <c r="G3" s="187">
        <f t="shared" ref="G3" si="2">F3+1</f>
        <v>5</v>
      </c>
      <c r="H3" s="187">
        <f t="shared" ref="H3" si="3">G3+1</f>
        <v>6</v>
      </c>
      <c r="I3" s="187">
        <f t="shared" ref="I3" si="4">H3+1</f>
        <v>7</v>
      </c>
      <c r="J3" s="187">
        <f t="shared" ref="J3" si="5">I3+1</f>
        <v>8</v>
      </c>
      <c r="K3" s="187">
        <f t="shared" ref="K3" si="6">J3+1</f>
        <v>9</v>
      </c>
      <c r="L3" s="187">
        <f t="shared" ref="L3" si="7">K3+1</f>
        <v>10</v>
      </c>
      <c r="M3" s="187">
        <f t="shared" ref="M3" si="8">L3+1</f>
        <v>11</v>
      </c>
      <c r="N3" s="187">
        <f t="shared" ref="N3" si="9">M3+1</f>
        <v>12</v>
      </c>
      <c r="O3" s="187">
        <f t="shared" ref="O3" si="10">N3+1</f>
        <v>13</v>
      </c>
      <c r="P3" s="187">
        <f t="shared" ref="P3" si="11">O3+1</f>
        <v>14</v>
      </c>
      <c r="Q3" s="187">
        <f t="shared" ref="Q3" si="12">P3+1</f>
        <v>15</v>
      </c>
      <c r="R3" s="187">
        <f t="shared" ref="R3" si="13">Q3+1</f>
        <v>16</v>
      </c>
      <c r="S3" s="187">
        <f t="shared" ref="S3" si="14">R3+1</f>
        <v>17</v>
      </c>
      <c r="T3" s="187">
        <f t="shared" ref="T3" si="15">S3+1</f>
        <v>18</v>
      </c>
      <c r="U3" s="187">
        <f t="shared" ref="U3" si="16">T3+1</f>
        <v>19</v>
      </c>
      <c r="V3" s="187">
        <f t="shared" ref="V3" si="17">U3+1</f>
        <v>20</v>
      </c>
      <c r="W3" s="187">
        <f t="shared" ref="W3" si="18">V3+1</f>
        <v>21</v>
      </c>
      <c r="X3" s="187">
        <f t="shared" ref="X3" si="19">W3+1</f>
        <v>22</v>
      </c>
      <c r="Y3" s="187">
        <f t="shared" ref="Y3" si="20">X3+1</f>
        <v>23</v>
      </c>
      <c r="Z3" s="187">
        <f t="shared" ref="Z3" si="21">Y3+1</f>
        <v>24</v>
      </c>
      <c r="AA3" s="187">
        <f t="shared" ref="AA3" si="22">Z3+1</f>
        <v>25</v>
      </c>
      <c r="AB3" s="187">
        <f t="shared" ref="AB3" si="23">AA3+1</f>
        <v>26</v>
      </c>
      <c r="AC3" s="187">
        <f t="shared" ref="AC3" si="24">AB3+1</f>
        <v>27</v>
      </c>
      <c r="AD3" s="187">
        <f t="shared" ref="AD3" si="25">AC3+1</f>
        <v>28</v>
      </c>
      <c r="AE3" s="187">
        <f t="shared" ref="AE3" si="26">AD3+1</f>
        <v>29</v>
      </c>
      <c r="AF3" s="187">
        <f t="shared" ref="AF3" si="27">AE3+1</f>
        <v>30</v>
      </c>
      <c r="AG3" s="188">
        <f t="shared" ref="AG3" si="28">AF3+1</f>
        <v>31</v>
      </c>
      <c r="AH3" s="189">
        <v>1</v>
      </c>
      <c r="AI3" s="187">
        <f>AH3+1</f>
        <v>2</v>
      </c>
      <c r="AJ3" s="187">
        <f t="shared" ref="AJ3:BL3" si="29">AI3+1</f>
        <v>3</v>
      </c>
      <c r="AK3" s="187">
        <f t="shared" si="29"/>
        <v>4</v>
      </c>
      <c r="AL3" s="187">
        <f t="shared" si="29"/>
        <v>5</v>
      </c>
      <c r="AM3" s="187">
        <f t="shared" si="29"/>
        <v>6</v>
      </c>
      <c r="AN3" s="187">
        <f t="shared" si="29"/>
        <v>7</v>
      </c>
      <c r="AO3" s="187">
        <f t="shared" si="29"/>
        <v>8</v>
      </c>
      <c r="AP3" s="187">
        <f t="shared" si="29"/>
        <v>9</v>
      </c>
      <c r="AQ3" s="187">
        <f t="shared" si="29"/>
        <v>10</v>
      </c>
      <c r="AR3" s="187">
        <f t="shared" si="29"/>
        <v>11</v>
      </c>
      <c r="AS3" s="187">
        <f t="shared" si="29"/>
        <v>12</v>
      </c>
      <c r="AT3" s="187">
        <f t="shared" si="29"/>
        <v>13</v>
      </c>
      <c r="AU3" s="187">
        <f t="shared" si="29"/>
        <v>14</v>
      </c>
      <c r="AV3" s="187">
        <f t="shared" si="29"/>
        <v>15</v>
      </c>
      <c r="AW3" s="187">
        <f t="shared" si="29"/>
        <v>16</v>
      </c>
      <c r="AX3" s="187">
        <f t="shared" si="29"/>
        <v>17</v>
      </c>
      <c r="AY3" s="187">
        <f t="shared" si="29"/>
        <v>18</v>
      </c>
      <c r="AZ3" s="187">
        <f t="shared" si="29"/>
        <v>19</v>
      </c>
      <c r="BA3" s="187">
        <f t="shared" si="29"/>
        <v>20</v>
      </c>
      <c r="BB3" s="187">
        <f t="shared" si="29"/>
        <v>21</v>
      </c>
      <c r="BC3" s="187">
        <f t="shared" si="29"/>
        <v>22</v>
      </c>
      <c r="BD3" s="187">
        <f t="shared" si="29"/>
        <v>23</v>
      </c>
      <c r="BE3" s="187">
        <f t="shared" si="29"/>
        <v>24</v>
      </c>
      <c r="BF3" s="187">
        <f t="shared" si="29"/>
        <v>25</v>
      </c>
      <c r="BG3" s="187">
        <f t="shared" si="29"/>
        <v>26</v>
      </c>
      <c r="BH3" s="187">
        <f t="shared" si="29"/>
        <v>27</v>
      </c>
      <c r="BI3" s="187">
        <f t="shared" si="29"/>
        <v>28</v>
      </c>
      <c r="BJ3" s="187">
        <f t="shared" si="29"/>
        <v>29</v>
      </c>
      <c r="BK3" s="187">
        <f t="shared" si="29"/>
        <v>30</v>
      </c>
      <c r="BL3" s="188">
        <f t="shared" si="29"/>
        <v>31</v>
      </c>
      <c r="BM3" s="189">
        <v>1</v>
      </c>
      <c r="BN3" s="187">
        <f>BM3+1</f>
        <v>2</v>
      </c>
      <c r="BO3" s="187">
        <f t="shared" ref="BO3:CQ3" si="30">BN3+1</f>
        <v>3</v>
      </c>
      <c r="BP3" s="187">
        <f t="shared" si="30"/>
        <v>4</v>
      </c>
      <c r="BQ3" s="187">
        <f t="shared" si="30"/>
        <v>5</v>
      </c>
      <c r="BR3" s="187">
        <f t="shared" si="30"/>
        <v>6</v>
      </c>
      <c r="BS3" s="187">
        <f t="shared" si="30"/>
        <v>7</v>
      </c>
      <c r="BT3" s="187">
        <f t="shared" si="30"/>
        <v>8</v>
      </c>
      <c r="BU3" s="187">
        <f t="shared" si="30"/>
        <v>9</v>
      </c>
      <c r="BV3" s="187">
        <f t="shared" si="30"/>
        <v>10</v>
      </c>
      <c r="BW3" s="187">
        <f t="shared" si="30"/>
        <v>11</v>
      </c>
      <c r="BX3" s="187">
        <f t="shared" si="30"/>
        <v>12</v>
      </c>
      <c r="BY3" s="187">
        <f t="shared" si="30"/>
        <v>13</v>
      </c>
      <c r="BZ3" s="187">
        <f t="shared" si="30"/>
        <v>14</v>
      </c>
      <c r="CA3" s="187">
        <f t="shared" si="30"/>
        <v>15</v>
      </c>
      <c r="CB3" s="187">
        <f t="shared" si="30"/>
        <v>16</v>
      </c>
      <c r="CC3" s="187">
        <f t="shared" si="30"/>
        <v>17</v>
      </c>
      <c r="CD3" s="187">
        <f t="shared" si="30"/>
        <v>18</v>
      </c>
      <c r="CE3" s="187">
        <f t="shared" si="30"/>
        <v>19</v>
      </c>
      <c r="CF3" s="187">
        <f t="shared" si="30"/>
        <v>20</v>
      </c>
      <c r="CG3" s="187">
        <f t="shared" si="30"/>
        <v>21</v>
      </c>
      <c r="CH3" s="187">
        <f t="shared" si="30"/>
        <v>22</v>
      </c>
      <c r="CI3" s="187">
        <f t="shared" si="30"/>
        <v>23</v>
      </c>
      <c r="CJ3" s="187">
        <f t="shared" si="30"/>
        <v>24</v>
      </c>
      <c r="CK3" s="187">
        <f t="shared" si="30"/>
        <v>25</v>
      </c>
      <c r="CL3" s="187">
        <f t="shared" si="30"/>
        <v>26</v>
      </c>
      <c r="CM3" s="187">
        <f t="shared" si="30"/>
        <v>27</v>
      </c>
      <c r="CN3" s="187">
        <f t="shared" si="30"/>
        <v>28</v>
      </c>
      <c r="CO3" s="187">
        <f t="shared" si="30"/>
        <v>29</v>
      </c>
      <c r="CP3" s="187">
        <f t="shared" si="30"/>
        <v>30</v>
      </c>
      <c r="CQ3" s="190">
        <f t="shared" si="30"/>
        <v>31</v>
      </c>
    </row>
    <row r="4" spans="1:95">
      <c r="A4" s="191"/>
      <c r="B4" s="191"/>
      <c r="C4" s="191"/>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2"/>
      <c r="AH4" s="193"/>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c r="BL4" s="192"/>
      <c r="BM4" s="194"/>
      <c r="BN4" s="195"/>
      <c r="BO4" s="195"/>
      <c r="BP4" s="195"/>
      <c r="BQ4" s="195"/>
      <c r="BR4" s="195"/>
      <c r="BS4" s="195"/>
      <c r="BT4" s="195"/>
      <c r="BU4" s="195"/>
      <c r="BV4" s="195"/>
      <c r="BW4" s="195"/>
      <c r="BX4" s="195"/>
      <c r="BY4" s="195"/>
      <c r="BZ4" s="195"/>
      <c r="CA4" s="195"/>
      <c r="CB4" s="195"/>
      <c r="CC4" s="195"/>
      <c r="CD4" s="195"/>
      <c r="CE4" s="195"/>
      <c r="CF4" s="195"/>
      <c r="CG4" s="195"/>
      <c r="CH4" s="195"/>
      <c r="CI4" s="195"/>
      <c r="CJ4" s="195"/>
      <c r="CK4" s="195"/>
      <c r="CL4" s="195"/>
      <c r="CM4" s="195"/>
      <c r="CN4" s="195"/>
      <c r="CO4" s="195"/>
      <c r="CP4" s="195"/>
      <c r="CQ4" s="195"/>
    </row>
    <row r="5" spans="1:95">
      <c r="A5" s="191"/>
      <c r="B5" s="191"/>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2"/>
      <c r="AH5" s="193"/>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c r="BJ5" s="191"/>
      <c r="BK5" s="191"/>
      <c r="BL5" s="192"/>
      <c r="BM5" s="194"/>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row>
    <row r="6" spans="1:95">
      <c r="A6" s="191"/>
      <c r="B6" s="191"/>
      <c r="C6" s="191"/>
      <c r="D6" s="191"/>
      <c r="E6" s="191"/>
      <c r="F6" s="191"/>
      <c r="G6" s="191"/>
      <c r="H6" s="191"/>
      <c r="I6" s="191"/>
      <c r="J6" s="191"/>
      <c r="K6" s="191"/>
      <c r="L6" s="191"/>
      <c r="M6" s="191"/>
      <c r="N6" s="191"/>
      <c r="O6" s="191"/>
      <c r="P6" s="191"/>
      <c r="Q6" s="191"/>
      <c r="R6" s="191"/>
      <c r="S6" s="191"/>
      <c r="T6" s="191"/>
      <c r="U6" s="191"/>
      <c r="V6" s="191"/>
      <c r="W6" s="191"/>
      <c r="X6" s="191"/>
      <c r="Y6" s="191"/>
      <c r="Z6" s="191"/>
      <c r="AA6" s="191"/>
      <c r="AB6" s="191"/>
      <c r="AC6" s="191"/>
      <c r="AD6" s="191"/>
      <c r="AE6" s="191"/>
      <c r="AF6" s="191"/>
      <c r="AG6" s="192"/>
      <c r="AH6" s="193"/>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2"/>
      <c r="BM6" s="194"/>
      <c r="BN6" s="195"/>
      <c r="BO6" s="195"/>
      <c r="BP6" s="195"/>
      <c r="BQ6" s="195"/>
      <c r="BR6" s="195"/>
      <c r="BS6" s="195"/>
      <c r="BT6" s="195"/>
      <c r="BU6" s="195"/>
      <c r="BV6" s="195"/>
      <c r="BW6" s="195"/>
      <c r="BX6" s="195"/>
      <c r="BY6" s="195"/>
      <c r="BZ6" s="195"/>
      <c r="CA6" s="195"/>
      <c r="CB6" s="195"/>
      <c r="CC6" s="195"/>
      <c r="CD6" s="195"/>
      <c r="CE6" s="195"/>
      <c r="CF6" s="195"/>
      <c r="CG6" s="195"/>
      <c r="CH6" s="195"/>
      <c r="CI6" s="195"/>
      <c r="CJ6" s="195"/>
      <c r="CK6" s="195"/>
      <c r="CL6" s="195"/>
      <c r="CM6" s="195"/>
      <c r="CN6" s="195"/>
      <c r="CO6" s="195"/>
      <c r="CP6" s="195"/>
      <c r="CQ6" s="195"/>
    </row>
    <row r="7" spans="1:95">
      <c r="A7" s="191"/>
      <c r="B7" s="191"/>
      <c r="C7" s="191"/>
      <c r="D7" s="191"/>
      <c r="E7" s="191"/>
      <c r="F7" s="191"/>
      <c r="G7" s="191"/>
      <c r="H7" s="191"/>
      <c r="I7" s="191"/>
      <c r="J7" s="191"/>
      <c r="K7" s="191"/>
      <c r="L7" s="191"/>
      <c r="M7" s="191"/>
      <c r="N7" s="191"/>
      <c r="O7" s="191"/>
      <c r="P7" s="191"/>
      <c r="Q7" s="191"/>
      <c r="R7" s="191"/>
      <c r="S7" s="191"/>
      <c r="T7" s="191"/>
      <c r="U7" s="191"/>
      <c r="V7" s="191"/>
      <c r="W7" s="191"/>
      <c r="X7" s="191"/>
      <c r="Y7" s="191"/>
      <c r="Z7" s="191"/>
      <c r="AA7" s="191"/>
      <c r="AB7" s="191"/>
      <c r="AC7" s="191"/>
      <c r="AD7" s="191"/>
      <c r="AE7" s="191"/>
      <c r="AF7" s="191"/>
      <c r="AG7" s="192"/>
      <c r="AH7" s="193"/>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c r="BL7" s="192"/>
      <c r="BM7" s="194"/>
      <c r="BN7" s="195"/>
      <c r="BO7" s="195"/>
      <c r="BP7" s="195"/>
      <c r="BQ7" s="195"/>
      <c r="BR7" s="195"/>
      <c r="BS7" s="195"/>
      <c r="BT7" s="195"/>
      <c r="BU7" s="195"/>
      <c r="BV7" s="195"/>
      <c r="BW7" s="195"/>
      <c r="BX7" s="195"/>
      <c r="BY7" s="195"/>
      <c r="BZ7" s="195"/>
      <c r="CA7" s="195"/>
      <c r="CB7" s="195"/>
      <c r="CC7" s="195"/>
      <c r="CD7" s="195"/>
      <c r="CE7" s="195"/>
      <c r="CF7" s="195"/>
      <c r="CG7" s="195"/>
      <c r="CH7" s="195"/>
      <c r="CI7" s="195"/>
      <c r="CJ7" s="195"/>
      <c r="CK7" s="195"/>
      <c r="CL7" s="195"/>
      <c r="CM7" s="195"/>
      <c r="CN7" s="195"/>
      <c r="CO7" s="195"/>
      <c r="CP7" s="195"/>
      <c r="CQ7" s="195"/>
    </row>
    <row r="8" spans="1:95">
      <c r="A8" s="191"/>
      <c r="B8" s="191"/>
      <c r="C8" s="191"/>
      <c r="D8" s="191"/>
      <c r="E8" s="191"/>
      <c r="F8" s="191"/>
      <c r="G8" s="191"/>
      <c r="H8" s="191"/>
      <c r="I8" s="191"/>
      <c r="J8" s="191"/>
      <c r="K8" s="191"/>
      <c r="L8" s="191"/>
      <c r="M8" s="191"/>
      <c r="N8" s="191"/>
      <c r="O8" s="191"/>
      <c r="P8" s="191"/>
      <c r="Q8" s="191"/>
      <c r="R8" s="191"/>
      <c r="S8" s="191"/>
      <c r="T8" s="191"/>
      <c r="U8" s="191"/>
      <c r="V8" s="191"/>
      <c r="W8" s="191"/>
      <c r="X8" s="191"/>
      <c r="Y8" s="191"/>
      <c r="Z8" s="191"/>
      <c r="AA8" s="191"/>
      <c r="AB8" s="191"/>
      <c r="AC8" s="191"/>
      <c r="AD8" s="191"/>
      <c r="AE8" s="191"/>
      <c r="AF8" s="191"/>
      <c r="AG8" s="192"/>
      <c r="AH8" s="193"/>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2"/>
      <c r="BM8" s="194"/>
      <c r="BN8" s="195"/>
      <c r="BO8" s="195"/>
      <c r="BP8" s="195"/>
      <c r="BQ8" s="195"/>
      <c r="BR8" s="195"/>
      <c r="BS8" s="195"/>
      <c r="BT8" s="195"/>
      <c r="BU8" s="195"/>
      <c r="BV8" s="195"/>
      <c r="BW8" s="195"/>
      <c r="BX8" s="195"/>
      <c r="BY8" s="195"/>
      <c r="BZ8" s="195"/>
      <c r="CA8" s="195"/>
      <c r="CB8" s="195"/>
      <c r="CC8" s="195"/>
      <c r="CD8" s="195"/>
      <c r="CE8" s="195"/>
      <c r="CF8" s="195"/>
      <c r="CG8" s="195"/>
      <c r="CH8" s="195"/>
      <c r="CI8" s="195"/>
      <c r="CJ8" s="195"/>
      <c r="CK8" s="195"/>
      <c r="CL8" s="195"/>
      <c r="CM8" s="195"/>
      <c r="CN8" s="195"/>
      <c r="CO8" s="195"/>
      <c r="CP8" s="195"/>
      <c r="CQ8" s="195"/>
    </row>
    <row r="9" spans="1:95">
      <c r="A9" s="191"/>
      <c r="B9" s="191"/>
      <c r="C9" s="191"/>
      <c r="D9" s="191"/>
      <c r="E9" s="191"/>
      <c r="F9" s="191"/>
      <c r="G9" s="191"/>
      <c r="H9" s="191"/>
      <c r="I9" s="191"/>
      <c r="J9" s="191"/>
      <c r="K9" s="191"/>
      <c r="L9" s="191"/>
      <c r="M9" s="191"/>
      <c r="N9" s="191"/>
      <c r="O9" s="191"/>
      <c r="P9" s="191"/>
      <c r="Q9" s="191"/>
      <c r="R9" s="191"/>
      <c r="S9" s="191"/>
      <c r="T9" s="191"/>
      <c r="U9" s="191"/>
      <c r="V9" s="191"/>
      <c r="W9" s="191"/>
      <c r="X9" s="191"/>
      <c r="Y9" s="191"/>
      <c r="Z9" s="191"/>
      <c r="AA9" s="191"/>
      <c r="AB9" s="191"/>
      <c r="AC9" s="191"/>
      <c r="AD9" s="191"/>
      <c r="AE9" s="191"/>
      <c r="AF9" s="191"/>
      <c r="AG9" s="192"/>
      <c r="AH9" s="193"/>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2"/>
      <c r="BM9" s="194"/>
      <c r="BN9" s="195"/>
      <c r="BO9" s="195"/>
      <c r="BP9" s="195"/>
      <c r="BQ9" s="195"/>
      <c r="BR9" s="195"/>
      <c r="BS9" s="195"/>
      <c r="BT9" s="195"/>
      <c r="BU9" s="195"/>
      <c r="BV9" s="195"/>
      <c r="BW9" s="195"/>
      <c r="BX9" s="195"/>
      <c r="BY9" s="195"/>
      <c r="BZ9" s="195"/>
      <c r="CA9" s="195"/>
      <c r="CB9" s="195"/>
      <c r="CC9" s="195"/>
      <c r="CD9" s="195"/>
      <c r="CE9" s="195"/>
      <c r="CF9" s="195"/>
      <c r="CG9" s="195"/>
      <c r="CH9" s="195"/>
      <c r="CI9" s="195"/>
      <c r="CJ9" s="195"/>
      <c r="CK9" s="195"/>
      <c r="CL9" s="195"/>
      <c r="CM9" s="195"/>
      <c r="CN9" s="195"/>
      <c r="CO9" s="195"/>
      <c r="CP9" s="195"/>
      <c r="CQ9" s="195"/>
    </row>
    <row r="10" spans="1:95">
      <c r="A10" s="191"/>
      <c r="B10" s="191"/>
      <c r="C10" s="191"/>
      <c r="D10" s="191"/>
      <c r="E10" s="191"/>
      <c r="F10" s="191"/>
      <c r="G10" s="191"/>
      <c r="H10" s="191"/>
      <c r="I10" s="191"/>
      <c r="J10" s="191"/>
      <c r="K10" s="191"/>
      <c r="L10" s="191"/>
      <c r="M10" s="191"/>
      <c r="N10" s="191"/>
      <c r="O10" s="191"/>
      <c r="P10" s="191"/>
      <c r="Q10" s="191"/>
      <c r="R10" s="191"/>
      <c r="S10" s="191"/>
      <c r="T10" s="191"/>
      <c r="U10" s="191"/>
      <c r="V10" s="191"/>
      <c r="W10" s="191"/>
      <c r="X10" s="191"/>
      <c r="Y10" s="191"/>
      <c r="Z10" s="191"/>
      <c r="AA10" s="191"/>
      <c r="AB10" s="191"/>
      <c r="AC10" s="191"/>
      <c r="AD10" s="191"/>
      <c r="AE10" s="191"/>
      <c r="AF10" s="191"/>
      <c r="AG10" s="192"/>
      <c r="AH10" s="193"/>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2"/>
      <c r="BM10" s="194"/>
      <c r="BN10" s="195"/>
      <c r="BO10" s="195"/>
      <c r="BP10" s="195"/>
      <c r="BQ10" s="195"/>
      <c r="BR10" s="195"/>
      <c r="BS10" s="195"/>
      <c r="BT10" s="195"/>
      <c r="BU10" s="195"/>
      <c r="BV10" s="195"/>
      <c r="BW10" s="195"/>
      <c r="BX10" s="195"/>
      <c r="BY10" s="195"/>
      <c r="BZ10" s="195"/>
      <c r="CA10" s="195"/>
      <c r="CB10" s="195"/>
      <c r="CC10" s="195"/>
      <c r="CD10" s="195"/>
      <c r="CE10" s="195"/>
      <c r="CF10" s="195"/>
      <c r="CG10" s="195"/>
      <c r="CH10" s="195"/>
      <c r="CI10" s="195"/>
      <c r="CJ10" s="195"/>
      <c r="CK10" s="195"/>
      <c r="CL10" s="195"/>
      <c r="CM10" s="195"/>
      <c r="CN10" s="195"/>
      <c r="CO10" s="195"/>
      <c r="CP10" s="195"/>
      <c r="CQ10" s="195"/>
    </row>
    <row r="11" spans="1:95">
      <c r="A11" s="191"/>
      <c r="B11" s="191"/>
      <c r="C11" s="191"/>
      <c r="D11" s="191"/>
      <c r="E11" s="191"/>
      <c r="F11" s="191"/>
      <c r="G11" s="191"/>
      <c r="H11" s="191"/>
      <c r="I11" s="191"/>
      <c r="J11" s="191"/>
      <c r="K11" s="191"/>
      <c r="L11" s="191"/>
      <c r="M11" s="191"/>
      <c r="N11" s="191"/>
      <c r="O11" s="191"/>
      <c r="P11" s="191"/>
      <c r="Q11" s="191"/>
      <c r="R11" s="191"/>
      <c r="S11" s="191"/>
      <c r="T11" s="191"/>
      <c r="U11" s="191"/>
      <c r="V11" s="191"/>
      <c r="W11" s="191"/>
      <c r="X11" s="191"/>
      <c r="Y11" s="191"/>
      <c r="Z11" s="191"/>
      <c r="AA11" s="191"/>
      <c r="AB11" s="191"/>
      <c r="AC11" s="191"/>
      <c r="AD11" s="191"/>
      <c r="AE11" s="191"/>
      <c r="AF11" s="191"/>
      <c r="AG11" s="192"/>
      <c r="AH11" s="193"/>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2"/>
      <c r="BM11" s="194"/>
      <c r="BN11" s="195"/>
      <c r="BO11" s="195"/>
      <c r="BP11" s="195"/>
      <c r="BQ11" s="195"/>
      <c r="BR11" s="195"/>
      <c r="BS11" s="195"/>
      <c r="BT11" s="195"/>
      <c r="BU11" s="195"/>
      <c r="BV11" s="195"/>
      <c r="BW11" s="195"/>
      <c r="BX11" s="195"/>
      <c r="BY11" s="195"/>
      <c r="BZ11" s="195"/>
      <c r="CA11" s="195"/>
      <c r="CB11" s="195"/>
      <c r="CC11" s="195"/>
      <c r="CD11" s="195"/>
      <c r="CE11" s="195"/>
      <c r="CF11" s="195"/>
      <c r="CG11" s="195"/>
      <c r="CH11" s="195"/>
      <c r="CI11" s="195"/>
      <c r="CJ11" s="195"/>
      <c r="CK11" s="195"/>
      <c r="CL11" s="195"/>
      <c r="CM11" s="195"/>
      <c r="CN11" s="195"/>
      <c r="CO11" s="195"/>
      <c r="CP11" s="195"/>
      <c r="CQ11" s="195"/>
    </row>
    <row r="12" spans="1:95">
      <c r="A12" s="191"/>
      <c r="B12" s="191"/>
      <c r="C12" s="191"/>
      <c r="D12" s="191"/>
      <c r="E12" s="191"/>
      <c r="F12" s="191"/>
      <c r="G12" s="191"/>
      <c r="H12" s="191"/>
      <c r="I12" s="191"/>
      <c r="J12" s="191"/>
      <c r="K12" s="191"/>
      <c r="L12" s="191"/>
      <c r="M12" s="191"/>
      <c r="N12" s="191"/>
      <c r="O12" s="191"/>
      <c r="P12" s="191"/>
      <c r="Q12" s="191"/>
      <c r="R12" s="191"/>
      <c r="S12" s="191"/>
      <c r="T12" s="191"/>
      <c r="U12" s="191"/>
      <c r="V12" s="191"/>
      <c r="W12" s="191"/>
      <c r="X12" s="191"/>
      <c r="Y12" s="191"/>
      <c r="Z12" s="191"/>
      <c r="AA12" s="191"/>
      <c r="AB12" s="191"/>
      <c r="AC12" s="191"/>
      <c r="AD12" s="191"/>
      <c r="AE12" s="191"/>
      <c r="AF12" s="191"/>
      <c r="AG12" s="192"/>
      <c r="AH12" s="193"/>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2"/>
      <c r="BM12" s="194"/>
      <c r="BN12" s="195"/>
      <c r="BO12" s="195"/>
      <c r="BP12" s="195"/>
      <c r="BQ12" s="195"/>
      <c r="BR12" s="195"/>
      <c r="BS12" s="195"/>
      <c r="BT12" s="195"/>
      <c r="BU12" s="195"/>
      <c r="BV12" s="195"/>
      <c r="BW12" s="195"/>
      <c r="BX12" s="195"/>
      <c r="BY12" s="195"/>
      <c r="BZ12" s="195"/>
      <c r="CA12" s="195"/>
      <c r="CB12" s="195"/>
      <c r="CC12" s="195"/>
      <c r="CD12" s="195"/>
      <c r="CE12" s="195"/>
      <c r="CF12" s="195"/>
      <c r="CG12" s="195"/>
      <c r="CH12" s="195"/>
      <c r="CI12" s="195"/>
      <c r="CJ12" s="195"/>
      <c r="CK12" s="195"/>
      <c r="CL12" s="195"/>
      <c r="CM12" s="195"/>
      <c r="CN12" s="195"/>
      <c r="CO12" s="195"/>
      <c r="CP12" s="195"/>
      <c r="CQ12" s="195"/>
    </row>
    <row r="13" spans="1:95">
      <c r="A13" s="191"/>
      <c r="B13" s="191"/>
      <c r="C13" s="191"/>
      <c r="D13" s="191"/>
      <c r="E13" s="191"/>
      <c r="F13" s="191"/>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2"/>
      <c r="AH13" s="193"/>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2"/>
      <c r="BM13" s="194"/>
      <c r="BN13" s="195"/>
      <c r="BO13" s="195"/>
      <c r="BP13" s="195"/>
      <c r="BQ13" s="195"/>
      <c r="BR13" s="195"/>
      <c r="BS13" s="195"/>
      <c r="BT13" s="195"/>
      <c r="BU13" s="195"/>
      <c r="BV13" s="195"/>
      <c r="BW13" s="195"/>
      <c r="BX13" s="195"/>
      <c r="BY13" s="195"/>
      <c r="BZ13" s="195"/>
      <c r="CA13" s="195"/>
      <c r="CB13" s="195"/>
      <c r="CC13" s="195"/>
      <c r="CD13" s="195"/>
      <c r="CE13" s="195"/>
      <c r="CF13" s="195"/>
      <c r="CG13" s="195"/>
      <c r="CH13" s="195"/>
      <c r="CI13" s="195"/>
      <c r="CJ13" s="195"/>
      <c r="CK13" s="195"/>
      <c r="CL13" s="195"/>
      <c r="CM13" s="195"/>
      <c r="CN13" s="195"/>
      <c r="CO13" s="195"/>
      <c r="CP13" s="195"/>
      <c r="CQ13" s="195"/>
    </row>
    <row r="14" spans="1:95">
      <c r="A14" s="191"/>
      <c r="B14" s="191"/>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2"/>
      <c r="AH14" s="193"/>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2"/>
      <c r="BM14" s="194"/>
      <c r="BN14" s="195"/>
      <c r="BO14" s="195"/>
      <c r="BP14" s="195"/>
      <c r="BQ14" s="195"/>
      <c r="BR14" s="195"/>
      <c r="BS14" s="195"/>
      <c r="BT14" s="195"/>
      <c r="BU14" s="195"/>
      <c r="BV14" s="195"/>
      <c r="BW14" s="195"/>
      <c r="BX14" s="195"/>
      <c r="BY14" s="195"/>
      <c r="BZ14" s="195"/>
      <c r="CA14" s="195"/>
      <c r="CB14" s="195"/>
      <c r="CC14" s="195"/>
      <c r="CD14" s="195"/>
      <c r="CE14" s="195"/>
      <c r="CF14" s="195"/>
      <c r="CG14" s="195"/>
      <c r="CH14" s="195"/>
      <c r="CI14" s="195"/>
      <c r="CJ14" s="195"/>
      <c r="CK14" s="195"/>
      <c r="CL14" s="195"/>
      <c r="CM14" s="195"/>
      <c r="CN14" s="195"/>
      <c r="CO14" s="195"/>
      <c r="CP14" s="195"/>
      <c r="CQ14" s="195"/>
    </row>
    <row r="15" spans="1:95">
      <c r="A15" s="191"/>
      <c r="B15" s="191"/>
      <c r="C15" s="191"/>
      <c r="D15" s="191"/>
      <c r="E15" s="191"/>
      <c r="F15" s="191"/>
      <c r="G15" s="191"/>
      <c r="H15" s="191"/>
      <c r="I15" s="191"/>
      <c r="J15" s="191"/>
      <c r="K15" s="191"/>
      <c r="L15" s="191"/>
      <c r="M15" s="191"/>
      <c r="N15" s="191"/>
      <c r="O15" s="191"/>
      <c r="P15" s="191"/>
      <c r="Q15" s="191"/>
      <c r="R15" s="191"/>
      <c r="S15" s="191"/>
      <c r="T15" s="191"/>
      <c r="U15" s="191"/>
      <c r="V15" s="191"/>
      <c r="W15" s="191"/>
      <c r="X15" s="191"/>
      <c r="Y15" s="191"/>
      <c r="Z15" s="191"/>
      <c r="AA15" s="191"/>
      <c r="AB15" s="191"/>
      <c r="AC15" s="191"/>
      <c r="AD15" s="191"/>
      <c r="AE15" s="191"/>
      <c r="AF15" s="191"/>
      <c r="AG15" s="192"/>
      <c r="AH15" s="193"/>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2"/>
      <c r="BM15" s="194"/>
      <c r="BN15" s="195"/>
      <c r="BO15" s="195"/>
      <c r="BP15" s="195"/>
      <c r="BQ15" s="195"/>
      <c r="BR15" s="195"/>
      <c r="BS15" s="195"/>
      <c r="BT15" s="195"/>
      <c r="BU15" s="195"/>
      <c r="BV15" s="195"/>
      <c r="BW15" s="195"/>
      <c r="BX15" s="195"/>
      <c r="BY15" s="195"/>
      <c r="BZ15" s="195"/>
      <c r="CA15" s="195"/>
      <c r="CB15" s="195"/>
      <c r="CC15" s="195"/>
      <c r="CD15" s="195"/>
      <c r="CE15" s="195"/>
      <c r="CF15" s="195"/>
      <c r="CG15" s="195"/>
      <c r="CH15" s="195"/>
      <c r="CI15" s="195"/>
      <c r="CJ15" s="195"/>
      <c r="CK15" s="195"/>
      <c r="CL15" s="195"/>
      <c r="CM15" s="195"/>
      <c r="CN15" s="195"/>
      <c r="CO15" s="195"/>
      <c r="CP15" s="195"/>
      <c r="CQ15" s="195"/>
    </row>
    <row r="16" spans="1:95">
      <c r="A16" s="191"/>
      <c r="B16" s="191"/>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1"/>
      <c r="AA16" s="191"/>
      <c r="AB16" s="191"/>
      <c r="AC16" s="191"/>
      <c r="AD16" s="191"/>
      <c r="AE16" s="191"/>
      <c r="AF16" s="191"/>
      <c r="AG16" s="192"/>
      <c r="AH16" s="193"/>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2"/>
      <c r="BM16" s="194"/>
      <c r="BN16" s="195"/>
      <c r="BO16" s="195"/>
      <c r="BP16" s="195"/>
      <c r="BQ16" s="195"/>
      <c r="BR16" s="195"/>
      <c r="BS16" s="195"/>
      <c r="BT16" s="195"/>
      <c r="BU16" s="195"/>
      <c r="BV16" s="195"/>
      <c r="BW16" s="195"/>
      <c r="BX16" s="195"/>
      <c r="BY16" s="195"/>
      <c r="BZ16" s="195"/>
      <c r="CA16" s="195"/>
      <c r="CB16" s="195"/>
      <c r="CC16" s="195"/>
      <c r="CD16" s="195"/>
      <c r="CE16" s="195"/>
      <c r="CF16" s="195"/>
      <c r="CG16" s="195"/>
      <c r="CH16" s="195"/>
      <c r="CI16" s="195"/>
      <c r="CJ16" s="195"/>
      <c r="CK16" s="195"/>
      <c r="CL16" s="195"/>
      <c r="CM16" s="195"/>
      <c r="CN16" s="195"/>
      <c r="CO16" s="195"/>
      <c r="CP16" s="195"/>
      <c r="CQ16" s="195"/>
    </row>
    <row r="17" spans="1:95">
      <c r="A17" s="191"/>
      <c r="B17" s="191"/>
      <c r="C17" s="191"/>
      <c r="D17" s="191"/>
      <c r="E17" s="191"/>
      <c r="F17" s="191"/>
      <c r="G17" s="191"/>
      <c r="H17" s="191"/>
      <c r="I17" s="191"/>
      <c r="J17" s="191"/>
      <c r="K17" s="191"/>
      <c r="L17" s="191"/>
      <c r="M17" s="191"/>
      <c r="N17" s="191"/>
      <c r="O17" s="191"/>
      <c r="P17" s="191"/>
      <c r="Q17" s="191"/>
      <c r="R17" s="191"/>
      <c r="S17" s="191"/>
      <c r="T17" s="191"/>
      <c r="U17" s="191"/>
      <c r="V17" s="191"/>
      <c r="W17" s="191"/>
      <c r="X17" s="191"/>
      <c r="Y17" s="191"/>
      <c r="Z17" s="191"/>
      <c r="AA17" s="191"/>
      <c r="AB17" s="191"/>
      <c r="AC17" s="191"/>
      <c r="AD17" s="191"/>
      <c r="AE17" s="191"/>
      <c r="AF17" s="191"/>
      <c r="AG17" s="192"/>
      <c r="AH17" s="193"/>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2"/>
      <c r="BM17" s="194"/>
      <c r="BN17" s="195"/>
      <c r="BO17" s="195"/>
      <c r="BP17" s="195"/>
      <c r="BQ17" s="195"/>
      <c r="BR17" s="195"/>
      <c r="BS17" s="195"/>
      <c r="BT17" s="195"/>
      <c r="BU17" s="195"/>
      <c r="BV17" s="195"/>
      <c r="BW17" s="195"/>
      <c r="BX17" s="195"/>
      <c r="BY17" s="195"/>
      <c r="BZ17" s="195"/>
      <c r="CA17" s="195"/>
      <c r="CB17" s="195"/>
      <c r="CC17" s="195"/>
      <c r="CD17" s="195"/>
      <c r="CE17" s="195"/>
      <c r="CF17" s="195"/>
      <c r="CG17" s="195"/>
      <c r="CH17" s="195"/>
      <c r="CI17" s="195"/>
      <c r="CJ17" s="195"/>
      <c r="CK17" s="195"/>
      <c r="CL17" s="195"/>
      <c r="CM17" s="195"/>
      <c r="CN17" s="195"/>
      <c r="CO17" s="195"/>
      <c r="CP17" s="195"/>
      <c r="CQ17" s="195"/>
    </row>
    <row r="18" spans="1:95">
      <c r="A18" s="191"/>
      <c r="B18" s="191"/>
      <c r="C18" s="191"/>
      <c r="D18" s="191"/>
      <c r="E18" s="191"/>
      <c r="F18" s="191"/>
      <c r="G18" s="191"/>
      <c r="H18" s="191"/>
      <c r="I18" s="191"/>
      <c r="J18" s="191"/>
      <c r="K18" s="191"/>
      <c r="L18" s="191"/>
      <c r="M18" s="191"/>
      <c r="N18" s="191"/>
      <c r="O18" s="191"/>
      <c r="P18" s="191"/>
      <c r="Q18" s="191"/>
      <c r="R18" s="191"/>
      <c r="S18" s="191"/>
      <c r="T18" s="191"/>
      <c r="U18" s="191"/>
      <c r="V18" s="191"/>
      <c r="W18" s="191"/>
      <c r="X18" s="191"/>
      <c r="Y18" s="191"/>
      <c r="Z18" s="191"/>
      <c r="AA18" s="191"/>
      <c r="AB18" s="191"/>
      <c r="AC18" s="191"/>
      <c r="AD18" s="191"/>
      <c r="AE18" s="191"/>
      <c r="AF18" s="191"/>
      <c r="AG18" s="192"/>
      <c r="AH18" s="193"/>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2"/>
      <c r="BM18" s="194"/>
      <c r="BN18" s="195"/>
      <c r="BO18" s="195"/>
      <c r="BP18" s="195"/>
      <c r="BQ18" s="195"/>
      <c r="BR18" s="195"/>
      <c r="BS18" s="195"/>
      <c r="BT18" s="195"/>
      <c r="BU18" s="195"/>
      <c r="BV18" s="195"/>
      <c r="BW18" s="195"/>
      <c r="BX18" s="195"/>
      <c r="BY18" s="195"/>
      <c r="BZ18" s="195"/>
      <c r="CA18" s="195"/>
      <c r="CB18" s="195"/>
      <c r="CC18" s="195"/>
      <c r="CD18" s="195"/>
      <c r="CE18" s="195"/>
      <c r="CF18" s="195"/>
      <c r="CG18" s="195"/>
      <c r="CH18" s="195"/>
      <c r="CI18" s="195"/>
      <c r="CJ18" s="195"/>
      <c r="CK18" s="195"/>
      <c r="CL18" s="195"/>
      <c r="CM18" s="195"/>
      <c r="CN18" s="195"/>
      <c r="CO18" s="195"/>
      <c r="CP18" s="195"/>
      <c r="CQ18" s="195"/>
    </row>
    <row r="19" spans="1:95">
      <c r="A19" s="191"/>
      <c r="B19" s="191"/>
      <c r="C19" s="191"/>
      <c r="D19" s="191"/>
      <c r="E19" s="191"/>
      <c r="F19" s="191"/>
      <c r="G19" s="191"/>
      <c r="H19" s="191"/>
      <c r="I19" s="191"/>
      <c r="J19" s="191"/>
      <c r="K19" s="191"/>
      <c r="L19" s="191"/>
      <c r="M19" s="191"/>
      <c r="N19" s="191"/>
      <c r="O19" s="191"/>
      <c r="P19" s="191"/>
      <c r="Q19" s="191"/>
      <c r="R19" s="191"/>
      <c r="S19" s="191"/>
      <c r="T19" s="191"/>
      <c r="U19" s="191"/>
      <c r="V19" s="191"/>
      <c r="W19" s="191"/>
      <c r="X19" s="191"/>
      <c r="Y19" s="191"/>
      <c r="Z19" s="191"/>
      <c r="AA19" s="191"/>
      <c r="AB19" s="191"/>
      <c r="AC19" s="191"/>
      <c r="AD19" s="191"/>
      <c r="AE19" s="191"/>
      <c r="AF19" s="191"/>
      <c r="AG19" s="192"/>
      <c r="AH19" s="193"/>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c r="BL19" s="192"/>
      <c r="BM19" s="194"/>
      <c r="BN19" s="195"/>
      <c r="BO19" s="195"/>
      <c r="BP19" s="195"/>
      <c r="BQ19" s="195"/>
      <c r="BR19" s="195"/>
      <c r="BS19" s="195"/>
      <c r="BT19" s="195"/>
      <c r="BU19" s="195"/>
      <c r="BV19" s="195"/>
      <c r="BW19" s="195"/>
      <c r="BX19" s="195"/>
      <c r="BY19" s="195"/>
      <c r="BZ19" s="195"/>
      <c r="CA19" s="195"/>
      <c r="CB19" s="195"/>
      <c r="CC19" s="195"/>
      <c r="CD19" s="195"/>
      <c r="CE19" s="195"/>
      <c r="CF19" s="195"/>
      <c r="CG19" s="195"/>
      <c r="CH19" s="195"/>
      <c r="CI19" s="195"/>
      <c r="CJ19" s="195"/>
      <c r="CK19" s="195"/>
      <c r="CL19" s="195"/>
      <c r="CM19" s="195"/>
      <c r="CN19" s="195"/>
      <c r="CO19" s="195"/>
      <c r="CP19" s="195"/>
      <c r="CQ19" s="195"/>
    </row>
    <row r="20" spans="1:95">
      <c r="A20" s="191"/>
      <c r="B20" s="191"/>
      <c r="C20" s="191"/>
      <c r="D20" s="191"/>
      <c r="E20" s="191"/>
      <c r="F20" s="191"/>
      <c r="G20" s="191"/>
      <c r="H20" s="191"/>
      <c r="I20" s="191"/>
      <c r="J20" s="191"/>
      <c r="K20" s="191"/>
      <c r="L20" s="191"/>
      <c r="M20" s="191"/>
      <c r="N20" s="191"/>
      <c r="O20" s="191"/>
      <c r="P20" s="191"/>
      <c r="Q20" s="191"/>
      <c r="R20" s="191"/>
      <c r="S20" s="191"/>
      <c r="T20" s="191"/>
      <c r="U20" s="191"/>
      <c r="V20" s="191"/>
      <c r="W20" s="191"/>
      <c r="X20" s="191"/>
      <c r="Y20" s="191"/>
      <c r="Z20" s="191"/>
      <c r="AA20" s="191"/>
      <c r="AB20" s="191"/>
      <c r="AC20" s="191"/>
      <c r="AD20" s="191"/>
      <c r="AE20" s="191"/>
      <c r="AF20" s="191"/>
      <c r="AG20" s="192"/>
      <c r="AH20" s="193"/>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2"/>
      <c r="BM20" s="194"/>
      <c r="BN20" s="195"/>
      <c r="BO20" s="195"/>
      <c r="BP20" s="195"/>
      <c r="BQ20" s="195"/>
      <c r="BR20" s="195"/>
      <c r="BS20" s="195"/>
      <c r="BT20" s="195"/>
      <c r="BU20" s="195"/>
      <c r="BV20" s="195"/>
      <c r="BW20" s="195"/>
      <c r="BX20" s="195"/>
      <c r="BY20" s="195"/>
      <c r="BZ20" s="195"/>
      <c r="CA20" s="195"/>
      <c r="CB20" s="195"/>
      <c r="CC20" s="195"/>
      <c r="CD20" s="195"/>
      <c r="CE20" s="195"/>
      <c r="CF20" s="195"/>
      <c r="CG20" s="195"/>
      <c r="CH20" s="195"/>
      <c r="CI20" s="195"/>
      <c r="CJ20" s="195"/>
      <c r="CK20" s="195"/>
      <c r="CL20" s="195"/>
      <c r="CM20" s="195"/>
      <c r="CN20" s="195"/>
      <c r="CO20" s="195"/>
      <c r="CP20" s="195"/>
      <c r="CQ20" s="195"/>
    </row>
    <row r="21" spans="1:95">
      <c r="A21" s="191"/>
      <c r="B21" s="191"/>
      <c r="C21" s="191"/>
      <c r="D21" s="191"/>
      <c r="E21" s="191"/>
      <c r="F21" s="191"/>
      <c r="G21" s="191"/>
      <c r="H21" s="191"/>
      <c r="I21" s="191"/>
      <c r="J21" s="191"/>
      <c r="K21" s="191"/>
      <c r="L21" s="191"/>
      <c r="M21" s="191"/>
      <c r="N21" s="191"/>
      <c r="O21" s="191"/>
      <c r="P21" s="191"/>
      <c r="Q21" s="191"/>
      <c r="R21" s="191"/>
      <c r="S21" s="191"/>
      <c r="T21" s="191"/>
      <c r="U21" s="191"/>
      <c r="V21" s="191"/>
      <c r="W21" s="191"/>
      <c r="X21" s="191"/>
      <c r="Y21" s="191"/>
      <c r="Z21" s="191"/>
      <c r="AA21" s="191"/>
      <c r="AB21" s="191"/>
      <c r="AC21" s="191"/>
      <c r="AD21" s="191"/>
      <c r="AE21" s="191"/>
      <c r="AF21" s="191"/>
      <c r="AG21" s="192"/>
      <c r="AH21" s="193"/>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2"/>
      <c r="BM21" s="194"/>
      <c r="BN21" s="195"/>
      <c r="BO21" s="195"/>
      <c r="BP21" s="195"/>
      <c r="BQ21" s="195"/>
      <c r="BR21" s="195"/>
      <c r="BS21" s="195"/>
      <c r="BT21" s="195"/>
      <c r="BU21" s="195"/>
      <c r="BV21" s="195"/>
      <c r="BW21" s="195"/>
      <c r="BX21" s="195"/>
      <c r="BY21" s="195"/>
      <c r="BZ21" s="195"/>
      <c r="CA21" s="195"/>
      <c r="CB21" s="195"/>
      <c r="CC21" s="195"/>
      <c r="CD21" s="195"/>
      <c r="CE21" s="195"/>
      <c r="CF21" s="195"/>
      <c r="CG21" s="195"/>
      <c r="CH21" s="195"/>
      <c r="CI21" s="195"/>
      <c r="CJ21" s="195"/>
      <c r="CK21" s="195"/>
      <c r="CL21" s="195"/>
      <c r="CM21" s="195"/>
      <c r="CN21" s="195"/>
      <c r="CO21" s="195"/>
      <c r="CP21" s="195"/>
      <c r="CQ21" s="195"/>
    </row>
    <row r="22" spans="1:95">
      <c r="A22" s="191"/>
      <c r="B22" s="191"/>
      <c r="C22" s="191"/>
      <c r="D22" s="191"/>
      <c r="E22" s="191"/>
      <c r="F22" s="191"/>
      <c r="G22" s="191"/>
      <c r="H22" s="191"/>
      <c r="I22" s="191"/>
      <c r="J22" s="191"/>
      <c r="K22" s="191"/>
      <c r="L22" s="191"/>
      <c r="M22" s="191"/>
      <c r="N22" s="191"/>
      <c r="O22" s="191"/>
      <c r="P22" s="191"/>
      <c r="Q22" s="191"/>
      <c r="R22" s="191"/>
      <c r="S22" s="191"/>
      <c r="T22" s="191"/>
      <c r="U22" s="191"/>
      <c r="V22" s="191"/>
      <c r="W22" s="191"/>
      <c r="X22" s="191"/>
      <c r="Y22" s="191"/>
      <c r="Z22" s="191"/>
      <c r="AA22" s="191"/>
      <c r="AB22" s="191"/>
      <c r="AC22" s="191"/>
      <c r="AD22" s="191"/>
      <c r="AE22" s="191"/>
      <c r="AF22" s="191"/>
      <c r="AG22" s="192"/>
      <c r="AH22" s="193"/>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2"/>
      <c r="BM22" s="194"/>
      <c r="BN22" s="195"/>
      <c r="BO22" s="195"/>
      <c r="BP22" s="195"/>
      <c r="BQ22" s="195"/>
      <c r="BR22" s="195"/>
      <c r="BS22" s="195"/>
      <c r="BT22" s="195"/>
      <c r="BU22" s="195"/>
      <c r="BV22" s="195"/>
      <c r="BW22" s="195"/>
      <c r="BX22" s="195"/>
      <c r="BY22" s="195"/>
      <c r="BZ22" s="195"/>
      <c r="CA22" s="195"/>
      <c r="CB22" s="195"/>
      <c r="CC22" s="195"/>
      <c r="CD22" s="195"/>
      <c r="CE22" s="195"/>
      <c r="CF22" s="195"/>
      <c r="CG22" s="195"/>
      <c r="CH22" s="195"/>
      <c r="CI22" s="195"/>
      <c r="CJ22" s="195"/>
      <c r="CK22" s="195"/>
      <c r="CL22" s="195"/>
      <c r="CM22" s="195"/>
      <c r="CN22" s="195"/>
      <c r="CO22" s="195"/>
      <c r="CP22" s="195"/>
      <c r="CQ22" s="195"/>
    </row>
    <row r="23" spans="1:95">
      <c r="A23" s="191"/>
      <c r="B23" s="191"/>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2"/>
      <c r="AH23" s="193"/>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2"/>
      <c r="BM23" s="194"/>
      <c r="BN23" s="195"/>
      <c r="BO23" s="195"/>
      <c r="BP23" s="195"/>
      <c r="BQ23" s="195"/>
      <c r="BR23" s="195"/>
      <c r="BS23" s="195"/>
      <c r="BT23" s="195"/>
      <c r="BU23" s="195"/>
      <c r="BV23" s="195"/>
      <c r="BW23" s="195"/>
      <c r="BX23" s="195"/>
      <c r="BY23" s="195"/>
      <c r="BZ23" s="195"/>
      <c r="CA23" s="195"/>
      <c r="CB23" s="195"/>
      <c r="CC23" s="195"/>
      <c r="CD23" s="195"/>
      <c r="CE23" s="195"/>
      <c r="CF23" s="195"/>
      <c r="CG23" s="195"/>
      <c r="CH23" s="195"/>
      <c r="CI23" s="195"/>
      <c r="CJ23" s="195"/>
      <c r="CK23" s="195"/>
      <c r="CL23" s="195"/>
      <c r="CM23" s="195"/>
      <c r="CN23" s="195"/>
      <c r="CO23" s="195"/>
      <c r="CP23" s="195"/>
      <c r="CQ23" s="195"/>
    </row>
    <row r="24" spans="1:95">
      <c r="A24" s="191"/>
      <c r="B24" s="191"/>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c r="AA24" s="191"/>
      <c r="AB24" s="191"/>
      <c r="AC24" s="191"/>
      <c r="AD24" s="191"/>
      <c r="AE24" s="191"/>
      <c r="AF24" s="191"/>
      <c r="AG24" s="192"/>
      <c r="AH24" s="193"/>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2"/>
      <c r="BM24" s="194"/>
      <c r="BN24" s="195"/>
      <c r="BO24" s="195"/>
      <c r="BP24" s="195"/>
      <c r="BQ24" s="195"/>
      <c r="BR24" s="195"/>
      <c r="BS24" s="195"/>
      <c r="BT24" s="195"/>
      <c r="BU24" s="195"/>
      <c r="BV24" s="195"/>
      <c r="BW24" s="195"/>
      <c r="BX24" s="195"/>
      <c r="BY24" s="195"/>
      <c r="BZ24" s="195"/>
      <c r="CA24" s="195"/>
      <c r="CB24" s="195"/>
      <c r="CC24" s="195"/>
      <c r="CD24" s="195"/>
      <c r="CE24" s="195"/>
      <c r="CF24" s="195"/>
      <c r="CG24" s="195"/>
      <c r="CH24" s="195"/>
      <c r="CI24" s="195"/>
      <c r="CJ24" s="195"/>
      <c r="CK24" s="195"/>
      <c r="CL24" s="195"/>
      <c r="CM24" s="195"/>
      <c r="CN24" s="195"/>
      <c r="CO24" s="195"/>
      <c r="CP24" s="195"/>
      <c r="CQ24" s="195"/>
    </row>
    <row r="25" spans="1:95">
      <c r="A25" s="191"/>
      <c r="B25" s="191"/>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c r="AA25" s="191"/>
      <c r="AB25" s="191"/>
      <c r="AC25" s="191"/>
      <c r="AD25" s="191"/>
      <c r="AE25" s="191"/>
      <c r="AF25" s="191"/>
      <c r="AG25" s="192"/>
      <c r="AH25" s="193"/>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2"/>
      <c r="BM25" s="194"/>
      <c r="BN25" s="195"/>
      <c r="BO25" s="195"/>
      <c r="BP25" s="195"/>
      <c r="BQ25" s="195"/>
      <c r="BR25" s="195"/>
      <c r="BS25" s="195"/>
      <c r="BT25" s="195"/>
      <c r="BU25" s="195"/>
      <c r="BV25" s="195"/>
      <c r="BW25" s="195"/>
      <c r="BX25" s="195"/>
      <c r="BY25" s="195"/>
      <c r="BZ25" s="195"/>
      <c r="CA25" s="195"/>
      <c r="CB25" s="195"/>
      <c r="CC25" s="195"/>
      <c r="CD25" s="195"/>
      <c r="CE25" s="195"/>
      <c r="CF25" s="195"/>
      <c r="CG25" s="195"/>
      <c r="CH25" s="195"/>
      <c r="CI25" s="195"/>
      <c r="CJ25" s="195"/>
      <c r="CK25" s="195"/>
      <c r="CL25" s="195"/>
      <c r="CM25" s="195"/>
      <c r="CN25" s="195"/>
      <c r="CO25" s="195"/>
      <c r="CP25" s="195"/>
      <c r="CQ25" s="195"/>
    </row>
    <row r="26" spans="1:95">
      <c r="A26" s="191"/>
      <c r="B26" s="191"/>
      <c r="C26" s="191"/>
      <c r="D26" s="191"/>
      <c r="E26" s="191"/>
      <c r="F26" s="191"/>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2"/>
      <c r="AH26" s="193"/>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2"/>
      <c r="BM26" s="194"/>
      <c r="BN26" s="195"/>
      <c r="BO26" s="195"/>
      <c r="BP26" s="195"/>
      <c r="BQ26" s="195"/>
      <c r="BR26" s="195"/>
      <c r="BS26" s="195"/>
      <c r="BT26" s="195"/>
      <c r="BU26" s="195"/>
      <c r="BV26" s="195"/>
      <c r="BW26" s="195"/>
      <c r="BX26" s="195"/>
      <c r="BY26" s="195"/>
      <c r="BZ26" s="195"/>
      <c r="CA26" s="195"/>
      <c r="CB26" s="195"/>
      <c r="CC26" s="195"/>
      <c r="CD26" s="195"/>
      <c r="CE26" s="195"/>
      <c r="CF26" s="195"/>
      <c r="CG26" s="195"/>
      <c r="CH26" s="195"/>
      <c r="CI26" s="195"/>
      <c r="CJ26" s="195"/>
      <c r="CK26" s="195"/>
      <c r="CL26" s="195"/>
      <c r="CM26" s="195"/>
      <c r="CN26" s="195"/>
      <c r="CO26" s="195"/>
      <c r="CP26" s="195"/>
      <c r="CQ26" s="195"/>
    </row>
    <row r="27" spans="1:95">
      <c r="A27" s="191"/>
      <c r="B27" s="191"/>
      <c r="C27" s="191"/>
      <c r="D27" s="191"/>
      <c r="E27" s="191"/>
      <c r="F27" s="191"/>
      <c r="G27" s="191"/>
      <c r="H27" s="191"/>
      <c r="I27" s="191"/>
      <c r="J27" s="191"/>
      <c r="K27" s="191"/>
      <c r="L27" s="191"/>
      <c r="M27" s="191"/>
      <c r="N27" s="191"/>
      <c r="O27" s="191"/>
      <c r="P27" s="191"/>
      <c r="Q27" s="191"/>
      <c r="R27" s="191"/>
      <c r="S27" s="191"/>
      <c r="T27" s="191"/>
      <c r="U27" s="191"/>
      <c r="V27" s="191"/>
      <c r="W27" s="191"/>
      <c r="X27" s="191"/>
      <c r="Y27" s="191"/>
      <c r="Z27" s="191"/>
      <c r="AA27" s="191"/>
      <c r="AB27" s="191"/>
      <c r="AC27" s="191"/>
      <c r="AD27" s="191"/>
      <c r="AE27" s="191"/>
      <c r="AF27" s="191"/>
      <c r="AG27" s="192"/>
      <c r="AH27" s="193"/>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c r="BJ27" s="191"/>
      <c r="BK27" s="191"/>
      <c r="BL27" s="192"/>
      <c r="BM27" s="194"/>
      <c r="BN27" s="195"/>
      <c r="BO27" s="195"/>
      <c r="BP27" s="195"/>
      <c r="BQ27" s="195"/>
      <c r="BR27" s="195"/>
      <c r="BS27" s="195"/>
      <c r="BT27" s="195"/>
      <c r="BU27" s="195"/>
      <c r="BV27" s="195"/>
      <c r="BW27" s="195"/>
      <c r="BX27" s="195"/>
      <c r="BY27" s="195"/>
      <c r="BZ27" s="195"/>
      <c r="CA27" s="195"/>
      <c r="CB27" s="195"/>
      <c r="CC27" s="195"/>
      <c r="CD27" s="195"/>
      <c r="CE27" s="195"/>
      <c r="CF27" s="195"/>
      <c r="CG27" s="195"/>
      <c r="CH27" s="195"/>
      <c r="CI27" s="195"/>
      <c r="CJ27" s="195"/>
      <c r="CK27" s="195"/>
      <c r="CL27" s="195"/>
      <c r="CM27" s="195"/>
      <c r="CN27" s="195"/>
      <c r="CO27" s="195"/>
      <c r="CP27" s="195"/>
      <c r="CQ27" s="195"/>
    </row>
    <row r="28" spans="1:95">
      <c r="A28" s="191"/>
      <c r="B28" s="191"/>
      <c r="C28" s="191"/>
      <c r="D28" s="191"/>
      <c r="E28" s="191"/>
      <c r="F28" s="191"/>
      <c r="G28" s="191"/>
      <c r="H28" s="191"/>
      <c r="I28" s="191"/>
      <c r="J28" s="191"/>
      <c r="K28" s="191"/>
      <c r="L28" s="191"/>
      <c r="M28" s="191"/>
      <c r="N28" s="191"/>
      <c r="O28" s="191"/>
      <c r="P28" s="191"/>
      <c r="Q28" s="191"/>
      <c r="R28" s="191"/>
      <c r="S28" s="191"/>
      <c r="T28" s="191"/>
      <c r="U28" s="191"/>
      <c r="V28" s="191"/>
      <c r="W28" s="191"/>
      <c r="X28" s="191"/>
      <c r="Y28" s="191"/>
      <c r="Z28" s="191"/>
      <c r="AA28" s="191"/>
      <c r="AB28" s="191"/>
      <c r="AC28" s="191"/>
      <c r="AD28" s="191"/>
      <c r="AE28" s="191"/>
      <c r="AF28" s="191"/>
      <c r="AG28" s="192"/>
      <c r="AH28" s="193"/>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1"/>
      <c r="BK28" s="191"/>
      <c r="BL28" s="192"/>
      <c r="BM28" s="194"/>
      <c r="BN28" s="195"/>
      <c r="BO28" s="195"/>
      <c r="BP28" s="195"/>
      <c r="BQ28" s="195"/>
      <c r="BR28" s="195"/>
      <c r="BS28" s="195"/>
      <c r="BT28" s="195"/>
      <c r="BU28" s="195"/>
      <c r="BV28" s="195"/>
      <c r="BW28" s="195"/>
      <c r="BX28" s="195"/>
      <c r="BY28" s="195"/>
      <c r="BZ28" s="195"/>
      <c r="CA28" s="195"/>
      <c r="CB28" s="195"/>
      <c r="CC28" s="195"/>
      <c r="CD28" s="195"/>
      <c r="CE28" s="195"/>
      <c r="CF28" s="195"/>
      <c r="CG28" s="195"/>
      <c r="CH28" s="195"/>
      <c r="CI28" s="195"/>
      <c r="CJ28" s="195"/>
      <c r="CK28" s="195"/>
      <c r="CL28" s="195"/>
      <c r="CM28" s="195"/>
      <c r="CN28" s="195"/>
      <c r="CO28" s="195"/>
      <c r="CP28" s="195"/>
      <c r="CQ28" s="195"/>
    </row>
    <row r="29" spans="1:95">
      <c r="A29" s="191"/>
      <c r="B29" s="191"/>
      <c r="C29" s="191"/>
      <c r="D29" s="191"/>
      <c r="E29" s="191"/>
      <c r="F29" s="191"/>
      <c r="G29" s="191"/>
      <c r="H29" s="191"/>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2"/>
      <c r="AH29" s="193"/>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c r="BF29" s="191"/>
      <c r="BG29" s="191"/>
      <c r="BH29" s="191"/>
      <c r="BI29" s="191"/>
      <c r="BJ29" s="191"/>
      <c r="BK29" s="191"/>
      <c r="BL29" s="192"/>
      <c r="BM29" s="194"/>
      <c r="BN29" s="195"/>
      <c r="BO29" s="195"/>
      <c r="BP29" s="195"/>
      <c r="BQ29" s="195"/>
      <c r="BR29" s="195"/>
      <c r="BS29" s="195"/>
      <c r="BT29" s="195"/>
      <c r="BU29" s="195"/>
      <c r="BV29" s="195"/>
      <c r="BW29" s="195"/>
      <c r="BX29" s="195"/>
      <c r="BY29" s="195"/>
      <c r="BZ29" s="195"/>
      <c r="CA29" s="195"/>
      <c r="CB29" s="195"/>
      <c r="CC29" s="195"/>
      <c r="CD29" s="195"/>
      <c r="CE29" s="195"/>
      <c r="CF29" s="195"/>
      <c r="CG29" s="195"/>
      <c r="CH29" s="195"/>
      <c r="CI29" s="195"/>
      <c r="CJ29" s="195"/>
      <c r="CK29" s="195"/>
      <c r="CL29" s="195"/>
      <c r="CM29" s="195"/>
      <c r="CN29" s="195"/>
      <c r="CO29" s="195"/>
      <c r="CP29" s="195"/>
      <c r="CQ29" s="195"/>
    </row>
    <row r="30" spans="1:95">
      <c r="A30" s="191"/>
      <c r="B30" s="191"/>
      <c r="C30" s="191"/>
      <c r="D30" s="191"/>
      <c r="E30" s="191"/>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191"/>
      <c r="AE30" s="191"/>
      <c r="AF30" s="191"/>
      <c r="AG30" s="192"/>
      <c r="AH30" s="193"/>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2"/>
      <c r="BM30" s="194"/>
      <c r="BN30" s="195"/>
      <c r="BO30" s="195"/>
      <c r="BP30" s="195"/>
      <c r="BQ30" s="195"/>
      <c r="BR30" s="195"/>
      <c r="BS30" s="195"/>
      <c r="BT30" s="195"/>
      <c r="BU30" s="195"/>
      <c r="BV30" s="195"/>
      <c r="BW30" s="195"/>
      <c r="BX30" s="195"/>
      <c r="BY30" s="195"/>
      <c r="BZ30" s="195"/>
      <c r="CA30" s="195"/>
      <c r="CB30" s="195"/>
      <c r="CC30" s="195"/>
      <c r="CD30" s="195"/>
      <c r="CE30" s="195"/>
      <c r="CF30" s="195"/>
      <c r="CG30" s="195"/>
      <c r="CH30" s="195"/>
      <c r="CI30" s="195"/>
      <c r="CJ30" s="195"/>
      <c r="CK30" s="195"/>
      <c r="CL30" s="195"/>
      <c r="CM30" s="195"/>
      <c r="CN30" s="195"/>
      <c r="CO30" s="195"/>
      <c r="CP30" s="195"/>
      <c r="CQ30" s="195"/>
    </row>
    <row r="31" spans="1:95">
      <c r="A31" s="191"/>
      <c r="B31" s="191"/>
      <c r="C31" s="191"/>
      <c r="D31" s="191"/>
      <c r="E31" s="191"/>
      <c r="F31" s="191"/>
      <c r="G31" s="191"/>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2"/>
      <c r="AH31" s="193"/>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c r="BF31" s="191"/>
      <c r="BG31" s="191"/>
      <c r="BH31" s="191"/>
      <c r="BI31" s="191"/>
      <c r="BJ31" s="191"/>
      <c r="BK31" s="191"/>
      <c r="BL31" s="192"/>
      <c r="BM31" s="194"/>
      <c r="BN31" s="195"/>
      <c r="BO31" s="195"/>
      <c r="BP31" s="195"/>
      <c r="BQ31" s="195"/>
      <c r="BR31" s="195"/>
      <c r="BS31" s="195"/>
      <c r="BT31" s="195"/>
      <c r="BU31" s="195"/>
      <c r="BV31" s="195"/>
      <c r="BW31" s="195"/>
      <c r="BX31" s="195"/>
      <c r="BY31" s="195"/>
      <c r="BZ31" s="195"/>
      <c r="CA31" s="195"/>
      <c r="CB31" s="195"/>
      <c r="CC31" s="195"/>
      <c r="CD31" s="195"/>
      <c r="CE31" s="195"/>
      <c r="CF31" s="195"/>
      <c r="CG31" s="195"/>
      <c r="CH31" s="195"/>
      <c r="CI31" s="195"/>
      <c r="CJ31" s="195"/>
      <c r="CK31" s="195"/>
      <c r="CL31" s="195"/>
      <c r="CM31" s="195"/>
      <c r="CN31" s="195"/>
      <c r="CO31" s="195"/>
      <c r="CP31" s="195"/>
      <c r="CQ31" s="195"/>
    </row>
    <row r="32" spans="1:95">
      <c r="A32" s="191"/>
      <c r="B32" s="191"/>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2"/>
      <c r="AH32" s="193"/>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2"/>
      <c r="BM32" s="194"/>
      <c r="BN32" s="195"/>
      <c r="BO32" s="195"/>
      <c r="BP32" s="195"/>
      <c r="BQ32" s="195"/>
      <c r="BR32" s="195"/>
      <c r="BS32" s="195"/>
      <c r="BT32" s="195"/>
      <c r="BU32" s="195"/>
      <c r="BV32" s="195"/>
      <c r="BW32" s="195"/>
      <c r="BX32" s="195"/>
      <c r="BY32" s="195"/>
      <c r="BZ32" s="195"/>
      <c r="CA32" s="195"/>
      <c r="CB32" s="195"/>
      <c r="CC32" s="195"/>
      <c r="CD32" s="195"/>
      <c r="CE32" s="195"/>
      <c r="CF32" s="195"/>
      <c r="CG32" s="195"/>
      <c r="CH32" s="195"/>
      <c r="CI32" s="195"/>
      <c r="CJ32" s="195"/>
      <c r="CK32" s="195"/>
      <c r="CL32" s="195"/>
      <c r="CM32" s="195"/>
      <c r="CN32" s="195"/>
      <c r="CO32" s="195"/>
      <c r="CP32" s="195"/>
      <c r="CQ32" s="195"/>
    </row>
    <row r="33" spans="1:95">
      <c r="A33" s="191"/>
      <c r="B33" s="191"/>
      <c r="C33" s="191"/>
      <c r="D33" s="191"/>
      <c r="E33" s="191"/>
      <c r="F33" s="191"/>
      <c r="G33" s="191"/>
      <c r="H33" s="191"/>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2"/>
      <c r="AH33" s="193"/>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c r="BF33" s="191"/>
      <c r="BG33" s="191"/>
      <c r="BH33" s="191"/>
      <c r="BI33" s="191"/>
      <c r="BJ33" s="191"/>
      <c r="BK33" s="191"/>
      <c r="BL33" s="192"/>
      <c r="BM33" s="194"/>
      <c r="BN33" s="195"/>
      <c r="BO33" s="195"/>
      <c r="BP33" s="195"/>
      <c r="BQ33" s="195"/>
      <c r="BR33" s="195"/>
      <c r="BS33" s="195"/>
      <c r="BT33" s="195"/>
      <c r="BU33" s="195"/>
      <c r="BV33" s="195"/>
      <c r="BW33" s="195"/>
      <c r="BX33" s="195"/>
      <c r="BY33" s="195"/>
      <c r="BZ33" s="195"/>
      <c r="CA33" s="195"/>
      <c r="CB33" s="195"/>
      <c r="CC33" s="195"/>
      <c r="CD33" s="195"/>
      <c r="CE33" s="195"/>
      <c r="CF33" s="195"/>
      <c r="CG33" s="195"/>
      <c r="CH33" s="195"/>
      <c r="CI33" s="195"/>
      <c r="CJ33" s="195"/>
      <c r="CK33" s="195"/>
      <c r="CL33" s="195"/>
      <c r="CM33" s="195"/>
      <c r="CN33" s="195"/>
      <c r="CO33" s="195"/>
      <c r="CP33" s="195"/>
      <c r="CQ33" s="195"/>
    </row>
    <row r="34" spans="1:95">
      <c r="A34" s="191"/>
      <c r="B34" s="191"/>
      <c r="C34" s="191"/>
      <c r="D34" s="191"/>
      <c r="E34" s="191"/>
      <c r="F34" s="191"/>
      <c r="G34" s="191"/>
      <c r="H34" s="191"/>
      <c r="I34" s="191"/>
      <c r="J34" s="191"/>
      <c r="K34" s="191"/>
      <c r="L34" s="191"/>
      <c r="M34" s="191"/>
      <c r="N34" s="191"/>
      <c r="O34" s="191"/>
      <c r="P34" s="191"/>
      <c r="Q34" s="191"/>
      <c r="R34" s="191"/>
      <c r="S34" s="191"/>
      <c r="T34" s="191"/>
      <c r="U34" s="191"/>
      <c r="V34" s="191"/>
      <c r="W34" s="191"/>
      <c r="X34" s="191"/>
      <c r="Y34" s="191"/>
      <c r="Z34" s="191"/>
      <c r="AA34" s="191"/>
      <c r="AB34" s="191"/>
      <c r="AC34" s="191"/>
      <c r="AD34" s="191"/>
      <c r="AE34" s="191"/>
      <c r="AF34" s="191"/>
      <c r="AG34" s="192"/>
      <c r="AH34" s="193"/>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c r="BF34" s="191"/>
      <c r="BG34" s="191"/>
      <c r="BH34" s="191"/>
      <c r="BI34" s="191"/>
      <c r="BJ34" s="191"/>
      <c r="BK34" s="191"/>
      <c r="BL34" s="192"/>
      <c r="BM34" s="194"/>
      <c r="BN34" s="195"/>
      <c r="BO34" s="195"/>
      <c r="BP34" s="195"/>
      <c r="BQ34" s="195"/>
      <c r="BR34" s="195"/>
      <c r="BS34" s="195"/>
      <c r="BT34" s="195"/>
      <c r="BU34" s="195"/>
      <c r="BV34" s="195"/>
      <c r="BW34" s="195"/>
      <c r="BX34" s="195"/>
      <c r="BY34" s="195"/>
      <c r="BZ34" s="195"/>
      <c r="CA34" s="195"/>
      <c r="CB34" s="195"/>
      <c r="CC34" s="195"/>
      <c r="CD34" s="195"/>
      <c r="CE34" s="195"/>
      <c r="CF34" s="195"/>
      <c r="CG34" s="195"/>
      <c r="CH34" s="195"/>
      <c r="CI34" s="195"/>
      <c r="CJ34" s="195"/>
      <c r="CK34" s="195"/>
      <c r="CL34" s="195"/>
      <c r="CM34" s="195"/>
      <c r="CN34" s="195"/>
      <c r="CO34" s="195"/>
      <c r="CP34" s="195"/>
      <c r="CQ34" s="195"/>
    </row>
    <row r="35" spans="1:95">
      <c r="A35" s="191"/>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c r="AA35" s="191"/>
      <c r="AB35" s="191"/>
      <c r="AC35" s="191"/>
      <c r="AD35" s="191"/>
      <c r="AE35" s="191"/>
      <c r="AF35" s="191"/>
      <c r="AG35" s="192"/>
      <c r="AH35" s="193"/>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c r="BF35" s="191"/>
      <c r="BG35" s="191"/>
      <c r="BH35" s="191"/>
      <c r="BI35" s="191"/>
      <c r="BJ35" s="191"/>
      <c r="BK35" s="191"/>
      <c r="BL35" s="192"/>
      <c r="BM35" s="194"/>
      <c r="BN35" s="195"/>
      <c r="BO35" s="195"/>
      <c r="BP35" s="195"/>
      <c r="BQ35" s="195"/>
      <c r="BR35" s="195"/>
      <c r="BS35" s="195"/>
      <c r="BT35" s="195"/>
      <c r="BU35" s="195"/>
      <c r="BV35" s="195"/>
      <c r="BW35" s="195"/>
      <c r="BX35" s="195"/>
      <c r="BY35" s="195"/>
      <c r="BZ35" s="195"/>
      <c r="CA35" s="195"/>
      <c r="CB35" s="195"/>
      <c r="CC35" s="195"/>
      <c r="CD35" s="195"/>
      <c r="CE35" s="195"/>
      <c r="CF35" s="195"/>
      <c r="CG35" s="195"/>
      <c r="CH35" s="195"/>
      <c r="CI35" s="195"/>
      <c r="CJ35" s="195"/>
      <c r="CK35" s="195"/>
      <c r="CL35" s="195"/>
      <c r="CM35" s="195"/>
      <c r="CN35" s="195"/>
      <c r="CO35" s="195"/>
      <c r="CP35" s="195"/>
      <c r="CQ35" s="195"/>
    </row>
    <row r="36" spans="1:95">
      <c r="A36" s="191"/>
      <c r="B36" s="191"/>
      <c r="C36" s="191"/>
      <c r="D36" s="191"/>
      <c r="E36" s="191"/>
      <c r="F36" s="191"/>
      <c r="G36" s="191"/>
      <c r="H36" s="191"/>
      <c r="I36" s="191"/>
      <c r="J36" s="191"/>
      <c r="K36" s="191"/>
      <c r="L36" s="191"/>
      <c r="M36" s="191"/>
      <c r="N36" s="191"/>
      <c r="O36" s="191"/>
      <c r="P36" s="191"/>
      <c r="Q36" s="191"/>
      <c r="R36" s="191"/>
      <c r="S36" s="191"/>
      <c r="T36" s="191"/>
      <c r="U36" s="191"/>
      <c r="V36" s="191"/>
      <c r="W36" s="191"/>
      <c r="X36" s="191"/>
      <c r="Y36" s="191"/>
      <c r="Z36" s="191"/>
      <c r="AA36" s="191"/>
      <c r="AB36" s="191"/>
      <c r="AC36" s="191"/>
      <c r="AD36" s="191"/>
      <c r="AE36" s="191"/>
      <c r="AF36" s="191"/>
      <c r="AG36" s="192"/>
      <c r="AH36" s="193"/>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c r="BF36" s="191"/>
      <c r="BG36" s="191"/>
      <c r="BH36" s="191"/>
      <c r="BI36" s="191"/>
      <c r="BJ36" s="191"/>
      <c r="BK36" s="191"/>
      <c r="BL36" s="192"/>
      <c r="BM36" s="194"/>
      <c r="BN36" s="195"/>
      <c r="BO36" s="195"/>
      <c r="BP36" s="195"/>
      <c r="BQ36" s="195"/>
      <c r="BR36" s="195"/>
      <c r="BS36" s="195"/>
      <c r="BT36" s="195"/>
      <c r="BU36" s="195"/>
      <c r="BV36" s="195"/>
      <c r="BW36" s="195"/>
      <c r="BX36" s="195"/>
      <c r="BY36" s="195"/>
      <c r="BZ36" s="195"/>
      <c r="CA36" s="195"/>
      <c r="CB36" s="195"/>
      <c r="CC36" s="195"/>
      <c r="CD36" s="195"/>
      <c r="CE36" s="195"/>
      <c r="CF36" s="195"/>
      <c r="CG36" s="195"/>
      <c r="CH36" s="195"/>
      <c r="CI36" s="195"/>
      <c r="CJ36" s="195"/>
      <c r="CK36" s="195"/>
      <c r="CL36" s="195"/>
      <c r="CM36" s="195"/>
      <c r="CN36" s="195"/>
      <c r="CO36" s="195"/>
      <c r="CP36" s="195"/>
      <c r="CQ36" s="195"/>
    </row>
    <row r="37" spans="1:95">
      <c r="A37" s="191"/>
      <c r="B37" s="191"/>
      <c r="C37" s="191"/>
      <c r="D37" s="191"/>
      <c r="E37" s="191"/>
      <c r="F37" s="191"/>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2"/>
      <c r="AH37" s="193"/>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c r="BF37" s="191"/>
      <c r="BG37" s="191"/>
      <c r="BH37" s="191"/>
      <c r="BI37" s="191"/>
      <c r="BJ37" s="191"/>
      <c r="BK37" s="191"/>
      <c r="BL37" s="192"/>
      <c r="BM37" s="194"/>
      <c r="BN37" s="195"/>
      <c r="BO37" s="195"/>
      <c r="BP37" s="195"/>
      <c r="BQ37" s="195"/>
      <c r="BR37" s="195"/>
      <c r="BS37" s="195"/>
      <c r="BT37" s="195"/>
      <c r="BU37" s="195"/>
      <c r="BV37" s="195"/>
      <c r="BW37" s="195"/>
      <c r="BX37" s="195"/>
      <c r="BY37" s="195"/>
      <c r="BZ37" s="195"/>
      <c r="CA37" s="195"/>
      <c r="CB37" s="195"/>
      <c r="CC37" s="195"/>
      <c r="CD37" s="195"/>
      <c r="CE37" s="195"/>
      <c r="CF37" s="195"/>
      <c r="CG37" s="195"/>
      <c r="CH37" s="195"/>
      <c r="CI37" s="195"/>
      <c r="CJ37" s="195"/>
      <c r="CK37" s="195"/>
      <c r="CL37" s="195"/>
      <c r="CM37" s="195"/>
      <c r="CN37" s="195"/>
      <c r="CO37" s="195"/>
      <c r="CP37" s="195"/>
      <c r="CQ37" s="195"/>
    </row>
    <row r="38" spans="1:95">
      <c r="A38" s="191"/>
      <c r="B38" s="191"/>
      <c r="C38" s="191"/>
      <c r="D38" s="191"/>
      <c r="E38" s="191"/>
      <c r="F38" s="191"/>
      <c r="G38" s="191"/>
      <c r="H38" s="191"/>
      <c r="I38" s="191"/>
      <c r="J38" s="191"/>
      <c r="K38" s="191"/>
      <c r="L38" s="191"/>
      <c r="M38" s="191"/>
      <c r="N38" s="191"/>
      <c r="O38" s="191"/>
      <c r="P38" s="191"/>
      <c r="Q38" s="191"/>
      <c r="R38" s="191"/>
      <c r="S38" s="191"/>
      <c r="T38" s="191"/>
      <c r="U38" s="191"/>
      <c r="V38" s="191"/>
      <c r="W38" s="191"/>
      <c r="X38" s="191"/>
      <c r="Y38" s="191"/>
      <c r="Z38" s="191"/>
      <c r="AA38" s="191"/>
      <c r="AB38" s="191"/>
      <c r="AC38" s="191"/>
      <c r="AD38" s="191"/>
      <c r="AE38" s="191"/>
      <c r="AF38" s="191"/>
      <c r="AG38" s="192"/>
      <c r="AH38" s="193"/>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c r="BF38" s="191"/>
      <c r="BG38" s="191"/>
      <c r="BH38" s="191"/>
      <c r="BI38" s="191"/>
      <c r="BJ38" s="191"/>
      <c r="BK38" s="191"/>
      <c r="BL38" s="192"/>
      <c r="BM38" s="194"/>
      <c r="BN38" s="195"/>
      <c r="BO38" s="195"/>
      <c r="BP38" s="195"/>
      <c r="BQ38" s="195"/>
      <c r="BR38" s="195"/>
      <c r="BS38" s="195"/>
      <c r="BT38" s="195"/>
      <c r="BU38" s="195"/>
      <c r="BV38" s="195"/>
      <c r="BW38" s="195"/>
      <c r="BX38" s="195"/>
      <c r="BY38" s="195"/>
      <c r="BZ38" s="195"/>
      <c r="CA38" s="195"/>
      <c r="CB38" s="195"/>
      <c r="CC38" s="195"/>
      <c r="CD38" s="195"/>
      <c r="CE38" s="195"/>
      <c r="CF38" s="195"/>
      <c r="CG38" s="195"/>
      <c r="CH38" s="195"/>
      <c r="CI38" s="195"/>
      <c r="CJ38" s="195"/>
      <c r="CK38" s="195"/>
      <c r="CL38" s="195"/>
      <c r="CM38" s="195"/>
      <c r="CN38" s="195"/>
      <c r="CO38" s="195"/>
      <c r="CP38" s="195"/>
      <c r="CQ38" s="195"/>
    </row>
    <row r="39" spans="1:95">
      <c r="A39" s="191"/>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2"/>
      <c r="AH39" s="193"/>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c r="BF39" s="191"/>
      <c r="BG39" s="191"/>
      <c r="BH39" s="191"/>
      <c r="BI39" s="191"/>
      <c r="BJ39" s="191"/>
      <c r="BK39" s="191"/>
      <c r="BL39" s="192"/>
      <c r="BM39" s="194"/>
      <c r="BN39" s="195"/>
      <c r="BO39" s="195"/>
      <c r="BP39" s="195"/>
      <c r="BQ39" s="195"/>
      <c r="BR39" s="195"/>
      <c r="BS39" s="195"/>
      <c r="BT39" s="195"/>
      <c r="BU39" s="195"/>
      <c r="BV39" s="195"/>
      <c r="BW39" s="195"/>
      <c r="BX39" s="195"/>
      <c r="BY39" s="195"/>
      <c r="BZ39" s="195"/>
      <c r="CA39" s="195"/>
      <c r="CB39" s="195"/>
      <c r="CC39" s="195"/>
      <c r="CD39" s="195"/>
      <c r="CE39" s="195"/>
      <c r="CF39" s="195"/>
      <c r="CG39" s="195"/>
      <c r="CH39" s="195"/>
      <c r="CI39" s="195"/>
      <c r="CJ39" s="195"/>
      <c r="CK39" s="195"/>
      <c r="CL39" s="195"/>
      <c r="CM39" s="195"/>
      <c r="CN39" s="195"/>
      <c r="CO39" s="195"/>
      <c r="CP39" s="195"/>
      <c r="CQ39" s="195"/>
    </row>
    <row r="40" spans="1:95">
      <c r="A40" s="191"/>
      <c r="B40" s="191"/>
      <c r="C40" s="191"/>
      <c r="D40" s="191"/>
      <c r="E40" s="191"/>
      <c r="F40" s="191"/>
      <c r="G40" s="191"/>
      <c r="H40" s="191"/>
      <c r="I40" s="191"/>
      <c r="J40" s="191"/>
      <c r="K40" s="191"/>
      <c r="L40" s="191"/>
      <c r="M40" s="191"/>
      <c r="N40" s="191"/>
      <c r="O40" s="191"/>
      <c r="P40" s="191"/>
      <c r="Q40" s="191"/>
      <c r="R40" s="191"/>
      <c r="S40" s="191"/>
      <c r="T40" s="191"/>
      <c r="U40" s="191"/>
      <c r="V40" s="191"/>
      <c r="W40" s="191"/>
      <c r="X40" s="191"/>
      <c r="Y40" s="191"/>
      <c r="Z40" s="191"/>
      <c r="AA40" s="191"/>
      <c r="AB40" s="191"/>
      <c r="AC40" s="191"/>
      <c r="AD40" s="191"/>
      <c r="AE40" s="191"/>
      <c r="AF40" s="191"/>
      <c r="AG40" s="192"/>
      <c r="AH40" s="193"/>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c r="BF40" s="191"/>
      <c r="BG40" s="191"/>
      <c r="BH40" s="191"/>
      <c r="BI40" s="191"/>
      <c r="BJ40" s="191"/>
      <c r="BK40" s="191"/>
      <c r="BL40" s="192"/>
      <c r="BM40" s="194"/>
      <c r="BN40" s="195"/>
      <c r="BO40" s="195"/>
      <c r="BP40" s="195"/>
      <c r="BQ40" s="195"/>
      <c r="BR40" s="195"/>
      <c r="BS40" s="195"/>
      <c r="BT40" s="195"/>
      <c r="BU40" s="195"/>
      <c r="BV40" s="195"/>
      <c r="BW40" s="195"/>
      <c r="BX40" s="195"/>
      <c r="BY40" s="195"/>
      <c r="BZ40" s="195"/>
      <c r="CA40" s="195"/>
      <c r="CB40" s="195"/>
      <c r="CC40" s="195"/>
      <c r="CD40" s="195"/>
      <c r="CE40" s="195"/>
      <c r="CF40" s="195"/>
      <c r="CG40" s="195"/>
      <c r="CH40" s="195"/>
      <c r="CI40" s="195"/>
      <c r="CJ40" s="195"/>
      <c r="CK40" s="195"/>
      <c r="CL40" s="195"/>
      <c r="CM40" s="195"/>
      <c r="CN40" s="195"/>
      <c r="CO40" s="195"/>
      <c r="CP40" s="195"/>
      <c r="CQ40" s="195"/>
    </row>
    <row r="41" spans="1:95">
      <c r="A41" s="191"/>
      <c r="B41" s="191"/>
      <c r="C41" s="191"/>
      <c r="D41" s="191"/>
      <c r="E41" s="191"/>
      <c r="F41" s="191"/>
      <c r="G41" s="191"/>
      <c r="H41" s="191"/>
      <c r="I41" s="191"/>
      <c r="J41" s="191"/>
      <c r="K41" s="191"/>
      <c r="L41" s="191"/>
      <c r="M41" s="191"/>
      <c r="N41" s="191"/>
      <c r="O41" s="191"/>
      <c r="P41" s="191"/>
      <c r="Q41" s="191"/>
      <c r="R41" s="191"/>
      <c r="S41" s="191"/>
      <c r="T41" s="191"/>
      <c r="U41" s="191"/>
      <c r="V41" s="191"/>
      <c r="W41" s="191"/>
      <c r="X41" s="191"/>
      <c r="Y41" s="191"/>
      <c r="Z41" s="191"/>
      <c r="AA41" s="191"/>
      <c r="AB41" s="191"/>
      <c r="AC41" s="191"/>
      <c r="AD41" s="191"/>
      <c r="AE41" s="191"/>
      <c r="AF41" s="191"/>
      <c r="AG41" s="192"/>
      <c r="AH41" s="193"/>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c r="BF41" s="191"/>
      <c r="BG41" s="191"/>
      <c r="BH41" s="191"/>
      <c r="BI41" s="191"/>
      <c r="BJ41" s="191"/>
      <c r="BK41" s="191"/>
      <c r="BL41" s="192"/>
      <c r="BM41" s="194"/>
      <c r="BN41" s="195"/>
      <c r="BO41" s="195"/>
      <c r="BP41" s="195"/>
      <c r="BQ41" s="195"/>
      <c r="BR41" s="195"/>
      <c r="BS41" s="195"/>
      <c r="BT41" s="195"/>
      <c r="BU41" s="195"/>
      <c r="BV41" s="195"/>
      <c r="BW41" s="195"/>
      <c r="BX41" s="195"/>
      <c r="BY41" s="195"/>
      <c r="BZ41" s="195"/>
      <c r="CA41" s="195"/>
      <c r="CB41" s="195"/>
      <c r="CC41" s="195"/>
      <c r="CD41" s="195"/>
      <c r="CE41" s="195"/>
      <c r="CF41" s="195"/>
      <c r="CG41" s="195"/>
      <c r="CH41" s="195"/>
      <c r="CI41" s="195"/>
      <c r="CJ41" s="195"/>
      <c r="CK41" s="195"/>
      <c r="CL41" s="195"/>
      <c r="CM41" s="195"/>
      <c r="CN41" s="195"/>
      <c r="CO41" s="195"/>
      <c r="CP41" s="195"/>
      <c r="CQ41" s="195"/>
    </row>
    <row r="42" spans="1:95">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c r="AA42" s="191"/>
      <c r="AB42" s="191"/>
      <c r="AC42" s="191"/>
      <c r="AD42" s="191"/>
      <c r="AE42" s="191"/>
      <c r="AF42" s="191"/>
      <c r="AG42" s="192"/>
      <c r="AH42" s="193"/>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c r="BF42" s="191"/>
      <c r="BG42" s="191"/>
      <c r="BH42" s="191"/>
      <c r="BI42" s="191"/>
      <c r="BJ42" s="191"/>
      <c r="BK42" s="191"/>
      <c r="BL42" s="192"/>
      <c r="BM42" s="194"/>
      <c r="BN42" s="195"/>
      <c r="BO42" s="195"/>
      <c r="BP42" s="195"/>
      <c r="BQ42" s="195"/>
      <c r="BR42" s="195"/>
      <c r="BS42" s="195"/>
      <c r="BT42" s="195"/>
      <c r="BU42" s="195"/>
      <c r="BV42" s="195"/>
      <c r="BW42" s="195"/>
      <c r="BX42" s="195"/>
      <c r="BY42" s="195"/>
      <c r="BZ42" s="195"/>
      <c r="CA42" s="195"/>
      <c r="CB42" s="195"/>
      <c r="CC42" s="195"/>
      <c r="CD42" s="195"/>
      <c r="CE42" s="195"/>
      <c r="CF42" s="195"/>
      <c r="CG42" s="195"/>
      <c r="CH42" s="195"/>
      <c r="CI42" s="195"/>
      <c r="CJ42" s="195"/>
      <c r="CK42" s="195"/>
      <c r="CL42" s="195"/>
      <c r="CM42" s="195"/>
      <c r="CN42" s="195"/>
      <c r="CO42" s="195"/>
      <c r="CP42" s="195"/>
      <c r="CQ42" s="195"/>
    </row>
    <row r="43" spans="1:95">
      <c r="A43" s="191"/>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c r="AA43" s="191"/>
      <c r="AB43" s="191"/>
      <c r="AC43" s="191"/>
      <c r="AD43" s="191"/>
      <c r="AE43" s="191"/>
      <c r="AF43" s="191"/>
      <c r="AG43" s="192"/>
      <c r="AH43" s="193"/>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c r="BE43" s="191"/>
      <c r="BF43" s="191"/>
      <c r="BG43" s="191"/>
      <c r="BH43" s="191"/>
      <c r="BI43" s="191"/>
      <c r="BJ43" s="191"/>
      <c r="BK43" s="191"/>
      <c r="BL43" s="192"/>
      <c r="BM43" s="194"/>
      <c r="BN43" s="195"/>
      <c r="BO43" s="195"/>
      <c r="BP43" s="195"/>
      <c r="BQ43" s="195"/>
      <c r="BR43" s="195"/>
      <c r="BS43" s="195"/>
      <c r="BT43" s="195"/>
      <c r="BU43" s="195"/>
      <c r="BV43" s="195"/>
      <c r="BW43" s="195"/>
      <c r="BX43" s="195"/>
      <c r="BY43" s="195"/>
      <c r="BZ43" s="195"/>
      <c r="CA43" s="195"/>
      <c r="CB43" s="195"/>
      <c r="CC43" s="195"/>
      <c r="CD43" s="195"/>
      <c r="CE43" s="195"/>
      <c r="CF43" s="195"/>
      <c r="CG43" s="195"/>
      <c r="CH43" s="195"/>
      <c r="CI43" s="195"/>
      <c r="CJ43" s="195"/>
      <c r="CK43" s="195"/>
      <c r="CL43" s="195"/>
      <c r="CM43" s="195"/>
      <c r="CN43" s="195"/>
      <c r="CO43" s="195"/>
      <c r="CP43" s="195"/>
      <c r="CQ43" s="195"/>
    </row>
    <row r="44" spans="1:95">
      <c r="A44" s="191"/>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2"/>
      <c r="AH44" s="193"/>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c r="BF44" s="191"/>
      <c r="BG44" s="191"/>
      <c r="BH44" s="191"/>
      <c r="BI44" s="191"/>
      <c r="BJ44" s="191"/>
      <c r="BK44" s="191"/>
      <c r="BL44" s="192"/>
      <c r="BM44" s="194"/>
      <c r="BN44" s="195"/>
      <c r="BO44" s="195"/>
      <c r="BP44" s="195"/>
      <c r="BQ44" s="195"/>
      <c r="BR44" s="195"/>
      <c r="BS44" s="195"/>
      <c r="BT44" s="195"/>
      <c r="BU44" s="195"/>
      <c r="BV44" s="195"/>
      <c r="BW44" s="195"/>
      <c r="BX44" s="195"/>
      <c r="BY44" s="195"/>
      <c r="BZ44" s="195"/>
      <c r="CA44" s="195"/>
      <c r="CB44" s="195"/>
      <c r="CC44" s="195"/>
      <c r="CD44" s="195"/>
      <c r="CE44" s="195"/>
      <c r="CF44" s="195"/>
      <c r="CG44" s="195"/>
      <c r="CH44" s="195"/>
      <c r="CI44" s="195"/>
      <c r="CJ44" s="195"/>
      <c r="CK44" s="195"/>
      <c r="CL44" s="195"/>
      <c r="CM44" s="195"/>
      <c r="CN44" s="195"/>
      <c r="CO44" s="195"/>
      <c r="CP44" s="195"/>
      <c r="CQ44" s="195"/>
    </row>
    <row r="45" spans="1:95">
      <c r="A45" s="191"/>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2"/>
      <c r="AH45" s="193"/>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c r="BF45" s="191"/>
      <c r="BG45" s="191"/>
      <c r="BH45" s="191"/>
      <c r="BI45" s="191"/>
      <c r="BJ45" s="191"/>
      <c r="BK45" s="191"/>
      <c r="BL45" s="192"/>
      <c r="BM45" s="194"/>
      <c r="BN45" s="195"/>
      <c r="BO45" s="195"/>
      <c r="BP45" s="195"/>
      <c r="BQ45" s="195"/>
      <c r="BR45" s="195"/>
      <c r="BS45" s="195"/>
      <c r="BT45" s="195"/>
      <c r="BU45" s="195"/>
      <c r="BV45" s="195"/>
      <c r="BW45" s="195"/>
      <c r="BX45" s="195"/>
      <c r="BY45" s="195"/>
      <c r="BZ45" s="195"/>
      <c r="CA45" s="195"/>
      <c r="CB45" s="195"/>
      <c r="CC45" s="195"/>
      <c r="CD45" s="195"/>
      <c r="CE45" s="195"/>
      <c r="CF45" s="195"/>
      <c r="CG45" s="195"/>
      <c r="CH45" s="195"/>
      <c r="CI45" s="195"/>
      <c r="CJ45" s="195"/>
      <c r="CK45" s="195"/>
      <c r="CL45" s="195"/>
      <c r="CM45" s="195"/>
      <c r="CN45" s="195"/>
      <c r="CO45" s="195"/>
      <c r="CP45" s="195"/>
      <c r="CQ45" s="195"/>
    </row>
    <row r="46" spans="1:95">
      <c r="A46" s="191"/>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c r="AA46" s="191"/>
      <c r="AB46" s="191"/>
      <c r="AC46" s="191"/>
      <c r="AD46" s="191"/>
      <c r="AE46" s="191"/>
      <c r="AF46" s="191"/>
      <c r="AG46" s="192"/>
      <c r="AH46" s="193"/>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c r="BF46" s="191"/>
      <c r="BG46" s="191"/>
      <c r="BH46" s="191"/>
      <c r="BI46" s="191"/>
      <c r="BJ46" s="191"/>
      <c r="BK46" s="191"/>
      <c r="BL46" s="192"/>
      <c r="BM46" s="194"/>
      <c r="BN46" s="195"/>
      <c r="BO46" s="195"/>
      <c r="BP46" s="195"/>
      <c r="BQ46" s="195"/>
      <c r="BR46" s="195"/>
      <c r="BS46" s="195"/>
      <c r="BT46" s="195"/>
      <c r="BU46" s="195"/>
      <c r="BV46" s="195"/>
      <c r="BW46" s="195"/>
      <c r="BX46" s="195"/>
      <c r="BY46" s="195"/>
      <c r="BZ46" s="195"/>
      <c r="CA46" s="195"/>
      <c r="CB46" s="195"/>
      <c r="CC46" s="195"/>
      <c r="CD46" s="195"/>
      <c r="CE46" s="195"/>
      <c r="CF46" s="195"/>
      <c r="CG46" s="195"/>
      <c r="CH46" s="195"/>
      <c r="CI46" s="195"/>
      <c r="CJ46" s="195"/>
      <c r="CK46" s="195"/>
      <c r="CL46" s="195"/>
      <c r="CM46" s="195"/>
      <c r="CN46" s="195"/>
      <c r="CO46" s="195"/>
      <c r="CP46" s="195"/>
      <c r="CQ46" s="195"/>
    </row>
    <row r="47" spans="1:95">
      <c r="A47" s="191"/>
      <c r="B47" s="191"/>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c r="AA47" s="191"/>
      <c r="AB47" s="191"/>
      <c r="AC47" s="191"/>
      <c r="AD47" s="191"/>
      <c r="AE47" s="191"/>
      <c r="AF47" s="191"/>
      <c r="AG47" s="192"/>
      <c r="AH47" s="193"/>
      <c r="AI47" s="191"/>
      <c r="AJ47" s="191"/>
      <c r="AK47" s="191"/>
      <c r="AL47" s="191"/>
      <c r="AM47" s="191"/>
      <c r="AN47" s="191"/>
      <c r="AO47" s="191"/>
      <c r="AP47" s="191"/>
      <c r="AQ47" s="191"/>
      <c r="AR47" s="191"/>
      <c r="AS47" s="191"/>
      <c r="AT47" s="191"/>
      <c r="AU47" s="191"/>
      <c r="AV47" s="191"/>
      <c r="AW47" s="191"/>
      <c r="AX47" s="191"/>
      <c r="AY47" s="191"/>
      <c r="AZ47" s="191"/>
      <c r="BA47" s="191"/>
      <c r="BB47" s="191"/>
      <c r="BC47" s="191"/>
      <c r="BD47" s="191"/>
      <c r="BE47" s="191"/>
      <c r="BF47" s="191"/>
      <c r="BG47" s="191"/>
      <c r="BH47" s="191"/>
      <c r="BI47" s="191"/>
      <c r="BJ47" s="191"/>
      <c r="BK47" s="191"/>
      <c r="BL47" s="192"/>
      <c r="BM47" s="194"/>
      <c r="BN47" s="195"/>
      <c r="BO47" s="195"/>
      <c r="BP47" s="195"/>
      <c r="BQ47" s="195"/>
      <c r="BR47" s="195"/>
      <c r="BS47" s="195"/>
      <c r="BT47" s="195"/>
      <c r="BU47" s="195"/>
      <c r="BV47" s="195"/>
      <c r="BW47" s="195"/>
      <c r="BX47" s="195"/>
      <c r="BY47" s="195"/>
      <c r="BZ47" s="195"/>
      <c r="CA47" s="195"/>
      <c r="CB47" s="195"/>
      <c r="CC47" s="195"/>
      <c r="CD47" s="195"/>
      <c r="CE47" s="195"/>
      <c r="CF47" s="195"/>
      <c r="CG47" s="195"/>
      <c r="CH47" s="195"/>
      <c r="CI47" s="195"/>
      <c r="CJ47" s="195"/>
      <c r="CK47" s="195"/>
      <c r="CL47" s="195"/>
      <c r="CM47" s="195"/>
      <c r="CN47" s="195"/>
      <c r="CO47" s="195"/>
      <c r="CP47" s="195"/>
      <c r="CQ47" s="195"/>
    </row>
    <row r="48" spans="1:95">
      <c r="A48" s="191"/>
      <c r="B48" s="191"/>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c r="AA48" s="191"/>
      <c r="AB48" s="191"/>
      <c r="AC48" s="191"/>
      <c r="AD48" s="191"/>
      <c r="AE48" s="191"/>
      <c r="AF48" s="191"/>
      <c r="AG48" s="192"/>
      <c r="AH48" s="193"/>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c r="BE48" s="191"/>
      <c r="BF48" s="191"/>
      <c r="BG48" s="191"/>
      <c r="BH48" s="191"/>
      <c r="BI48" s="191"/>
      <c r="BJ48" s="191"/>
      <c r="BK48" s="191"/>
      <c r="BL48" s="192"/>
      <c r="BM48" s="194"/>
      <c r="BN48" s="195"/>
      <c r="BO48" s="195"/>
      <c r="BP48" s="195"/>
      <c r="BQ48" s="195"/>
      <c r="BR48" s="195"/>
      <c r="BS48" s="195"/>
      <c r="BT48" s="195"/>
      <c r="BU48" s="195"/>
      <c r="BV48" s="195"/>
      <c r="BW48" s="195"/>
      <c r="BX48" s="195"/>
      <c r="BY48" s="195"/>
      <c r="BZ48" s="195"/>
      <c r="CA48" s="195"/>
      <c r="CB48" s="195"/>
      <c r="CC48" s="195"/>
      <c r="CD48" s="195"/>
      <c r="CE48" s="195"/>
      <c r="CF48" s="195"/>
      <c r="CG48" s="195"/>
      <c r="CH48" s="195"/>
      <c r="CI48" s="195"/>
      <c r="CJ48" s="195"/>
      <c r="CK48" s="195"/>
      <c r="CL48" s="195"/>
      <c r="CM48" s="195"/>
      <c r="CN48" s="195"/>
      <c r="CO48" s="195"/>
      <c r="CP48" s="195"/>
      <c r="CQ48" s="195"/>
    </row>
    <row r="49" spans="1:95">
      <c r="A49" s="191"/>
      <c r="B49" s="191"/>
      <c r="C49" s="191"/>
      <c r="D49" s="191"/>
      <c r="E49" s="191"/>
      <c r="F49" s="191"/>
      <c r="G49" s="191"/>
      <c r="H49" s="191"/>
      <c r="I49" s="191"/>
      <c r="J49" s="191"/>
      <c r="K49" s="191"/>
      <c r="L49" s="191"/>
      <c r="M49" s="191"/>
      <c r="N49" s="191"/>
      <c r="O49" s="191"/>
      <c r="P49" s="191"/>
      <c r="Q49" s="191"/>
      <c r="R49" s="191"/>
      <c r="S49" s="191"/>
      <c r="T49" s="191"/>
      <c r="U49" s="191"/>
      <c r="V49" s="191"/>
      <c r="W49" s="191"/>
      <c r="X49" s="191"/>
      <c r="Y49" s="191"/>
      <c r="Z49" s="191"/>
      <c r="AA49" s="191"/>
      <c r="AB49" s="191"/>
      <c r="AC49" s="191"/>
      <c r="AD49" s="191"/>
      <c r="AE49" s="191"/>
      <c r="AF49" s="191"/>
      <c r="AG49" s="192"/>
      <c r="AH49" s="193"/>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c r="BF49" s="191"/>
      <c r="BG49" s="191"/>
      <c r="BH49" s="191"/>
      <c r="BI49" s="191"/>
      <c r="BJ49" s="191"/>
      <c r="BK49" s="191"/>
      <c r="BL49" s="192"/>
      <c r="BM49" s="194"/>
      <c r="BN49" s="195"/>
      <c r="BO49" s="195"/>
      <c r="BP49" s="195"/>
      <c r="BQ49" s="195"/>
      <c r="BR49" s="195"/>
      <c r="BS49" s="195"/>
      <c r="BT49" s="195"/>
      <c r="BU49" s="195"/>
      <c r="BV49" s="195"/>
      <c r="BW49" s="195"/>
      <c r="BX49" s="195"/>
      <c r="BY49" s="195"/>
      <c r="BZ49" s="195"/>
      <c r="CA49" s="195"/>
      <c r="CB49" s="195"/>
      <c r="CC49" s="195"/>
      <c r="CD49" s="195"/>
      <c r="CE49" s="195"/>
      <c r="CF49" s="195"/>
      <c r="CG49" s="195"/>
      <c r="CH49" s="195"/>
      <c r="CI49" s="195"/>
      <c r="CJ49" s="195"/>
      <c r="CK49" s="195"/>
      <c r="CL49" s="195"/>
      <c r="CM49" s="195"/>
      <c r="CN49" s="195"/>
      <c r="CO49" s="195"/>
      <c r="CP49" s="195"/>
      <c r="CQ49" s="195"/>
    </row>
  </sheetData>
  <mergeCells count="2">
    <mergeCell ref="A1:CQ1"/>
    <mergeCell ref="A2:CQ2"/>
  </mergeCells>
  <pageMargins left="0.5" right="0.5" top="0.5" bottom="0.5" header="0.25" footer="0.25"/>
  <pageSetup scale="44" fitToWidth="3" fitToHeight="0" orientation="landscape" horizontalDpi="1200" verticalDpi="1200" r:id="rId1"/>
  <headerFooter alignWithMargins="0">
    <oddFooter>&amp;L&amp;9Copyright Shipley Associates&amp;C&amp;9&amp;D&amp;R&amp;9&amp;P</oddFooter>
  </headerFooter>
  <colBreaks count="2" manualBreakCount="2">
    <brk id="33" max="1048575" man="1"/>
    <brk id="64" max="1048575" man="1"/>
  </col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BBD3BE-4BC6-4612-97BF-00E49C567B0F}">
  <ds:schemaRefs>
    <ds:schemaRef ds:uri="http://schemas.microsoft.com/sharepoint/v3/contenttype/forms"/>
  </ds:schemaRefs>
</ds:datastoreItem>
</file>

<file path=customXml/itemProps2.xml><?xml version="1.0" encoding="utf-8"?>
<ds:datastoreItem xmlns:ds="http://schemas.openxmlformats.org/officeDocument/2006/customXml" ds:itemID="{9F392103-9300-4CED-B4C9-7B5EEC18F156}">
  <ds:schemaRefs>
    <ds:schemaRef ds:uri="http://www.w3.org/XML/1998/namespace"/>
    <ds:schemaRef ds:uri="http://purl.org/dc/terms/"/>
    <ds:schemaRef ds:uri="http://purl.org/dc/elements/1.1/"/>
    <ds:schemaRef ds:uri="http://schemas.microsoft.com/office/2006/documentManagement/types"/>
    <ds:schemaRef ds:uri="http://purl.org/dc/dcmitype/"/>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2B4A0FF6-F5EE-42FF-929C-72514C0316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Cover</vt:lpstr>
      <vt:lpstr>TOC</vt:lpstr>
      <vt:lpstr>Executive Overview</vt:lpstr>
      <vt:lpstr>Pwin Parameters</vt:lpstr>
      <vt:lpstr>Pwin Calculator</vt:lpstr>
      <vt:lpstr>Opp Description</vt:lpstr>
      <vt:lpstr>Cust Profile</vt:lpstr>
      <vt:lpstr>Hot Buttons</vt:lpstr>
      <vt:lpstr>Competitive Intel 1</vt:lpstr>
      <vt:lpstr>Competitive Intel 2</vt:lpstr>
      <vt:lpstr>Our Position Pt 1</vt:lpstr>
      <vt:lpstr>Our Position Pt 2</vt:lpstr>
      <vt:lpstr>Winning Price</vt:lpstr>
      <vt:lpstr>PTW Window</vt:lpstr>
      <vt:lpstr>Bidder Comparison</vt:lpstr>
      <vt:lpstr>Leverage</vt:lpstr>
      <vt:lpstr>Mitigate</vt:lpstr>
      <vt:lpstr>Exploit</vt:lpstr>
      <vt:lpstr>Neutralize</vt:lpstr>
      <vt:lpstr>Teaming</vt:lpstr>
      <vt:lpstr>ISW</vt:lpstr>
      <vt:lpstr>Win Themes</vt:lpstr>
      <vt:lpstr>Benefit-Feature</vt:lpstr>
      <vt:lpstr>Cust Contact</vt:lpstr>
      <vt:lpstr>Cust Stakeholders</vt:lpstr>
      <vt:lpstr>Intel Collection</vt:lpstr>
      <vt:lpstr>Solution Development</vt:lpstr>
      <vt:lpstr>Contingency</vt:lpstr>
      <vt:lpstr>Risk</vt:lpstr>
      <vt:lpstr>Preliminary Bid CL</vt:lpstr>
      <vt:lpstr>Preliminary Bid Planning</vt:lpstr>
      <vt:lpstr>90-Day Action Plan Schedule</vt:lpstr>
      <vt:lpstr>'Bidder Comparison'!Print_Area</vt:lpstr>
      <vt:lpstr>'Competitive Intel 1'!Print_Area</vt:lpstr>
      <vt:lpstr>'Pwin Calculator'!Print_Area</vt:lpstr>
      <vt:lpstr>'Pwin Parameters'!Print_Area</vt:lpstr>
      <vt:lpstr>'90-Day Action Plan Schedule'!Print_Titles</vt:lpstr>
      <vt:lpstr>'Pwin Calculator'!Print_Titles</vt:lpstr>
    </vt:vector>
  </TitlesOfParts>
  <Manager/>
  <Company>Shipley Associates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Shipley Capture Workbook v1.1</dc:title>
  <dc:subject/>
  <dc:creator>Shipley E5440</dc:creator>
  <cp:keywords/>
  <dc:description>Copyright 2020 Shipley Associates</dc:description>
  <cp:lastModifiedBy>Gwyn Allred</cp:lastModifiedBy>
  <cp:revision/>
  <cp:lastPrinted>2023-01-05T21:19:52Z</cp:lastPrinted>
  <dcterms:created xsi:type="dcterms:W3CDTF">2001-02-05T22:00:16Z</dcterms:created>
  <dcterms:modified xsi:type="dcterms:W3CDTF">2023-04-28T19:24:29Z</dcterms:modified>
  <cp:category>Tools &amp; Templates</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0x01010015BA5BCAC04D2749814D77B626AFFDAF</vt:lpwstr>
  </property>
</Properties>
</file>