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codeName="ThisWorkbook"/>
  <mc:AlternateContent xmlns:mc="http://schemas.openxmlformats.org/markup-compatibility/2006">
    <mc:Choice Requires="x15">
      <x15ac:absPath xmlns:x15ac="http://schemas.microsoft.com/office/spreadsheetml/2010/11/ac" url="https://shipleyassociates-my.sharepoint.com/personal/egregory_shipleywins_com/Documents/Documents/Shipley/S&amp;K/Extras/"/>
    </mc:Choice>
  </mc:AlternateContent>
  <xr:revisionPtr revIDLastSave="0" documentId="8_{F121C809-50C3-4621-B356-D27498BB48C4}" xr6:coauthVersionLast="47" xr6:coauthVersionMax="47" xr10:uidLastSave="{00000000-0000-0000-0000-000000000000}"/>
  <bookViews>
    <workbookView xWindow="1380" yWindow="1380" windowWidth="17280" windowHeight="10073" tabRatio="575" xr2:uid="{00000000-000D-0000-FFFF-FFFF00000000}"/>
  </bookViews>
  <sheets>
    <sheet name="Pwin Parameters" sheetId="2" r:id="rId1"/>
    <sheet name="Pwin Calculator" sheetId="1" r:id="rId2"/>
  </sheets>
  <definedNames>
    <definedName name="_xlnm.Print_Area" localSheetId="1">'Pwin Calculator'!$A$13:$E$25</definedName>
    <definedName name="_xlnm.Print_Titles" localSheetId="1">'Pwin Calculator'!$13:$16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22" i="1" l="1"/>
  <c r="D23" i="1"/>
  <c r="G16" i="1"/>
  <c r="G17" i="1"/>
  <c r="G18" i="1"/>
  <c r="G20" i="1"/>
  <c r="G21" i="1"/>
  <c r="G22" i="1"/>
  <c r="G23" i="1"/>
  <c r="G25" i="1"/>
  <c r="G26" i="1"/>
  <c r="G27" i="1"/>
  <c r="G28" i="1"/>
  <c r="G30" i="1"/>
  <c r="G31" i="1"/>
  <c r="G32" i="1"/>
  <c r="G33" i="1"/>
  <c r="G35" i="1"/>
  <c r="G36" i="1"/>
  <c r="G37" i="1"/>
  <c r="G38" i="1"/>
  <c r="G40" i="1"/>
  <c r="G41" i="1"/>
  <c r="G42" i="1"/>
  <c r="G43" i="1"/>
  <c r="G45" i="1"/>
  <c r="G46" i="1"/>
  <c r="G47" i="1"/>
  <c r="G48" i="1"/>
  <c r="G50" i="1"/>
  <c r="G51" i="1"/>
  <c r="G52" i="1"/>
  <c r="G53" i="1"/>
  <c r="G55" i="1"/>
  <c r="G56" i="1"/>
  <c r="G57" i="1"/>
  <c r="G58" i="1"/>
  <c r="G60" i="1"/>
  <c r="G61" i="1"/>
  <c r="G62" i="1"/>
  <c r="G63" i="1"/>
  <c r="G65" i="1"/>
  <c r="G66" i="1"/>
  <c r="G67" i="1"/>
  <c r="G68" i="1"/>
  <c r="G70" i="1"/>
  <c r="G71" i="1"/>
  <c r="G72" i="1"/>
  <c r="G73" i="1"/>
  <c r="A21" i="1"/>
  <c r="I16" i="1"/>
  <c r="D17" i="1" l="1"/>
  <c r="E17" i="1" s="1"/>
  <c r="D20" i="1"/>
  <c r="E20" i="1" s="1"/>
  <c r="D18" i="1"/>
  <c r="E18" i="1" s="1"/>
  <c r="D21" i="1"/>
  <c r="E21" i="1" s="1"/>
  <c r="D19" i="1"/>
  <c r="E19" i="1" s="1"/>
  <c r="E23" i="1"/>
  <c r="E22" i="1"/>
  <c r="A22" i="1"/>
  <c r="A20" i="1"/>
  <c r="A19" i="1"/>
  <c r="A18" i="1"/>
  <c r="A17" i="1"/>
  <c r="A23" i="1"/>
  <c r="E2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Wagner</author>
  </authors>
  <commentList>
    <comment ref="A10" authorId="0" shapeId="0" xr:uid="{00000000-0006-0000-0000-000001000000}">
      <text>
        <r>
          <rPr>
            <b/>
            <sz val="9"/>
            <color indexed="81"/>
            <rFont val="Arial"/>
            <family val="2"/>
          </rPr>
          <t>Pwin Factors:</t>
        </r>
        <r>
          <rPr>
            <sz val="9"/>
            <color indexed="81"/>
            <rFont val="Arial"/>
            <family val="2"/>
          </rPr>
          <t xml:space="preserve">
Modify or enter factors that influence your organization's decisions to pursue business opportunities.
</t>
        </r>
        <r>
          <rPr>
            <b/>
            <sz val="9"/>
            <color indexed="81"/>
            <rFont val="Arial"/>
            <family val="2"/>
          </rPr>
          <t xml:space="preserve">Hint:
</t>
        </r>
        <r>
          <rPr>
            <sz val="9"/>
            <color indexed="81"/>
            <rFont val="Arial"/>
            <family val="2"/>
          </rPr>
          <t>Up to two additional factors can be added by replacing the "other" entries below.</t>
        </r>
      </text>
    </comment>
    <comment ref="B10" authorId="0" shapeId="0" xr:uid="{00000000-0006-0000-0000-000002000000}">
      <text>
        <r>
          <rPr>
            <b/>
            <sz val="9"/>
            <color indexed="81"/>
            <rFont val="Arial"/>
            <family val="2"/>
          </rPr>
          <t>Win Factor Ratings:</t>
        </r>
        <r>
          <rPr>
            <sz val="9"/>
            <color indexed="81"/>
            <rFont val="Arial"/>
            <family val="2"/>
          </rPr>
          <t xml:space="preserve">
Use the existing ratings or substitute your own. Factors must be arranged in descending order, from those mostly strongly suggesting pursuit to those suggesting the opportunity should be abandoned.
</t>
        </r>
        <r>
          <rPr>
            <b/>
            <sz val="9"/>
            <color indexed="81"/>
            <rFont val="Arial"/>
            <family val="2"/>
          </rPr>
          <t xml:space="preserve">Hint:
</t>
        </r>
        <r>
          <rPr>
            <sz val="9"/>
            <color indexed="81"/>
            <rFont val="Arial"/>
            <family val="2"/>
          </rPr>
          <t xml:space="preserve">When "other" factors are added, four applicable ratings </t>
        </r>
        <r>
          <rPr>
            <b/>
            <sz val="9"/>
            <color indexed="81"/>
            <rFont val="Arial"/>
            <family val="2"/>
          </rPr>
          <t>must</t>
        </r>
        <r>
          <rPr>
            <sz val="9"/>
            <color indexed="81"/>
            <rFont val="Arial"/>
            <family val="2"/>
          </rPr>
          <t xml:space="preserve"> be created.</t>
        </r>
      </text>
    </comment>
    <comment ref="C10" authorId="0" shapeId="0" xr:uid="{00000000-0006-0000-0000-000003000000}">
      <text>
        <r>
          <rPr>
            <b/>
            <sz val="9"/>
            <color indexed="81"/>
            <rFont val="Arial"/>
            <family val="2"/>
          </rPr>
          <t>Points:</t>
        </r>
        <r>
          <rPr>
            <sz val="9"/>
            <color indexed="81"/>
            <rFont val="Arial"/>
            <family val="2"/>
          </rPr>
          <t xml:space="preserve">
This column cannot be modified.</t>
        </r>
      </text>
    </comment>
    <comment ref="D10" authorId="0" shapeId="0" xr:uid="{00000000-0006-0000-0000-000004000000}">
      <text>
        <r>
          <rPr>
            <b/>
            <sz val="9"/>
            <color indexed="81"/>
            <rFont val="Arial"/>
            <family val="2"/>
          </rPr>
          <t>Breakpoints:</t>
        </r>
        <r>
          <rPr>
            <sz val="9"/>
            <color indexed="81"/>
            <rFont val="Arial"/>
            <family val="2"/>
          </rPr>
          <t xml:space="preserve">
Values in the column to the right control color shading of the Result cell on the Pwin Calculator worksheet. These labels cannot be modified.</t>
        </r>
      </text>
    </comment>
    <comment ref="E10" authorId="0" shapeId="0" xr:uid="{00000000-0006-0000-0000-000005000000}">
      <text>
        <r>
          <rPr>
            <b/>
            <sz val="9"/>
            <color indexed="81"/>
            <rFont val="Arial"/>
            <family val="2"/>
          </rPr>
          <t xml:space="preserve">Values:
</t>
        </r>
        <r>
          <rPr>
            <sz val="9"/>
            <color indexed="81"/>
            <rFont val="Arial"/>
            <family val="2"/>
          </rPr>
          <t>Think carefully before changing these breakpoint values. The calculator treats ratings below the "abandon pursuit" level as negatives. When factors have high weighting increments, this prevents them from incorrectly raising the pursuit indication.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P. Humm</author>
    <author>David Wagner</author>
  </authors>
  <commentList>
    <comment ref="A16" authorId="0" shapeId="0" xr:uid="{00000000-0006-0000-0100-000001000000}">
      <text>
        <r>
          <rPr>
            <b/>
            <sz val="9"/>
            <color indexed="81"/>
            <rFont val="Arial"/>
            <family val="2"/>
          </rPr>
          <t>Pwin Factor:</t>
        </r>
        <r>
          <rPr>
            <sz val="9"/>
            <color indexed="81"/>
            <rFont val="Arial"/>
            <family val="2"/>
          </rPr>
          <t xml:space="preserve">
Pwin factors carry over from the Pwin Parameters worksheet. You cannot enter them in this column.</t>
        </r>
      </text>
    </comment>
    <comment ref="B16" authorId="0" shapeId="0" xr:uid="{00000000-0006-0000-0100-000002000000}">
      <text>
        <r>
          <rPr>
            <b/>
            <sz val="9"/>
            <color indexed="81"/>
            <rFont val="Arial"/>
            <family val="2"/>
          </rPr>
          <t xml:space="preserve">Weight Increment:
</t>
        </r>
        <r>
          <rPr>
            <sz val="9"/>
            <color indexed="81"/>
            <rFont val="Arial"/>
            <family val="2"/>
          </rPr>
          <t xml:space="preserve">The default assumption is that all parameters are of equal importance in your organization's decision making. If a factor is significantly more or less important than others, enter a weighting increment. Each positive increment equals a 10 percent higher importance. Each negative increment lowers the importance by 10 percent.
For example, an increment of +1 means the factor is 10 percent more important than average. An increment of 2.5 indicates 25 percent greater importance. Likewise, an increment of -3 signifies 30 percent lower importance.
</t>
        </r>
        <r>
          <rPr>
            <b/>
            <sz val="9"/>
            <color indexed="81"/>
            <rFont val="Arial"/>
            <family val="2"/>
          </rPr>
          <t>Hint:</t>
        </r>
        <r>
          <rPr>
            <sz val="9"/>
            <color indexed="81"/>
            <rFont val="Arial"/>
            <family val="2"/>
          </rPr>
          <t xml:space="preserve">
If one factor does not apply to this opportunity, enter a weight increment of -10. That will reduce its contribution to the final score to zero.</t>
        </r>
      </text>
    </comment>
    <comment ref="C16" authorId="1" shapeId="0" xr:uid="{00000000-0006-0000-0100-000003000000}">
      <text>
        <r>
          <rPr>
            <b/>
            <sz val="9"/>
            <color indexed="81"/>
            <rFont val="Arial"/>
            <family val="2"/>
          </rPr>
          <t xml:space="preserve">Win Factor Rating: </t>
        </r>
        <r>
          <rPr>
            <sz val="9"/>
            <color indexed="81"/>
            <rFont val="Arial"/>
            <family val="2"/>
          </rPr>
          <t xml:space="preserve">
Click on the on cell first, then click the arrow at the far right of the cell to see the drop-down list.
</t>
        </r>
        <r>
          <rPr>
            <b/>
            <sz val="9"/>
            <color indexed="81"/>
            <rFont val="Arial"/>
            <family val="2"/>
          </rPr>
          <t>Hint:</t>
        </r>
        <r>
          <rPr>
            <sz val="9"/>
            <color indexed="81"/>
            <rFont val="Arial"/>
            <family val="2"/>
          </rPr>
          <t xml:space="preserve">
If the rating options are not appropriate for your organization or the opportunity, modify them on the Pwin Parameters worksheet.
</t>
        </r>
      </text>
    </comment>
    <comment ref="D16" authorId="1" shapeId="0" xr:uid="{00000000-0006-0000-0100-000004000000}">
      <text>
        <r>
          <rPr>
            <b/>
            <sz val="9"/>
            <color indexed="81"/>
            <rFont val="Arial"/>
            <family val="2"/>
          </rPr>
          <t>Points:</t>
        </r>
        <r>
          <rPr>
            <sz val="9"/>
            <color indexed="81"/>
            <rFont val="Arial"/>
            <family val="2"/>
          </rPr>
          <t xml:space="preserve">
Points are assigned automatically, based on Pwin factor ratings.</t>
        </r>
      </text>
    </comment>
    <comment ref="E16" authorId="1" shapeId="0" xr:uid="{00000000-0006-0000-0100-000005000000}">
      <text>
        <r>
          <rPr>
            <b/>
            <sz val="9"/>
            <color indexed="81"/>
            <rFont val="Arial"/>
            <family val="2"/>
          </rPr>
          <t xml:space="preserve">Score:
</t>
        </r>
        <r>
          <rPr>
            <sz val="9"/>
            <color indexed="81"/>
            <rFont val="Arial"/>
            <family val="2"/>
          </rPr>
          <t xml:space="preserve">Scores are calculated automatically, taking into account factor ratings,  weighting increments, and breakpoint values entered in the Pwin Parameters worksheet.
Scores are indexed to the </t>
        </r>
        <r>
          <rPr>
            <i/>
            <sz val="9"/>
            <color indexed="81"/>
            <rFont val="Arial"/>
            <family val="2"/>
          </rPr>
          <t>abandon pursuit</t>
        </r>
        <r>
          <rPr>
            <sz val="9"/>
            <color indexed="81"/>
            <rFont val="Arial"/>
            <family val="2"/>
          </rPr>
          <t xml:space="preserve"> breakpoint. Point values below that breakpoint will generate negative scores.
Do not expect scores to exactly match their corresponding point values. Several things enter into the calculation.
</t>
        </r>
        <r>
          <rPr>
            <b/>
            <sz val="9"/>
            <color indexed="81"/>
            <rFont val="Arial"/>
            <family val="2"/>
          </rPr>
          <t xml:space="preserve">Hint:
</t>
        </r>
        <r>
          <rPr>
            <sz val="9"/>
            <color indexed="81"/>
            <rFont val="Arial"/>
            <family val="2"/>
          </rPr>
          <t xml:space="preserve">Scores contributing to the result turn gray. Blank scores have no impact on the pursuit recommendation.
</t>
        </r>
      </text>
    </comment>
    <comment ref="D24" authorId="1" shapeId="0" xr:uid="{00000000-0006-0000-0100-000006000000}">
      <text>
        <r>
          <rPr>
            <b/>
            <sz val="9"/>
            <color indexed="81"/>
            <rFont val="Arial"/>
            <family val="2"/>
          </rPr>
          <t>Result:</t>
        </r>
        <r>
          <rPr>
            <sz val="9"/>
            <color indexed="81"/>
            <rFont val="Arial"/>
            <family val="2"/>
          </rPr>
          <t xml:space="preserve">
Result is the average of non-zero scores. Factors for which ratings were not entered or a weighting increment of -10 was applied are not factored into calculation.
</t>
        </r>
        <r>
          <rPr>
            <b/>
            <sz val="9"/>
            <color indexed="81"/>
            <rFont val="Arial"/>
            <family val="2"/>
          </rPr>
          <t xml:space="preserve">Hint:
</t>
        </r>
        <r>
          <rPr>
            <sz val="9"/>
            <color indexed="81"/>
            <rFont val="Arial"/>
            <family val="2"/>
          </rPr>
          <t xml:space="preserve">The Result cell shades from </t>
        </r>
        <r>
          <rPr>
            <b/>
            <sz val="9"/>
            <color indexed="10"/>
            <rFont val="Arial"/>
            <family val="2"/>
          </rPr>
          <t>RED</t>
        </r>
        <r>
          <rPr>
            <b/>
            <sz val="9"/>
            <color indexed="8"/>
            <rFont val="Arial"/>
            <family val="2"/>
          </rPr>
          <t>,</t>
        </r>
        <r>
          <rPr>
            <sz val="9"/>
            <color indexed="81"/>
            <rFont val="Arial"/>
            <family val="2"/>
          </rPr>
          <t xml:space="preserve"> when abandonment of the opportunity is recommended, through </t>
        </r>
        <r>
          <rPr>
            <b/>
            <sz val="9"/>
            <color indexed="51"/>
            <rFont val="Arial"/>
            <family val="2"/>
          </rPr>
          <t>YELLOW</t>
        </r>
        <r>
          <rPr>
            <sz val="9"/>
            <color indexed="8"/>
            <rFont val="Arial"/>
            <family val="2"/>
          </rPr>
          <t xml:space="preserve">, </t>
        </r>
        <r>
          <rPr>
            <sz val="9"/>
            <color indexed="81"/>
            <rFont val="Arial"/>
            <family val="2"/>
          </rPr>
          <t xml:space="preserve">when pursuit indication is moderate, to </t>
        </r>
        <r>
          <rPr>
            <b/>
            <sz val="9"/>
            <color indexed="17"/>
            <rFont val="Arial"/>
            <family val="2"/>
          </rPr>
          <t>GREEN</t>
        </r>
        <r>
          <rPr>
            <sz val="9"/>
            <color indexed="17"/>
            <rFont val="Arial"/>
            <family val="2"/>
          </rPr>
          <t>,</t>
        </r>
        <r>
          <rPr>
            <sz val="9"/>
            <color indexed="81"/>
            <rFont val="Arial"/>
            <family val="2"/>
          </rPr>
          <t xml:space="preserve"> when Pwin is high and pursuit recommendation is strong.</t>
        </r>
      </text>
    </comment>
  </commentList>
</comments>
</file>

<file path=xl/sharedStrings.xml><?xml version="1.0" encoding="utf-8"?>
<sst xmlns="http://schemas.openxmlformats.org/spreadsheetml/2006/main" count="68" uniqueCount="67">
  <si>
    <t>Score</t>
  </si>
  <si>
    <t>Points</t>
  </si>
  <si>
    <t>Incumbency</t>
  </si>
  <si>
    <t>Experience</t>
  </si>
  <si>
    <t>Contract Risk</t>
  </si>
  <si>
    <t>Past Performance</t>
  </si>
  <si>
    <t>We are a strong incumbent or can team with a strong incumbent</t>
  </si>
  <si>
    <t>We are an incumbent</t>
  </si>
  <si>
    <t>There is no incumbent</t>
  </si>
  <si>
    <t>A competitor is a strong incumbent</t>
  </si>
  <si>
    <t>We have sold the same or similar product/service to this customer in the past</t>
  </si>
  <si>
    <t>We will be selling an existing product/service to a new customer</t>
  </si>
  <si>
    <t>We will be selling a new product/service to an existing customer</t>
  </si>
  <si>
    <t>We will be selling a new product/service to a new customer</t>
  </si>
  <si>
    <t>We provided outstanding services in an earlier phase leading to this procurement</t>
  </si>
  <si>
    <t>We provided services in an earlier phase with moderate success</t>
  </si>
  <si>
    <t>A competitor provided services in an earlier phase with moderate success</t>
  </si>
  <si>
    <t>A competitor provided service in an earlier phase with outstanding results</t>
  </si>
  <si>
    <t>Other</t>
  </si>
  <si>
    <t>Worksheet Instructions:</t>
  </si>
  <si>
    <t>Breakpoints</t>
  </si>
  <si>
    <t>Values</t>
  </si>
  <si>
    <t>Risk is high with very attractive rewards</t>
  </si>
  <si>
    <t>Risk is high with only moderate or poor rewards</t>
  </si>
  <si>
    <t>Risk is ordinary for our industry with no special considerations or liabilities</t>
  </si>
  <si>
    <t xml:space="preserve">Result  </t>
  </si>
  <si>
    <t>Wt. Inc.</t>
  </si>
  <si>
    <t>3.  Hover over table headings to view pop-up help.</t>
  </si>
  <si>
    <t>4.  Completed chart may be printed or saved.</t>
  </si>
  <si>
    <t>6.  Chart can be copied and pasted onto a PowerPoint slide.</t>
  </si>
  <si>
    <t>7.  Calculated scores appear in gray-shaded cells.</t>
  </si>
  <si>
    <t>Contract Size</t>
  </si>
  <si>
    <t>1.  Hover over column headings for pop-up help.</t>
  </si>
  <si>
    <t>5.  The Points column cannot be modified.</t>
  </si>
  <si>
    <t>6.  Change breakpoint values based on organizational aggressiveness. Lowering breakpoint values will encourage pursuit of less favorable opportunities.</t>
  </si>
  <si>
    <t>Contract size is beyond our capabilities but justified by strategic importance of contract</t>
  </si>
  <si>
    <t>Contract size is typical for our industry and organization</t>
  </si>
  <si>
    <t>Contract size will challenge our organization to deliver or impose delivery risk</t>
  </si>
  <si>
    <t>5.  Worksheet Instructions will not print on completed chart.</t>
  </si>
  <si>
    <r>
      <t>P</t>
    </r>
    <r>
      <rPr>
        <b/>
        <sz val="12"/>
        <color rgb="FF1F497D"/>
        <rFont val="Arial"/>
        <family val="2"/>
      </rPr>
      <t>win</t>
    </r>
    <r>
      <rPr>
        <b/>
        <sz val="20"/>
        <color rgb="FF1F497D"/>
        <rFont val="Arial"/>
        <family val="2"/>
      </rPr>
      <t xml:space="preserve"> Calculator</t>
    </r>
  </si>
  <si>
    <t>Win Factor</t>
  </si>
  <si>
    <t>Pwin Parameter Instructions:</t>
  </si>
  <si>
    <t>2.  Modify or enter win factors only in gray-shaded cells.</t>
  </si>
  <si>
    <t>3.  Modify factor ratings to match organizational criteria, with most favorable rating on top, least favorable on bottom.</t>
  </si>
  <si>
    <t>4.  If other factors are entered, four ratings must be defined for each, with most favorable rating on top, least favorable on bottom.</t>
  </si>
  <si>
    <t>Win Factors</t>
  </si>
  <si>
    <t>Win Factor Ratings (Modify to Meet Organizational Criteria)</t>
  </si>
  <si>
    <t>1.  Enter information and view result in the Pwin Calculator on this worksheet.</t>
  </si>
  <si>
    <t>2.  Customize the tool for your organization's pipeline management preferences on the Pwin Parameters worksheet.</t>
  </si>
  <si>
    <t>Risk is moderate because of special considerations or liabilities</t>
  </si>
  <si>
    <t>Contract size is larger than our typical contract but within our capabilities</t>
  </si>
  <si>
    <t>A rating that increases the pursuit indication moderately</t>
  </si>
  <si>
    <t>A rating that increases the pursuit indication the most</t>
  </si>
  <si>
    <t>A rating that decreases the pursuit indication</t>
  </si>
  <si>
    <t>A rating that makes pursuit unwise</t>
  </si>
  <si>
    <t>Competitor Rating</t>
  </si>
  <si>
    <t>Compared to our competitors, the customer rates us as among the best or the best</t>
  </si>
  <si>
    <t>Compared to our competitors, the customer rates us as average</t>
  </si>
  <si>
    <t>Compared to our competitors, the customer rates us as lower than average</t>
  </si>
  <si>
    <t>Our customers know our competitors but don't know us</t>
  </si>
  <si>
    <t>Win Factor Rating (Select one from drop-down list)</t>
  </si>
  <si>
    <r>
      <rPr>
        <b/>
        <sz val="9"/>
        <color rgb="FF339966"/>
        <rFont val="Arial"/>
        <family val="2"/>
      </rPr>
      <t>Key:  4 = Strong Pwin</t>
    </r>
    <r>
      <rPr>
        <b/>
        <sz val="9"/>
        <color rgb="FF1F497D"/>
        <rFont val="Arial"/>
        <family val="2"/>
      </rPr>
      <t xml:space="preserve">    </t>
    </r>
    <r>
      <rPr>
        <b/>
        <sz val="9"/>
        <color theme="6"/>
        <rFont val="Arial"/>
        <family val="2"/>
      </rPr>
      <t xml:space="preserve">3 = Moderate Pwin  </t>
    </r>
    <r>
      <rPr>
        <b/>
        <sz val="9"/>
        <color rgb="FF1F497D"/>
        <rFont val="Arial"/>
        <family val="2"/>
      </rPr>
      <t xml:space="preserve">  </t>
    </r>
    <r>
      <rPr>
        <b/>
        <sz val="9"/>
        <color rgb="FFFFFF00"/>
        <rFont val="Arial"/>
        <family val="2"/>
      </rPr>
      <t xml:space="preserve">2 = Moderate Avoidance  </t>
    </r>
    <r>
      <rPr>
        <b/>
        <sz val="9"/>
        <color rgb="FF1F497D"/>
        <rFont val="Arial"/>
        <family val="2"/>
      </rPr>
      <t xml:space="preserve">  </t>
    </r>
    <r>
      <rPr>
        <b/>
        <sz val="9"/>
        <color rgb="FFFF0000"/>
        <rFont val="Arial"/>
        <family val="2"/>
      </rPr>
      <t>1 = Strong Avoidance</t>
    </r>
  </si>
  <si>
    <r>
      <rPr>
        <b/>
        <sz val="11"/>
        <rFont val="Arial"/>
        <family val="2"/>
      </rPr>
      <t xml:space="preserve">NOTICE: </t>
    </r>
    <r>
      <rPr>
        <b/>
        <sz val="9"/>
        <rFont val="Arial"/>
        <family val="2"/>
      </rPr>
      <t xml:space="preserve"> </t>
    </r>
    <r>
      <rPr>
        <sz val="9"/>
        <rFont val="Arial"/>
        <family val="2"/>
      </rPr>
      <t xml:space="preserve">This Pwin Calculator is intended solely as an aid in evaluating the advisability of pursuing business opportunities and should be used in conjunction with other means of research and analysis. </t>
    </r>
  </si>
  <si>
    <r>
      <t xml:space="preserve">8.  Strong Pwin indication will shade Result cell </t>
    </r>
    <r>
      <rPr>
        <b/>
        <sz val="9"/>
        <color rgb="FF339966"/>
        <rFont val="Arial"/>
        <family val="2"/>
      </rPr>
      <t>GREEN</t>
    </r>
    <r>
      <rPr>
        <sz val="9"/>
        <rFont val="Arial"/>
        <family val="2"/>
      </rPr>
      <t xml:space="preserve">. Moderate indication will show </t>
    </r>
    <r>
      <rPr>
        <b/>
        <sz val="9"/>
        <color rgb="FFFFCC00"/>
        <rFont val="Arial"/>
        <family val="2"/>
      </rPr>
      <t>YELLOW</t>
    </r>
    <r>
      <rPr>
        <sz val="9"/>
        <rFont val="Arial"/>
        <family val="2"/>
      </rPr>
      <t xml:space="preserve">, recommended abandonment </t>
    </r>
    <r>
      <rPr>
        <b/>
        <sz val="9"/>
        <color rgb="FFFF0000"/>
        <rFont val="Arial"/>
        <family val="2"/>
      </rPr>
      <t>RED</t>
    </r>
    <r>
      <rPr>
        <sz val="9"/>
        <color rgb="FFFF0000"/>
        <rFont val="Arial"/>
        <family val="2"/>
      </rPr>
      <t>.</t>
    </r>
  </si>
  <si>
    <t xml:space="preserve">Probability Parameters:       </t>
  </si>
  <si>
    <t xml:space="preserve">Opportunity: </t>
  </si>
  <si>
    <t xml:space="preserve">Anticipated Value: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</si>
</sst>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quot;&quot;"/>
    <numFmt numFmtId="165" formatCode="0;;"/>
    <numFmt numFmtId="166" formatCode="#,##0.00;;"/>
    <numFmt numFmtId="167" formatCode="#,##0.00;\-#,##0.00;"/>
  </numFmts>
  <fonts count="38" x14ac:knownFonts="1">
    <font>
      <sz val="10"/>
      <name val="Arial"/>
    </font>
    <font>
      <b/>
      <sz val="10"/>
      <name val="Arial"/>
      <family val="2"/>
    </font>
    <font>
      <sz val="10"/>
      <name val="Arial"/>
      <family val="2"/>
    </font>
    <font>
      <b/>
      <sz val="20"/>
      <color indexed="47"/>
      <name val="Arial"/>
      <family val="2"/>
    </font>
    <font>
      <b/>
      <sz val="9"/>
      <color indexed="81"/>
      <name val="Arial"/>
      <family val="2"/>
    </font>
    <font>
      <sz val="9"/>
      <color indexed="81"/>
      <name val="Arial"/>
      <family val="2"/>
    </font>
    <font>
      <b/>
      <sz val="20"/>
      <color rgb="FF283756"/>
      <name val="Arial"/>
      <family val="2"/>
    </font>
    <font>
      <b/>
      <sz val="20"/>
      <color theme="3"/>
      <name val="Arial"/>
      <family val="2"/>
    </font>
    <font>
      <b/>
      <sz val="9"/>
      <color theme="3"/>
      <name val="Arial"/>
      <family val="2"/>
    </font>
    <font>
      <b/>
      <sz val="9"/>
      <color rgb="FF283756"/>
      <name val="Arial"/>
      <family val="2"/>
    </font>
    <font>
      <sz val="9"/>
      <name val="Arial"/>
      <family val="2"/>
    </font>
    <font>
      <b/>
      <sz val="9"/>
      <color indexed="47"/>
      <name val="Arial"/>
      <family val="2"/>
    </font>
    <font>
      <sz val="9"/>
      <color indexed="10"/>
      <name val="Arial"/>
      <family val="2"/>
    </font>
    <font>
      <b/>
      <sz val="9"/>
      <color indexed="9"/>
      <name val="Arial"/>
      <family val="2"/>
    </font>
    <font>
      <b/>
      <sz val="9"/>
      <name val="Arial"/>
      <family val="2"/>
    </font>
    <font>
      <b/>
      <sz val="9"/>
      <color indexed="10"/>
      <name val="Arial"/>
      <family val="2"/>
    </font>
    <font>
      <b/>
      <sz val="9"/>
      <color indexed="8"/>
      <name val="Arial"/>
      <family val="2"/>
    </font>
    <font>
      <b/>
      <sz val="9"/>
      <color theme="0"/>
      <name val="Arial"/>
      <family val="2"/>
    </font>
    <font>
      <b/>
      <sz val="9"/>
      <color rgb="FFFF0000"/>
      <name val="Arial"/>
      <family val="2"/>
    </font>
    <font>
      <sz val="9"/>
      <color rgb="FFFF0000"/>
      <name val="Arial"/>
      <family val="2"/>
    </font>
    <font>
      <b/>
      <sz val="9"/>
      <color rgb="FFFFCC00"/>
      <name val="Arial"/>
      <family val="2"/>
    </font>
    <font>
      <b/>
      <sz val="9"/>
      <color indexed="17"/>
      <name val="Arial"/>
      <family val="2"/>
    </font>
    <font>
      <sz val="9"/>
      <color indexed="17"/>
      <name val="Arial"/>
      <family val="2"/>
    </font>
    <font>
      <b/>
      <sz val="9"/>
      <color indexed="51"/>
      <name val="Arial"/>
      <family val="2"/>
    </font>
    <font>
      <sz val="9"/>
      <color indexed="8"/>
      <name val="Arial"/>
      <family val="2"/>
    </font>
    <font>
      <b/>
      <sz val="20"/>
      <color theme="3" tint="-0.499984740745262"/>
      <name val="Arial"/>
      <family val="2"/>
    </font>
    <font>
      <b/>
      <sz val="20"/>
      <color rgb="FF1F497D"/>
      <name val="Arial"/>
      <family val="2"/>
    </font>
    <font>
      <b/>
      <sz val="12"/>
      <color rgb="FF1F497D"/>
      <name val="Arial"/>
      <family val="2"/>
    </font>
    <font>
      <b/>
      <sz val="12"/>
      <color theme="0"/>
      <name val="Arial"/>
      <family val="2"/>
    </font>
    <font>
      <b/>
      <sz val="9"/>
      <color rgb="FF1F497D"/>
      <name val="Arial"/>
      <family val="2"/>
    </font>
    <font>
      <i/>
      <sz val="9"/>
      <color indexed="81"/>
      <name val="Arial"/>
      <family val="2"/>
    </font>
    <font>
      <b/>
      <sz val="10"/>
      <color rgb="FF006600"/>
      <name val="Arial"/>
      <family val="2"/>
    </font>
    <font>
      <sz val="10"/>
      <color rgb="FF006600"/>
      <name val="Arial"/>
      <family val="2"/>
    </font>
    <font>
      <sz val="9"/>
      <color rgb="FF006600"/>
      <name val="Arial"/>
      <family val="2"/>
    </font>
    <font>
      <b/>
      <sz val="9"/>
      <color rgb="FF339966"/>
      <name val="Arial"/>
      <family val="2"/>
    </font>
    <font>
      <b/>
      <sz val="9"/>
      <color rgb="FFFFFF00"/>
      <name val="Arial"/>
      <family val="2"/>
    </font>
    <font>
      <b/>
      <sz val="9"/>
      <color theme="6"/>
      <name val="Arial"/>
      <family val="2"/>
    </font>
    <font>
      <b/>
      <sz val="11"/>
      <name val="Arial"/>
      <family val="2"/>
    </font>
  </fonts>
  <fills count="5">
    <fill>
      <patternFill patternType="none"/>
    </fill>
    <fill>
      <patternFill patternType="gray125"/>
    </fill>
    <fill>
      <patternFill patternType="solid">
        <fgColor rgb="FFBFC0C5"/>
        <bgColor indexed="64"/>
      </patternFill>
    </fill>
    <fill>
      <patternFill patternType="solid">
        <fgColor rgb="FF008000"/>
        <bgColor indexed="64"/>
      </patternFill>
    </fill>
    <fill>
      <patternFill patternType="solid">
        <fgColor rgb="FF339966"/>
        <bgColor indexed="64"/>
      </patternFill>
    </fill>
  </fills>
  <borders count="19">
    <border>
      <left/>
      <right/>
      <top/>
      <bottom/>
      <diagonal/>
    </border>
    <border>
      <left style="thin">
        <color rgb="FFBFC0C5"/>
      </left>
      <right style="thin">
        <color rgb="FFBFC0C5"/>
      </right>
      <top style="thin">
        <color rgb="FFBFC0C5"/>
      </top>
      <bottom style="thin">
        <color rgb="FFBFC0C5"/>
      </bottom>
      <diagonal/>
    </border>
    <border>
      <left style="thin">
        <color rgb="FFBFC0C5"/>
      </left>
      <right style="thin">
        <color rgb="FFBFC0C5"/>
      </right>
      <top/>
      <bottom style="thin">
        <color rgb="FFBFC0C5"/>
      </bottom>
      <diagonal/>
    </border>
    <border>
      <left style="thin">
        <color rgb="FFBFC0C5"/>
      </left>
      <right style="thin">
        <color rgb="FFBFC0C5"/>
      </right>
      <top style="thin">
        <color rgb="FFBFC0C5"/>
      </top>
      <bottom style="thin">
        <color rgb="FF4D6BA6"/>
      </bottom>
      <diagonal/>
    </border>
    <border>
      <left style="thin">
        <color rgb="FFBFC0C5"/>
      </left>
      <right style="thin">
        <color rgb="FFBFC0C5"/>
      </right>
      <top style="thin">
        <color rgb="FF4D6BA6"/>
      </top>
      <bottom style="thin">
        <color rgb="FF4D6BA6"/>
      </bottom>
      <diagonal/>
    </border>
    <border>
      <left style="thin">
        <color rgb="FFBFC0C5"/>
      </left>
      <right style="thin">
        <color rgb="FF4D6BA6"/>
      </right>
      <top style="thin">
        <color rgb="FF4D6BA6"/>
      </top>
      <bottom style="thin">
        <color rgb="FF4D6BA6"/>
      </bottom>
      <diagonal/>
    </border>
    <border>
      <left style="thin">
        <color rgb="FF4D6BA6"/>
      </left>
      <right style="thin">
        <color rgb="FFBFC0C5"/>
      </right>
      <top style="thin">
        <color rgb="FF4D6BA6"/>
      </top>
      <bottom style="thin">
        <color rgb="FF4D6BA6"/>
      </bottom>
      <diagonal/>
    </border>
    <border>
      <left style="thin">
        <color rgb="FFBFC0C5"/>
      </left>
      <right style="thin">
        <color rgb="FFBFC0C5"/>
      </right>
      <top style="thin">
        <color rgb="FFBFC0C5"/>
      </top>
      <bottom/>
      <diagonal/>
    </border>
    <border>
      <left style="thin">
        <color rgb="FFBFC0C5"/>
      </left>
      <right/>
      <top style="thin">
        <color rgb="FFBFC0C5"/>
      </top>
      <bottom style="thin">
        <color rgb="FFBFC0C5"/>
      </bottom>
      <diagonal/>
    </border>
    <border>
      <left/>
      <right style="thin">
        <color rgb="FFBFC0C5"/>
      </right>
      <top style="thin">
        <color rgb="FFBFC0C5"/>
      </top>
      <bottom style="thin">
        <color rgb="FFBFC0C5"/>
      </bottom>
      <diagonal/>
    </border>
    <border>
      <left/>
      <right/>
      <top style="thin">
        <color rgb="FFBFC0C5"/>
      </top>
      <bottom style="thin">
        <color rgb="FFBFC0C5"/>
      </bottom>
      <diagonal/>
    </border>
    <border>
      <left/>
      <right style="thin">
        <color rgb="FFBFC0C5"/>
      </right>
      <top/>
      <bottom/>
      <diagonal/>
    </border>
    <border>
      <left style="thin">
        <color rgb="FFBFC0C5"/>
      </left>
      <right style="thin">
        <color rgb="FFBFC0C5"/>
      </right>
      <top/>
      <bottom/>
      <diagonal/>
    </border>
    <border>
      <left style="thin">
        <color rgb="FFBFC0C5"/>
      </left>
      <right/>
      <top/>
      <bottom/>
      <diagonal/>
    </border>
    <border>
      <left/>
      <right/>
      <top/>
      <bottom style="thin">
        <color rgb="FFBFC0C5"/>
      </bottom>
      <diagonal/>
    </border>
    <border>
      <left style="thin">
        <color rgb="FFBFC0C5"/>
      </left>
      <right/>
      <top style="thin">
        <color rgb="FFBFC0C5"/>
      </top>
      <bottom style="thin">
        <color rgb="FF4D6BA6"/>
      </bottom>
      <diagonal/>
    </border>
    <border>
      <left/>
      <right/>
      <top style="thin">
        <color rgb="FFBFC0C5"/>
      </top>
      <bottom style="thin">
        <color rgb="FF4D6BA6"/>
      </bottom>
      <diagonal/>
    </border>
    <border>
      <left/>
      <right style="thin">
        <color rgb="FFBFC0C5"/>
      </right>
      <top style="thin">
        <color rgb="FFBFC0C5"/>
      </top>
      <bottom style="thin">
        <color rgb="FF4D6BA6"/>
      </bottom>
      <diagonal/>
    </border>
    <border>
      <left/>
      <right/>
      <top style="thin">
        <color rgb="FFBFC0C5"/>
      </top>
      <bottom/>
      <diagonal/>
    </border>
  </borders>
  <cellStyleXfs count="1">
    <xf numFmtId="0" fontId="0" fillId="0" borderId="0"/>
  </cellStyleXfs>
  <cellXfs count="106">
    <xf numFmtId="0" fontId="0" fillId="0" borderId="0" xfId="0"/>
    <xf numFmtId="0" fontId="0" fillId="0" borderId="0" xfId="0" applyProtection="1"/>
    <xf numFmtId="0" fontId="1" fillId="0" borderId="0" xfId="0" applyFont="1" applyProtection="1"/>
    <xf numFmtId="0" fontId="0" fillId="0" borderId="0" xfId="0" applyFill="1" applyAlignment="1" applyProtection="1">
      <alignment horizontal="center"/>
    </xf>
    <xf numFmtId="0" fontId="10" fillId="0" borderId="0" xfId="0" applyFont="1" applyProtection="1"/>
    <xf numFmtId="0" fontId="10" fillId="0" borderId="0" xfId="0" applyFont="1" applyFill="1" applyAlignment="1" applyProtection="1">
      <alignment horizontal="center"/>
    </xf>
    <xf numFmtId="0" fontId="10" fillId="0" borderId="0" xfId="0" applyFont="1" applyFill="1" applyBorder="1" applyAlignment="1" applyProtection="1">
      <alignment horizontal="center"/>
    </xf>
    <xf numFmtId="0" fontId="14" fillId="0" borderId="0" xfId="0" applyFont="1" applyAlignment="1" applyProtection="1">
      <alignment horizontal="center" vertical="center"/>
    </xf>
    <xf numFmtId="0" fontId="15" fillId="0" borderId="0" xfId="0" applyFont="1" applyAlignment="1" applyProtection="1">
      <alignment horizontal="left" indent="2"/>
    </xf>
    <xf numFmtId="0" fontId="12" fillId="0" borderId="0" xfId="0" applyFont="1" applyProtection="1"/>
    <xf numFmtId="0" fontId="14" fillId="0" borderId="0" xfId="0" applyFont="1" applyProtection="1"/>
    <xf numFmtId="0" fontId="12" fillId="0" borderId="0" xfId="0" applyFont="1" applyAlignment="1" applyProtection="1">
      <alignment horizontal="left" indent="2"/>
    </xf>
    <xf numFmtId="0" fontId="10" fillId="0" borderId="0" xfId="0" applyFont="1" applyFill="1" applyProtection="1"/>
    <xf numFmtId="0" fontId="14" fillId="0" borderId="0" xfId="0" applyFont="1" applyFill="1" applyProtection="1"/>
    <xf numFmtId="0" fontId="8" fillId="0" borderId="1" xfId="0" applyFont="1" applyFill="1" applyBorder="1" applyAlignment="1" applyProtection="1">
      <alignment horizontal="left" vertical="center"/>
    </xf>
    <xf numFmtId="0" fontId="10" fillId="0" borderId="1" xfId="0" applyNumberFormat="1" applyFont="1" applyFill="1" applyBorder="1" applyAlignment="1" applyProtection="1">
      <alignment horizontal="center" vertical="center"/>
      <protection locked="0"/>
    </xf>
    <xf numFmtId="0" fontId="10" fillId="0" borderId="1" xfId="0" applyNumberFormat="1" applyFont="1" applyFill="1" applyBorder="1" applyAlignment="1" applyProtection="1">
      <alignment horizontal="left" vertical="center"/>
      <protection locked="0"/>
    </xf>
    <xf numFmtId="0" fontId="8" fillId="0" borderId="3" xfId="0" applyFont="1" applyFill="1" applyBorder="1" applyAlignment="1" applyProtection="1">
      <alignment horizontal="left" vertical="center"/>
    </xf>
    <xf numFmtId="0" fontId="10" fillId="0" borderId="0" xfId="0" applyFont="1" applyBorder="1" applyProtection="1"/>
    <xf numFmtId="1" fontId="10" fillId="0" borderId="0" xfId="0" applyNumberFormat="1" applyFont="1" applyFill="1" applyAlignment="1" applyProtection="1">
      <alignment horizontal="center"/>
    </xf>
    <xf numFmtId="1" fontId="10" fillId="0" borderId="0" xfId="0" applyNumberFormat="1" applyFont="1" applyFill="1" applyBorder="1" applyAlignment="1" applyProtection="1">
      <alignment horizontal="center" vertical="center"/>
    </xf>
    <xf numFmtId="1" fontId="10" fillId="0" borderId="0" xfId="0" applyNumberFormat="1" applyFont="1" applyFill="1" applyBorder="1" applyAlignment="1" applyProtection="1">
      <alignment horizontal="center"/>
    </xf>
    <xf numFmtId="0" fontId="19" fillId="0" borderId="0" xfId="0" applyFont="1" applyFill="1" applyAlignment="1" applyProtection="1">
      <alignment horizontal="center"/>
    </xf>
    <xf numFmtId="1" fontId="19" fillId="0" borderId="0" xfId="0" applyNumberFormat="1" applyFont="1" applyFill="1" applyBorder="1" applyAlignment="1" applyProtection="1">
      <alignment horizontal="center"/>
    </xf>
    <xf numFmtId="0" fontId="19" fillId="0" borderId="0" xfId="0" applyFont="1" applyFill="1" applyBorder="1" applyAlignment="1" applyProtection="1">
      <alignment horizontal="center"/>
    </xf>
    <xf numFmtId="0" fontId="19" fillId="0" borderId="0" xfId="0" applyFont="1" applyBorder="1" applyProtection="1"/>
    <xf numFmtId="0" fontId="19" fillId="0" borderId="0" xfId="0" applyFont="1" applyProtection="1"/>
    <xf numFmtId="0" fontId="7" fillId="0" borderId="0" xfId="0" applyFont="1" applyFill="1" applyBorder="1" applyAlignment="1" applyProtection="1">
      <alignment horizontal="left" vertical="center" indent="2"/>
    </xf>
    <xf numFmtId="166" fontId="10" fillId="0" borderId="0" xfId="0" applyNumberFormat="1" applyFont="1" applyFill="1" applyBorder="1" applyAlignment="1" applyProtection="1">
      <alignment horizontal="center" vertical="center"/>
    </xf>
    <xf numFmtId="164" fontId="14" fillId="0" borderId="0" xfId="0" applyNumberFormat="1" applyFont="1" applyFill="1" applyBorder="1" applyAlignment="1" applyProtection="1">
      <alignment horizontal="center" vertical="center"/>
    </xf>
    <xf numFmtId="0" fontId="25" fillId="0" borderId="18" xfId="0" applyFont="1" applyFill="1" applyBorder="1" applyAlignment="1" applyProtection="1">
      <alignment horizontal="right" vertical="center" indent="1"/>
    </xf>
    <xf numFmtId="0" fontId="1" fillId="0" borderId="18" xfId="0" applyFont="1" applyBorder="1" applyAlignment="1" applyProtection="1">
      <alignment horizontal="right"/>
    </xf>
    <xf numFmtId="0" fontId="27" fillId="0" borderId="7" xfId="0" applyFont="1" applyFill="1" applyBorder="1" applyAlignment="1" applyProtection="1">
      <alignment horizontal="right" vertical="center"/>
    </xf>
    <xf numFmtId="167" fontId="10" fillId="0" borderId="2" xfId="0" applyNumberFormat="1" applyFont="1" applyFill="1" applyBorder="1" applyAlignment="1" applyProtection="1">
      <alignment horizontal="center" vertical="center"/>
    </xf>
    <xf numFmtId="0" fontId="0" fillId="0" borderId="0" xfId="0" applyFill="1" applyProtection="1"/>
    <xf numFmtId="0" fontId="2" fillId="0" borderId="0" xfId="0" applyFont="1" applyProtection="1"/>
    <xf numFmtId="0" fontId="1" fillId="0" borderId="0" xfId="0" applyFont="1" applyFill="1" applyProtection="1"/>
    <xf numFmtId="0" fontId="12" fillId="0" borderId="0" xfId="0" applyFont="1" applyAlignment="1" applyProtection="1">
      <alignment horizontal="left"/>
    </xf>
    <xf numFmtId="164" fontId="28" fillId="0" borderId="1" xfId="0" applyNumberFormat="1" applyFont="1" applyFill="1" applyBorder="1" applyAlignment="1" applyProtection="1">
      <alignment horizontal="center" vertical="center"/>
    </xf>
    <xf numFmtId="165" fontId="10" fillId="0" borderId="2" xfId="0" applyNumberFormat="1" applyFont="1" applyFill="1" applyBorder="1" applyAlignment="1" applyProtection="1">
      <alignment horizontal="center" vertical="center"/>
    </xf>
    <xf numFmtId="0" fontId="10" fillId="0" borderId="0" xfId="0" applyFont="1" applyProtection="1">
      <protection locked="0"/>
    </xf>
    <xf numFmtId="0" fontId="3" fillId="0" borderId="0" xfId="0" applyFont="1" applyFill="1" applyBorder="1" applyAlignment="1" applyProtection="1">
      <alignment horizontal="left" vertical="center"/>
    </xf>
    <xf numFmtId="0" fontId="11" fillId="0" borderId="0" xfId="0" applyFont="1" applyFill="1" applyBorder="1" applyAlignment="1" applyProtection="1">
      <alignment horizontal="left" vertical="center"/>
    </xf>
    <xf numFmtId="0" fontId="17" fillId="0" borderId="0" xfId="0" applyFont="1" applyFill="1" applyProtection="1"/>
    <xf numFmtId="0" fontId="0" fillId="0" borderId="0" xfId="0" applyFill="1" applyProtection="1"/>
    <xf numFmtId="0" fontId="0" fillId="0" borderId="0" xfId="0" applyFill="1" applyAlignment="1" applyProtection="1">
      <alignment horizontal="center" wrapText="1"/>
    </xf>
    <xf numFmtId="1" fontId="10" fillId="0" borderId="0" xfId="0" applyNumberFormat="1" applyFont="1" applyFill="1" applyAlignment="1" applyProtection="1">
      <alignment horizontal="center" wrapText="1"/>
    </xf>
    <xf numFmtId="0" fontId="0" fillId="0" borderId="0" xfId="0" applyAlignment="1" applyProtection="1">
      <alignment wrapText="1"/>
    </xf>
    <xf numFmtId="0" fontId="2" fillId="0" borderId="0" xfId="0" applyFont="1" applyFill="1" applyAlignment="1" applyProtection="1">
      <alignment horizontal="center" wrapText="1"/>
    </xf>
    <xf numFmtId="0" fontId="2" fillId="0" borderId="0" xfId="0" applyFont="1" applyFill="1" applyAlignment="1" applyProtection="1">
      <alignment horizontal="center"/>
    </xf>
    <xf numFmtId="0" fontId="2" fillId="0" borderId="0" xfId="0" applyFont="1" applyBorder="1" applyProtection="1"/>
    <xf numFmtId="0" fontId="2" fillId="0" borderId="0" xfId="0" applyFont="1" applyFill="1" applyAlignment="1" applyProtection="1">
      <alignment horizontal="left"/>
    </xf>
    <xf numFmtId="0" fontId="2" fillId="0" borderId="0" xfId="0" applyFont="1" applyFill="1" applyProtection="1"/>
    <xf numFmtId="0" fontId="10" fillId="0" borderId="0" xfId="0" applyFont="1" applyFill="1" applyAlignment="1" applyProtection="1">
      <alignment horizontal="left"/>
      <protection locked="0"/>
    </xf>
    <xf numFmtId="0" fontId="10" fillId="0" borderId="0" xfId="0" applyFont="1" applyFill="1" applyAlignment="1" applyProtection="1">
      <alignment horizontal="left"/>
    </xf>
    <xf numFmtId="0" fontId="18" fillId="0" borderId="0" xfId="0" applyFont="1" applyFill="1" applyProtection="1"/>
    <xf numFmtId="0" fontId="17" fillId="3" borderId="11" xfId="0" applyFont="1" applyFill="1" applyBorder="1" applyAlignment="1" applyProtection="1">
      <alignment horizontal="center" vertical="center"/>
    </xf>
    <xf numFmtId="0" fontId="17" fillId="3" borderId="12" xfId="0" applyFont="1" applyFill="1" applyBorder="1" applyAlignment="1" applyProtection="1">
      <alignment horizontal="center" vertical="center"/>
    </xf>
    <xf numFmtId="1" fontId="17" fillId="3" borderId="12" xfId="0" applyNumberFormat="1" applyFont="1" applyFill="1" applyBorder="1" applyAlignment="1" applyProtection="1">
      <alignment horizontal="center"/>
    </xf>
    <xf numFmtId="1" fontId="17" fillId="3" borderId="13" xfId="0" applyNumberFormat="1" applyFont="1" applyFill="1" applyBorder="1" applyAlignment="1" applyProtection="1">
      <alignment horizontal="center"/>
    </xf>
    <xf numFmtId="0" fontId="0" fillId="3" borderId="0" xfId="0" applyFill="1"/>
    <xf numFmtId="0" fontId="32" fillId="0" borderId="0" xfId="0" applyFont="1"/>
    <xf numFmtId="0" fontId="19" fillId="0" borderId="0" xfId="0" applyFont="1" applyFill="1" applyProtection="1"/>
    <xf numFmtId="0" fontId="18" fillId="2" borderId="0" xfId="0" applyFont="1" applyFill="1" applyProtection="1">
      <protection locked="0"/>
    </xf>
    <xf numFmtId="1" fontId="18" fillId="2" borderId="0" xfId="0" applyNumberFormat="1" applyFont="1" applyFill="1" applyAlignment="1" applyProtection="1">
      <alignment horizontal="left"/>
      <protection locked="0"/>
    </xf>
    <xf numFmtId="0" fontId="13" fillId="4" borderId="6" xfId="0" applyFont="1" applyFill="1" applyBorder="1" applyAlignment="1" applyProtection="1">
      <alignment horizontal="center" vertical="center"/>
    </xf>
    <xf numFmtId="0" fontId="13" fillId="4" borderId="4" xfId="0" applyFont="1" applyFill="1" applyBorder="1" applyAlignment="1" applyProtection="1">
      <alignment horizontal="center" vertical="center"/>
    </xf>
    <xf numFmtId="0" fontId="13" fillId="4" borderId="5" xfId="0" applyFont="1" applyFill="1" applyBorder="1" applyAlignment="1" applyProtection="1">
      <alignment horizontal="center" vertical="center"/>
    </xf>
    <xf numFmtId="0" fontId="13" fillId="4" borderId="0" xfId="0" applyFont="1" applyFill="1" applyBorder="1" applyAlignment="1" applyProtection="1">
      <alignment horizontal="center" vertical="center"/>
    </xf>
    <xf numFmtId="0" fontId="10" fillId="4" borderId="0" xfId="0" applyFont="1" applyFill="1" applyProtection="1"/>
    <xf numFmtId="1" fontId="10" fillId="4" borderId="0" xfId="0" applyNumberFormat="1" applyFont="1" applyFill="1" applyBorder="1" applyAlignment="1" applyProtection="1">
      <alignment horizontal="center" vertical="center"/>
    </xf>
    <xf numFmtId="0" fontId="2" fillId="4" borderId="0" xfId="0" applyFont="1" applyFill="1" applyProtection="1"/>
    <xf numFmtId="0" fontId="1" fillId="4" borderId="0" xfId="0" applyFont="1" applyFill="1" applyAlignment="1" applyProtection="1">
      <alignment horizontal="center" vertical="center"/>
    </xf>
    <xf numFmtId="0" fontId="10" fillId="4" borderId="0" xfId="0" applyFont="1" applyFill="1" applyAlignment="1" applyProtection="1">
      <alignment horizontal="center"/>
    </xf>
    <xf numFmtId="0" fontId="10" fillId="0" borderId="0" xfId="0" applyFont="1" applyBorder="1" applyAlignment="1" applyProtection="1">
      <alignment horizontal="left" vertical="top" wrapText="1"/>
    </xf>
    <xf numFmtId="0" fontId="10" fillId="0" borderId="0" xfId="0" applyFont="1" applyAlignment="1" applyProtection="1">
      <alignment horizontal="left"/>
    </xf>
    <xf numFmtId="0" fontId="19" fillId="0" borderId="1" xfId="0" applyNumberFormat="1" applyFont="1" applyFill="1" applyBorder="1" applyAlignment="1" applyProtection="1">
      <alignment horizontal="left" vertical="center" wrapText="1"/>
    </xf>
    <xf numFmtId="1" fontId="19" fillId="0" borderId="1" xfId="0" applyNumberFormat="1" applyFont="1" applyFill="1" applyBorder="1" applyAlignment="1" applyProtection="1">
      <alignment horizontal="left" vertical="center" wrapText="1"/>
    </xf>
    <xf numFmtId="0" fontId="19" fillId="0" borderId="0" xfId="0" applyFont="1" applyFill="1" applyAlignment="1" applyProtection="1">
      <alignment horizontal="left"/>
    </xf>
    <xf numFmtId="0" fontId="26" fillId="0" borderId="0" xfId="0" applyFont="1" applyFill="1" applyBorder="1" applyAlignment="1" applyProtection="1">
      <alignment horizontal="left" vertical="center"/>
    </xf>
    <xf numFmtId="0" fontId="31" fillId="0" borderId="0" xfId="0" applyFont="1" applyProtection="1"/>
    <xf numFmtId="0" fontId="33" fillId="0" borderId="0" xfId="0" applyFont="1" applyFill="1" applyBorder="1" applyAlignment="1" applyProtection="1">
      <alignment horizontal="left" vertical="center"/>
    </xf>
    <xf numFmtId="0" fontId="33" fillId="0" borderId="0" xfId="0" applyFont="1" applyFill="1" applyAlignment="1" applyProtection="1">
      <alignment horizontal="left"/>
    </xf>
    <xf numFmtId="0" fontId="32" fillId="0" borderId="0" xfId="0" applyFont="1" applyProtection="1"/>
    <xf numFmtId="0" fontId="33" fillId="0" borderId="0" xfId="0" applyFont="1" applyAlignment="1" applyProtection="1">
      <alignment horizontal="left"/>
    </xf>
    <xf numFmtId="0" fontId="9" fillId="0" borderId="8" xfId="0" applyFont="1" applyFill="1" applyBorder="1" applyAlignment="1" applyProtection="1">
      <alignment horizontal="left" vertical="center"/>
      <protection locked="0"/>
    </xf>
    <xf numFmtId="0" fontId="9" fillId="0" borderId="10" xfId="0" applyFont="1" applyFill="1" applyBorder="1" applyAlignment="1" applyProtection="1">
      <alignment horizontal="left" vertical="center"/>
      <protection locked="0"/>
    </xf>
    <xf numFmtId="0" fontId="9" fillId="0" borderId="9" xfId="0" applyFont="1" applyFill="1" applyBorder="1" applyAlignment="1" applyProtection="1">
      <alignment horizontal="left" vertical="center"/>
      <protection locked="0"/>
    </xf>
    <xf numFmtId="0" fontId="9" fillId="0" borderId="15" xfId="0" applyFont="1" applyFill="1" applyBorder="1" applyAlignment="1" applyProtection="1">
      <alignment horizontal="left" vertical="center"/>
      <protection locked="0"/>
    </xf>
    <xf numFmtId="0" fontId="9" fillId="0" borderId="16" xfId="0" applyFont="1" applyFill="1" applyBorder="1" applyAlignment="1" applyProtection="1">
      <alignment horizontal="left" vertical="center"/>
      <protection locked="0"/>
    </xf>
    <xf numFmtId="0" fontId="9" fillId="0" borderId="17" xfId="0" applyFont="1" applyFill="1" applyBorder="1" applyAlignment="1" applyProtection="1">
      <alignment horizontal="left" vertical="center"/>
      <protection locked="0"/>
    </xf>
    <xf numFmtId="0" fontId="29" fillId="0" borderId="0" xfId="0" applyFont="1" applyBorder="1" applyAlignment="1" applyProtection="1">
      <alignment horizontal="center"/>
    </xf>
    <xf numFmtId="0" fontId="10" fillId="0" borderId="0" xfId="0" applyFont="1" applyBorder="1" applyAlignment="1" applyProtection="1">
      <alignment horizontal="left" vertical="top" wrapText="1"/>
    </xf>
    <xf numFmtId="0" fontId="10" fillId="0" borderId="0" xfId="0" applyFont="1" applyBorder="1" applyAlignment="1" applyProtection="1">
      <alignment horizontal="left"/>
    </xf>
    <xf numFmtId="0" fontId="14" fillId="0" borderId="0" xfId="0" applyFont="1" applyBorder="1" applyAlignment="1" applyProtection="1">
      <alignment horizontal="left"/>
    </xf>
    <xf numFmtId="0" fontId="14" fillId="0" borderId="0" xfId="0" applyFont="1" applyAlignment="1" applyProtection="1">
      <alignment horizontal="left"/>
    </xf>
    <xf numFmtId="0" fontId="12" fillId="0" borderId="0" xfId="0" applyFont="1" applyBorder="1" applyAlignment="1" applyProtection="1">
      <alignment horizontal="left"/>
    </xf>
    <xf numFmtId="0" fontId="12" fillId="0" borderId="0" xfId="0" applyFont="1" applyAlignment="1" applyProtection="1">
      <alignment horizontal="left"/>
    </xf>
    <xf numFmtId="0" fontId="6" fillId="0" borderId="8" xfId="0" applyFont="1" applyFill="1" applyBorder="1" applyAlignment="1" applyProtection="1">
      <alignment horizontal="right" vertical="center"/>
    </xf>
    <xf numFmtId="0" fontId="6" fillId="0" borderId="10" xfId="0" applyFont="1" applyFill="1" applyBorder="1" applyAlignment="1" applyProtection="1">
      <alignment horizontal="right" vertical="center"/>
    </xf>
    <xf numFmtId="0" fontId="26" fillId="0" borderId="10" xfId="0" applyFont="1" applyFill="1" applyBorder="1" applyAlignment="1" applyProtection="1">
      <alignment horizontal="left" vertical="center" indent="2"/>
    </xf>
    <xf numFmtId="0" fontId="26" fillId="0" borderId="9" xfId="0" applyFont="1" applyFill="1" applyBorder="1" applyAlignment="1" applyProtection="1">
      <alignment horizontal="left" vertical="center" indent="2"/>
    </xf>
    <xf numFmtId="0" fontId="14" fillId="0" borderId="0" xfId="0" applyFont="1" applyFill="1" applyAlignment="1" applyProtection="1">
      <alignment wrapText="1"/>
    </xf>
    <xf numFmtId="0" fontId="14" fillId="0" borderId="0" xfId="0" applyFont="1" applyFill="1" applyProtection="1"/>
    <xf numFmtId="0" fontId="10" fillId="0" borderId="0" xfId="0" applyFont="1" applyFill="1" applyAlignment="1" applyProtection="1">
      <alignment horizontal="left"/>
    </xf>
    <xf numFmtId="0" fontId="12" fillId="0" borderId="14" xfId="0" applyFont="1" applyBorder="1" applyAlignment="1" applyProtection="1">
      <alignment horizontal="left"/>
    </xf>
  </cellXfs>
  <cellStyles count="1">
    <cellStyle name="Normal" xfId="0" builtinId="0"/>
  </cellStyles>
  <dxfs count="2">
    <dxf>
      <font>
        <color theme="1"/>
      </font>
      <numFmt numFmtId="1" formatCode="0"/>
      <fill>
        <patternFill>
          <bgColor rgb="FFD8D9DC"/>
        </patternFill>
      </fill>
    </dxf>
    <dxf>
      <fill>
        <patternFill>
          <bgColor rgb="FFD8D9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BFC0C5"/>
      <rgbColor rgb="00D8D9DC"/>
      <rgbColor rgb="0099CCFF"/>
      <rgbColor rgb="004D6BA6"/>
      <rgbColor rgb="00CC99FF"/>
      <rgbColor rgb="00283756"/>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CC00"/>
      <color rgb="FF339966"/>
      <color rgb="FF008000"/>
      <color rgb="FF006600"/>
      <color rgb="FF1F497D"/>
      <color rgb="FFBFC0C5"/>
      <color rgb="FF4D6BA6"/>
      <color rgb="FFD8D9DC"/>
      <color rgb="FFFFFF00"/>
      <color rgb="FF005B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12</xdr:row>
      <xdr:rowOff>133350</xdr:rowOff>
    </xdr:from>
    <xdr:to>
      <xdr:col>1</xdr:col>
      <xdr:colOff>431852</xdr:colOff>
      <xdr:row>12</xdr:row>
      <xdr:rowOff>456466</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stretch>
          <a:fillRect/>
        </a:stretch>
      </xdr:blipFill>
      <xdr:spPr>
        <a:xfrm>
          <a:off x="47625" y="133350"/>
          <a:ext cx="2060627" cy="32311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BFC0C5"/>
  </sheetPr>
  <dimension ref="A1:E45"/>
  <sheetViews>
    <sheetView tabSelected="1" zoomScale="118" zoomScaleNormal="118" workbookViewId="0">
      <selection activeCell="B14" sqref="B14"/>
    </sheetView>
  </sheetViews>
  <sheetFormatPr defaultRowHeight="12.75" x14ac:dyDescent="0.35"/>
  <cols>
    <col min="1" max="1" width="24.59765625" customWidth="1"/>
    <col min="2" max="2" width="71.3984375" customWidth="1"/>
    <col min="3" max="3" width="7.1328125" customWidth="1"/>
    <col min="4" max="4" width="15.3984375" customWidth="1"/>
  </cols>
  <sheetData>
    <row r="1" spans="1:5" s="61" customFormat="1" ht="13.15" x14ac:dyDescent="0.4">
      <c r="A1" s="80" t="s">
        <v>41</v>
      </c>
      <c r="B1" s="80"/>
      <c r="C1" s="80"/>
      <c r="D1" s="80"/>
      <c r="E1" s="80"/>
    </row>
    <row r="2" spans="1:5" s="61" customFormat="1" x14ac:dyDescent="0.35">
      <c r="A2" s="84" t="s">
        <v>32</v>
      </c>
      <c r="B2" s="84"/>
      <c r="C2" s="84"/>
      <c r="D2" s="84"/>
      <c r="E2" s="84"/>
    </row>
    <row r="3" spans="1:5" s="61" customFormat="1" x14ac:dyDescent="0.35">
      <c r="A3" s="81" t="s">
        <v>42</v>
      </c>
      <c r="B3" s="81"/>
      <c r="C3" s="81"/>
      <c r="D3" s="81"/>
      <c r="E3" s="81"/>
    </row>
    <row r="4" spans="1:5" s="61" customFormat="1" x14ac:dyDescent="0.35">
      <c r="A4" s="82" t="s">
        <v>43</v>
      </c>
      <c r="B4" s="82"/>
      <c r="C4" s="82"/>
      <c r="D4" s="82"/>
      <c r="E4" s="82"/>
    </row>
    <row r="5" spans="1:5" s="61" customFormat="1" x14ac:dyDescent="0.35">
      <c r="A5" s="83" t="s">
        <v>44</v>
      </c>
      <c r="B5" s="83"/>
      <c r="C5" s="83"/>
      <c r="D5" s="83"/>
      <c r="E5" s="83"/>
    </row>
    <row r="6" spans="1:5" s="61" customFormat="1" x14ac:dyDescent="0.35">
      <c r="A6" s="82" t="s">
        <v>33</v>
      </c>
      <c r="B6" s="82"/>
      <c r="C6" s="82"/>
      <c r="D6" s="82"/>
      <c r="E6" s="82"/>
    </row>
    <row r="7" spans="1:5" s="61" customFormat="1" x14ac:dyDescent="0.35">
      <c r="A7" s="82" t="s">
        <v>34</v>
      </c>
      <c r="B7" s="82"/>
      <c r="C7" s="82"/>
      <c r="D7" s="82"/>
      <c r="E7" s="82"/>
    </row>
    <row r="8" spans="1:5" x14ac:dyDescent="0.35">
      <c r="A8" s="78"/>
      <c r="B8" s="78"/>
      <c r="C8" s="78"/>
      <c r="D8" s="78"/>
      <c r="E8" s="78"/>
    </row>
    <row r="9" spans="1:5" ht="25.15" x14ac:dyDescent="0.35">
      <c r="A9" s="79" t="s">
        <v>64</v>
      </c>
      <c r="B9" s="79"/>
      <c r="C9" s="79"/>
      <c r="D9" s="79"/>
      <c r="E9" s="79"/>
    </row>
    <row r="10" spans="1:5" s="60" customFormat="1" x14ac:dyDescent="0.35">
      <c r="A10" s="56" t="s">
        <v>45</v>
      </c>
      <c r="B10" s="57" t="s">
        <v>46</v>
      </c>
      <c r="C10" s="58" t="s">
        <v>1</v>
      </c>
      <c r="D10" s="59" t="s">
        <v>20</v>
      </c>
      <c r="E10" s="59" t="s">
        <v>21</v>
      </c>
    </row>
    <row r="11" spans="1:5" x14ac:dyDescent="0.35">
      <c r="A11" s="63" t="s">
        <v>2</v>
      </c>
      <c r="B11" s="40" t="s">
        <v>6</v>
      </c>
      <c r="C11" s="20">
        <v>4</v>
      </c>
      <c r="D11" s="19"/>
      <c r="E11" s="19"/>
    </row>
    <row r="12" spans="1:5" x14ac:dyDescent="0.35">
      <c r="A12" s="55"/>
      <c r="B12" s="40" t="s">
        <v>7</v>
      </c>
      <c r="C12" s="20">
        <v>3</v>
      </c>
      <c r="D12" s="19"/>
      <c r="E12" s="19"/>
    </row>
    <row r="13" spans="1:5" x14ac:dyDescent="0.35">
      <c r="A13" s="55"/>
      <c r="B13" s="40" t="s">
        <v>8</v>
      </c>
      <c r="C13" s="20">
        <v>2</v>
      </c>
      <c r="D13" s="19"/>
      <c r="E13" s="19"/>
    </row>
    <row r="14" spans="1:5" x14ac:dyDescent="0.35">
      <c r="A14" s="55"/>
      <c r="B14" s="40" t="s">
        <v>9</v>
      </c>
      <c r="C14" s="20">
        <v>1</v>
      </c>
      <c r="D14" s="19"/>
      <c r="E14" s="19"/>
    </row>
    <row r="15" spans="1:5" x14ac:dyDescent="0.35">
      <c r="A15" s="55"/>
      <c r="D15" s="19"/>
      <c r="E15" s="19"/>
    </row>
    <row r="16" spans="1:5" x14ac:dyDescent="0.35">
      <c r="A16" s="63" t="s">
        <v>3</v>
      </c>
      <c r="B16" s="40" t="s">
        <v>10</v>
      </c>
      <c r="C16" s="20">
        <v>4</v>
      </c>
      <c r="D16" s="19"/>
      <c r="E16" s="19"/>
    </row>
    <row r="17" spans="1:5" x14ac:dyDescent="0.35">
      <c r="A17" s="55"/>
      <c r="B17" s="40" t="s">
        <v>11</v>
      </c>
      <c r="C17" s="20">
        <v>3</v>
      </c>
      <c r="D17" s="19"/>
      <c r="E17" s="19"/>
    </row>
    <row r="18" spans="1:5" x14ac:dyDescent="0.35">
      <c r="A18" s="55"/>
      <c r="B18" s="40" t="s">
        <v>12</v>
      </c>
      <c r="C18" s="20">
        <v>2</v>
      </c>
      <c r="D18" s="19"/>
      <c r="E18" s="19"/>
    </row>
    <row r="19" spans="1:5" x14ac:dyDescent="0.35">
      <c r="A19" s="55"/>
      <c r="B19" s="40" t="s">
        <v>13</v>
      </c>
      <c r="C19" s="20">
        <v>1</v>
      </c>
      <c r="D19" s="19"/>
      <c r="E19" s="19"/>
    </row>
    <row r="20" spans="1:5" x14ac:dyDescent="0.35">
      <c r="A20" s="55"/>
      <c r="D20" s="19"/>
      <c r="E20" s="19"/>
    </row>
    <row r="21" spans="1:5" x14ac:dyDescent="0.35">
      <c r="A21" s="63" t="s">
        <v>5</v>
      </c>
      <c r="B21" s="40" t="s">
        <v>14</v>
      </c>
      <c r="C21" s="20">
        <v>4</v>
      </c>
      <c r="D21" s="19"/>
      <c r="E21" s="19"/>
    </row>
    <row r="22" spans="1:5" x14ac:dyDescent="0.35">
      <c r="A22" s="55"/>
      <c r="B22" s="40" t="s">
        <v>15</v>
      </c>
      <c r="C22" s="20">
        <v>3</v>
      </c>
      <c r="D22" s="19"/>
      <c r="E22" s="19"/>
    </row>
    <row r="23" spans="1:5" x14ac:dyDescent="0.35">
      <c r="A23" s="55"/>
      <c r="B23" s="40" t="s">
        <v>16</v>
      </c>
      <c r="C23" s="20">
        <v>2</v>
      </c>
      <c r="D23" s="19"/>
      <c r="E23" s="19"/>
    </row>
    <row r="24" spans="1:5" x14ac:dyDescent="0.35">
      <c r="A24" s="55"/>
      <c r="B24" s="40" t="s">
        <v>17</v>
      </c>
      <c r="C24" s="20">
        <v>1</v>
      </c>
      <c r="D24" s="19"/>
      <c r="E24" s="19"/>
    </row>
    <row r="25" spans="1:5" x14ac:dyDescent="0.35">
      <c r="A25" s="55"/>
      <c r="D25" s="19"/>
      <c r="E25" s="19"/>
    </row>
    <row r="26" spans="1:5" x14ac:dyDescent="0.35">
      <c r="A26" s="63" t="s">
        <v>4</v>
      </c>
      <c r="B26" s="40" t="s">
        <v>24</v>
      </c>
      <c r="C26" s="20">
        <v>4</v>
      </c>
      <c r="D26" s="19"/>
      <c r="E26" s="19"/>
    </row>
    <row r="27" spans="1:5" x14ac:dyDescent="0.35">
      <c r="A27" s="55"/>
      <c r="B27" s="40" t="s">
        <v>49</v>
      </c>
      <c r="C27" s="20">
        <v>3</v>
      </c>
      <c r="D27" s="19"/>
      <c r="E27" s="19"/>
    </row>
    <row r="28" spans="1:5" x14ac:dyDescent="0.35">
      <c r="A28" s="55"/>
      <c r="B28" s="40" t="s">
        <v>22</v>
      </c>
      <c r="C28" s="20">
        <v>2</v>
      </c>
      <c r="D28" s="19"/>
      <c r="E28" s="19"/>
    </row>
    <row r="29" spans="1:5" x14ac:dyDescent="0.35">
      <c r="A29" s="55"/>
      <c r="B29" s="40" t="s">
        <v>23</v>
      </c>
      <c r="C29" s="20">
        <v>1</v>
      </c>
      <c r="D29" s="19"/>
      <c r="E29" s="19"/>
    </row>
    <row r="30" spans="1:5" x14ac:dyDescent="0.35">
      <c r="A30" s="55"/>
      <c r="D30" s="19"/>
      <c r="E30" s="19"/>
    </row>
    <row r="31" spans="1:5" x14ac:dyDescent="0.35">
      <c r="A31" s="63" t="s">
        <v>31</v>
      </c>
      <c r="B31" s="40" t="s">
        <v>50</v>
      </c>
      <c r="C31" s="20">
        <v>4</v>
      </c>
      <c r="D31" s="19"/>
      <c r="E31" s="19"/>
    </row>
    <row r="32" spans="1:5" x14ac:dyDescent="0.35">
      <c r="A32" s="55"/>
      <c r="B32" s="40" t="s">
        <v>35</v>
      </c>
      <c r="C32" s="20">
        <v>3</v>
      </c>
      <c r="D32" s="19"/>
      <c r="E32" s="19"/>
    </row>
    <row r="33" spans="1:5" x14ac:dyDescent="0.35">
      <c r="A33" s="55"/>
      <c r="B33" s="40" t="s">
        <v>36</v>
      </c>
      <c r="C33" s="20">
        <v>2</v>
      </c>
      <c r="D33" s="19"/>
      <c r="E33" s="19"/>
    </row>
    <row r="34" spans="1:5" x14ac:dyDescent="0.35">
      <c r="A34" s="55"/>
      <c r="B34" s="40" t="s">
        <v>37</v>
      </c>
      <c r="C34" s="20">
        <v>1</v>
      </c>
      <c r="D34" s="19"/>
      <c r="E34" s="19"/>
    </row>
    <row r="35" spans="1:5" x14ac:dyDescent="0.35">
      <c r="A35" s="55"/>
      <c r="D35" s="19"/>
      <c r="E35" s="19"/>
    </row>
    <row r="36" spans="1:5" x14ac:dyDescent="0.35">
      <c r="A36" s="64" t="s">
        <v>55</v>
      </c>
      <c r="B36" s="53" t="s">
        <v>56</v>
      </c>
      <c r="C36" s="20">
        <v>4</v>
      </c>
      <c r="D36" s="5"/>
      <c r="E36" s="5"/>
    </row>
    <row r="37" spans="1:5" x14ac:dyDescent="0.35">
      <c r="A37" s="62"/>
      <c r="B37" s="53" t="s">
        <v>57</v>
      </c>
      <c r="C37" s="20">
        <v>3</v>
      </c>
      <c r="D37" s="19"/>
      <c r="E37" s="19"/>
    </row>
    <row r="38" spans="1:5" x14ac:dyDescent="0.35">
      <c r="A38" s="62"/>
      <c r="B38" s="53" t="s">
        <v>58</v>
      </c>
      <c r="C38" s="20">
        <v>2</v>
      </c>
      <c r="D38" s="19"/>
      <c r="E38" s="19"/>
    </row>
    <row r="39" spans="1:5" x14ac:dyDescent="0.35">
      <c r="A39" s="62"/>
      <c r="B39" s="53" t="s">
        <v>59</v>
      </c>
      <c r="C39" s="20">
        <v>1</v>
      </c>
      <c r="D39" s="19"/>
      <c r="E39" s="19"/>
    </row>
    <row r="40" spans="1:5" x14ac:dyDescent="0.35">
      <c r="A40" s="62"/>
      <c r="D40" s="19"/>
      <c r="E40" s="19"/>
    </row>
    <row r="41" spans="1:5" x14ac:dyDescent="0.35">
      <c r="A41" s="64" t="s">
        <v>18</v>
      </c>
      <c r="B41" s="53" t="s">
        <v>52</v>
      </c>
      <c r="C41" s="20">
        <v>4</v>
      </c>
      <c r="D41" s="5"/>
      <c r="E41" s="5"/>
    </row>
    <row r="42" spans="1:5" x14ac:dyDescent="0.35">
      <c r="A42" s="12"/>
      <c r="B42" s="53" t="s">
        <v>51</v>
      </c>
      <c r="C42" s="20">
        <v>3</v>
      </c>
      <c r="D42" s="19"/>
      <c r="E42" s="19"/>
    </row>
    <row r="43" spans="1:5" x14ac:dyDescent="0.35">
      <c r="A43" s="12"/>
      <c r="B43" s="53" t="s">
        <v>53</v>
      </c>
      <c r="C43" s="20">
        <v>2</v>
      </c>
      <c r="D43" s="19"/>
      <c r="E43" s="19"/>
    </row>
    <row r="44" spans="1:5" x14ac:dyDescent="0.35">
      <c r="A44" s="12"/>
      <c r="B44" s="53" t="s">
        <v>54</v>
      </c>
      <c r="C44" s="20">
        <v>1</v>
      </c>
      <c r="D44" s="19"/>
      <c r="E44" s="19"/>
    </row>
    <row r="45" spans="1:5" x14ac:dyDescent="0.35">
      <c r="A45" s="12"/>
      <c r="D45" s="19"/>
      <c r="E45" s="19"/>
    </row>
  </sheetData>
  <sheetProtection selectLockedCells="1" selectUnlockedCells="1"/>
  <mergeCells count="9">
    <mergeCell ref="A8:E8"/>
    <mergeCell ref="A9:E9"/>
    <mergeCell ref="A1:E1"/>
    <mergeCell ref="A3:E3"/>
    <mergeCell ref="A4:E4"/>
    <mergeCell ref="A5:E5"/>
    <mergeCell ref="A6:E6"/>
    <mergeCell ref="A7:E7"/>
    <mergeCell ref="A2:E2"/>
  </mergeCells>
  <pageMargins left="0.25" right="0.25"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1F497D"/>
  </sheetPr>
  <dimension ref="A1:AB105"/>
  <sheetViews>
    <sheetView showGridLines="0" showRuler="0" zoomScale="190" zoomScaleNormal="190" zoomScalePageLayoutView="80" workbookViewId="0">
      <selection activeCell="A24" sqref="A24"/>
    </sheetView>
  </sheetViews>
  <sheetFormatPr defaultColWidth="9.1328125" defaultRowHeight="12.75" x14ac:dyDescent="0.35"/>
  <cols>
    <col min="1" max="1" width="25.1328125" style="34" customWidth="1"/>
    <col min="2" max="2" width="7.265625" style="3" customWidth="1"/>
    <col min="3" max="3" width="71.3984375" style="3" customWidth="1"/>
    <col min="4" max="5" width="6.73046875" style="3" customWidth="1"/>
    <col min="6" max="6" width="8" style="3" customWidth="1"/>
    <col min="7" max="7" width="68.1328125" style="49" hidden="1" customWidth="1"/>
    <col min="8" max="8" width="9.1328125" style="19" hidden="1" customWidth="1"/>
    <col min="9" max="9" width="9.1328125" style="3" hidden="1" customWidth="1"/>
    <col min="10" max="22" width="9.1328125" style="3" customWidth="1"/>
    <col min="23" max="16384" width="9.1328125" style="1"/>
  </cols>
  <sheetData>
    <row r="1" spans="1:26" s="47" customFormat="1" ht="52.5" customHeight="1" x14ac:dyDescent="0.35">
      <c r="A1" s="102" t="s">
        <v>62</v>
      </c>
      <c r="B1" s="102"/>
      <c r="C1" s="102"/>
      <c r="D1" s="102"/>
      <c r="E1" s="102"/>
      <c r="F1" s="45"/>
      <c r="G1" s="48"/>
      <c r="H1" s="46"/>
      <c r="I1" s="45"/>
      <c r="J1" s="45"/>
      <c r="K1" s="45"/>
      <c r="L1" s="45"/>
      <c r="M1" s="45"/>
      <c r="N1" s="45"/>
      <c r="O1" s="45"/>
      <c r="P1" s="45"/>
      <c r="Q1" s="45"/>
      <c r="R1" s="45"/>
      <c r="S1" s="45"/>
      <c r="T1" s="45"/>
      <c r="U1" s="45"/>
      <c r="V1" s="45"/>
    </row>
    <row r="2" spans="1:26" x14ac:dyDescent="0.35">
      <c r="A2" s="44"/>
    </row>
    <row r="3" spans="1:26" s="4" customFormat="1" ht="11.65" x14ac:dyDescent="0.35">
      <c r="A3" s="103" t="s">
        <v>19</v>
      </c>
      <c r="B3" s="103"/>
      <c r="C3" s="103"/>
      <c r="D3" s="103"/>
      <c r="E3" s="103"/>
      <c r="F3" s="5"/>
      <c r="G3" s="5"/>
      <c r="H3" s="19"/>
      <c r="I3" s="5"/>
      <c r="J3" s="5"/>
      <c r="K3" s="5"/>
      <c r="L3" s="5"/>
      <c r="M3" s="5"/>
      <c r="N3" s="5"/>
      <c r="O3" s="5"/>
      <c r="P3" s="5"/>
      <c r="Q3" s="5"/>
      <c r="R3" s="5"/>
      <c r="S3" s="5"/>
      <c r="T3" s="5"/>
      <c r="U3" s="5"/>
      <c r="V3" s="5"/>
    </row>
    <row r="4" spans="1:26" s="4" customFormat="1" ht="11.65" x14ac:dyDescent="0.35">
      <c r="A4" s="104" t="s">
        <v>47</v>
      </c>
      <c r="B4" s="104"/>
      <c r="C4" s="104"/>
      <c r="D4" s="104"/>
      <c r="E4" s="104"/>
      <c r="F4" s="5"/>
      <c r="G4" s="5"/>
      <c r="H4" s="21"/>
      <c r="I4" s="5"/>
      <c r="J4" s="5"/>
      <c r="K4" s="5"/>
      <c r="L4" s="5"/>
      <c r="M4" s="6"/>
      <c r="N4" s="6"/>
      <c r="O4" s="6"/>
      <c r="P4" s="6"/>
      <c r="Q4" s="6"/>
      <c r="R4" s="6"/>
      <c r="S4" s="6"/>
      <c r="T4" s="6"/>
      <c r="U4" s="6"/>
      <c r="V4" s="6"/>
      <c r="W4" s="18"/>
      <c r="X4" s="18"/>
      <c r="Y4" s="18"/>
      <c r="Z4" s="18"/>
    </row>
    <row r="5" spans="1:26" s="4" customFormat="1" ht="11.65" x14ac:dyDescent="0.35">
      <c r="A5" s="104" t="s">
        <v>48</v>
      </c>
      <c r="B5" s="104"/>
      <c r="C5" s="104"/>
      <c r="D5" s="104"/>
      <c r="E5" s="104"/>
      <c r="F5" s="5"/>
      <c r="G5" s="5"/>
      <c r="H5" s="21"/>
      <c r="I5" s="5"/>
      <c r="J5" s="5"/>
      <c r="K5" s="5"/>
      <c r="L5" s="5"/>
      <c r="M5" s="6"/>
      <c r="N5" s="92"/>
      <c r="O5" s="92"/>
      <c r="P5" s="92"/>
      <c r="Q5" s="92"/>
      <c r="R5" s="92"/>
      <c r="S5" s="6"/>
      <c r="T5" s="6"/>
      <c r="U5" s="6"/>
      <c r="V5" s="6"/>
      <c r="W5" s="18"/>
      <c r="X5" s="18"/>
      <c r="Y5" s="18"/>
      <c r="Z5" s="18"/>
    </row>
    <row r="6" spans="1:26" s="4" customFormat="1" ht="11.65" x14ac:dyDescent="0.35">
      <c r="A6" s="54" t="s">
        <v>27</v>
      </c>
      <c r="B6" s="54"/>
      <c r="C6" s="54"/>
      <c r="D6" s="54"/>
      <c r="E6" s="54"/>
      <c r="F6" s="5"/>
      <c r="G6" s="5"/>
      <c r="H6" s="21"/>
      <c r="I6" s="5"/>
      <c r="J6" s="5"/>
      <c r="K6" s="5"/>
      <c r="L6" s="5"/>
      <c r="M6" s="6"/>
      <c r="N6" s="74"/>
      <c r="O6" s="74"/>
      <c r="P6" s="74"/>
      <c r="Q6" s="74"/>
      <c r="R6" s="74"/>
      <c r="S6" s="6"/>
      <c r="T6" s="6"/>
      <c r="U6" s="6"/>
      <c r="V6" s="6"/>
      <c r="W6" s="18"/>
      <c r="X6" s="18"/>
      <c r="Y6" s="18"/>
      <c r="Z6" s="18"/>
    </row>
    <row r="7" spans="1:26" s="4" customFormat="1" ht="11.65" x14ac:dyDescent="0.35">
      <c r="A7" s="93" t="s">
        <v>28</v>
      </c>
      <c r="B7" s="93"/>
      <c r="C7" s="93"/>
      <c r="D7" s="93"/>
      <c r="E7" s="93"/>
      <c r="F7" s="75"/>
      <c r="G7" s="5"/>
      <c r="H7" s="21"/>
      <c r="I7" s="5"/>
      <c r="J7" s="5"/>
      <c r="K7" s="5"/>
      <c r="L7" s="5"/>
      <c r="M7" s="6"/>
      <c r="N7" s="74"/>
      <c r="O7" s="74"/>
      <c r="P7" s="74"/>
      <c r="Q7" s="74"/>
      <c r="R7" s="74"/>
      <c r="S7" s="6"/>
      <c r="T7" s="6"/>
      <c r="U7" s="6"/>
      <c r="V7" s="6"/>
      <c r="W7" s="18"/>
      <c r="X7" s="18"/>
      <c r="Y7" s="18"/>
      <c r="Z7" s="18"/>
    </row>
    <row r="8" spans="1:26" s="4" customFormat="1" ht="11.65" x14ac:dyDescent="0.35">
      <c r="A8" s="93" t="s">
        <v>38</v>
      </c>
      <c r="B8" s="93"/>
      <c r="C8" s="93"/>
      <c r="D8" s="93"/>
      <c r="E8" s="93"/>
      <c r="F8" s="75"/>
      <c r="G8" s="5"/>
      <c r="H8" s="21"/>
      <c r="I8" s="5"/>
      <c r="J8" s="5"/>
      <c r="K8" s="5"/>
      <c r="L8" s="5"/>
      <c r="M8" s="6"/>
      <c r="N8" s="74"/>
      <c r="O8" s="74"/>
      <c r="P8" s="74"/>
      <c r="Q8" s="74"/>
      <c r="R8" s="74"/>
      <c r="S8" s="6"/>
      <c r="T8" s="6"/>
      <c r="U8" s="6"/>
      <c r="V8" s="6"/>
      <c r="W8" s="18"/>
      <c r="X8" s="18"/>
      <c r="Y8" s="18"/>
      <c r="Z8" s="18"/>
    </row>
    <row r="9" spans="1:26" s="4" customFormat="1" ht="11.65" x14ac:dyDescent="0.35">
      <c r="A9" s="93" t="s">
        <v>29</v>
      </c>
      <c r="B9" s="93"/>
      <c r="C9" s="93"/>
      <c r="D9" s="93"/>
      <c r="E9" s="93"/>
      <c r="F9" s="75"/>
      <c r="G9" s="5"/>
      <c r="H9" s="21"/>
      <c r="I9" s="5"/>
      <c r="J9" s="5"/>
      <c r="K9" s="5"/>
      <c r="L9" s="5"/>
      <c r="M9" s="6"/>
      <c r="N9" s="7"/>
      <c r="O9" s="7"/>
      <c r="P9" s="7"/>
      <c r="Q9" s="7"/>
      <c r="R9" s="7"/>
      <c r="S9" s="6"/>
      <c r="T9" s="6"/>
      <c r="U9" s="6"/>
      <c r="V9" s="6"/>
      <c r="W9" s="18"/>
      <c r="X9" s="18"/>
      <c r="Y9" s="18"/>
      <c r="Z9" s="18"/>
    </row>
    <row r="10" spans="1:26" s="4" customFormat="1" ht="11.65" x14ac:dyDescent="0.35">
      <c r="A10" s="93" t="s">
        <v>30</v>
      </c>
      <c r="B10" s="93"/>
      <c r="C10" s="93"/>
      <c r="D10" s="93"/>
      <c r="E10" s="93"/>
      <c r="F10" s="75"/>
      <c r="G10" s="5"/>
      <c r="H10" s="21"/>
      <c r="I10" s="5"/>
      <c r="J10" s="5"/>
      <c r="K10" s="5"/>
      <c r="L10" s="5"/>
      <c r="M10" s="6"/>
      <c r="N10" s="94"/>
      <c r="O10" s="95"/>
      <c r="P10" s="95"/>
      <c r="Q10" s="95"/>
      <c r="R10" s="95"/>
      <c r="S10" s="6"/>
      <c r="T10" s="6"/>
      <c r="U10" s="6"/>
      <c r="V10" s="6"/>
      <c r="W10" s="18"/>
      <c r="X10" s="18"/>
      <c r="Y10" s="18"/>
      <c r="Z10" s="18"/>
    </row>
    <row r="11" spans="1:26" s="4" customFormat="1" ht="13.15" x14ac:dyDescent="0.4">
      <c r="A11" s="93" t="s">
        <v>63</v>
      </c>
      <c r="B11" s="93"/>
      <c r="C11" s="93"/>
      <c r="D11" s="93"/>
      <c r="E11" s="93"/>
      <c r="F11" s="75"/>
      <c r="G11" s="5"/>
      <c r="H11" s="21"/>
      <c r="I11" s="5"/>
      <c r="J11" s="5"/>
      <c r="K11" s="5"/>
      <c r="L11" s="5"/>
      <c r="M11" s="6"/>
      <c r="N11" s="2"/>
      <c r="O11" s="2"/>
      <c r="P11" s="2"/>
      <c r="Q11" s="2"/>
      <c r="R11" s="2"/>
      <c r="S11" s="6"/>
      <c r="T11" s="6"/>
      <c r="U11" s="6"/>
      <c r="V11" s="6"/>
      <c r="W11" s="18"/>
      <c r="X11" s="18"/>
      <c r="Y11" s="18"/>
      <c r="Z11" s="18"/>
    </row>
    <row r="12" spans="1:26" s="26" customFormat="1" ht="13.15" x14ac:dyDescent="0.4">
      <c r="A12" s="105"/>
      <c r="B12" s="105"/>
      <c r="C12" s="105"/>
      <c r="D12" s="105"/>
      <c r="E12" s="105"/>
      <c r="F12" s="37"/>
      <c r="G12" s="22"/>
      <c r="H12" s="23"/>
      <c r="I12" s="24"/>
      <c r="J12" s="24"/>
      <c r="K12" s="24"/>
      <c r="L12" s="24"/>
      <c r="M12" s="24"/>
      <c r="N12" s="2"/>
      <c r="O12" s="2"/>
      <c r="P12" s="2"/>
      <c r="Q12" s="2"/>
      <c r="R12" s="2"/>
      <c r="S12" s="24"/>
      <c r="T12" s="24"/>
      <c r="U12" s="24"/>
      <c r="V12" s="24"/>
      <c r="W12" s="25"/>
      <c r="X12" s="25"/>
      <c r="Y12" s="25"/>
      <c r="Z12" s="25"/>
    </row>
    <row r="13" spans="1:26" ht="43.5" customHeight="1" x14ac:dyDescent="0.35">
      <c r="A13" s="98"/>
      <c r="B13" s="99"/>
      <c r="C13" s="100" t="s">
        <v>39</v>
      </c>
      <c r="D13" s="100"/>
      <c r="E13" s="101"/>
      <c r="F13" s="27"/>
      <c r="G13" s="50"/>
      <c r="N13" s="96"/>
      <c r="O13" s="97"/>
      <c r="P13" s="97"/>
      <c r="Q13" s="97"/>
      <c r="R13" s="97"/>
      <c r="S13" s="41"/>
      <c r="T13" s="41"/>
      <c r="U13" s="41"/>
      <c r="V13" s="41"/>
      <c r="W13" s="41"/>
    </row>
    <row r="14" spans="1:26" ht="12" customHeight="1" x14ac:dyDescent="0.35">
      <c r="A14" s="14" t="s">
        <v>65</v>
      </c>
      <c r="B14" s="85"/>
      <c r="C14" s="86"/>
      <c r="D14" s="86"/>
      <c r="E14" s="87"/>
      <c r="F14" s="18"/>
      <c r="G14" s="18"/>
      <c r="N14" s="1"/>
      <c r="O14" s="1"/>
      <c r="P14" s="1"/>
      <c r="Q14" s="1"/>
      <c r="R14" s="1"/>
      <c r="S14" s="42"/>
      <c r="T14" s="42"/>
      <c r="U14" s="42"/>
      <c r="V14" s="42"/>
      <c r="W14" s="42"/>
    </row>
    <row r="15" spans="1:26" ht="12" customHeight="1" x14ac:dyDescent="0.35">
      <c r="A15" s="17" t="s">
        <v>66</v>
      </c>
      <c r="B15" s="88"/>
      <c r="C15" s="89"/>
      <c r="D15" s="89"/>
      <c r="E15" s="90"/>
      <c r="F15" s="18"/>
      <c r="G15" s="18"/>
      <c r="N15" s="1"/>
      <c r="O15" s="1"/>
      <c r="P15" s="1"/>
      <c r="Q15" s="1"/>
      <c r="R15" s="1"/>
      <c r="S15" s="42"/>
      <c r="T15" s="42"/>
      <c r="U15" s="42"/>
      <c r="V15" s="42"/>
      <c r="W15" s="42"/>
    </row>
    <row r="16" spans="1:26" s="72" customFormat="1" ht="12" customHeight="1" x14ac:dyDescent="0.35">
      <c r="A16" s="65" t="s">
        <v>40</v>
      </c>
      <c r="B16" s="66" t="s">
        <v>26</v>
      </c>
      <c r="C16" s="66" t="s">
        <v>60</v>
      </c>
      <c r="D16" s="66" t="s">
        <v>1</v>
      </c>
      <c r="E16" s="67" t="s">
        <v>0</v>
      </c>
      <c r="F16" s="68"/>
      <c r="G16" s="69" t="e">
        <f>'Pwin Parameters'!#REF!</f>
        <v>#REF!</v>
      </c>
      <c r="H16" s="70">
        <v>4</v>
      </c>
      <c r="I16" s="71" t="e">
        <f>'Pwin Parameters'!#REF!</f>
        <v>#REF!</v>
      </c>
      <c r="S16" s="73"/>
      <c r="T16" s="73"/>
      <c r="U16" s="73"/>
      <c r="V16" s="73"/>
      <c r="W16" s="73"/>
    </row>
    <row r="17" spans="1:28" s="2" customFormat="1" ht="12" customHeight="1" x14ac:dyDescent="0.4">
      <c r="A17" s="76" t="str">
        <f>'Pwin Parameters'!$A$11</f>
        <v>Incumbency</v>
      </c>
      <c r="B17" s="15"/>
      <c r="C17" s="16"/>
      <c r="D17" s="39">
        <f t="shared" ref="D17:D23" si="0">IF(C17&gt;0,VLOOKUP($C17,$G$16:$H$73,2,FALSE),0)</f>
        <v>0</v>
      </c>
      <c r="E17" s="33" t="str">
        <f>IF(C17&gt;0,(1+0.1*B17)*(D17-'Pwin Parameters'!#REF!),"")</f>
        <v/>
      </c>
      <c r="F17" s="28"/>
      <c r="G17" s="4" t="e">
        <f>'Pwin Parameters'!#REF!</f>
        <v>#REF!</v>
      </c>
      <c r="H17" s="20">
        <v>2</v>
      </c>
      <c r="N17" s="5"/>
      <c r="O17" s="5"/>
      <c r="P17" s="5"/>
      <c r="Q17" s="5"/>
      <c r="R17" s="5"/>
      <c r="S17" s="5"/>
      <c r="T17" s="5"/>
      <c r="U17" s="5"/>
      <c r="V17" s="5"/>
      <c r="W17" s="5"/>
    </row>
    <row r="18" spans="1:28" s="2" customFormat="1" ht="12" customHeight="1" x14ac:dyDescent="0.4">
      <c r="A18" s="76" t="str">
        <f>'Pwin Parameters'!$A$16</f>
        <v>Experience</v>
      </c>
      <c r="B18" s="15"/>
      <c r="C18" s="16"/>
      <c r="D18" s="39">
        <f t="shared" si="0"/>
        <v>0</v>
      </c>
      <c r="E18" s="33" t="str">
        <f>IF(C18&gt;0,(1+0.1*B18)*(D18-'Pwin Parameters'!#REF!),"")</f>
        <v/>
      </c>
      <c r="F18" s="28"/>
      <c r="G18" s="4" t="e">
        <f>'Pwin Parameters'!#REF!</f>
        <v>#REF!</v>
      </c>
      <c r="H18" s="20">
        <v>1</v>
      </c>
      <c r="N18" s="5"/>
      <c r="O18" s="5"/>
      <c r="P18" s="5"/>
      <c r="Q18" s="5"/>
      <c r="R18" s="5"/>
      <c r="S18" s="5"/>
      <c r="T18" s="5"/>
      <c r="U18" s="5"/>
      <c r="V18" s="5"/>
      <c r="W18" s="5"/>
    </row>
    <row r="19" spans="1:28" s="2" customFormat="1" ht="12" customHeight="1" x14ac:dyDescent="0.4">
      <c r="A19" s="76" t="str">
        <f>'Pwin Parameters'!$A$21</f>
        <v>Past Performance</v>
      </c>
      <c r="B19" s="15"/>
      <c r="C19" s="16"/>
      <c r="D19" s="39">
        <f t="shared" si="0"/>
        <v>0</v>
      </c>
      <c r="E19" s="33" t="str">
        <f>IF(C19&gt;0,(1+0.1*B19)*(D19-'Pwin Parameters'!#REF!),"")</f>
        <v/>
      </c>
      <c r="F19" s="28"/>
      <c r="G19" s="1"/>
      <c r="H19"/>
      <c r="N19" s="5"/>
      <c r="O19" s="5"/>
      <c r="P19" s="5"/>
      <c r="Q19" s="5"/>
      <c r="R19" s="5"/>
      <c r="S19" s="5"/>
      <c r="T19" s="5"/>
      <c r="U19" s="5"/>
      <c r="V19" s="5"/>
      <c r="W19" s="5"/>
    </row>
    <row r="20" spans="1:28" s="2" customFormat="1" ht="12" customHeight="1" x14ac:dyDescent="0.4">
      <c r="A20" s="76" t="str">
        <f>'Pwin Parameters'!$A$26</f>
        <v>Contract Risk</v>
      </c>
      <c r="B20" s="15"/>
      <c r="C20" s="16"/>
      <c r="D20" s="39">
        <f t="shared" si="0"/>
        <v>0</v>
      </c>
      <c r="E20" s="33" t="str">
        <f>IF(C20&gt;0,(1+0.1*B20)*(D20-'Pwin Parameters'!#REF!),"")</f>
        <v/>
      </c>
      <c r="F20" s="28"/>
      <c r="G20" s="4" t="e">
        <f>'Pwin Parameters'!#REF!</f>
        <v>#REF!</v>
      </c>
      <c r="H20" s="20">
        <v>4</v>
      </c>
      <c r="N20" s="5"/>
      <c r="O20" s="5"/>
      <c r="P20" s="5"/>
      <c r="Q20" s="5"/>
      <c r="R20" s="5"/>
      <c r="S20" s="5"/>
      <c r="T20" s="5"/>
      <c r="U20" s="5"/>
      <c r="V20" s="5"/>
      <c r="W20" s="5"/>
    </row>
    <row r="21" spans="1:28" s="2" customFormat="1" ht="12" customHeight="1" x14ac:dyDescent="0.4">
      <c r="A21" s="76" t="str">
        <f>'Pwin Parameters'!$A$31</f>
        <v>Contract Size</v>
      </c>
      <c r="B21" s="15"/>
      <c r="C21" s="16"/>
      <c r="D21" s="39">
        <f t="shared" si="0"/>
        <v>0</v>
      </c>
      <c r="E21" s="33" t="str">
        <f>IF(C21&gt;0,(1+0.1*B21)*(D21-'Pwin Parameters'!#REF!),"")</f>
        <v/>
      </c>
      <c r="F21" s="28"/>
      <c r="G21" s="4" t="e">
        <f>'Pwin Parameters'!#REF!</f>
        <v>#REF!</v>
      </c>
      <c r="H21" s="20">
        <v>3</v>
      </c>
      <c r="N21" s="5"/>
      <c r="O21" s="5"/>
      <c r="P21" s="5"/>
      <c r="Q21" s="5"/>
      <c r="R21" s="5"/>
      <c r="S21" s="5"/>
      <c r="T21" s="5"/>
      <c r="U21" s="5"/>
      <c r="V21" s="5"/>
      <c r="W21" s="8"/>
      <c r="X21" s="9"/>
      <c r="Y21" s="10"/>
      <c r="Z21" s="10"/>
      <c r="AA21" s="10"/>
      <c r="AB21" s="10"/>
    </row>
    <row r="22" spans="1:28" s="2" customFormat="1" ht="12" customHeight="1" x14ac:dyDescent="0.4">
      <c r="A22" s="77" t="str">
        <f>'Pwin Parameters'!$A$36</f>
        <v>Competitor Rating</v>
      </c>
      <c r="B22" s="15"/>
      <c r="C22" s="16"/>
      <c r="D22" s="39">
        <f t="shared" si="0"/>
        <v>0</v>
      </c>
      <c r="E22" s="33" t="str">
        <f>IF(C22&gt;0,(1+0.1*B22)*(D22-'Pwin Parameters'!#REF!),"")</f>
        <v/>
      </c>
      <c r="F22" s="28"/>
      <c r="G22" s="4" t="e">
        <f>'Pwin Parameters'!#REF!</f>
        <v>#REF!</v>
      </c>
      <c r="H22" s="20">
        <v>2</v>
      </c>
      <c r="N22" s="5"/>
      <c r="O22" s="5"/>
      <c r="P22" s="5"/>
      <c r="Q22" s="5"/>
      <c r="R22" s="5"/>
      <c r="S22" s="5"/>
      <c r="T22" s="5"/>
      <c r="U22" s="5"/>
      <c r="V22" s="5"/>
      <c r="W22" s="11"/>
      <c r="X22" s="9"/>
      <c r="Y22" s="10"/>
      <c r="Z22" s="10"/>
      <c r="AA22" s="10"/>
      <c r="AB22" s="10"/>
    </row>
    <row r="23" spans="1:28" s="2" customFormat="1" ht="12" customHeight="1" x14ac:dyDescent="0.4">
      <c r="A23" s="77" t="str">
        <f>'Pwin Parameters'!A41</f>
        <v>Other</v>
      </c>
      <c r="B23" s="15"/>
      <c r="C23" s="16"/>
      <c r="D23" s="39">
        <f t="shared" si="0"/>
        <v>0</v>
      </c>
      <c r="E23" s="33" t="str">
        <f>IF(C23&gt;0,(1+0.1*B23)*(D23-'Pwin Parameters'!#REF!),"")</f>
        <v/>
      </c>
      <c r="F23" s="28"/>
      <c r="G23" s="4" t="e">
        <f>'Pwin Parameters'!#REF!</f>
        <v>#REF!</v>
      </c>
      <c r="H23" s="20">
        <v>1</v>
      </c>
      <c r="N23" s="5"/>
      <c r="O23" s="5"/>
      <c r="P23" s="5"/>
      <c r="Q23" s="5"/>
      <c r="R23" s="5"/>
      <c r="S23" s="5"/>
      <c r="T23" s="5"/>
      <c r="U23" s="5"/>
      <c r="V23" s="5"/>
      <c r="W23" s="8"/>
      <c r="X23" s="9"/>
      <c r="Y23" s="10"/>
      <c r="Z23" s="10"/>
      <c r="AA23" s="10"/>
      <c r="AB23" s="10"/>
    </row>
    <row r="24" spans="1:28" s="2" customFormat="1" ht="24" customHeight="1" x14ac:dyDescent="0.4">
      <c r="B24" s="30"/>
      <c r="C24" s="31"/>
      <c r="D24" s="32" t="s">
        <v>25</v>
      </c>
      <c r="E24" s="38" t="e">
        <f>AVERAGEIF(C17:C23,"&lt;&gt;""",E17:E23)+'Pwin Parameters'!#REF!</f>
        <v>#DIV/0!</v>
      </c>
      <c r="F24" s="29"/>
      <c r="G24" s="1"/>
      <c r="H24"/>
      <c r="N24" s="5"/>
      <c r="O24" s="5"/>
      <c r="P24" s="5"/>
      <c r="Q24" s="5"/>
      <c r="R24" s="5"/>
      <c r="S24" s="5"/>
      <c r="T24" s="5"/>
      <c r="U24" s="5"/>
      <c r="V24" s="5"/>
      <c r="W24" s="11"/>
      <c r="X24" s="9"/>
      <c r="Y24" s="10"/>
      <c r="Z24" s="10"/>
      <c r="AA24" s="10"/>
      <c r="AB24" s="10"/>
    </row>
    <row r="25" spans="1:28" s="2" customFormat="1" ht="12" customHeight="1" x14ac:dyDescent="0.4">
      <c r="A25" s="91" t="s">
        <v>61</v>
      </c>
      <c r="B25" s="91"/>
      <c r="C25" s="91"/>
      <c r="D25" s="91"/>
      <c r="E25" s="91"/>
      <c r="F25" s="29"/>
      <c r="G25" s="4" t="e">
        <f>'Pwin Parameters'!#REF!</f>
        <v>#REF!</v>
      </c>
      <c r="H25" s="20">
        <v>4</v>
      </c>
      <c r="N25" s="5"/>
      <c r="O25" s="5"/>
      <c r="P25" s="5"/>
      <c r="Q25" s="5"/>
      <c r="R25" s="5"/>
      <c r="S25" s="5"/>
      <c r="T25" s="5"/>
      <c r="U25" s="5"/>
      <c r="V25" s="5"/>
      <c r="W25" s="11"/>
      <c r="X25" s="9"/>
      <c r="Y25" s="10"/>
      <c r="Z25" s="10"/>
      <c r="AA25" s="10"/>
      <c r="AB25" s="10"/>
    </row>
    <row r="26" spans="1:28" s="2" customFormat="1" ht="12" customHeight="1" x14ac:dyDescent="0.4">
      <c r="A26" s="12"/>
      <c r="B26" s="5"/>
      <c r="C26" s="5"/>
      <c r="D26" s="5"/>
      <c r="E26" s="5"/>
      <c r="F26" s="5"/>
      <c r="G26" s="4" t="e">
        <f>'Pwin Parameters'!#REF!</f>
        <v>#REF!</v>
      </c>
      <c r="H26" s="20">
        <v>3</v>
      </c>
      <c r="N26" s="5"/>
      <c r="O26" s="5"/>
      <c r="P26" s="5"/>
      <c r="Q26" s="5"/>
      <c r="R26" s="5"/>
      <c r="S26" s="5"/>
      <c r="T26" s="5"/>
      <c r="U26" s="5"/>
      <c r="V26" s="5"/>
      <c r="W26" s="10"/>
      <c r="X26" s="9"/>
      <c r="Y26" s="10"/>
      <c r="Z26" s="10"/>
      <c r="AA26" s="10"/>
      <c r="AB26" s="10"/>
    </row>
    <row r="27" spans="1:28" s="2" customFormat="1" ht="12" customHeight="1" x14ac:dyDescent="0.4">
      <c r="G27" s="4" t="e">
        <f>'Pwin Parameters'!#REF!</f>
        <v>#REF!</v>
      </c>
      <c r="H27" s="20">
        <v>2</v>
      </c>
      <c r="N27" s="5"/>
      <c r="O27" s="5"/>
      <c r="P27" s="5"/>
      <c r="Q27" s="5"/>
      <c r="R27" s="5"/>
      <c r="S27" s="5"/>
      <c r="T27" s="5"/>
      <c r="U27" s="5"/>
      <c r="V27" s="5"/>
      <c r="W27" s="10"/>
      <c r="X27" s="9"/>
      <c r="Y27" s="10"/>
      <c r="Z27" s="10"/>
      <c r="AA27" s="10"/>
      <c r="AB27" s="10"/>
    </row>
    <row r="28" spans="1:28" s="2" customFormat="1" ht="12" customHeight="1" x14ac:dyDescent="0.4">
      <c r="G28" s="4" t="e">
        <f>'Pwin Parameters'!#REF!</f>
        <v>#REF!</v>
      </c>
      <c r="H28" s="20">
        <v>1</v>
      </c>
      <c r="N28" s="5"/>
      <c r="O28" s="5"/>
      <c r="P28" s="5"/>
      <c r="Q28" s="5"/>
      <c r="R28" s="5"/>
      <c r="S28" s="5"/>
      <c r="T28" s="5"/>
      <c r="U28" s="5"/>
      <c r="V28" s="5"/>
      <c r="W28" s="10"/>
      <c r="X28" s="9"/>
      <c r="Y28" s="10"/>
      <c r="Z28" s="10"/>
      <c r="AA28" s="10"/>
      <c r="AB28" s="10"/>
    </row>
    <row r="29" spans="1:28" s="2" customFormat="1" ht="12" customHeight="1" x14ac:dyDescent="0.4">
      <c r="G29" s="1"/>
      <c r="H29"/>
      <c r="N29" s="5"/>
      <c r="O29" s="5"/>
      <c r="P29" s="5"/>
      <c r="Q29" s="5"/>
      <c r="R29" s="5"/>
      <c r="S29" s="5"/>
      <c r="T29" s="5"/>
      <c r="U29" s="5"/>
      <c r="V29" s="5"/>
      <c r="W29" s="10"/>
      <c r="X29" s="9"/>
      <c r="Y29" s="10"/>
      <c r="Z29" s="10"/>
      <c r="AA29" s="10"/>
      <c r="AB29" s="10"/>
    </row>
    <row r="30" spans="1:28" s="2" customFormat="1" ht="12" customHeight="1" x14ac:dyDescent="0.4">
      <c r="G30" s="4" t="e">
        <f>'Pwin Parameters'!#REF!</f>
        <v>#REF!</v>
      </c>
      <c r="H30" s="20">
        <v>4</v>
      </c>
      <c r="N30" s="5"/>
      <c r="O30" s="5"/>
      <c r="P30" s="5"/>
      <c r="Q30" s="5"/>
      <c r="R30" s="5"/>
      <c r="S30" s="5"/>
      <c r="T30" s="5"/>
      <c r="U30" s="5"/>
      <c r="V30" s="5"/>
      <c r="W30" s="10"/>
      <c r="X30" s="9"/>
      <c r="Y30" s="10"/>
      <c r="Z30" s="10"/>
      <c r="AA30" s="10"/>
      <c r="AB30" s="10"/>
    </row>
    <row r="31" spans="1:28" s="2" customFormat="1" ht="12" customHeight="1" x14ac:dyDescent="0.4">
      <c r="G31" s="4" t="e">
        <f>'Pwin Parameters'!#REF!</f>
        <v>#REF!</v>
      </c>
      <c r="H31" s="20">
        <v>3</v>
      </c>
      <c r="N31" s="5"/>
      <c r="O31" s="5"/>
      <c r="P31" s="5"/>
      <c r="Q31" s="5"/>
      <c r="R31" s="5"/>
      <c r="S31" s="5"/>
      <c r="T31" s="5"/>
      <c r="U31" s="5"/>
      <c r="V31" s="5"/>
      <c r="W31" s="10"/>
      <c r="X31" s="9"/>
      <c r="Y31" s="10"/>
      <c r="Z31" s="10"/>
      <c r="AA31" s="10"/>
      <c r="AB31" s="10"/>
    </row>
    <row r="32" spans="1:28" s="2" customFormat="1" ht="12" customHeight="1" x14ac:dyDescent="0.4">
      <c r="G32" s="4" t="e">
        <f>'Pwin Parameters'!#REF!</f>
        <v>#REF!</v>
      </c>
      <c r="H32" s="20">
        <v>2</v>
      </c>
      <c r="N32" s="5"/>
      <c r="O32" s="5"/>
      <c r="P32" s="5"/>
      <c r="Q32" s="5"/>
      <c r="R32" s="5"/>
      <c r="S32" s="5"/>
      <c r="T32" s="5"/>
      <c r="U32" s="5"/>
      <c r="V32" s="5"/>
      <c r="W32" s="10"/>
      <c r="X32" s="9"/>
      <c r="Y32" s="10"/>
      <c r="Z32" s="10"/>
      <c r="AA32" s="10"/>
      <c r="AB32" s="10"/>
    </row>
    <row r="33" spans="7:28" s="2" customFormat="1" ht="12" customHeight="1" x14ac:dyDescent="0.4">
      <c r="G33" s="4" t="e">
        <f>'Pwin Parameters'!#REF!</f>
        <v>#REF!</v>
      </c>
      <c r="H33" s="20">
        <v>1</v>
      </c>
      <c r="N33" s="5"/>
      <c r="O33" s="5"/>
      <c r="P33" s="5"/>
      <c r="Q33" s="5"/>
      <c r="R33" s="5"/>
      <c r="S33" s="5"/>
      <c r="T33" s="5"/>
      <c r="U33" s="5"/>
      <c r="V33" s="5"/>
      <c r="W33" s="10"/>
      <c r="X33" s="9"/>
      <c r="Y33" s="10"/>
      <c r="Z33" s="10"/>
      <c r="AA33" s="10"/>
      <c r="AB33" s="10"/>
    </row>
    <row r="34" spans="7:28" s="2" customFormat="1" ht="12" customHeight="1" x14ac:dyDescent="0.4">
      <c r="G34" s="1"/>
      <c r="H34"/>
      <c r="I34" s="35"/>
      <c r="N34" s="5"/>
      <c r="O34" s="5"/>
      <c r="P34" s="5"/>
      <c r="Q34" s="5"/>
      <c r="R34" s="5"/>
      <c r="S34" s="5"/>
      <c r="T34" s="5"/>
      <c r="U34" s="5"/>
      <c r="V34" s="5"/>
      <c r="W34" s="10"/>
      <c r="X34" s="9"/>
      <c r="Y34" s="10"/>
      <c r="Z34" s="10"/>
      <c r="AA34" s="10"/>
      <c r="AB34" s="10"/>
    </row>
    <row r="35" spans="7:28" s="35" customFormat="1" ht="12" customHeight="1" x14ac:dyDescent="0.35">
      <c r="G35" s="4" t="e">
        <f>'Pwin Parameters'!#REF!</f>
        <v>#REF!</v>
      </c>
      <c r="H35" s="20">
        <v>4</v>
      </c>
      <c r="N35" s="5"/>
      <c r="O35" s="5"/>
      <c r="P35" s="5"/>
      <c r="Q35" s="5"/>
      <c r="R35" s="5"/>
      <c r="S35" s="5"/>
      <c r="T35" s="5"/>
      <c r="U35" s="5"/>
      <c r="V35" s="5"/>
      <c r="W35" s="4"/>
      <c r="X35" s="4"/>
      <c r="Y35" s="4"/>
      <c r="Z35" s="4"/>
      <c r="AA35" s="4"/>
      <c r="AB35" s="4"/>
    </row>
    <row r="36" spans="7:28" s="35" customFormat="1" ht="12" customHeight="1" x14ac:dyDescent="0.35">
      <c r="G36" s="4" t="e">
        <f>'Pwin Parameters'!#REF!</f>
        <v>#REF!</v>
      </c>
      <c r="H36" s="20">
        <v>3</v>
      </c>
      <c r="N36" s="5"/>
      <c r="O36" s="5"/>
      <c r="P36" s="5"/>
      <c r="Q36" s="5"/>
      <c r="R36" s="5"/>
      <c r="S36" s="5"/>
      <c r="T36" s="5"/>
      <c r="U36" s="5"/>
      <c r="V36" s="5"/>
      <c r="W36" s="4"/>
      <c r="X36" s="4"/>
      <c r="Y36" s="4"/>
      <c r="Z36" s="4"/>
      <c r="AA36" s="4"/>
      <c r="AB36" s="4"/>
    </row>
    <row r="37" spans="7:28" s="35" customFormat="1" ht="12" customHeight="1" x14ac:dyDescent="0.35">
      <c r="G37" s="4" t="e">
        <f>'Pwin Parameters'!#REF!</f>
        <v>#REF!</v>
      </c>
      <c r="H37" s="20">
        <v>2</v>
      </c>
      <c r="I37" s="3"/>
      <c r="N37" s="5"/>
      <c r="O37" s="5"/>
      <c r="P37" s="5"/>
      <c r="Q37" s="5"/>
      <c r="R37" s="5"/>
      <c r="S37" s="5"/>
      <c r="T37" s="5"/>
      <c r="U37" s="5"/>
      <c r="V37" s="5"/>
      <c r="W37" s="4"/>
      <c r="X37" s="4"/>
      <c r="Y37" s="4"/>
      <c r="Z37" s="4"/>
      <c r="AA37" s="4"/>
      <c r="AB37" s="4"/>
    </row>
    <row r="38" spans="7:28" ht="12" customHeight="1" x14ac:dyDescent="0.4">
      <c r="G38" s="4" t="e">
        <f>'Pwin Parameters'!#REF!</f>
        <v>#REF!</v>
      </c>
      <c r="H38" s="20">
        <v>1</v>
      </c>
      <c r="I38" s="36"/>
      <c r="N38" s="5"/>
      <c r="O38" s="5"/>
      <c r="P38" s="5"/>
      <c r="Q38" s="5"/>
      <c r="R38" s="5"/>
      <c r="S38" s="5"/>
      <c r="T38" s="5"/>
      <c r="U38" s="5"/>
      <c r="V38" s="5"/>
      <c r="W38" s="4"/>
      <c r="X38" s="4"/>
      <c r="Y38" s="4"/>
      <c r="Z38" s="4"/>
      <c r="AA38" s="4"/>
      <c r="AB38" s="4"/>
    </row>
    <row r="39" spans="7:28" s="36" customFormat="1" ht="12" customHeight="1" x14ac:dyDescent="0.4">
      <c r="G39" s="1"/>
      <c r="H39"/>
      <c r="I39" s="34"/>
      <c r="N39" s="5"/>
      <c r="O39" s="5"/>
      <c r="P39" s="5"/>
      <c r="Q39" s="5"/>
      <c r="R39" s="5"/>
      <c r="S39" s="5"/>
      <c r="T39" s="5"/>
      <c r="U39" s="5"/>
      <c r="V39" s="5"/>
      <c r="W39" s="13"/>
      <c r="X39" s="13"/>
      <c r="Y39" s="13"/>
      <c r="Z39" s="13"/>
      <c r="AA39" s="13"/>
      <c r="AB39" s="13"/>
    </row>
    <row r="40" spans="7:28" s="34" customFormat="1" ht="12" customHeight="1" x14ac:dyDescent="0.35">
      <c r="G40" s="4" t="str">
        <f>'Pwin Parameters'!B11</f>
        <v>We are a strong incumbent or can team with a strong incumbent</v>
      </c>
      <c r="H40" s="20">
        <v>4</v>
      </c>
      <c r="N40" s="5"/>
      <c r="O40" s="5"/>
      <c r="P40" s="5"/>
      <c r="Q40" s="5"/>
      <c r="R40" s="5"/>
      <c r="S40" s="5"/>
      <c r="T40" s="5"/>
      <c r="U40" s="5"/>
      <c r="V40" s="5"/>
      <c r="W40" s="12"/>
      <c r="X40" s="12"/>
      <c r="Y40" s="12"/>
      <c r="Z40" s="12"/>
      <c r="AA40" s="12"/>
      <c r="AB40" s="12"/>
    </row>
    <row r="41" spans="7:28" s="34" customFormat="1" ht="12" customHeight="1" x14ac:dyDescent="0.35">
      <c r="G41" s="4" t="str">
        <f>'Pwin Parameters'!B12</f>
        <v>We are an incumbent</v>
      </c>
      <c r="H41" s="20">
        <v>3</v>
      </c>
      <c r="N41" s="5"/>
      <c r="O41" s="5"/>
      <c r="P41" s="5"/>
      <c r="Q41" s="5"/>
      <c r="R41" s="5"/>
      <c r="S41" s="5"/>
      <c r="T41" s="5"/>
      <c r="U41" s="5"/>
      <c r="V41" s="5"/>
      <c r="W41" s="12"/>
      <c r="X41" s="12"/>
      <c r="Y41" s="12"/>
      <c r="Z41" s="12"/>
      <c r="AA41" s="12"/>
      <c r="AB41" s="12"/>
    </row>
    <row r="42" spans="7:28" s="34" customFormat="1" ht="12" customHeight="1" x14ac:dyDescent="0.35">
      <c r="G42" s="4" t="str">
        <f>'Pwin Parameters'!B13</f>
        <v>There is no incumbent</v>
      </c>
      <c r="H42" s="20">
        <v>2</v>
      </c>
      <c r="N42" s="5"/>
      <c r="O42" s="5"/>
      <c r="P42" s="5"/>
      <c r="Q42" s="5"/>
      <c r="R42" s="5"/>
      <c r="S42" s="5"/>
      <c r="T42" s="5"/>
      <c r="U42" s="5"/>
      <c r="V42" s="5"/>
      <c r="W42" s="12"/>
      <c r="X42" s="12"/>
      <c r="Y42" s="12"/>
      <c r="Z42" s="12"/>
      <c r="AA42" s="12"/>
      <c r="AB42" s="12"/>
    </row>
    <row r="43" spans="7:28" s="34" customFormat="1" ht="12" customHeight="1" x14ac:dyDescent="0.35">
      <c r="G43" s="4" t="str">
        <f>'Pwin Parameters'!B14</f>
        <v>A competitor is a strong incumbent</v>
      </c>
      <c r="H43" s="20">
        <v>1</v>
      </c>
      <c r="N43" s="5"/>
      <c r="O43" s="5"/>
      <c r="P43" s="5"/>
      <c r="Q43" s="5"/>
      <c r="R43" s="5"/>
      <c r="S43" s="5"/>
      <c r="T43" s="5"/>
      <c r="U43" s="5"/>
      <c r="V43" s="5"/>
      <c r="W43" s="12"/>
      <c r="X43" s="12"/>
      <c r="Y43" s="12"/>
      <c r="Z43" s="12"/>
      <c r="AA43" s="12"/>
      <c r="AB43" s="12"/>
    </row>
    <row r="44" spans="7:28" s="34" customFormat="1" ht="12" customHeight="1" x14ac:dyDescent="0.35">
      <c r="G44" s="1"/>
      <c r="H44"/>
      <c r="N44" s="5"/>
      <c r="O44" s="5"/>
      <c r="P44" s="5"/>
      <c r="Q44" s="5"/>
      <c r="R44" s="5"/>
      <c r="S44" s="5"/>
      <c r="T44" s="5"/>
      <c r="U44" s="5"/>
      <c r="V44" s="5"/>
      <c r="W44" s="12"/>
      <c r="X44" s="12"/>
      <c r="Y44" s="12"/>
      <c r="Z44" s="12"/>
      <c r="AA44" s="12"/>
      <c r="AB44" s="12"/>
    </row>
    <row r="45" spans="7:28" s="34" customFormat="1" ht="12" customHeight="1" x14ac:dyDescent="0.35">
      <c r="G45" s="4" t="str">
        <f>'Pwin Parameters'!B16</f>
        <v>We have sold the same or similar product/service to this customer in the past</v>
      </c>
      <c r="H45" s="20">
        <v>4</v>
      </c>
      <c r="N45" s="5"/>
      <c r="O45" s="5"/>
      <c r="P45" s="5"/>
      <c r="Q45" s="5"/>
      <c r="R45" s="5"/>
      <c r="S45" s="5"/>
      <c r="T45" s="5"/>
      <c r="U45" s="5"/>
      <c r="V45" s="5"/>
      <c r="W45" s="12"/>
      <c r="X45" s="12"/>
      <c r="Y45" s="12"/>
      <c r="Z45" s="12"/>
      <c r="AA45" s="12"/>
      <c r="AB45" s="12"/>
    </row>
    <row r="46" spans="7:28" s="34" customFormat="1" ht="12" customHeight="1" x14ac:dyDescent="0.35">
      <c r="G46" s="4" t="str">
        <f>'Pwin Parameters'!B17</f>
        <v>We will be selling an existing product/service to a new customer</v>
      </c>
      <c r="H46" s="20">
        <v>3</v>
      </c>
      <c r="N46" s="5"/>
      <c r="O46" s="5"/>
      <c r="P46" s="5"/>
      <c r="Q46" s="5"/>
      <c r="R46" s="5"/>
      <c r="S46" s="5"/>
      <c r="T46" s="5"/>
      <c r="U46" s="5"/>
      <c r="V46" s="5"/>
      <c r="W46" s="12"/>
      <c r="X46" s="12"/>
      <c r="Y46" s="12"/>
      <c r="Z46" s="12"/>
      <c r="AA46" s="12"/>
      <c r="AB46" s="12"/>
    </row>
    <row r="47" spans="7:28" s="34" customFormat="1" ht="12" customHeight="1" x14ac:dyDescent="0.35">
      <c r="G47" s="4" t="str">
        <f>'Pwin Parameters'!B18</f>
        <v>We will be selling a new product/service to an existing customer</v>
      </c>
      <c r="H47" s="20">
        <v>2</v>
      </c>
      <c r="N47" s="5"/>
      <c r="O47" s="5"/>
      <c r="P47" s="5"/>
      <c r="Q47" s="5"/>
      <c r="R47" s="5"/>
      <c r="S47" s="5"/>
      <c r="T47" s="5"/>
      <c r="U47" s="5"/>
      <c r="V47" s="5"/>
      <c r="W47" s="12"/>
      <c r="X47" s="12"/>
      <c r="Y47" s="12"/>
      <c r="Z47" s="12"/>
      <c r="AA47" s="12"/>
      <c r="AB47" s="12"/>
    </row>
    <row r="48" spans="7:28" s="34" customFormat="1" ht="12" customHeight="1" x14ac:dyDescent="0.35">
      <c r="G48" s="4" t="str">
        <f>'Pwin Parameters'!B19</f>
        <v>We will be selling a new product/service to a new customer</v>
      </c>
      <c r="H48" s="20">
        <v>1</v>
      </c>
      <c r="N48" s="5"/>
      <c r="O48" s="5"/>
      <c r="P48" s="5"/>
      <c r="Q48" s="5"/>
      <c r="R48" s="5"/>
      <c r="S48" s="5"/>
      <c r="T48" s="5"/>
      <c r="U48" s="5"/>
      <c r="V48" s="5"/>
      <c r="W48" s="12"/>
      <c r="X48" s="12"/>
      <c r="Y48" s="12"/>
      <c r="Z48" s="12"/>
      <c r="AA48" s="12"/>
      <c r="AB48" s="12"/>
    </row>
    <row r="49" spans="7:28" s="34" customFormat="1" ht="12" customHeight="1" x14ac:dyDescent="0.35">
      <c r="G49" s="1"/>
      <c r="H49"/>
      <c r="N49" s="5"/>
      <c r="O49" s="5"/>
      <c r="P49" s="5"/>
      <c r="Q49" s="5"/>
      <c r="R49" s="5"/>
      <c r="S49" s="5"/>
      <c r="T49" s="5"/>
      <c r="U49" s="5"/>
      <c r="V49" s="5"/>
      <c r="W49" s="12"/>
      <c r="X49" s="12"/>
      <c r="Y49" s="12"/>
      <c r="Z49" s="12"/>
      <c r="AA49" s="12"/>
      <c r="AB49" s="12"/>
    </row>
    <row r="50" spans="7:28" s="34" customFormat="1" ht="12" customHeight="1" x14ac:dyDescent="0.35">
      <c r="G50" s="4" t="str">
        <f>'Pwin Parameters'!B21</f>
        <v>We provided outstanding services in an earlier phase leading to this procurement</v>
      </c>
      <c r="H50" s="20">
        <v>4</v>
      </c>
      <c r="N50" s="5"/>
      <c r="O50" s="5"/>
      <c r="P50" s="5"/>
      <c r="Q50" s="5"/>
      <c r="R50" s="5"/>
      <c r="S50" s="5"/>
      <c r="T50" s="5"/>
      <c r="U50" s="5"/>
      <c r="V50" s="5"/>
      <c r="W50" s="12"/>
      <c r="X50" s="12"/>
      <c r="Y50" s="12"/>
      <c r="Z50" s="12"/>
      <c r="AA50" s="12"/>
      <c r="AB50" s="12"/>
    </row>
    <row r="51" spans="7:28" s="34" customFormat="1" ht="12" customHeight="1" x14ac:dyDescent="0.35">
      <c r="G51" s="4" t="str">
        <f>'Pwin Parameters'!B22</f>
        <v>We provided services in an earlier phase with moderate success</v>
      </c>
      <c r="H51" s="20">
        <v>3</v>
      </c>
      <c r="N51" s="5"/>
      <c r="O51" s="5"/>
      <c r="P51" s="5"/>
      <c r="Q51" s="5"/>
      <c r="R51" s="5"/>
      <c r="S51" s="5"/>
      <c r="T51" s="5"/>
      <c r="U51" s="5"/>
      <c r="V51" s="5"/>
      <c r="W51" s="12"/>
      <c r="X51" s="12"/>
      <c r="Y51" s="12"/>
      <c r="Z51" s="12"/>
      <c r="AA51" s="12"/>
      <c r="AB51" s="12"/>
    </row>
    <row r="52" spans="7:28" s="34" customFormat="1" ht="12" customHeight="1" x14ac:dyDescent="0.35">
      <c r="G52" s="4" t="str">
        <f>'Pwin Parameters'!B23</f>
        <v>A competitor provided services in an earlier phase with moderate success</v>
      </c>
      <c r="H52" s="20">
        <v>2</v>
      </c>
      <c r="N52" s="5"/>
      <c r="O52" s="5"/>
      <c r="P52" s="5"/>
      <c r="Q52" s="5"/>
      <c r="R52" s="5"/>
      <c r="S52" s="5"/>
      <c r="T52" s="5"/>
      <c r="U52" s="5"/>
      <c r="V52" s="5"/>
      <c r="W52" s="12"/>
      <c r="X52" s="12"/>
      <c r="Y52" s="12"/>
      <c r="Z52" s="12"/>
      <c r="AA52" s="12"/>
      <c r="AB52" s="12"/>
    </row>
    <row r="53" spans="7:28" s="34" customFormat="1" ht="12" customHeight="1" x14ac:dyDescent="0.35">
      <c r="G53" s="4" t="str">
        <f>'Pwin Parameters'!B24</f>
        <v>A competitor provided service in an earlier phase with outstanding results</v>
      </c>
      <c r="H53" s="20">
        <v>1</v>
      </c>
      <c r="N53" s="5"/>
      <c r="O53" s="5"/>
      <c r="P53" s="5"/>
      <c r="Q53" s="5"/>
      <c r="R53" s="5"/>
      <c r="S53" s="5"/>
      <c r="T53" s="5"/>
      <c r="U53" s="5"/>
      <c r="V53" s="5"/>
      <c r="W53" s="12"/>
      <c r="X53" s="12"/>
      <c r="Y53" s="12"/>
      <c r="Z53" s="12"/>
      <c r="AA53" s="12"/>
      <c r="AB53" s="12"/>
    </row>
    <row r="54" spans="7:28" s="34" customFormat="1" ht="12" customHeight="1" x14ac:dyDescent="0.35">
      <c r="G54" s="1"/>
      <c r="H54"/>
      <c r="N54" s="5"/>
      <c r="O54" s="5"/>
      <c r="P54" s="5"/>
      <c r="Q54" s="5"/>
      <c r="R54" s="5"/>
      <c r="S54" s="5"/>
      <c r="T54" s="5"/>
      <c r="U54" s="5"/>
      <c r="V54" s="5"/>
      <c r="W54" s="12"/>
      <c r="X54" s="12"/>
      <c r="Y54" s="12"/>
      <c r="Z54" s="12"/>
      <c r="AA54" s="12"/>
      <c r="AB54" s="12"/>
    </row>
    <row r="55" spans="7:28" s="34" customFormat="1" ht="12" customHeight="1" x14ac:dyDescent="0.35">
      <c r="G55" s="4" t="str">
        <f>'Pwin Parameters'!B26</f>
        <v>Risk is ordinary for our industry with no special considerations or liabilities</v>
      </c>
      <c r="H55" s="20">
        <v>4</v>
      </c>
      <c r="N55" s="5"/>
      <c r="O55" s="5"/>
      <c r="P55" s="5"/>
      <c r="Q55" s="5"/>
      <c r="R55" s="5"/>
      <c r="S55" s="5"/>
      <c r="T55" s="5"/>
      <c r="U55" s="5"/>
      <c r="V55" s="5"/>
      <c r="W55" s="12"/>
      <c r="X55" s="12"/>
      <c r="Y55" s="12"/>
      <c r="Z55" s="12"/>
      <c r="AA55" s="12"/>
      <c r="AB55" s="12"/>
    </row>
    <row r="56" spans="7:28" s="34" customFormat="1" ht="12" customHeight="1" x14ac:dyDescent="0.35">
      <c r="G56" s="4" t="str">
        <f>'Pwin Parameters'!B27</f>
        <v>Risk is moderate because of special considerations or liabilities</v>
      </c>
      <c r="H56" s="20">
        <v>3</v>
      </c>
      <c r="N56" s="5"/>
      <c r="O56" s="5"/>
      <c r="P56" s="5"/>
      <c r="Q56" s="5"/>
      <c r="R56" s="5"/>
      <c r="S56" s="5"/>
      <c r="T56" s="5"/>
      <c r="U56" s="5"/>
      <c r="V56" s="5"/>
      <c r="W56" s="12"/>
      <c r="X56" s="12"/>
      <c r="Y56" s="12"/>
      <c r="Z56" s="12"/>
      <c r="AA56" s="12"/>
      <c r="AB56" s="12"/>
    </row>
    <row r="57" spans="7:28" s="34" customFormat="1" ht="12" customHeight="1" x14ac:dyDescent="0.35">
      <c r="G57" s="4" t="str">
        <f>'Pwin Parameters'!B28</f>
        <v>Risk is high with very attractive rewards</v>
      </c>
      <c r="H57" s="20">
        <v>2</v>
      </c>
      <c r="N57" s="5"/>
      <c r="O57" s="5"/>
      <c r="P57" s="5"/>
      <c r="Q57" s="5"/>
      <c r="R57" s="5"/>
      <c r="S57" s="5"/>
      <c r="T57" s="5"/>
      <c r="U57" s="5"/>
      <c r="V57" s="5"/>
      <c r="W57" s="12"/>
      <c r="X57" s="12"/>
      <c r="Y57" s="12"/>
      <c r="Z57" s="12"/>
      <c r="AA57" s="12"/>
      <c r="AB57" s="12"/>
    </row>
    <row r="58" spans="7:28" s="34" customFormat="1" ht="12" customHeight="1" x14ac:dyDescent="0.35">
      <c r="G58" s="4" t="str">
        <f>'Pwin Parameters'!B29</f>
        <v>Risk is high with only moderate or poor rewards</v>
      </c>
      <c r="H58" s="20">
        <v>1</v>
      </c>
      <c r="N58" s="5"/>
      <c r="O58" s="5"/>
      <c r="P58" s="5"/>
      <c r="Q58" s="5"/>
      <c r="R58" s="5"/>
      <c r="S58" s="5"/>
      <c r="T58" s="5"/>
      <c r="U58" s="5"/>
      <c r="V58" s="5"/>
      <c r="W58" s="12"/>
      <c r="X58" s="12"/>
      <c r="Y58" s="12"/>
      <c r="Z58" s="12"/>
      <c r="AA58" s="12"/>
      <c r="AB58" s="12"/>
    </row>
    <row r="59" spans="7:28" s="34" customFormat="1" ht="12" customHeight="1" x14ac:dyDescent="0.35">
      <c r="G59" s="1"/>
      <c r="H59"/>
      <c r="N59" s="5"/>
      <c r="O59" s="5"/>
      <c r="P59" s="5"/>
      <c r="Q59" s="5"/>
      <c r="R59" s="5"/>
      <c r="S59" s="5"/>
      <c r="T59" s="5"/>
      <c r="U59" s="5"/>
      <c r="V59" s="5"/>
      <c r="W59" s="12"/>
      <c r="X59" s="12"/>
      <c r="Y59" s="12"/>
      <c r="Z59" s="12"/>
      <c r="AA59" s="12"/>
      <c r="AB59" s="12"/>
    </row>
    <row r="60" spans="7:28" s="34" customFormat="1" ht="12" customHeight="1" x14ac:dyDescent="0.35">
      <c r="G60" s="54" t="str">
        <f>'Pwin Parameters'!B31</f>
        <v>Contract size is larger than our typical contract but within our capabilities</v>
      </c>
      <c r="H60" s="20">
        <v>4</v>
      </c>
      <c r="N60" s="5"/>
      <c r="O60" s="5"/>
      <c r="P60" s="5"/>
      <c r="Q60" s="5"/>
      <c r="R60" s="5"/>
      <c r="S60" s="5"/>
      <c r="T60" s="5"/>
      <c r="U60" s="5"/>
      <c r="V60" s="5"/>
      <c r="W60" s="12"/>
      <c r="X60" s="12"/>
      <c r="Y60" s="12"/>
      <c r="Z60" s="12"/>
      <c r="AA60" s="12"/>
      <c r="AB60" s="12"/>
    </row>
    <row r="61" spans="7:28" s="34" customFormat="1" ht="12" customHeight="1" x14ac:dyDescent="0.35">
      <c r="G61" s="54" t="str">
        <f>'Pwin Parameters'!B32</f>
        <v>Contract size is beyond our capabilities but justified by strategic importance of contract</v>
      </c>
      <c r="H61" s="20">
        <v>3</v>
      </c>
      <c r="N61" s="5"/>
      <c r="O61" s="5"/>
      <c r="P61" s="5"/>
      <c r="Q61" s="5"/>
      <c r="R61" s="5"/>
      <c r="S61" s="5"/>
      <c r="T61" s="5"/>
      <c r="U61" s="5"/>
      <c r="V61" s="5"/>
      <c r="W61" s="12"/>
      <c r="X61" s="12"/>
      <c r="Y61" s="12"/>
      <c r="Z61" s="12"/>
      <c r="AA61" s="12"/>
      <c r="AB61" s="12"/>
    </row>
    <row r="62" spans="7:28" s="34" customFormat="1" ht="12" customHeight="1" x14ac:dyDescent="0.35">
      <c r="G62" s="54" t="str">
        <f>'Pwin Parameters'!B33</f>
        <v>Contract size is typical for our industry and organization</v>
      </c>
      <c r="H62" s="20">
        <v>2</v>
      </c>
      <c r="N62" s="5"/>
      <c r="O62" s="5"/>
      <c r="P62" s="5"/>
      <c r="Q62" s="5"/>
      <c r="R62" s="5"/>
      <c r="S62" s="5"/>
      <c r="T62" s="5"/>
      <c r="U62" s="5"/>
      <c r="V62" s="5"/>
      <c r="W62" s="12"/>
      <c r="X62" s="12"/>
      <c r="Y62" s="12"/>
      <c r="Z62" s="12"/>
      <c r="AA62" s="12"/>
      <c r="AB62" s="12"/>
    </row>
    <row r="63" spans="7:28" s="34" customFormat="1" ht="12" customHeight="1" x14ac:dyDescent="0.35">
      <c r="G63" s="54" t="str">
        <f>'Pwin Parameters'!B34</f>
        <v>Contract size will challenge our organization to deliver or impose delivery risk</v>
      </c>
      <c r="H63" s="20">
        <v>1</v>
      </c>
      <c r="N63" s="5"/>
      <c r="O63" s="5"/>
      <c r="P63" s="5"/>
      <c r="Q63" s="5"/>
      <c r="R63" s="5"/>
      <c r="S63" s="5"/>
      <c r="T63" s="5"/>
      <c r="U63" s="5"/>
      <c r="V63" s="5"/>
      <c r="W63" s="12"/>
      <c r="X63" s="12"/>
      <c r="Y63" s="12"/>
      <c r="Z63" s="12"/>
      <c r="AA63" s="12"/>
      <c r="AB63" s="12"/>
    </row>
    <row r="64" spans="7:28" s="34" customFormat="1" ht="12" customHeight="1" x14ac:dyDescent="0.35">
      <c r="G64" s="1"/>
      <c r="H64"/>
      <c r="N64" s="5"/>
      <c r="O64" s="5"/>
      <c r="P64" s="5"/>
      <c r="Q64" s="5"/>
      <c r="R64" s="5"/>
      <c r="S64" s="5"/>
      <c r="T64" s="5"/>
      <c r="U64" s="5"/>
      <c r="V64" s="5"/>
      <c r="W64" s="12"/>
      <c r="X64" s="12"/>
      <c r="Y64" s="12"/>
      <c r="Z64" s="12"/>
      <c r="AA64" s="12"/>
      <c r="AB64" s="12"/>
    </row>
    <row r="65" spans="7:28" s="34" customFormat="1" ht="12" customHeight="1" x14ac:dyDescent="0.35">
      <c r="G65" s="54" t="str">
        <f>'Pwin Parameters'!B36</f>
        <v>Compared to our competitors, the customer rates us as among the best or the best</v>
      </c>
      <c r="H65" s="20">
        <v>4</v>
      </c>
      <c r="N65" s="5"/>
      <c r="O65" s="5"/>
      <c r="P65" s="5"/>
      <c r="Q65" s="5"/>
      <c r="R65" s="5"/>
      <c r="S65" s="5"/>
      <c r="T65" s="5"/>
      <c r="U65" s="5"/>
      <c r="V65" s="5"/>
      <c r="W65" s="12"/>
      <c r="X65" s="12"/>
      <c r="Y65" s="12"/>
      <c r="Z65" s="12"/>
      <c r="AA65" s="12"/>
      <c r="AB65" s="12"/>
    </row>
    <row r="66" spans="7:28" s="34" customFormat="1" ht="12" customHeight="1" x14ac:dyDescent="0.35">
      <c r="G66" s="54" t="str">
        <f>'Pwin Parameters'!B37</f>
        <v>Compared to our competitors, the customer rates us as average</v>
      </c>
      <c r="H66" s="20">
        <v>3</v>
      </c>
      <c r="N66" s="5"/>
      <c r="O66" s="5"/>
      <c r="P66" s="5"/>
      <c r="Q66" s="5"/>
      <c r="R66" s="5"/>
      <c r="S66" s="5"/>
      <c r="T66" s="5"/>
      <c r="U66" s="5"/>
      <c r="V66" s="5"/>
      <c r="W66" s="12"/>
      <c r="X66" s="12"/>
      <c r="Y66" s="12"/>
      <c r="Z66" s="12"/>
      <c r="AA66" s="12"/>
      <c r="AB66" s="12"/>
    </row>
    <row r="67" spans="7:28" s="34" customFormat="1" ht="12" customHeight="1" x14ac:dyDescent="0.35">
      <c r="G67" s="54" t="str">
        <f>'Pwin Parameters'!B38</f>
        <v>Compared to our competitors, the customer rates us as lower than average</v>
      </c>
      <c r="H67" s="20">
        <v>2</v>
      </c>
      <c r="N67" s="5"/>
      <c r="O67" s="5"/>
      <c r="P67" s="5"/>
      <c r="Q67" s="5"/>
      <c r="R67" s="5"/>
      <c r="S67" s="5"/>
      <c r="T67" s="5"/>
      <c r="U67" s="5"/>
      <c r="V67" s="5"/>
      <c r="W67" s="12"/>
      <c r="X67" s="12"/>
      <c r="Y67" s="12"/>
      <c r="Z67" s="12"/>
      <c r="AA67" s="12"/>
      <c r="AB67" s="12"/>
    </row>
    <row r="68" spans="7:28" s="34" customFormat="1" x14ac:dyDescent="0.35">
      <c r="G68" s="54" t="str">
        <f>'Pwin Parameters'!B39</f>
        <v>Our customers know our competitors but don't know us</v>
      </c>
      <c r="H68" s="20">
        <v>1</v>
      </c>
      <c r="N68" s="5"/>
      <c r="O68" s="5"/>
      <c r="P68" s="5"/>
      <c r="Q68" s="5"/>
      <c r="R68" s="5"/>
      <c r="S68" s="5"/>
      <c r="T68" s="5"/>
      <c r="U68" s="5"/>
      <c r="V68" s="5"/>
      <c r="W68" s="12"/>
      <c r="X68" s="12"/>
      <c r="Y68" s="12"/>
      <c r="Z68" s="12"/>
      <c r="AA68" s="12"/>
      <c r="AB68" s="12"/>
    </row>
    <row r="69" spans="7:28" s="34" customFormat="1" x14ac:dyDescent="0.35">
      <c r="G69" s="51"/>
      <c r="H69"/>
      <c r="N69" s="3"/>
      <c r="O69" s="3"/>
      <c r="P69" s="3"/>
      <c r="Q69" s="3"/>
      <c r="R69" s="3"/>
      <c r="S69" s="3"/>
      <c r="T69" s="3"/>
      <c r="U69" s="3"/>
      <c r="V69" s="3"/>
    </row>
    <row r="70" spans="7:28" s="34" customFormat="1" x14ac:dyDescent="0.35">
      <c r="G70" s="52" t="str">
        <f>'Pwin Parameters'!B41</f>
        <v>A rating that increases the pursuit indication the most</v>
      </c>
      <c r="H70" s="20">
        <v>4</v>
      </c>
      <c r="N70" s="3"/>
      <c r="O70" s="3"/>
      <c r="P70" s="3"/>
      <c r="Q70" s="3"/>
      <c r="R70" s="3"/>
      <c r="S70" s="3"/>
      <c r="T70" s="3"/>
      <c r="U70" s="3"/>
      <c r="V70" s="3"/>
    </row>
    <row r="71" spans="7:28" s="34" customFormat="1" x14ac:dyDescent="0.35">
      <c r="G71" s="52" t="str">
        <f>'Pwin Parameters'!B42</f>
        <v>A rating that increases the pursuit indication moderately</v>
      </c>
      <c r="H71" s="20">
        <v>3</v>
      </c>
      <c r="N71" s="3"/>
      <c r="O71" s="3"/>
      <c r="P71" s="3"/>
      <c r="Q71" s="3"/>
      <c r="R71" s="3"/>
      <c r="S71" s="3"/>
      <c r="T71" s="3"/>
      <c r="U71" s="3"/>
      <c r="V71" s="3"/>
    </row>
    <row r="72" spans="7:28" s="34" customFormat="1" x14ac:dyDescent="0.35">
      <c r="G72" s="52" t="str">
        <f>'Pwin Parameters'!B43</f>
        <v>A rating that decreases the pursuit indication</v>
      </c>
      <c r="H72" s="20">
        <v>2</v>
      </c>
      <c r="N72" s="3"/>
      <c r="O72" s="3"/>
      <c r="P72" s="3"/>
      <c r="Q72" s="3"/>
      <c r="R72" s="3"/>
      <c r="S72" s="3"/>
      <c r="T72" s="3"/>
      <c r="U72" s="3"/>
      <c r="V72" s="3"/>
    </row>
    <row r="73" spans="7:28" s="34" customFormat="1" x14ac:dyDescent="0.35">
      <c r="G73" s="52" t="str">
        <f>'Pwin Parameters'!B44</f>
        <v>A rating that makes pursuit unwise</v>
      </c>
      <c r="H73" s="20">
        <v>1</v>
      </c>
      <c r="N73" s="3"/>
      <c r="O73" s="3"/>
      <c r="P73" s="3"/>
      <c r="Q73" s="3"/>
      <c r="R73" s="3"/>
      <c r="S73" s="3"/>
      <c r="T73" s="3"/>
      <c r="U73" s="3"/>
      <c r="V73" s="3"/>
    </row>
    <row r="74" spans="7:28" s="34" customFormat="1" x14ac:dyDescent="0.35">
      <c r="G74" s="52"/>
      <c r="H74" s="52"/>
      <c r="N74" s="3"/>
      <c r="O74" s="3"/>
      <c r="P74" s="3"/>
      <c r="Q74" s="3"/>
      <c r="R74" s="3"/>
      <c r="S74" s="3"/>
      <c r="T74" s="3"/>
      <c r="U74" s="3"/>
      <c r="V74" s="3"/>
    </row>
    <row r="75" spans="7:28" s="34" customFormat="1" x14ac:dyDescent="0.35">
      <c r="G75" s="52"/>
      <c r="H75" s="19"/>
      <c r="I75" s="3"/>
      <c r="N75" s="3"/>
      <c r="O75" s="3"/>
      <c r="P75" s="3"/>
      <c r="Q75" s="3"/>
      <c r="R75" s="3"/>
      <c r="S75" s="3"/>
      <c r="T75" s="3"/>
      <c r="U75" s="3"/>
      <c r="V75" s="3"/>
    </row>
    <row r="76" spans="7:28" s="34" customFormat="1" x14ac:dyDescent="0.35">
      <c r="G76" s="52"/>
      <c r="H76" s="19"/>
      <c r="I76" s="3"/>
      <c r="J76" s="3"/>
      <c r="K76" s="3"/>
      <c r="L76" s="3"/>
      <c r="M76" s="3"/>
      <c r="N76" s="3"/>
      <c r="O76" s="3"/>
      <c r="P76" s="3"/>
      <c r="Q76" s="3"/>
      <c r="R76" s="3"/>
      <c r="S76" s="3"/>
      <c r="T76" s="3"/>
      <c r="U76" s="3"/>
      <c r="V76" s="3"/>
    </row>
    <row r="77" spans="7:28" s="34" customFormat="1" x14ac:dyDescent="0.35">
      <c r="G77" s="52"/>
      <c r="H77" s="19"/>
      <c r="I77" s="3"/>
      <c r="J77" s="3"/>
      <c r="K77" s="3"/>
      <c r="L77" s="3"/>
      <c r="M77" s="3"/>
      <c r="N77" s="3"/>
      <c r="O77" s="3"/>
      <c r="P77" s="3"/>
      <c r="Q77" s="3"/>
      <c r="R77" s="3"/>
      <c r="S77" s="3"/>
      <c r="T77" s="3"/>
      <c r="U77" s="3"/>
      <c r="V77" s="3"/>
    </row>
    <row r="78" spans="7:28" s="34" customFormat="1" x14ac:dyDescent="0.35">
      <c r="G78" s="52"/>
      <c r="H78" s="19"/>
      <c r="I78" s="3"/>
      <c r="J78" s="3"/>
      <c r="K78" s="3"/>
      <c r="L78" s="3"/>
      <c r="M78" s="3"/>
      <c r="N78" s="3"/>
      <c r="O78" s="3"/>
      <c r="P78" s="3"/>
      <c r="Q78" s="3"/>
      <c r="R78" s="3"/>
      <c r="S78" s="3"/>
      <c r="T78" s="3"/>
      <c r="U78" s="3"/>
      <c r="V78" s="3"/>
    </row>
    <row r="79" spans="7:28" s="34" customFormat="1" x14ac:dyDescent="0.35">
      <c r="G79" s="52"/>
      <c r="H79" s="19"/>
      <c r="I79" s="3"/>
      <c r="J79" s="3"/>
      <c r="K79" s="3"/>
      <c r="L79" s="3"/>
      <c r="M79" s="3"/>
      <c r="N79" s="3"/>
      <c r="O79" s="3"/>
      <c r="P79" s="3"/>
      <c r="Q79" s="3"/>
      <c r="R79" s="3"/>
      <c r="S79" s="3"/>
      <c r="T79" s="3"/>
      <c r="U79" s="3"/>
      <c r="V79" s="3"/>
    </row>
    <row r="80" spans="7:28" s="34" customFormat="1" x14ac:dyDescent="0.35">
      <c r="G80" s="52"/>
      <c r="H80" s="19"/>
      <c r="I80" s="3"/>
      <c r="J80" s="3"/>
      <c r="K80" s="3"/>
      <c r="L80" s="3"/>
      <c r="M80" s="3"/>
      <c r="N80" s="3"/>
      <c r="O80" s="3"/>
      <c r="P80" s="3"/>
      <c r="Q80" s="3"/>
      <c r="R80" s="3"/>
      <c r="S80" s="3"/>
      <c r="T80" s="3"/>
      <c r="U80" s="3"/>
      <c r="V80" s="3"/>
    </row>
    <row r="81" spans="2:22" s="34" customFormat="1" x14ac:dyDescent="0.35">
      <c r="G81" s="52"/>
      <c r="H81" s="19"/>
      <c r="I81" s="3"/>
      <c r="J81" s="3"/>
      <c r="K81" s="3"/>
      <c r="L81" s="3"/>
      <c r="M81" s="3"/>
      <c r="N81" s="3"/>
      <c r="O81" s="3"/>
      <c r="P81" s="3"/>
      <c r="Q81" s="3"/>
      <c r="R81" s="3"/>
      <c r="S81" s="3"/>
      <c r="T81" s="3"/>
      <c r="U81" s="3"/>
      <c r="V81" s="3"/>
    </row>
    <row r="82" spans="2:22" s="34" customFormat="1" x14ac:dyDescent="0.35">
      <c r="G82" s="52"/>
      <c r="H82" s="19"/>
      <c r="I82" s="3"/>
      <c r="J82" s="3"/>
      <c r="K82" s="3"/>
      <c r="L82" s="3"/>
      <c r="M82" s="3"/>
      <c r="N82" s="3"/>
      <c r="O82" s="3"/>
      <c r="P82" s="3"/>
      <c r="Q82" s="3"/>
      <c r="R82" s="3"/>
      <c r="S82" s="3"/>
      <c r="T82" s="3"/>
      <c r="U82" s="3"/>
      <c r="V82" s="3"/>
    </row>
    <row r="83" spans="2:22" s="34" customFormat="1" x14ac:dyDescent="0.35">
      <c r="G83" s="52"/>
      <c r="H83" s="19"/>
      <c r="I83" s="3"/>
      <c r="J83" s="3"/>
      <c r="K83" s="3"/>
      <c r="L83" s="3"/>
      <c r="M83" s="3"/>
      <c r="N83" s="3"/>
      <c r="O83" s="3"/>
      <c r="P83" s="3"/>
      <c r="Q83" s="3"/>
      <c r="R83" s="3"/>
      <c r="S83" s="3"/>
      <c r="T83" s="3"/>
      <c r="U83" s="3"/>
      <c r="V83" s="3"/>
    </row>
    <row r="84" spans="2:22" s="34" customFormat="1" x14ac:dyDescent="0.35">
      <c r="G84" s="52"/>
      <c r="H84" s="19"/>
      <c r="I84" s="3"/>
      <c r="J84" s="3"/>
      <c r="K84" s="3"/>
      <c r="L84" s="3"/>
      <c r="M84" s="3"/>
      <c r="N84" s="3"/>
      <c r="O84" s="3"/>
      <c r="P84" s="3"/>
      <c r="Q84" s="3"/>
      <c r="R84" s="3"/>
      <c r="S84" s="3"/>
      <c r="T84" s="3"/>
      <c r="U84" s="3"/>
      <c r="V84" s="3"/>
    </row>
    <row r="85" spans="2:22" s="34" customFormat="1" x14ac:dyDescent="0.35">
      <c r="G85" s="52"/>
      <c r="H85" s="19"/>
      <c r="I85" s="3"/>
      <c r="J85" s="3"/>
      <c r="K85" s="3"/>
      <c r="L85" s="3"/>
      <c r="M85" s="3"/>
      <c r="N85" s="3"/>
      <c r="O85" s="3"/>
      <c r="P85" s="3"/>
      <c r="Q85" s="3"/>
      <c r="R85" s="3"/>
      <c r="S85" s="3"/>
      <c r="T85" s="3"/>
      <c r="U85" s="3"/>
      <c r="V85" s="3"/>
    </row>
    <row r="86" spans="2:22" s="34" customFormat="1" x14ac:dyDescent="0.35">
      <c r="G86" s="52"/>
      <c r="H86" s="19"/>
      <c r="I86" s="3"/>
      <c r="J86" s="3"/>
      <c r="K86" s="3"/>
      <c r="L86" s="3"/>
      <c r="M86" s="3"/>
      <c r="N86" s="3"/>
      <c r="O86" s="3"/>
      <c r="P86" s="3"/>
      <c r="Q86" s="3"/>
      <c r="R86" s="3"/>
      <c r="S86" s="3"/>
      <c r="T86" s="3"/>
      <c r="U86" s="3"/>
      <c r="V86" s="3"/>
    </row>
    <row r="87" spans="2:22" s="34" customFormat="1" x14ac:dyDescent="0.35">
      <c r="G87" s="52"/>
      <c r="H87" s="19"/>
      <c r="I87" s="3"/>
      <c r="J87" s="3"/>
      <c r="K87" s="3"/>
      <c r="L87" s="3"/>
      <c r="M87" s="3"/>
      <c r="N87" s="3"/>
      <c r="O87" s="3"/>
      <c r="P87" s="3"/>
      <c r="Q87" s="3"/>
      <c r="R87" s="3"/>
      <c r="S87" s="3"/>
      <c r="T87" s="3"/>
      <c r="U87" s="3"/>
      <c r="V87" s="3"/>
    </row>
    <row r="88" spans="2:22" s="34" customFormat="1" x14ac:dyDescent="0.35">
      <c r="G88" s="52"/>
      <c r="H88" s="19"/>
      <c r="I88" s="3"/>
      <c r="J88" s="3"/>
      <c r="K88" s="3"/>
      <c r="L88" s="3"/>
      <c r="M88" s="3"/>
      <c r="N88" s="3"/>
      <c r="O88" s="3"/>
      <c r="P88" s="3"/>
      <c r="Q88" s="3"/>
      <c r="R88" s="3"/>
      <c r="S88" s="3"/>
      <c r="T88" s="3"/>
      <c r="U88" s="3"/>
      <c r="V88" s="3"/>
    </row>
    <row r="89" spans="2:22" s="34" customFormat="1" x14ac:dyDescent="0.35">
      <c r="G89" s="52"/>
      <c r="H89" s="19"/>
      <c r="I89" s="3"/>
      <c r="J89" s="3"/>
      <c r="K89" s="3"/>
      <c r="L89" s="3"/>
      <c r="M89" s="3"/>
      <c r="N89" s="3"/>
      <c r="O89" s="3"/>
      <c r="P89" s="3"/>
      <c r="Q89" s="3"/>
      <c r="R89" s="3"/>
      <c r="S89" s="3"/>
      <c r="T89" s="3"/>
      <c r="U89" s="3"/>
      <c r="V89" s="3"/>
    </row>
    <row r="90" spans="2:22" s="34" customFormat="1" x14ac:dyDescent="0.35">
      <c r="G90" s="52"/>
      <c r="H90" s="19"/>
      <c r="I90" s="3"/>
      <c r="J90" s="3"/>
      <c r="K90" s="3"/>
      <c r="L90" s="3"/>
      <c r="M90" s="3"/>
      <c r="N90" s="3"/>
      <c r="O90" s="3"/>
      <c r="P90" s="3"/>
      <c r="Q90" s="3"/>
      <c r="R90" s="3"/>
      <c r="S90" s="3"/>
      <c r="T90" s="3"/>
      <c r="U90" s="3"/>
      <c r="V90" s="3"/>
    </row>
    <row r="91" spans="2:22" s="34" customFormat="1" x14ac:dyDescent="0.35">
      <c r="G91" s="52"/>
      <c r="H91" s="19"/>
      <c r="I91" s="3"/>
      <c r="J91" s="3"/>
      <c r="K91" s="3"/>
      <c r="L91" s="3"/>
      <c r="M91" s="3"/>
      <c r="N91" s="3"/>
      <c r="O91" s="3"/>
      <c r="P91" s="3"/>
      <c r="Q91" s="3"/>
      <c r="R91" s="3"/>
      <c r="S91" s="3"/>
      <c r="T91" s="3"/>
      <c r="U91" s="3"/>
      <c r="V91" s="3"/>
    </row>
    <row r="92" spans="2:22" s="34" customFormat="1" x14ac:dyDescent="0.35">
      <c r="G92" s="52"/>
      <c r="H92" s="19"/>
      <c r="I92" s="3"/>
      <c r="J92" s="3"/>
      <c r="K92" s="3"/>
      <c r="L92" s="3"/>
      <c r="M92" s="3"/>
      <c r="N92" s="3"/>
      <c r="O92" s="3"/>
      <c r="P92" s="3"/>
      <c r="Q92" s="3"/>
      <c r="R92" s="3"/>
      <c r="S92" s="3"/>
      <c r="T92" s="3"/>
      <c r="U92" s="3"/>
      <c r="V92" s="3"/>
    </row>
    <row r="93" spans="2:22" s="34" customFormat="1" x14ac:dyDescent="0.35">
      <c r="G93" s="49"/>
      <c r="H93" s="19"/>
      <c r="I93" s="3"/>
      <c r="J93" s="3"/>
      <c r="K93" s="3"/>
      <c r="L93" s="3"/>
      <c r="M93" s="3"/>
      <c r="N93" s="3"/>
      <c r="O93" s="3"/>
      <c r="P93" s="3"/>
      <c r="Q93" s="3"/>
      <c r="R93" s="3"/>
      <c r="S93" s="3"/>
      <c r="T93" s="3"/>
      <c r="U93" s="3"/>
      <c r="V93" s="3"/>
    </row>
    <row r="94" spans="2:22" s="34" customFormat="1" x14ac:dyDescent="0.35">
      <c r="G94" s="49"/>
      <c r="H94" s="19"/>
      <c r="I94" s="3"/>
      <c r="J94" s="3"/>
      <c r="K94" s="3"/>
      <c r="L94" s="3"/>
      <c r="M94" s="3"/>
      <c r="N94" s="3"/>
      <c r="O94" s="3"/>
      <c r="P94" s="3"/>
      <c r="Q94" s="3"/>
      <c r="R94" s="3"/>
      <c r="S94" s="3"/>
      <c r="T94" s="3"/>
      <c r="U94" s="3"/>
      <c r="V94" s="3"/>
    </row>
    <row r="95" spans="2:22" s="34" customFormat="1" x14ac:dyDescent="0.35">
      <c r="B95" s="3"/>
      <c r="C95" s="3"/>
      <c r="D95" s="3"/>
      <c r="E95" s="3"/>
      <c r="F95" s="3"/>
      <c r="G95" s="49"/>
      <c r="H95" s="19"/>
      <c r="I95" s="3"/>
      <c r="J95" s="3"/>
      <c r="K95" s="3"/>
      <c r="L95" s="3"/>
      <c r="M95" s="3"/>
      <c r="N95" s="3"/>
      <c r="O95" s="3"/>
      <c r="P95" s="3"/>
      <c r="Q95" s="3"/>
      <c r="R95" s="3"/>
      <c r="S95" s="3"/>
      <c r="T95" s="3"/>
      <c r="U95" s="3"/>
      <c r="V95" s="3"/>
    </row>
    <row r="96" spans="2:22" s="34" customFormat="1" x14ac:dyDescent="0.35">
      <c r="B96" s="3"/>
      <c r="C96" s="43"/>
      <c r="D96" s="3"/>
      <c r="E96" s="3"/>
      <c r="F96" s="3"/>
      <c r="G96" s="49"/>
      <c r="H96" s="19"/>
      <c r="I96" s="3"/>
      <c r="J96" s="3"/>
      <c r="K96" s="3"/>
      <c r="L96" s="3"/>
      <c r="M96" s="3"/>
      <c r="N96" s="3"/>
      <c r="O96" s="3"/>
      <c r="P96" s="3"/>
      <c r="Q96" s="3"/>
      <c r="R96" s="3"/>
      <c r="S96" s="3"/>
      <c r="T96" s="3"/>
      <c r="U96" s="3"/>
      <c r="V96" s="3"/>
    </row>
    <row r="97" spans="2:22" s="34" customFormat="1" x14ac:dyDescent="0.35">
      <c r="B97" s="3"/>
      <c r="C97" s="3"/>
      <c r="D97" s="3"/>
      <c r="E97" s="3"/>
      <c r="F97" s="3"/>
      <c r="G97" s="49"/>
      <c r="H97" s="19"/>
      <c r="I97" s="3"/>
      <c r="J97" s="3"/>
      <c r="K97" s="3"/>
      <c r="L97" s="3"/>
      <c r="M97" s="3"/>
      <c r="N97" s="3"/>
      <c r="O97" s="3"/>
      <c r="P97" s="3"/>
      <c r="Q97" s="3"/>
      <c r="R97" s="3"/>
      <c r="S97" s="3"/>
      <c r="T97" s="3"/>
      <c r="U97" s="3"/>
      <c r="V97" s="3"/>
    </row>
    <row r="98" spans="2:22" s="34" customFormat="1" x14ac:dyDescent="0.35">
      <c r="B98" s="3"/>
      <c r="C98" s="3"/>
      <c r="D98" s="3"/>
      <c r="E98" s="3"/>
      <c r="F98" s="3"/>
      <c r="G98" s="49"/>
      <c r="H98" s="19"/>
      <c r="I98" s="3"/>
      <c r="J98" s="3"/>
      <c r="K98" s="3"/>
      <c r="L98" s="3"/>
      <c r="M98" s="3"/>
      <c r="N98" s="3"/>
      <c r="O98" s="3"/>
      <c r="P98" s="3"/>
      <c r="Q98" s="3"/>
      <c r="R98" s="3"/>
      <c r="S98" s="3"/>
      <c r="T98" s="3"/>
      <c r="U98" s="3"/>
      <c r="V98" s="3"/>
    </row>
    <row r="99" spans="2:22" s="34" customFormat="1" x14ac:dyDescent="0.35">
      <c r="B99" s="3"/>
      <c r="C99" s="3"/>
      <c r="D99" s="3"/>
      <c r="E99" s="3"/>
      <c r="F99" s="3"/>
      <c r="G99" s="49"/>
      <c r="H99" s="19"/>
      <c r="I99" s="3"/>
      <c r="J99" s="3"/>
      <c r="K99" s="3"/>
      <c r="L99" s="3"/>
      <c r="M99" s="3"/>
      <c r="N99" s="3"/>
      <c r="O99" s="3"/>
      <c r="P99" s="3"/>
      <c r="Q99" s="3"/>
      <c r="R99" s="3"/>
      <c r="S99" s="3"/>
      <c r="T99" s="3"/>
      <c r="U99" s="3"/>
      <c r="V99" s="3"/>
    </row>
    <row r="100" spans="2:22" s="34" customFormat="1" x14ac:dyDescent="0.35">
      <c r="B100" s="3"/>
      <c r="C100" s="3"/>
      <c r="D100" s="3"/>
      <c r="E100" s="3"/>
      <c r="F100" s="3"/>
      <c r="G100" s="49"/>
      <c r="H100" s="19"/>
      <c r="I100" s="3"/>
      <c r="J100" s="3"/>
      <c r="K100" s="3"/>
      <c r="L100" s="3"/>
      <c r="M100" s="3"/>
      <c r="N100" s="3"/>
      <c r="O100" s="3"/>
      <c r="P100" s="3"/>
      <c r="Q100" s="3"/>
      <c r="R100" s="3"/>
      <c r="S100" s="3"/>
      <c r="T100" s="3"/>
      <c r="U100" s="3"/>
      <c r="V100" s="3"/>
    </row>
    <row r="101" spans="2:22" s="34" customFormat="1" x14ac:dyDescent="0.35">
      <c r="B101" s="3"/>
      <c r="C101" s="3"/>
      <c r="D101" s="3"/>
      <c r="E101" s="3"/>
      <c r="F101" s="3"/>
      <c r="G101" s="49"/>
      <c r="H101" s="19"/>
      <c r="I101" s="3"/>
      <c r="J101" s="3"/>
      <c r="K101" s="3"/>
      <c r="L101" s="3"/>
      <c r="M101" s="3"/>
      <c r="N101" s="3"/>
      <c r="O101" s="3"/>
      <c r="P101" s="3"/>
      <c r="Q101" s="3"/>
      <c r="R101" s="3"/>
      <c r="S101" s="3"/>
      <c r="T101" s="3"/>
      <c r="U101" s="3"/>
      <c r="V101" s="3"/>
    </row>
    <row r="102" spans="2:22" s="34" customFormat="1" x14ac:dyDescent="0.35">
      <c r="B102" s="3"/>
      <c r="C102" s="3"/>
      <c r="D102" s="3"/>
      <c r="E102" s="3"/>
      <c r="F102" s="3"/>
      <c r="G102" s="49"/>
      <c r="H102" s="19"/>
      <c r="I102" s="3"/>
      <c r="J102" s="3"/>
      <c r="K102" s="3"/>
      <c r="L102" s="3"/>
      <c r="M102" s="3"/>
      <c r="N102" s="3"/>
      <c r="O102" s="3"/>
      <c r="P102" s="3"/>
      <c r="Q102" s="3"/>
      <c r="R102" s="3"/>
      <c r="S102" s="3"/>
      <c r="T102" s="3"/>
      <c r="U102" s="3"/>
      <c r="V102" s="3"/>
    </row>
    <row r="103" spans="2:22" s="34" customFormat="1" x14ac:dyDescent="0.35">
      <c r="B103" s="3"/>
      <c r="C103" s="3"/>
      <c r="D103" s="3"/>
      <c r="E103" s="3"/>
      <c r="F103" s="3"/>
      <c r="G103" s="49"/>
      <c r="H103" s="19"/>
      <c r="I103" s="3"/>
      <c r="J103" s="3"/>
      <c r="K103" s="3"/>
      <c r="L103" s="3"/>
      <c r="M103" s="3"/>
      <c r="N103" s="3"/>
      <c r="O103" s="3"/>
      <c r="P103" s="3"/>
      <c r="Q103" s="3"/>
      <c r="R103" s="3"/>
      <c r="S103" s="3"/>
      <c r="T103" s="3"/>
      <c r="U103" s="3"/>
      <c r="V103" s="3"/>
    </row>
    <row r="104" spans="2:22" s="34" customFormat="1" x14ac:dyDescent="0.35">
      <c r="B104" s="3"/>
      <c r="C104" s="3"/>
      <c r="D104" s="3"/>
      <c r="E104" s="3"/>
      <c r="F104" s="3"/>
      <c r="G104" s="49"/>
      <c r="H104" s="19"/>
      <c r="I104" s="3"/>
      <c r="J104" s="3"/>
      <c r="K104" s="3"/>
      <c r="L104" s="3"/>
      <c r="M104" s="3"/>
      <c r="N104" s="3"/>
      <c r="O104" s="3"/>
      <c r="P104" s="3"/>
      <c r="Q104" s="3"/>
      <c r="R104" s="3"/>
      <c r="S104" s="3"/>
      <c r="T104" s="3"/>
      <c r="U104" s="3"/>
      <c r="V104" s="3"/>
    </row>
    <row r="105" spans="2:22" s="34" customFormat="1" x14ac:dyDescent="0.35">
      <c r="B105" s="3"/>
      <c r="C105" s="3"/>
      <c r="D105" s="3"/>
      <c r="E105" s="3"/>
      <c r="F105" s="3"/>
      <c r="G105" s="49"/>
      <c r="H105" s="19"/>
      <c r="I105" s="3"/>
      <c r="J105" s="3"/>
      <c r="K105" s="3"/>
      <c r="L105" s="3"/>
      <c r="M105" s="3"/>
      <c r="N105" s="3"/>
      <c r="O105" s="3"/>
      <c r="P105" s="3"/>
      <c r="Q105" s="3"/>
      <c r="R105" s="3"/>
      <c r="S105" s="3"/>
      <c r="T105" s="3"/>
      <c r="U105" s="3"/>
      <c r="V105" s="3"/>
    </row>
  </sheetData>
  <sheetProtection selectLockedCells="1"/>
  <mergeCells count="18">
    <mergeCell ref="A1:E1"/>
    <mergeCell ref="A3:E3"/>
    <mergeCell ref="A4:E4"/>
    <mergeCell ref="A5:E5"/>
    <mergeCell ref="A12:E12"/>
    <mergeCell ref="B14:E14"/>
    <mergeCell ref="B15:E15"/>
    <mergeCell ref="A25:E25"/>
    <mergeCell ref="N5:R5"/>
    <mergeCell ref="A9:E9"/>
    <mergeCell ref="A8:E8"/>
    <mergeCell ref="A7:E7"/>
    <mergeCell ref="N10:R10"/>
    <mergeCell ref="N13:R13"/>
    <mergeCell ref="A10:E10"/>
    <mergeCell ref="A11:E11"/>
    <mergeCell ref="A13:B13"/>
    <mergeCell ref="C13:E13"/>
  </mergeCells>
  <phoneticPr fontId="0" type="noConversion"/>
  <conditionalFormatting sqref="E17:E23">
    <cfRule type="expression" dxfId="1" priority="3">
      <formula>$D17:$D28&gt;0</formula>
    </cfRule>
  </conditionalFormatting>
  <conditionalFormatting sqref="D17:D23">
    <cfRule type="expression" dxfId="0" priority="1">
      <formula>$C17&gt;0</formula>
    </cfRule>
  </conditionalFormatting>
  <conditionalFormatting sqref="E24">
    <cfRule type="colorScale" priority="12">
      <colorScale>
        <cfvo type="num" val="#REF!"/>
        <cfvo type="num" val="#REF!"/>
        <cfvo type="num" val="$I$16"/>
        <color rgb="FFFF0000"/>
        <color rgb="FFFFC000"/>
        <color rgb="FF006600"/>
      </colorScale>
    </cfRule>
  </conditionalFormatting>
  <dataValidations xWindow="270" yWindow="474" count="8">
    <dataValidation type="list" allowBlank="1" showErrorMessage="1" errorTitle="Entry Error" error="Please select one of the four ratings in the drop-down list." sqref="C22" xr:uid="{00000000-0002-0000-0100-000000000000}">
      <formula1>$G$65:$G$68</formula1>
    </dataValidation>
    <dataValidation type="list" allowBlank="1" showErrorMessage="1" errorTitle="Entry Error" error="Please select one of the four ratings in the drop-down list." sqref="C17" xr:uid="{00000000-0002-0000-0100-000007000000}">
      <formula1>$G$40:$G$43</formula1>
    </dataValidation>
    <dataValidation type="list" allowBlank="1" showErrorMessage="1" errorTitle="Entry Error" error="Please select one of the four ratings in the drop-down list." sqref="C18" xr:uid="{00000000-0002-0000-0100-000008000000}">
      <formula1>$G$45:$G$48</formula1>
    </dataValidation>
    <dataValidation type="list" allowBlank="1" showErrorMessage="1" errorTitle="Entry Error" error="Please select one of the four ratings in the drop-down list." sqref="C19" xr:uid="{00000000-0002-0000-0100-000009000000}">
      <formula1>$G$50:$G$53</formula1>
    </dataValidation>
    <dataValidation type="list" allowBlank="1" showErrorMessage="1" errorTitle="Entry Error" error="Please select one of the four ratings in the drop-down list." sqref="C20" xr:uid="{00000000-0002-0000-0100-00000A000000}">
      <formula1>$G$55:$G$58</formula1>
    </dataValidation>
    <dataValidation type="list" allowBlank="1" showErrorMessage="1" errorTitle="Entry Error" error="Please select one of the four ratings in the drop-down list." sqref="C21" xr:uid="{00000000-0002-0000-0100-00000B000000}">
      <formula1>$G$60:$G$63</formula1>
    </dataValidation>
    <dataValidation type="list" allowBlank="1" showErrorMessage="1" errorTitle="Entry Error" error="Please select one of the four ratings in the drop-down list." sqref="C23" xr:uid="{00000000-0002-0000-0100-00000C000000}">
      <formula1>$G$70:$G$73</formula1>
    </dataValidation>
    <dataValidation type="decimal" operator="greaterThanOrEqual" allowBlank="1" showInputMessage="1" showErrorMessage="1" errorTitle="Invalid Entry" error="Please enter a weight increment greater than -10. (An increment of -10 lowers contribution of the factor to zero.)" promptTitle="Weight Increment" prompt="If factor is of average importance, leave blank._x000a__x000a_Positive increments raise importance by 10 percent each. Negative increments lower importance by 10 percent each." sqref="B17:B23" xr:uid="{00000000-0002-0000-0100-00000D000000}">
      <formula1>-10</formula1>
    </dataValidation>
  </dataValidations>
  <printOptions horizontalCentered="1" verticalCentered="1"/>
  <pageMargins left="0.59895833333333304" right="0.59895833333333304" top="1" bottom="1" header="0.5" footer="0.5"/>
  <pageSetup orientation="landscape" verticalDpi="300" r:id="rId1"/>
  <headerFooter alignWithMargins="0">
    <oddFooter>&amp;L&amp;9Copyright 2012 Shipley Associates&amp;C&amp;9&amp;D&amp;R&amp;9&amp;P</oddFooter>
  </headerFooter>
  <ignoredErrors>
    <ignoredError sqref="A17:A20 A22:A23" unlockedFormula="1"/>
    <ignoredError sqref="E24" evalError="1"/>
  </ignoredError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lcf76f155ced4ddcb4097134ff3c332f xmlns="f2466082-b6bf-4153-98c3-3c41e85fda18">
      <Terms xmlns="http://schemas.microsoft.com/office/infopath/2007/PartnerControls"/>
    </lcf76f155ced4ddcb4097134ff3c332f>
    <TaxCatchAll xmlns="dc808d36-874f-4b27-aec2-2fd64981792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392103-9300-4CED-B4C9-7B5EEC18F156}">
  <ds:schemaRefs>
    <ds:schemaRef ds:uri="http://purl.org/dc/terms/"/>
    <ds:schemaRef ds:uri="http://schemas.microsoft.com/office/2006/documentManagement/types"/>
    <ds:schemaRef ds:uri="http://schemas.openxmlformats.org/package/2006/metadata/core-properties"/>
    <ds:schemaRef ds:uri="http://www.w3.org/XML/1998/namespace"/>
    <ds:schemaRef ds:uri="http://schemas.microsoft.com/office/infopath/2007/PartnerControls"/>
    <ds:schemaRef ds:uri="http://schemas.microsoft.com/office/2006/metadata/properties"/>
    <ds:schemaRef ds:uri="http://purl.org/dc/dcmitype/"/>
    <ds:schemaRef ds:uri="http://purl.org/dc/elements/1.1/"/>
    <ds:schemaRef ds:uri="99350507-4738-4c41-a2be-5d89ece47f02"/>
  </ds:schemaRefs>
</ds:datastoreItem>
</file>

<file path=customXml/itemProps2.xml><?xml version="1.0" encoding="utf-8"?>
<ds:datastoreItem xmlns:ds="http://schemas.openxmlformats.org/officeDocument/2006/customXml" ds:itemID="{0DBBD3BE-4BC6-4612-97BF-00E49C567B0F}">
  <ds:schemaRefs>
    <ds:schemaRef ds:uri="http://schemas.microsoft.com/sharepoint/v3/contenttype/forms"/>
  </ds:schemaRefs>
</ds:datastoreItem>
</file>

<file path=customXml/itemProps3.xml><?xml version="1.0" encoding="utf-8"?>
<ds:datastoreItem xmlns:ds="http://schemas.openxmlformats.org/officeDocument/2006/customXml" ds:itemID="{E930803A-4691-4080-B499-DAB6FD4B9A2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Pwin Parameters</vt:lpstr>
      <vt:lpstr>Pwin Calculator</vt:lpstr>
      <vt:lpstr>'Pwin Calculator'!Print_Area</vt:lpstr>
      <vt:lpstr>'Pwin Calculator'!Print_Titles</vt:lpstr>
    </vt:vector>
  </TitlesOfParts>
  <Company>Shipley Associates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Shipley Bid Decision Calculator v1.0.1</dc:title>
  <dc:creator>Michael Humm &amp; David Wagner</dc:creator>
  <dc:description>Copyright 2013 Shipley Associates</dc:description>
  <cp:lastModifiedBy>Eric</cp:lastModifiedBy>
  <cp:lastPrinted>2012-12-05T18:53:42Z</cp:lastPrinted>
  <dcterms:created xsi:type="dcterms:W3CDTF">2001-02-05T22:00:16Z</dcterms:created>
  <dcterms:modified xsi:type="dcterms:W3CDTF">2022-03-05T15:35:57Z</dcterms:modified>
  <cp:category>Tools &amp; Templates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0x010100CA0DD38B69D9C94CB780A95DAD5D9FE8</vt:lpwstr>
  </property>
</Properties>
</file>