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Field Office &amp; Sub/FO &amp; Sub Expense Reports/DOL423 CFO/Templates/"/>
    </mc:Choice>
  </mc:AlternateContent>
  <xr:revisionPtr revIDLastSave="579" documentId="11_2559DECF85DD9DB758BAA48B2239C5AC3DA6E50F" xr6:coauthVersionLast="47" xr6:coauthVersionMax="47" xr10:uidLastSave="{C8334E55-0007-4B6B-BC8F-ACFF192AACF1}"/>
  <bookViews>
    <workbookView xWindow="-96" yWindow="-96" windowWidth="23232" windowHeight="12552" xr2:uid="{00000000-000D-0000-FFFF-FFFF00000000}"/>
  </bookViews>
  <sheets>
    <sheet name="Cash Flow" sheetId="5" r:id="rId1"/>
    <sheet name="Details" sheetId="7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</externalReferences>
  <definedNames>
    <definedName name="\a">'[1]CUADRO No 4'!#REF!</definedName>
    <definedName name="\c">#REF!</definedName>
    <definedName name="\i">#REF!</definedName>
    <definedName name="\P">#REF!</definedName>
    <definedName name="\r">#REF!</definedName>
    <definedName name="__pd1">[2]Rates!$J$24</definedName>
    <definedName name="__pd6">[2]Rates!$J$30</definedName>
    <definedName name="__tix1">[2]Rates!$J$40</definedName>
    <definedName name="__tix2">[2]Rates!$J$41</definedName>
    <definedName name="__tix6">[2]Rates!$J$47</definedName>
    <definedName name="_1">#REF!</definedName>
    <definedName name="_1998">#REF!</definedName>
    <definedName name="_1999">#REF!</definedName>
    <definedName name="_2">#REF!</definedName>
    <definedName name="_2000">#REF!</definedName>
    <definedName name="_2001">#REF!</definedName>
    <definedName name="_2002">#REF!</definedName>
    <definedName name="_3">#REF!</definedName>
    <definedName name="_4">#REF!</definedName>
    <definedName name="_5">#REF!</definedName>
    <definedName name="_6">#REF!</definedName>
    <definedName name="_7">#REF!</definedName>
    <definedName name="_8">#REF!</definedName>
    <definedName name="_fmi1">[3]PAGOFMI!$A$1:$L$51</definedName>
    <definedName name="_fmi2">[3]PAGOFMI!$P$1:$AA$51</definedName>
    <definedName name="_fmi3">[3]PAGORES!$AC$1:$AN$43</definedName>
    <definedName name="_fmi4">[3]PAGORES!$AP$1:$BA$44</definedName>
    <definedName name="_Order1" hidden="1">255</definedName>
    <definedName name="_Order2" hidden="1">255</definedName>
    <definedName name="_PIB01">[4]SUPUESTOS!#REF!</definedName>
    <definedName name="_PIB02">[5]SUPUESTOS!#REF!</definedName>
    <definedName name="_PIB95">[4]SUPUESTOS!$J$47</definedName>
    <definedName name="_PIB96">[4]SUPUESTOS!$K$47</definedName>
    <definedName name="_PIB97">[6]SUPUESTOS!$L$47</definedName>
    <definedName name="_PIB98">[6]SUPUESTOS!$M$47</definedName>
    <definedName name="_PIB99">[6]SUPUESTOS!$N$47</definedName>
    <definedName name="_RES9397">#REF!</definedName>
    <definedName name="_rez2">'[3]PAGOS VIGENCIA t'!$A$57:$AH$108</definedName>
    <definedName name="_rez3">[3]PAGORES!$A$1:$M$37</definedName>
    <definedName name="_rez4">[3]PAGORES!$O$1:$AN$43</definedName>
    <definedName name="_Table1_Out" hidden="1">[7]CARBOCOL!#REF!</definedName>
    <definedName name="_Table2_In2" hidden="1">[8]ANUAL1!#REF!</definedName>
    <definedName name="_Table2_Out" hidden="1">[7]CARBOCOL!#REF!</definedName>
    <definedName name="a">#REF!</definedName>
    <definedName name="A_2002">#REF!</definedName>
    <definedName name="A_CAPITAL">[9]Hoja4!$B$3:$O$34</definedName>
    <definedName name="A_DEPTOS">[9]Hoja4!$B$76:$N$108</definedName>
    <definedName name="A_impresión_IM">#REF!</definedName>
    <definedName name="A_MUNPIOS">[9]Hoja4!$B$39:$N$71</definedName>
    <definedName name="AAA">[10]proyecINGRESOS99!$L$1:$T$97</definedName>
    <definedName name="AEFormar">[11]Variables!$C$5</definedName>
    <definedName name="Ajustado">#REF!</definedName>
    <definedName name="almuerzo">[11]Variables!$C$18</definedName>
    <definedName name="alquilertableta">[11]Variables!$C$21</definedName>
    <definedName name="ANEXO_No.">#REF!</definedName>
    <definedName name="ANEXO_No._5">#REF!</definedName>
    <definedName name="ANP" localSheetId="1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ANP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ANPDH">'[12]Salary &amp; PR Tax'!#REF!</definedName>
    <definedName name="aprnac">[13]GASTOS!#REF!</definedName>
    <definedName name="APROPIACIONES_PAC_Y_REZAGO_1999___2000">#REF!</definedName>
    <definedName name="aprprp">[13]GASTOS!#REF!</definedName>
    <definedName name="_xlnm.Print_Area" localSheetId="1">Details!$A$1:$E$51</definedName>
    <definedName name="asigbas">#REF!</definedName>
    <definedName name="asigbasempu">#REF!</definedName>
    <definedName name="asigbasisten">#REF!</definedName>
    <definedName name="asigmen">#REF!</definedName>
    <definedName name="auxalm">#REF!</definedName>
    <definedName name="B">[14]LOTERIAS!$B$54:$P$54</definedName>
    <definedName name="BASE" hidden="1">'[15]BD Julio 2018'!$E$5:$DA$440</definedName>
    <definedName name="_xlnm.Database">#REF!</definedName>
    <definedName name="basnac">[13]GASTOS!#REF!</definedName>
    <definedName name="basprp">[13]GASTOS!#REF!</definedName>
    <definedName name="Board">'[16]Schedule E - Other'!$F$102</definedName>
    <definedName name="bonser">#REF!</definedName>
    <definedName name="Budget" localSheetId="0">#REF!</definedName>
    <definedName name="Budget">#REF!</definedName>
    <definedName name="cantidadtabletamatricula">[11]Variables!$C$8</definedName>
    <definedName name="CARBOCRECIM">#REF!</definedName>
    <definedName name="CARBOPESOS">#REF!</definedName>
    <definedName name="CARBOPIB">#REF!</definedName>
    <definedName name="castigocuadro2">'[17]CUA1-3'!$Y$1:$AD$93</definedName>
    <definedName name="CAT_00">'[18]94-03 Mil Corr '!#REF!</definedName>
    <definedName name="CAT_01">'[18]94-03 Mil Corr '!#REF!</definedName>
    <definedName name="CAT_02">'[18]94-03 Mil Corr '!#REF!</definedName>
    <definedName name="CAT_94">'[18]94-03 Mil Corr '!#REF!</definedName>
    <definedName name="CAT_95">'[18]94-03 Mil Corr '!#REF!</definedName>
    <definedName name="CAT_96">'[18]94-03 Mil Corr '!#REF!</definedName>
    <definedName name="CAT_97">'[18]94-03 Mil Corr '!#REF!</definedName>
    <definedName name="CAT_98">'[18]94-03 Mil Corr '!#REF!</definedName>
    <definedName name="CAT_99">'[18]94-03 Mil Corr '!#REF!</definedName>
    <definedName name="CEE_Consult">#REF!</definedName>
    <definedName name="CENIDH">#REF!</definedName>
    <definedName name="CENSO1964">#REF!</definedName>
    <definedName name="CENSO1973">#REF!</definedName>
    <definedName name="CENSO1985">#REF!</definedName>
    <definedName name="CENTROGESTOR">#REF!</definedName>
    <definedName name="CENTROGESTORDEPENDENCIA">#REF!</definedName>
    <definedName name="centrogestornuevo">#REF!</definedName>
    <definedName name="COD_DEP">#REF!</definedName>
    <definedName name="COD_DEPARTAMENTO">#REF!</definedName>
    <definedName name="COD_MUN">#REF!</definedName>
    <definedName name="CODIGO_DIVIPOLA">#REF!</definedName>
    <definedName name="COL_MENU">[19]RESUMEN!#REF!</definedName>
    <definedName name="COLUM00PESOS">#REF!</definedName>
    <definedName name="COLUM00PIB">#REF!</definedName>
    <definedName name="COLUM01PESOS">#REF!</definedName>
    <definedName name="COLUM01PIB">#REF!</definedName>
    <definedName name="COLUM02PESOS">#REF!</definedName>
    <definedName name="COLUM02PIB">#REF!</definedName>
    <definedName name="COLUM03PESOS">#REF!</definedName>
    <definedName name="COLUM03PIB">#REF!</definedName>
    <definedName name="COLUM04PESOS">#REF!</definedName>
    <definedName name="COLUM04PIB">#REF!</definedName>
    <definedName name="COLUM05PESOS">#REF!</definedName>
    <definedName name="COLUM05PIB">#REF!</definedName>
    <definedName name="COLUM06PESOS">#REF!</definedName>
    <definedName name="COLUM06PIB">#REF!</definedName>
    <definedName name="COLUM07PESOS">#REF!</definedName>
    <definedName name="COLUM07PIB">#REF!</definedName>
    <definedName name="COLUM98PESOS">#REF!</definedName>
    <definedName name="COLUM98PIB">#REF!</definedName>
    <definedName name="COLUM99PESOS">#REF!</definedName>
    <definedName name="COLUM99PIB">#REF!</definedName>
    <definedName name="COMPOSICION_DEL_PRESUPUESTO_DE_RENTAS_DE_LA_NACION">'[10]proyecINGRESOS99 (det)'!$V$98:$AH$145</definedName>
    <definedName name="Confis">#REF!</definedName>
    <definedName name="Consultants">#REF!</definedName>
    <definedName name="CPDH" localSheetId="1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CPDH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CRBLO00_">#REF!</definedName>
    <definedName name="CRBLO93_">#REF!</definedName>
    <definedName name="CRBLO94_">#REF!</definedName>
    <definedName name="CRBLO95_">#REF!</definedName>
    <definedName name="CRBLO96_">#REF!</definedName>
    <definedName name="CRBLO97_">#REF!</definedName>
    <definedName name="CRBLO98_">#REF!</definedName>
    <definedName name="CRBLO99_">#REF!</definedName>
    <definedName name="CRCOMB00_">#REF!</definedName>
    <definedName name="CRCOMB93_">#REF!</definedName>
    <definedName name="CRCOMB94_">#REF!</definedName>
    <definedName name="CRCOMB95_">#REF!</definedName>
    <definedName name="CRCOMB96_">#REF!</definedName>
    <definedName name="CRCOMB97_">#REF!</definedName>
    <definedName name="CRCOMB98_">#REF!</definedName>
    <definedName name="CRCOMB99_">#REF!</definedName>
    <definedName name="CRDEM00_">#REF!</definedName>
    <definedName name="CRDEM93_">#REF!</definedName>
    <definedName name="CRDEM94_">#REF!</definedName>
    <definedName name="CRDEM95_">#REF!</definedName>
    <definedName name="CRDEM96_">#REF!</definedName>
    <definedName name="CRDEM97_">#REF!</definedName>
    <definedName name="CRDEM98_">#REF!</definedName>
    <definedName name="CRDEM99_">#REF!</definedName>
    <definedName name="CREUF00_">#REF!</definedName>
    <definedName name="CREUF93_">#REF!</definedName>
    <definedName name="CREUF94_">#REF!</definedName>
    <definedName name="CREUF95_">#REF!</definedName>
    <definedName name="CREUF96_">#REF!</definedName>
    <definedName name="CREUF97_">#REF!</definedName>
    <definedName name="CREUF98_">#REF!</definedName>
    <definedName name="CREUF99_">#REF!</definedName>
    <definedName name="cruce">#REF!</definedName>
    <definedName name="CRUCE2">#REF!</definedName>
    <definedName name="CRUCE3">#REF!</definedName>
    <definedName name="Cuadro_2b1">[20]RESUOPE!$AE$150:$BB$224</definedName>
    <definedName name="CUADRO_No._1">#REF!</definedName>
    <definedName name="CUADRO_No._10">#REF!</definedName>
    <definedName name="CUADRO_No._12">#REF!</definedName>
    <definedName name="CUADRO_No._13">#REF!</definedName>
    <definedName name="Cuadro_No._1a">[21]Hoja1!$B$3:$E$38</definedName>
    <definedName name="Cuadro_No._1b">[21]Hoja2!$L$3:$O$23</definedName>
    <definedName name="Cuadro_No._1C">[21]Hoja1!$B$50:$E$88</definedName>
    <definedName name="CUADRO_No._2">#REF!</definedName>
    <definedName name="CUADRO_No._3">#REF!</definedName>
    <definedName name="CUADRO_No._4">#REF!</definedName>
    <definedName name="CUADRO_No._5">#REF!</definedName>
    <definedName name="CUADRO_No._6">#REF!</definedName>
    <definedName name="CUADRO_No._6A">#REF!</definedName>
    <definedName name="CUADRO_No._7">#REF!</definedName>
    <definedName name="CUADRO_No._8">#REF!</definedName>
    <definedName name="CUADRO_No._9">#REF!</definedName>
    <definedName name="Cuadro2b">[20]RESUOPE!$B$9:$AB$83</definedName>
    <definedName name="CUAINGRE">#REF!</definedName>
    <definedName name="Cwvu.ComparEneMar9697." hidden="1">'[22]Seguimiento CSF'!#REF!,'[22]Seguimiento CSF'!$A$30:$IV$34,'[22]Seguimiento CSF'!$A$104:$IV$104,'[22]Seguimiento CSF'!#REF!,'[22]Seguimiento CSF'!#REF!,'[22]Seguimiento CSF'!$A$124:$IV$125</definedName>
    <definedName name="Cwvu.EneFeb." hidden="1">'[22]Seguimiento CSF'!#REF!,'[22]Seguimiento CSF'!#REF!</definedName>
    <definedName name="Cwvu.EneMar." hidden="1">'[22]Seguimiento CSF'!#REF!,'[22]Seguimiento CSF'!$A$67:$IV$67,'[22]Seguimiento CSF'!#REF!,'[22]Seguimiento CSF'!#REF!</definedName>
    <definedName name="Cwvu.Formato._.Corto." hidden="1">'[22]Seguimiento CSF'!$A$11:$IV$12,'[22]Seguimiento CSF'!#REF!,'[22]Seguimiento CSF'!$A$45:$IV$46,'[22]Seguimiento CSF'!$A$48:$IV$57,'[22]Seguimiento CSF'!$A$61:$IV$63,'[22]Seguimiento CSF'!$A$65:$IV$66,'[22]Seguimiento CSF'!$A$72:$IV$82,'[22]Seguimiento CSF'!$A$89:$IV$92,'[22]Seguimiento CSF'!$A$114:$IV$116,'[22]Seguimiento CSF'!$A$118:$IV$122,'[22]Seguimiento CSF'!$A$129:$IV$132,'[22]Seguimiento CSF'!$A$134:$IV$135</definedName>
    <definedName name="Cwvu.Formato._.Total." hidden="1">'[22]Seguimiento CSF'!#REF!,'[22]Seguimiento CSF'!#REF!,'[22]Seguimiento CSF'!#REF!</definedName>
    <definedName name="d">'[23]Dolares ingresos'!$C$2:$U$48</definedName>
    <definedName name="dasdasd">'[1]CUADRO No 4'!#REF!</definedName>
    <definedName name="DBALANCEFMI2">#REF!</definedName>
    <definedName name="DboREGISTRO_LEY_617">#REF!</definedName>
    <definedName name="DDD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debajo98">#REF!</definedName>
    <definedName name="DEPAR_CA">[9]Hoja4!$B$3:$B$34</definedName>
    <definedName name="DEPAR_DEP">[9]Hoja4!$B$76:$B$108</definedName>
    <definedName name="DEPAR_MUN">[9]Hoja4!$B$39:$B$71</definedName>
    <definedName name="DEPENDENCIA">#REF!</definedName>
    <definedName name="DEPTO">#REF!</definedName>
    <definedName name="DEPTO_2002">#REF!</definedName>
    <definedName name="DETALLE_DE_LA_COMPOSICION_DEL_PRESUPUESTO_DE_RENTAS_DE_LA_NACION">[10]proyecINGRESOS99!$A$1:$I$97</definedName>
    <definedName name="DETALLE1996">#REF!</definedName>
    <definedName name="DETALLE1997">#REF!</definedName>
    <definedName name="deuda">#REF!</definedName>
    <definedName name="DEUDA_FLOTANTE_1990_1998">#REF!</definedName>
    <definedName name="diames">[11]Variables!$C$30</definedName>
    <definedName name="DIFERCOLUM00">#REF!</definedName>
    <definedName name="DIFERCOLUM01">#REF!</definedName>
    <definedName name="DIFERCOLUM02">#REF!</definedName>
    <definedName name="DIFERCOLUM99">#REF!</definedName>
    <definedName name="digitador">[11]Variables!$E$33</definedName>
    <definedName name="dos">#REF!</definedName>
    <definedName name="DPTOS">#REF!</definedName>
    <definedName name="ECOPETROLCRECIM">#REF!</definedName>
    <definedName name="ECOPETROLPESOS">#REF!</definedName>
    <definedName name="ECOPETROLPIB">#REF!</definedName>
    <definedName name="EDUCA_00">#REF!</definedName>
    <definedName name="EDUCA_01">#REF!</definedName>
    <definedName name="EDUCA_94">#REF!</definedName>
    <definedName name="EDUCA_95">#REF!</definedName>
    <definedName name="EDUCA_96">#REF!</definedName>
    <definedName name="EDUCA_97">#REF!</definedName>
    <definedName name="EDUCA_98">#REF!</definedName>
    <definedName name="EDUCA_99">#REF!</definedName>
    <definedName name="EGRAFICOS1">#REF!</definedName>
    <definedName name="EGRAFICOS2">#REF!</definedName>
    <definedName name="EGRAFICOS3">#REF!</definedName>
    <definedName name="ejcprp">[13]GASTOS!#REF!</definedName>
    <definedName name="eje">[13]GASTOS!#REF!</definedName>
    <definedName name="ELASTICIDAD_RECAUDO_IVA">#REF!</definedName>
    <definedName name="ELECTRICOCRECIM">#REF!</definedName>
    <definedName name="ELECTRICOPESOS">#REF!</definedName>
    <definedName name="ELECTRICOPIB">#REF!</definedName>
    <definedName name="emppln">#REF!</definedName>
    <definedName name="encima98">#REF!</definedName>
    <definedName name="ENEROP">#REF!</definedName>
    <definedName name="ENERORN">#REF!</definedName>
    <definedName name="ENERORP">#REF!</definedName>
    <definedName name="Equipment">'[24]Schedule D - Equipment'!$E$26</definedName>
    <definedName name="ESCENARIO__0">#REF!</definedName>
    <definedName name="ESCENARIO__1">#REF!</definedName>
    <definedName name="ESCENARIO_1__Ajustado">#REF!</definedName>
    <definedName name="ESCENARIO_2">#REF!</definedName>
    <definedName name="ESCENARIO_3">#REF!</definedName>
    <definedName name="ESCENARIO_NUEVO">#REF!</definedName>
    <definedName name="estimaciones">#REF!</definedName>
    <definedName name="FEBRERON">[25]VIGN!#REF!</definedName>
    <definedName name="FEBREROP">#REF!</definedName>
    <definedName name="FEBRERORN">#REF!</definedName>
    <definedName name="FEBRERORP">#REF!</definedName>
    <definedName name="ffff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FFPPT">#REF!</definedName>
    <definedName name="fg">#REF!</definedName>
    <definedName name="FNCCRECIM">#REF!</definedName>
    <definedName name="FNCPESOS">#REF!</definedName>
    <definedName name="FNCPIB">#REF!</definedName>
    <definedName name="FONDO">#REF!</definedName>
    <definedName name="FONDOS">[26]MYLIST!$C$2:$C$126</definedName>
    <definedName name="FONPET2000">#REF!</definedName>
    <definedName name="FONPET2001">#REF!</definedName>
    <definedName name="FONPET2002">#REF!</definedName>
    <definedName name="FONPET2003">#REF!</definedName>
    <definedName name="FONPET2004">#REF!</definedName>
    <definedName name="FONPET2005">#REF!</definedName>
    <definedName name="FONPETOTAL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FOPEA" localSheetId="1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FOPEA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FORZ_00">'[18]94-03 Mil Corr '!#REF!</definedName>
    <definedName name="FORZ_01_RESERVA">'[18]94-03 Mil Corr '!#REF!</definedName>
    <definedName name="FORZ_94">'[18]94-03 Mil Corr '!#REF!</definedName>
    <definedName name="FORZ_95">'[18]94-03 Mil Corr '!#REF!</definedName>
    <definedName name="FORZ_96">'[18]94-03 Mil Corr '!#REF!</definedName>
    <definedName name="FORZ_97">'[18]94-03 Mil Corr '!#REF!</definedName>
    <definedName name="FORZ_98">'[18]94-03 Mil Corr '!#REF!</definedName>
    <definedName name="FORZ_99">'[18]94-03 Mil Corr '!#REF!</definedName>
    <definedName name="FORZ_PG_02">'[18]94-03 Mil Corr '!#REF!</definedName>
    <definedName name="fsfsf">[25]VIGN!#REF!</definedName>
    <definedName name="fun">[13]GASTOS!#REF!</definedName>
    <definedName name="Fundamedios" localSheetId="1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Fundamedios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FUT">#REF!</definedName>
    <definedName name="futnac">[13]GASTOS!#REF!</definedName>
    <definedName name="futprp">[13]GASTOS!#REF!</definedName>
    <definedName name="GASOLINA_REGULAR">'[27]MODELO DE GASOLINA'!$A$8:$P$25</definedName>
    <definedName name="gasrep">#REF!</definedName>
    <definedName name="Gastos_generales">#REF!</definedName>
    <definedName name="GOBIERNOCRECIM">#REF!</definedName>
    <definedName name="GOBIERNOPESOS">#REF!</definedName>
    <definedName name="GOBIERNOPIB">#REF!</definedName>
    <definedName name="GREFORMASRESUM1">#REF!</definedName>
    <definedName name="GREFORMASRESUM2">#REF!</definedName>
    <definedName name="GREFORMASRESUM3">#REF!</definedName>
    <definedName name="horaasistente">[11]Variables!$C$32</definedName>
    <definedName name="horext">#REF!</definedName>
    <definedName name="Housing">'[12]Salary &amp; PR Tax'!#REF!</definedName>
    <definedName name="i">#REF!</definedName>
    <definedName name="IN00_">#REF!</definedName>
    <definedName name="IN93_">#REF!</definedName>
    <definedName name="IN94_">#REF!</definedName>
    <definedName name="IN95_">#REF!</definedName>
    <definedName name="IN96_">#REF!</definedName>
    <definedName name="IN97_">#REF!</definedName>
    <definedName name="IN98_">#REF!</definedName>
    <definedName name="IN99_">#REF!</definedName>
    <definedName name="INCGG00_">#REF!</definedName>
    <definedName name="INCGG93_">#REF!</definedName>
    <definedName name="INCGG94_">#REF!</definedName>
    <definedName name="INCGG95_">#REF!</definedName>
    <definedName name="INCGG96_">#REF!</definedName>
    <definedName name="INCGG97_">#REF!</definedName>
    <definedName name="INCGG98_">#REF!</definedName>
    <definedName name="INCGG99_">#REF!</definedName>
    <definedName name="INCSP00_">#REF!</definedName>
    <definedName name="INCSP93_">#REF!</definedName>
    <definedName name="INCSP94_">#REF!</definedName>
    <definedName name="INCSP95_">#REF!</definedName>
    <definedName name="INCSP96_">#REF!</definedName>
    <definedName name="INCSP97_">#REF!</definedName>
    <definedName name="INCSP98_">#REF!</definedName>
    <definedName name="INCSP99_">#REF!</definedName>
    <definedName name="INCTRAN00_">#REF!</definedName>
    <definedName name="INCTRAN93_">#REF!</definedName>
    <definedName name="INCTRAN94_">#REF!</definedName>
    <definedName name="INCTRAN95_">#REF!</definedName>
    <definedName name="INCTRAN96_">#REF!</definedName>
    <definedName name="INCTRAN97_">#REF!</definedName>
    <definedName name="INCTRAN98_">#REF!</definedName>
    <definedName name="INCTRAN99_">#REF!</definedName>
    <definedName name="inf">[28]Assumptions!$C$75</definedName>
    <definedName name="Inflation">'[29]Detail-1'!$J$2</definedName>
    <definedName name="ingapr">#REF!</definedName>
    <definedName name="ingbas">#REF!</definedName>
    <definedName name="ingest">#REF!</definedName>
    <definedName name="ingprg">#REF!</definedName>
    <definedName name="ingresos">#REF!</definedName>
    <definedName name="INGRESOS_DE_LA_NACION__1996_REAL__1997_ESTIMACION_Y_1998_PROYECCION">#REF!</definedName>
    <definedName name="ingresos97">#REF!</definedName>
    <definedName name="ingsol">#REF!</definedName>
    <definedName name="Interns">#REF!</definedName>
    <definedName name="INTYCOM00_">[14]SUPUESTOS!$O$70</definedName>
    <definedName name="INTYCOM94_">[14]SUPUESTOS!$I$70</definedName>
    <definedName name="INTYCOM95_">[14]SUPUESTOS!$J$70</definedName>
    <definedName name="INTYCOM96_">[14]SUPUESTOS!$K$70</definedName>
    <definedName name="INTYCOM97_">[14]SUPUESTOS!$L$70</definedName>
    <definedName name="INTYCOM98_">[14]SUPUESTOS!$M$70</definedName>
    <definedName name="INTYCOM99_">[14]SUPUESTOS!$N$70</definedName>
    <definedName name="ipys" localSheetId="1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ipys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IVAN">#REF!</definedName>
    <definedName name="jenn">#REF!</definedName>
    <definedName name="KBALANCEVSFMI">#REF!</definedName>
    <definedName name="kkkk">'[30]CUADRO No 4'!#REF!</definedName>
    <definedName name="LIBRE_00">#REF!</definedName>
    <definedName name="LIBRE_01_RESERVA">#REF!</definedName>
    <definedName name="LIBRE_02">#REF!</definedName>
    <definedName name="LIBRE_94">#REF!</definedName>
    <definedName name="LIBRE_95">#REF!</definedName>
    <definedName name="LIBRE_96">#REF!</definedName>
    <definedName name="LIBRE_97">#REF!</definedName>
    <definedName name="LIBRE_98">#REF!</definedName>
    <definedName name="LIBRE_99">#REF!</definedName>
    <definedName name="LIFER">'[31]Causación LFSB'!$D$2:$E$1343</definedName>
    <definedName name="LIN">[32]Hoja2!$A$1:$L$1501</definedName>
    <definedName name="liqui">#REF!</definedName>
    <definedName name="liquidacion97">'[33]LIQUI-TRANSF'!#REF!</definedName>
    <definedName name="llamadasdiarias">[11]Variables!$C$10</definedName>
    <definedName name="Local_Hire">#REF!</definedName>
    <definedName name="Local_Hires">#REF!</definedName>
    <definedName name="LPORTADASECTOR">#REF!</definedName>
    <definedName name="M">[34]Datos!$F$34</definedName>
    <definedName name="MACRO">#REF!</definedName>
    <definedName name="MARZON">[25]VIGN!#REF!</definedName>
    <definedName name="MARZOP">#REF!</definedName>
    <definedName name="MARZORN">#REF!</definedName>
    <definedName name="MARZORP">#REF!</definedName>
    <definedName name="Merit">'[29]Detail-1'!$J$1</definedName>
    <definedName name="METAAFPDCC">#REF!</definedName>
    <definedName name="METAPDCC">#REF!</definedName>
    <definedName name="METASAFPDCC">#REF!</definedName>
    <definedName name="METASAFPDM">#REF!</definedName>
    <definedName name="METASPDCC">#REF!</definedName>
    <definedName name="METASPDM">'[35]LISTA MPD'!$A$2:$A$616</definedName>
    <definedName name="METROCRECIM">#REF!</definedName>
    <definedName name="METROPESOS">#REF!</definedName>
    <definedName name="METROPIB">#REF!</definedName>
    <definedName name="mincelular">[11]Variables!$C$20</definedName>
    <definedName name="MINISTRO">'[36]CUA1-3'!#REF!</definedName>
    <definedName name="MUNICIPIO">#REF!</definedName>
    <definedName name="NACION">#REF!</definedName>
    <definedName name="nivel">#REF!</definedName>
    <definedName name="NOINCLUIDCRECIM">#REF!</definedName>
    <definedName name="NOINCLUIPESOS">#REF!</definedName>
    <definedName name="nomniv">#REF!</definedName>
    <definedName name="NOVDEUDAFLOTANTE">#REF!</definedName>
    <definedName name="NOVEVOLREZAGO">#REF!</definedName>
    <definedName name="OE97B">#REF!</definedName>
    <definedName name="OEPROY97">#REF!</definedName>
    <definedName name="OPEN">'[37]OPENT 11-abr'!$E$2:$BQ$1737</definedName>
    <definedName name="opetesore00">#REF!</definedName>
    <definedName name="opetesore98">#REF!</definedName>
    <definedName name="opetesore99">#REF!</definedName>
    <definedName name="P">'[23]Pesos ingresos'!$C$2:$U$111</definedName>
    <definedName name="padf01">'[38]Level of Effort'!$C$14</definedName>
    <definedName name="padf02">'[38]Level of Effort'!$C$15</definedName>
    <definedName name="padf03">'[38]Level of Effort'!$C$16</definedName>
    <definedName name="padf04">'[38]Level of Effort'!$C$17</definedName>
    <definedName name="padf05">[38]Rates!$J$23</definedName>
    <definedName name="PAGOPROM00_">#REF!</definedName>
    <definedName name="PAGOPROM93_">#REF!</definedName>
    <definedName name="PAGOPROM94_">#REF!</definedName>
    <definedName name="PAGOPROM95_">#REF!</definedName>
    <definedName name="PAGOPROM96_">#REF!</definedName>
    <definedName name="PAGOPROM97_">#REF!</definedName>
    <definedName name="PAGOPROM98_">#REF!</definedName>
    <definedName name="PAGOPROM99_">#REF!</definedName>
    <definedName name="PARTICIPACIONES_1997___2000">'[36]CUA1-3'!#REF!</definedName>
    <definedName name="PARTMUN00_">[14]SUPUESTOS!$O$6</definedName>
    <definedName name="PARTMUN93_">[14]SUPUESTOS!$H$6</definedName>
    <definedName name="PARTMUN94_">[14]SUPUESTOS!$I$6</definedName>
    <definedName name="PARTMUN95_">[14]SUPUESTOS!$J$6</definedName>
    <definedName name="PARTMUN96_">[14]SUPUESTOS!$K$6</definedName>
    <definedName name="PARTMUN97_">[14]SUPUESTOS!$L$6</definedName>
    <definedName name="PARTMUN98_">[14]SUPUESTOS!$M$6</definedName>
    <definedName name="PARTMUN99_">[14]SUPUESTOS!$N$6</definedName>
    <definedName name="Pcpta_00">[39]Pob!#REF!</definedName>
    <definedName name="Pcpta_01">[39]Pob!#REF!</definedName>
    <definedName name="Pcpta_02">[39]Pob!#REF!</definedName>
    <definedName name="Pcpta_99">[39]Pob!#REF!</definedName>
    <definedName name="PERNOTEC00_">#REF!</definedName>
    <definedName name="PERNOTEC93_">#REF!</definedName>
    <definedName name="PERNOTEC94_">#REF!</definedName>
    <definedName name="PERNOTEC95_">#REF!</definedName>
    <definedName name="PERNOTEC96_">#REF!</definedName>
    <definedName name="PERNOTEC97_">#REF!</definedName>
    <definedName name="PERNOTEC98_">#REF!</definedName>
    <definedName name="PERNOTEC99_">#REF!</definedName>
    <definedName name="PEROTRA00_">#REF!</definedName>
    <definedName name="PEROTRA93_">#REF!</definedName>
    <definedName name="PEROTRA94_">#REF!</definedName>
    <definedName name="PEROTRA95_">#REF!</definedName>
    <definedName name="PEROTRA96_">#REF!</definedName>
    <definedName name="PEROTRA97_">#REF!</definedName>
    <definedName name="PEROTRA98_">#REF!</definedName>
    <definedName name="PEROTRA99_">#REF!</definedName>
    <definedName name="PERTRANS00_">#REF!</definedName>
    <definedName name="PERTRANS93_">#REF!</definedName>
    <definedName name="PERTRANS94_">#REF!</definedName>
    <definedName name="PERTRANS95_">#REF!</definedName>
    <definedName name="PERTRANS96_">#REF!</definedName>
    <definedName name="PERTRANS97_">#REF!</definedName>
    <definedName name="PERTRANS98_">#REF!</definedName>
    <definedName name="PERTRANS99_">#REF!</definedName>
    <definedName name="PIB">#REF!</definedName>
    <definedName name="PIB00">[5]SUPUESTOS!$O$47</definedName>
    <definedName name="PIB00_">[14]SUPUESTOS!$O$19</definedName>
    <definedName name="PIB93_">[14]SUPUESTOS!$H$19</definedName>
    <definedName name="PIB94_">[14]SUPUESTOS!$I$19</definedName>
    <definedName name="PIB95_">[14]SUPUESTOS!$J$19</definedName>
    <definedName name="PIB96_">[14]SUPUESTOS!$K$19</definedName>
    <definedName name="PIB97_">[14]SUPUESTOS!$L$19</definedName>
    <definedName name="PIB98_">[14]SUPUESTOS!$M$19</definedName>
    <definedName name="PIB99_">[14]SUPUESTOS!$N$19</definedName>
    <definedName name="PICN_00_REAF_98">#REF!</definedName>
    <definedName name="PICN_01_RESERVA">#REF!</definedName>
    <definedName name="PICN_94">#REF!</definedName>
    <definedName name="PICN_95">#REF!</definedName>
    <definedName name="PICN_96">#REF!</definedName>
    <definedName name="PICN_97">#REF!</definedName>
    <definedName name="PICN_98">#REF!</definedName>
    <definedName name="PICN_99_REF_97">#REF!</definedName>
    <definedName name="PLANNER">'[40]Planner 21-nov-19'!$B$5:$R$134</definedName>
    <definedName name="PORC_LIBRE_00">'[18]94-03 Mil Corr '!#REF!</definedName>
    <definedName name="PORC_LIBRE_01">'[18]94-03 Mil Corr '!#REF!</definedName>
    <definedName name="PORC_LIBRE_02">'[18]94-03 Mil Corr '!#REF!</definedName>
    <definedName name="PORC_LIBRE_94">'[18]94-03 Mil Corr '!#REF!</definedName>
    <definedName name="PORC_LIBRE_95">'[18]94-03 Mil Corr '!#REF!</definedName>
    <definedName name="PORC_LIBRE_96">'[18]94-03 Mil Corr '!#REF!</definedName>
    <definedName name="PORC_LIBRE_97">'[18]94-03 Mil Corr '!#REF!</definedName>
    <definedName name="PORC_LIBRE_98">'[18]94-03 Mil Corr '!#REF!</definedName>
    <definedName name="PORC_LIBRE_99">'[18]94-03 Mil Corr '!#REF!</definedName>
    <definedName name="POSPRE">#REF!</definedName>
    <definedName name="post.difo3" localSheetId="1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post.difo3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post05" localSheetId="1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post05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postdif01">[38]Rates!$J$34</definedName>
    <definedName name="postdif02">[38]Rates!$J$65</definedName>
    <definedName name="PPTO97">#REF!</definedName>
    <definedName name="PRESUPUESTO__1998">#REF!</definedName>
    <definedName name="prgnac">[13]GASTOS!#REF!</definedName>
    <definedName name="prgprp">[13]GASTOS!#REF!</definedName>
    <definedName name="primant">#REF!</definedName>
    <definedName name="primnav">#REF!</definedName>
    <definedName name="primser">#REF!</definedName>
    <definedName name="primtec">#REF!</definedName>
    <definedName name="primvac">#REF!</definedName>
    <definedName name="Print_Titles_MI" localSheetId="1">#REF!</definedName>
    <definedName name="Print_Titles_MI">#REF!</definedName>
    <definedName name="PRIO">#REF!</definedName>
    <definedName name="PROPIOS">#REF!</definedName>
    <definedName name="prynac">[13]GASTOS!#REF!</definedName>
    <definedName name="pryprp">[13]GASTOS!#REF!</definedName>
    <definedName name="pyd">'[23]P+D ingresos'!$C$1:$U$111</definedName>
    <definedName name="rango1">#REF!</definedName>
    <definedName name="RDPTO">#REF!</definedName>
    <definedName name="re">#REF!</definedName>
    <definedName name="RECALCULO">[19]RESUMEN!#REF!</definedName>
    <definedName name="RECAPRO00_">#REF!</definedName>
    <definedName name="RECAPRO93_">#REF!</definedName>
    <definedName name="RECAPRO94_">#REF!</definedName>
    <definedName name="RECAPRO95_">#REF!</definedName>
    <definedName name="RECAPRO96_">#REF!</definedName>
    <definedName name="RECAPRO97_">#REF!</definedName>
    <definedName name="RECAPRO98_">#REF!</definedName>
    <definedName name="RECAPRO99_">#REF!</definedName>
    <definedName name="recing">#REF!</definedName>
    <definedName name="recnac">[13]GASTOS!#REF!</definedName>
    <definedName name="recprp">[13]GASTOS!#REF!</definedName>
    <definedName name="refrigerio">[11]Variables!$C$17</definedName>
    <definedName name="reg">[13]GASTOS!#REF!</definedName>
    <definedName name="REGALIAS00_">[14]SUPUESTOS!$O$74</definedName>
    <definedName name="REGALIAS93_">[14]SUPUESTOS!$H$74</definedName>
    <definedName name="REGALIAS94_">[14]SUPUESTOS!$I$74</definedName>
    <definedName name="REGALIAS95_">[14]SUPUESTOS!$J$74</definedName>
    <definedName name="REGALIAS96_">[14]SUPUESTOS!$K$74</definedName>
    <definedName name="REGALIAS97_">[14]SUPUESTOS!$L$74</definedName>
    <definedName name="REGALIAS98_">[14]SUPUESTOS!$M$74</definedName>
    <definedName name="REGALIAS99_">[14]SUPUESTOS!$N$74</definedName>
    <definedName name="REGIONALCRECIM">#REF!</definedName>
    <definedName name="REGIONALPESOS">#REF!</definedName>
    <definedName name="REGIONALPIB">#REF!</definedName>
    <definedName name="Rep_ing_02">[39]Pob!#REF!</definedName>
    <definedName name="REQUERIDOS">'[33]LIQUI-TRANSF'!#REF!</definedName>
    <definedName name="reservasalon">[11]Variables!$C$19</definedName>
    <definedName name="RESTO">#REF!</definedName>
    <definedName name="RESTOCRECIM">#REF!</definedName>
    <definedName name="RESTOPESOS">#REF!</definedName>
    <definedName name="RESTOPIB">#REF!</definedName>
    <definedName name="RESUMIDO">#REF!</definedName>
    <definedName name="rezago">#REF!</definedName>
    <definedName name="Rwvu.ComparEneMar9697." hidden="1">'[22]Seguimiento CSF'!$L$1:$N$65536,'[22]Seguimiento CSF'!$R$1:$BU$65536</definedName>
    <definedName name="Rwvu.EneFeb." hidden="1">'[22]Seguimiento CSF'!$L$1:$N$65536,'[22]Seguimiento CSF'!$Q$1:$AD$65536</definedName>
    <definedName name="Rwvu.Formato._.Corto." hidden="1">'[22]Seguimiento CSF'!$L$1:$N$65536,'[22]Seguimiento CSF'!$R$1:$AD$65536,'[22]Seguimiento CSF'!$AH$1:$AY$65536,'[22]Seguimiento CSF'!$BA$1:$BH$65536,'[22]Seguimiento CSF'!$BJ$1:$BQ$65536,'[22]Seguimiento CSF'!$BS$1:$CF$65536</definedName>
    <definedName name="Rwvu.OPEF._.96." hidden="1">'[22]Resumen OPEF'!$E$1:$J$65536,'[22]Resumen OPEF'!$M$1:$Q$65536</definedName>
    <definedName name="Rwvu.OPEF._.97." hidden="1">'[22]Resumen OPEF'!$C$1:$C$65536,'[22]Resumen OPEF'!#REF!,'[22]Resumen OPEF'!$K$1:$Q$65536</definedName>
    <definedName name="SALIR">[19]RESUMEN!#REF!</definedName>
    <definedName name="sdf" localSheetId="1">#REF!</definedName>
    <definedName name="sdf">#REF!</definedName>
    <definedName name="secing">#REF!</definedName>
    <definedName name="SEGSOCIALCRECIM">#REF!</definedName>
    <definedName name="SEGSOCIALPESOS">#REF!</definedName>
    <definedName name="SEGSOCIALPIB">#REF!</definedName>
    <definedName name="SENDEMANDA00_">#REF!</definedName>
    <definedName name="SENDEMANDA93_">#REF!</definedName>
    <definedName name="SENDEMANDA94_">#REF!</definedName>
    <definedName name="SENDEMANDA95_">#REF!</definedName>
    <definedName name="SENDEMANDA96_">#REF!</definedName>
    <definedName name="SENDEMANDA97_">#REF!</definedName>
    <definedName name="SENDEMANDA98_">#REF!</definedName>
    <definedName name="SENDEMANDA99_">#REF!</definedName>
    <definedName name="SENPERDIDAS00_">#REF!</definedName>
    <definedName name="SENPERDIDAS93_">#REF!</definedName>
    <definedName name="SENPERDIDAS94_">#REF!</definedName>
    <definedName name="SENPERDIDAS95_">#REF!</definedName>
    <definedName name="SENPERDIDAS96_">#REF!</definedName>
    <definedName name="SENPERDIDAS97_">#REF!</definedName>
    <definedName name="SENPERDIDAS98_">#REF!</definedName>
    <definedName name="SENPERDIDAS99_">#REF!</definedName>
    <definedName name="SENRECAUDO00_">#REF!</definedName>
    <definedName name="SENRECAUDO93_">#REF!</definedName>
    <definedName name="SENRECAUDO94_">#REF!</definedName>
    <definedName name="SENRECAUDO95_">#REF!</definedName>
    <definedName name="SENRECAUDO96_">#REF!</definedName>
    <definedName name="SENRECAUDO97_">#REF!</definedName>
    <definedName name="SENRECAUDO98_">#REF!</definedName>
    <definedName name="SENRECAUDO99_">#REF!</definedName>
    <definedName name="SENSUPERAVIT00_">#REF!</definedName>
    <definedName name="SENSUPERAVIT93_">#REF!</definedName>
    <definedName name="SENSUPERAVIT94_">#REF!</definedName>
    <definedName name="SENSUPERAVIT95_">#REF!</definedName>
    <definedName name="SENSUPERAVIT96_">#REF!</definedName>
    <definedName name="SENSUPERAVIT97_">#REF!</definedName>
    <definedName name="SENSUPERAVIT98_">#REF!</definedName>
    <definedName name="SENSUPERAVIT99_">#REF!</definedName>
    <definedName name="SENTARIFA00_">#REF!</definedName>
    <definedName name="SENTARIFA93_">#REF!</definedName>
    <definedName name="SENTARIFA94_">#REF!</definedName>
    <definedName name="SENTARIFA95_">#REF!</definedName>
    <definedName name="SENTARIFA96_">#REF!</definedName>
    <definedName name="SENTARIFA97_">#REF!</definedName>
    <definedName name="SENTARIFA98_">#REF!</definedName>
    <definedName name="SENTARIFA99_">#REF!</definedName>
    <definedName name="SENVARDEM00_">#REF!</definedName>
    <definedName name="SENVARDEM93_">#REF!</definedName>
    <definedName name="SENVARDEM94_">#REF!</definedName>
    <definedName name="SENVARDEM95_">#REF!</definedName>
    <definedName name="SENVARDEM96_">#REF!</definedName>
    <definedName name="SENVARDEM97_">#REF!</definedName>
    <definedName name="SENVARDEM98_">#REF!</definedName>
    <definedName name="SENVARDEM99_">#REF!</definedName>
    <definedName name="SENVENTAS00_">#REF!</definedName>
    <definedName name="SENVENTAS93_">#REF!</definedName>
    <definedName name="SENVENTAS94_">#REF!</definedName>
    <definedName name="SENVENTAS95_">#REF!</definedName>
    <definedName name="SENVENTAS96_">#REF!</definedName>
    <definedName name="SENVENTAS97_">#REF!</definedName>
    <definedName name="SENVENTAS98_">#REF!</definedName>
    <definedName name="SENVENTAS99_">#REF!</definedName>
    <definedName name="SERVICIODEUDANACION">'[41]DETALLE-DEUDA'!#REF!</definedName>
    <definedName name="Servicios_personales">#REF!</definedName>
    <definedName name="SGP_PG_02">#REF!</definedName>
    <definedName name="SITFID95_">[14]SUPUESTOS!$J$7</definedName>
    <definedName name="SITFIS00_">[14]SUPUESTOS!$O$7</definedName>
    <definedName name="SITFIS93_">[14]SUPUESTOS!$H$7</definedName>
    <definedName name="SITFIS94_">[14]SUPUESTOS!$I$7</definedName>
    <definedName name="SITFIS95_">[14]SUPUESTOS!$J$7</definedName>
    <definedName name="SITFIS96_">[14]SUPUESTOS!$K$7</definedName>
    <definedName name="SITFIS97_">[14]SUPUESTOS!$L$7</definedName>
    <definedName name="SITFIS98_">[14]SUPUESTOS!$M$7</definedName>
    <definedName name="SITFIS99_">[14]SUPUESTOS!$N$7</definedName>
    <definedName name="solnac">[13]GASTOS!#REF!</definedName>
    <definedName name="solprp">[13]GASTOS!#REF!</definedName>
    <definedName name="SORTEADO">#REF!</definedName>
    <definedName name="subtrn">#REF!</definedName>
    <definedName name="talleristas">[11]Variables!$C$7</definedName>
    <definedName name="TCP00_">#REF!</definedName>
    <definedName name="TCP93_">#REF!</definedName>
    <definedName name="TCP94_">#REF!</definedName>
    <definedName name="TCP95_">#REF!</definedName>
    <definedName name="TCP96_">#REF!</definedName>
    <definedName name="TCP97_">#REF!</definedName>
    <definedName name="TCP98_">#REF!</definedName>
    <definedName name="TCP99_">#REF!</definedName>
    <definedName name="TELECOMCRECIM">#REF!</definedName>
    <definedName name="TELECOMPESOS">#REF!</definedName>
    <definedName name="TELECOMPIB">#REF!</definedName>
    <definedName name="Títulos_a_imprimir_IM">#REF!</definedName>
    <definedName name="TODO">#REF!</definedName>
    <definedName name="TOTAL">#REF!</definedName>
    <definedName name="tothorext">#REF!</definedName>
    <definedName name="totindemvac">#REF!</definedName>
    <definedName name="tranferencias">#REF!</definedName>
    <definedName name="transporte1">[11]Variables!$C$15</definedName>
    <definedName name="TRANSTOT00_">[14]SUPUESTOS!$O$5</definedName>
    <definedName name="TRANSTOT93_">[14]SUPUESTOS!$H$5</definedName>
    <definedName name="TRANSTOT94_">[14]SUPUESTOS!$I$5</definedName>
    <definedName name="TRANSTOT95_">[14]SUPUESTOS!$J$5</definedName>
    <definedName name="TRANSTOT96_">[14]SUPUESTOS!$K$5</definedName>
    <definedName name="TRANSTOT97_">[14]SUPUESTOS!$L$5</definedName>
    <definedName name="TRANSTOT98_">[14]SUPUESTOS!$M$5</definedName>
    <definedName name="TRANSTOT99_">[14]SUPUESTOS!$N$5</definedName>
    <definedName name="Travel_Regional" localSheetId="1">#REF!</definedName>
    <definedName name="Travel_Regional">#REF!</definedName>
    <definedName name="Travel_WDC">#REF!</definedName>
    <definedName name="uno">#REF!</definedName>
    <definedName name="USAID616Codes" localSheetId="0">#REF!</definedName>
    <definedName name="USAID616Codes">#REF!</definedName>
    <definedName name="v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valor">#REF!</definedName>
    <definedName name="valorimpreso">[11]Variables!$C$16</definedName>
    <definedName name="valorpuntoIng">#REF!</definedName>
    <definedName name="VARIACIONES">#REF!</definedName>
    <definedName name="VARPIB00_">[14]SUPUESTOS!$O$20</definedName>
    <definedName name="VARPIB93_">[14]SUPUESTOS!$H$20</definedName>
    <definedName name="VARPIB94_">[14]SUPUESTOS!$I$20</definedName>
    <definedName name="VARPIB95_">[14]SUPUESTOS!$J$20</definedName>
    <definedName name="VARPIB96_">[14]SUPUESTOS!$K$20</definedName>
    <definedName name="VARPIB97_">[14]SUPUESTOS!$L$20</definedName>
    <definedName name="VARPIB98_">[14]SUPUESTOS!$M$20</definedName>
    <definedName name="VARPIB99_">[14]SUPUESTOS!$N$20</definedName>
    <definedName name="VIGENCIA">'[3]PAGOS VIGENCIA t'!$A$2:$AS$55</definedName>
    <definedName name="Vigencia_1999">#REF!</definedName>
    <definedName name="Vigencia_2000">#REF!</definedName>
    <definedName name="Vigencia_2001">#REF!</definedName>
    <definedName name="Vigencia_2002">#REF!</definedName>
    <definedName name="warm.mali" localSheetId="1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warm.mali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wrn.mali." localSheetId="1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wrn.mali.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wvu.ComparEneMar9697." hidden="1">{TRUE,TRUE,-2.75,-17.75,483,255,FALSE,TRUE,TRUE,TRUE,0,43,#N/A,1,#N/A,9.08333333333333,25.6923076923077,1,FALSE,FALSE,3,TRUE,1,FALSE,75,"Swvu.ComparEneMar9697.","ACwvu.ComparEneMar9697.",#N/A,FALSE,FALSE,1.78,0.787401575,0.74,0.984251969,2,"","",FALSE,FALSE,FALSE,FALSE,1,#N/A,1,1,"=R3C3:R96C47",FALSE,"Rwvu.ComparEneMar9697.","Cwvu.ComparEneMar9697.",FALSE,FALSE,FALSE,1,300,300,FALSE,FALSE,TRUE,TRUE,TRUE}</definedName>
    <definedName name="wvu.EneFeb.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wvu.Formato._.Corto.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wvu.Formato._.Total." hidden="1">{TRUE,TRUE,-2.75,-17,483,276.75,FALSE,TRUE,TRUE,TRUE,0,2,#N/A,1,#N/A,12.5875,23.9230769230769,1,FALSE,FALSE,3,TRUE,1,FALSE,75,"Swvu.Formato._.Total.","ACwvu.Formato._.Total.",#N/A,FALSE,FALSE,1.78,0.787401575,0.74,0.984251969,1,"","",FALSE,FALSE,FALSE,FALSE,1,#N/A,1,1,"=R3C3:R149C30",FALSE,"Rwvu.Formato._.Total.","Cwvu.Formato._.Total.",FALSE,FALSE,FALSE,5,300,300,FALSE,FALSE,TRUE,TRUE,TRUE}</definedName>
    <definedName name="wvu.OPEF._.96." hidden="1">{TRUE,TRUE,-2.75,-17.75,483,276.75,FALSE,TRUE,TRUE,TRUE,0,1,#N/A,4,#N/A,8.57142857142857,19.625,1,FALSE,FALSE,3,TRUE,1,FALSE,75,"Swvu.OPEF._.96.","ACwvu.OPEF._.96.",#N/A,FALSE,FALSE,1.88,0.787401575,0.39,0.6,1,"","",FALSE,FALSE,FALSE,FALSE,1,#N/A,1,1,"=R4C2:R117C13",FALSE,"Rwvu.OPEF._.96.",#N/A,FALSE,FALSE,FALSE,5,300,300,FALSE,FALSE,TRUE,TRUE,TRUE}</definedName>
    <definedName name="wvu.OPEF._.97." hidden="1">{TRUE,TRUE,-2.75,-17.75,483,276.75,FALSE,TRUE,TRUE,TRUE,0,2,#N/A,1,#N/A,6.24489795918367,20,1,FALSE,FALSE,3,TRUE,1,FALSE,75,"Swvu.OPEF._.97.","ACwvu.OPEF._.97.",#N/A,FALSE,FALSE,1.88,0.787401575,0.39,1.56,1,"","",FALSE,FALSE,FALSE,FALSE,1,#N/A,1,1,"=R4C2:R117C9",FALSE,"Rwvu.OPEF._.97.",#N/A,FALSE,FALSE,FALSE,5,300,300,FALSE,FALSE,TRUE,TRUE,TRUE}</definedName>
    <definedName name="xxx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Z">'[42]CUA1-3'!#REF!</definedName>
    <definedName name="Z_91E95AE5_DCC2_11D0_8DF1_00805F2A002D_.wvu.Cols" hidden="1">'[22]Seguimiento CSF'!$L$1:$N$65536,'[22]Seguimiento CSF'!$R$1:$BU$65536</definedName>
    <definedName name="Z_91E95AE6_DCC2_11D0_8DF1_00805F2A002D_.wvu.Cols" hidden="1">'[22]Seguimiento CSF'!$L$1:$N$65536,'[22]Seguimiento CSF'!$Q$1:$AD$65536</definedName>
    <definedName name="Z_91E95AE6_DCC2_11D0_8DF1_00805F2A002D_.wvu.Rows" hidden="1">'[22]Seguimiento CSF'!#REF!,'[22]Seguimiento CSF'!#REF!</definedName>
    <definedName name="Z_91E95AE7_DCC2_11D0_8DF1_00805F2A002D_.wvu.Cols" hidden="1">'[22]Resumen MES OPEF'!$C$1:$C$65536,'[22]Resumen MES OPEF'!$N$1:$N$65536,'[22]Resumen MES OPEF'!$Y$1:$Y$65536,'[22]Resumen MES OPEF'!$AL$1:$AL$65536,'[22]Resumen MES OPEF'!$AV$1:$AV$65536,'[22]Resumen MES OPEF'!$BG$1:$BG$65536,'[22]Resumen MES OPEF'!$BR$1:$BR$65536,'[22]Resumen MES OPEF'!$CC$1:$CC$65536</definedName>
    <definedName name="Z_91E95AE8_DCC2_11D0_8DF1_00805F2A002D_.wvu.Cols" hidden="1">'[22]Seguimiento CSF'!$L$1:$N$65536,'[22]Seguimiento CSF'!$R$1:$AD$65536,'[22]Seguimiento CSF'!$AY$1:$AY$65536,'[22]Seguimiento CSF'!$BH$1:$BH$65536,'[22]Seguimiento CSF'!$BQ$1:$BQ$65536</definedName>
    <definedName name="Z_91E95AE9_DCC2_11D0_8DF1_00805F2A002D_.wvu.Cols" hidden="1">'[22]Seguimiento CSF'!$L$1:$N$65536,'[22]Seguimiento CSF'!$R$1:$AD$65536,'[22]Seguimiento CSF'!$AH$1:$AY$65536,'[22]Seguimiento CSF'!$BA$1:$BH$65536,'[22]Seguimiento CSF'!$BJ$1:$BQ$65536,'[22]Seguimiento CSF'!$BS$1:$CF$65536</definedName>
    <definedName name="Z_91E95AEB_DCC2_11D0_8DF1_00805F2A002D_.wvu.Cols" hidden="1">'[22]Resumen OPEF'!$E$1:$J$65536,'[22]Resumen OPEF'!$M$1:$Q$65536</definedName>
    <definedName name="Z_91E95AEC_DCC2_11D0_8DF1_00805F2A002D_.wvu.Cols" hidden="1">'[22]Resumen OPEF'!$C$1:$C$65536,'[22]Resumen OPEF'!$E$1:$E$65536,'[22]Resumen OPEF'!$H$1:$I$65536,'[22]Resumen OPEF'!$K$1:$L$65536,'[22]Resumen OPEF'!$O$1:$O$65536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3" i="7" l="1"/>
  <c r="D86" i="7"/>
  <c r="D76" i="7"/>
  <c r="D70" i="7"/>
  <c r="D60" i="7"/>
  <c r="D63" i="7" s="1"/>
  <c r="D47" i="7"/>
  <c r="D26" i="7"/>
  <c r="D36" i="7"/>
  <c r="D20" i="7"/>
  <c r="D10" i="7"/>
  <c r="D13" i="7" s="1"/>
  <c r="D14" i="7" s="1"/>
  <c r="D64" i="7" l="1"/>
  <c r="D95" i="7" s="1"/>
  <c r="D96" i="7" s="1"/>
  <c r="D49" i="7"/>
  <c r="D50" i="7" s="1"/>
  <c r="D51" i="7" s="1"/>
  <c r="D97" i="7" l="1"/>
  <c r="D98" i="7" s="1"/>
  <c r="G13" i="5"/>
  <c r="G2" i="7"/>
  <c r="E85" i="7" l="1"/>
  <c r="E84" i="7"/>
  <c r="E75" i="7"/>
  <c r="E59" i="7"/>
  <c r="E67" i="7"/>
  <c r="E83" i="7"/>
  <c r="E74" i="7"/>
  <c r="E58" i="7"/>
  <c r="E54" i="7"/>
  <c r="E82" i="7"/>
  <c r="E73" i="7"/>
  <c r="E57" i="7"/>
  <c r="E81" i="7"/>
  <c r="E56" i="7"/>
  <c r="E79" i="7"/>
  <c r="E92" i="7"/>
  <c r="E80" i="7"/>
  <c r="E69" i="7"/>
  <c r="E55" i="7"/>
  <c r="E91" i="7"/>
  <c r="E68" i="7"/>
  <c r="E63" i="7"/>
  <c r="E64" i="7" s="1"/>
  <c r="E96" i="7"/>
  <c r="E35" i="7"/>
  <c r="E34" i="7"/>
  <c r="E33" i="7"/>
  <c r="E32" i="7"/>
  <c r="E31" i="7"/>
  <c r="E30" i="7"/>
  <c r="E46" i="7"/>
  <c r="E42" i="7"/>
  <c r="E43" i="7"/>
  <c r="E44" i="7"/>
  <c r="E41" i="7"/>
  <c r="E29" i="7"/>
  <c r="E25" i="7"/>
  <c r="E24" i="7"/>
  <c r="E23" i="7"/>
  <c r="E18" i="7"/>
  <c r="E19" i="7"/>
  <c r="E17" i="7"/>
  <c r="E5" i="7"/>
  <c r="E6" i="7"/>
  <c r="E7" i="7"/>
  <c r="E8" i="7"/>
  <c r="E9" i="7"/>
  <c r="E4" i="7"/>
  <c r="E93" i="7" l="1"/>
  <c r="E70" i="7"/>
  <c r="E76" i="7"/>
  <c r="E10" i="7"/>
  <c r="E86" i="7"/>
  <c r="E60" i="7"/>
  <c r="E47" i="7"/>
  <c r="E26" i="7"/>
  <c r="E20" i="7"/>
  <c r="E36" i="7"/>
  <c r="E95" i="7" l="1"/>
  <c r="E97" i="7" s="1"/>
  <c r="E13" i="7"/>
  <c r="G19" i="5" l="1"/>
  <c r="F17" i="5"/>
  <c r="E15" i="5"/>
  <c r="E14" i="7" l="1"/>
  <c r="E49" i="7" s="1"/>
  <c r="E50" i="7" l="1"/>
  <c r="E51" i="7" l="1"/>
  <c r="G18" i="5" l="1"/>
  <c r="G20" i="5" s="1"/>
  <c r="G21" i="5" s="1"/>
  <c r="G23" i="5" s="1"/>
  <c r="E98" i="7"/>
</calcChain>
</file>

<file path=xl/sharedStrings.xml><?xml version="1.0" encoding="utf-8"?>
<sst xmlns="http://schemas.openxmlformats.org/spreadsheetml/2006/main" count="170" uniqueCount="107">
  <si>
    <t>Partners of the Americas</t>
  </si>
  <si>
    <t>CASH FLOW REQUEST for</t>
  </si>
  <si>
    <t>Office:</t>
  </si>
  <si>
    <t>Mexico</t>
  </si>
  <si>
    <t>Currency:</t>
  </si>
  <si>
    <t>MXN</t>
  </si>
  <si>
    <t>Date Requested:</t>
  </si>
  <si>
    <t>Program/Grant #:</t>
  </si>
  <si>
    <t>DOL423</t>
  </si>
  <si>
    <t>Subrecipient</t>
  </si>
  <si>
    <t>CFO</t>
  </si>
  <si>
    <t>Amount</t>
  </si>
  <si>
    <t>Ending Bank Balance from Previous Month (MXN)</t>
  </si>
  <si>
    <t>Exchange Rate of MXN to USD</t>
  </si>
  <si>
    <t>Ending Bank Balance in USD (Remaining Funds from last Advance)</t>
  </si>
  <si>
    <t>Total Projections for Current Month in USD</t>
  </si>
  <si>
    <t>Total Projections for Next Month in USD (Rounded Numbers)</t>
  </si>
  <si>
    <t>Outcome 1</t>
  </si>
  <si>
    <t>Monitoring, Evaluation, and Collection of Reliable Data</t>
  </si>
  <si>
    <t>Total</t>
  </si>
  <si>
    <t>Necessary Funding for Next Month</t>
  </si>
  <si>
    <t>Total Cash Flow Request in USD</t>
  </si>
  <si>
    <t>Prepared by:</t>
  </si>
  <si>
    <t>Date:</t>
  </si>
  <si>
    <t>Title of Preparer</t>
  </si>
  <si>
    <t>Certified By:</t>
  </si>
  <si>
    <t>Title of Certifier:</t>
  </si>
  <si>
    <t>Remarks:</t>
  </si>
  <si>
    <t>For Internal Use Only:</t>
  </si>
  <si>
    <t>Partners of the Americas Approval:</t>
  </si>
  <si>
    <t>Approved by:</t>
  </si>
  <si>
    <t>Title of Approver</t>
  </si>
  <si>
    <t>Budget Projection</t>
  </si>
  <si>
    <t>Cost Award Budget (USD)</t>
  </si>
  <si>
    <t>Type</t>
  </si>
  <si>
    <t>Total MXN</t>
  </si>
  <si>
    <t>Total USD</t>
  </si>
  <si>
    <t>Exchange Rate</t>
  </si>
  <si>
    <t>Personnel for Outcome 1</t>
  </si>
  <si>
    <t>Lead Coordinator for the Project (50%)</t>
  </si>
  <si>
    <t>Month</t>
  </si>
  <si>
    <t>Gender Coordinator (50%)</t>
  </si>
  <si>
    <t>Administrative Assistant (50%)</t>
  </si>
  <si>
    <t>Promoter 1 (100%)</t>
  </si>
  <si>
    <t>Promoter 2 (100%)</t>
  </si>
  <si>
    <t>Promoter 3 (100%)</t>
  </si>
  <si>
    <t>Personnel for Outcome 1 Total</t>
  </si>
  <si>
    <t>Fringe Benefits for Outcome 1</t>
  </si>
  <si>
    <t xml:space="preserve">Fringe benefits </t>
  </si>
  <si>
    <t>Fringe Benefits for Outcome 1 Total</t>
  </si>
  <si>
    <t>Travel for Outcome 1</t>
  </si>
  <si>
    <t>Project Staff - Airfare</t>
  </si>
  <si>
    <t>Trip</t>
  </si>
  <si>
    <t>Project Staff - Lodging and M&amp;IE</t>
  </si>
  <si>
    <t>Day</t>
  </si>
  <si>
    <t>Project Staff - Ground Transportation</t>
  </si>
  <si>
    <t>Travel for Outcome 1 Total</t>
  </si>
  <si>
    <t>Supplies for Outcome 1</t>
  </si>
  <si>
    <t>Laptops and software</t>
  </si>
  <si>
    <t>Unit</t>
  </si>
  <si>
    <t>Cellphone</t>
  </si>
  <si>
    <t>Printer and copier</t>
  </si>
  <si>
    <t>Supplies for Outcome 1 Total</t>
  </si>
  <si>
    <t>Office Expenses for Outcome 1</t>
  </si>
  <si>
    <t xml:space="preserve">Banking and cash handling fees </t>
  </si>
  <si>
    <t>Courier fees/services/postage</t>
  </si>
  <si>
    <t>Year</t>
  </si>
  <si>
    <t xml:space="preserve">Email/Internet </t>
  </si>
  <si>
    <t>Office Rent</t>
  </si>
  <si>
    <t>Office Utilities</t>
  </si>
  <si>
    <t xml:space="preserve">Equipment and office repairs and maintenance </t>
  </si>
  <si>
    <t>Translation Costs</t>
  </si>
  <si>
    <t>Office Expenses Outcome 1 Total</t>
  </si>
  <si>
    <t>Other Direct Costs for Outcome 1</t>
  </si>
  <si>
    <t>1.1.1.1 Educational Workshops for Workers and Union Leaders</t>
  </si>
  <si>
    <t>Assessment and inclusion of gender-based violence at work within educational programs</t>
  </si>
  <si>
    <t>Extension of GEMA to two additional states</t>
  </si>
  <si>
    <t>Program</t>
  </si>
  <si>
    <t>Lodging and M&amp;IE for project staff to support GEMA extension</t>
  </si>
  <si>
    <t>Transportation for project staff to support GEMA extension</t>
  </si>
  <si>
    <t>1.1.1.2 Exchanges on Best Practices for FOA and Gender</t>
  </si>
  <si>
    <t>Local transportation for project staff to support exchanges</t>
  </si>
  <si>
    <t>Material design and printing for exchanges</t>
  </si>
  <si>
    <t>Other Direct Costs for Outcome 1 Total</t>
  </si>
  <si>
    <t>Total Direct Costs for Outcome 1</t>
  </si>
  <si>
    <t>Total Indirect Costs (De Minimis) for Outcome 1</t>
  </si>
  <si>
    <t>Total Outcome 1</t>
  </si>
  <si>
    <t>Personnel for M&amp;E</t>
  </si>
  <si>
    <t>Personnel for M&amp;E Total</t>
  </si>
  <si>
    <t>Fringe Benefits for M&amp;E</t>
  </si>
  <si>
    <t>Fringe Benefits for M&amp;E Total</t>
  </si>
  <si>
    <t>Travel for M&amp;E</t>
  </si>
  <si>
    <t>Travel for M&amp;E Total</t>
  </si>
  <si>
    <t>Supplies for M&amp;E</t>
  </si>
  <si>
    <t>Supplies for M&amp;E Total</t>
  </si>
  <si>
    <t>Office Expenses for M&amp;E</t>
  </si>
  <si>
    <t>Office Expenses M&amp;E Total</t>
  </si>
  <si>
    <t>Other Direct Costs for M&amp;E</t>
  </si>
  <si>
    <t>3.7.1.1 Collection of Reliable Data and Processing of Monitoring Data</t>
  </si>
  <si>
    <t>Lodging and M&amp;IE - Field verification and data collection visits</t>
  </si>
  <si>
    <t>Local transportation - Field verification and data collection visits</t>
  </si>
  <si>
    <t>Data collection materials and printing</t>
  </si>
  <si>
    <t>Other Direct Costs for M&amp;E Total</t>
  </si>
  <si>
    <t>Total Direct Costs for M&amp;E</t>
  </si>
  <si>
    <t>Total Indirect Costs (De Minimis) for M&amp;E</t>
  </si>
  <si>
    <t>Total M&amp;E</t>
  </si>
  <si>
    <t>Total all outcomes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</si>
</sst>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\ _€_-;\-* #,##0.00\ _€_-;_-* &quot;-&quot;??\ _€_-;_-@_-"/>
    <numFmt numFmtId="165" formatCode="_-* #,##0.00\ _B_s_-;\-* #,##0.00\ _B_s_-;_-* &quot;-&quot;??\ _B_s_-;_-@_-"/>
    <numFmt numFmtId="166" formatCode="_-* #,##0.00\ &quot;Bs&quot;_-;\-* #,##0.00\ &quot;Bs&quot;_-;_-* &quot;-&quot;??\ &quot;Bs&quot;_-;_-@_-"/>
    <numFmt numFmtId="167" formatCode="_ * #,##0.00_ ;_ * \-#,##0.00_ ;_ * &quot;-&quot;??_ ;_ @_ "/>
    <numFmt numFmtId="168" formatCode="[$-409]mmm\-yy;@"/>
    <numFmt numFmtId="169" formatCode="_(* #,##0_);_(* \(#,##0\);_(* &quot;-&quot;??_);_(@_)"/>
    <numFmt numFmtId="170" formatCode="_([$MXN]\ * #,##0.00_);_([$MXN]\ * \(#,##0.00\);_([$MXN]\ * &quot;-&quot;??_);_(@_)"/>
    <numFmt numFmtId="171" formatCode="[$MXN]\ #,##0.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36"/>
      <name val="Calibri"/>
      <family val="2"/>
      <scheme val="minor"/>
    </font>
    <font>
      <i/>
      <sz val="14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i/>
      <sz val="10"/>
      <name val="Times New Roman"/>
      <family val="1"/>
    </font>
    <font>
      <b/>
      <i/>
      <sz val="10"/>
      <color theme="0"/>
      <name val="Times New Roman"/>
      <family val="1"/>
    </font>
    <font>
      <b/>
      <sz val="10"/>
      <name val="Times New Roman"/>
      <family val="1"/>
    </font>
    <font>
      <b/>
      <sz val="16"/>
      <name val="Times New Roman"/>
      <family val="1"/>
    </font>
    <font>
      <b/>
      <i/>
      <sz val="1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D7E5F5"/>
        <bgColor indexed="64"/>
      </patternFill>
    </fill>
    <fill>
      <patternFill patternType="solid">
        <fgColor rgb="FFE7F0F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32">
    <xf numFmtId="0" fontId="0" fillId="0" borderId="0"/>
    <xf numFmtId="0" fontId="2" fillId="0" borderId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14" fillId="0" borderId="0"/>
    <xf numFmtId="0" fontId="3" fillId="0" borderId="0"/>
    <xf numFmtId="0" fontId="3" fillId="0" borderId="0"/>
  </cellStyleXfs>
  <cellXfs count="155">
    <xf numFmtId="0" fontId="0" fillId="0" borderId="0" xfId="0"/>
    <xf numFmtId="0" fontId="3" fillId="0" borderId="0" xfId="4"/>
    <xf numFmtId="0" fontId="5" fillId="0" borderId="0" xfId="4" applyFont="1"/>
    <xf numFmtId="0" fontId="7" fillId="0" borderId="0" xfId="4" applyFont="1" applyAlignment="1">
      <alignment horizontal="centerContinuous"/>
    </xf>
    <xf numFmtId="0" fontId="3" fillId="0" borderId="0" xfId="4" applyAlignment="1">
      <alignment horizontal="right"/>
    </xf>
    <xf numFmtId="0" fontId="8" fillId="0" borderId="0" xfId="4" applyFont="1"/>
    <xf numFmtId="0" fontId="8" fillId="0" borderId="2" xfId="4" applyFont="1" applyBorder="1"/>
    <xf numFmtId="0" fontId="8" fillId="0" borderId="0" xfId="4" applyFont="1" applyAlignment="1">
      <alignment horizontal="right"/>
    </xf>
    <xf numFmtId="0" fontId="6" fillId="0" borderId="0" xfId="4" applyFont="1" applyAlignment="1">
      <alignment horizontal="left"/>
    </xf>
    <xf numFmtId="17" fontId="6" fillId="0" borderId="2" xfId="4" applyNumberFormat="1" applyFont="1" applyBorder="1" applyAlignment="1">
      <alignment horizontal="center"/>
    </xf>
    <xf numFmtId="0" fontId="9" fillId="0" borderId="1" xfId="4" applyFont="1" applyBorder="1" applyAlignment="1">
      <alignment horizontal="centerContinuous"/>
    </xf>
    <xf numFmtId="44" fontId="8" fillId="2" borderId="1" xfId="8" applyFont="1" applyFill="1" applyBorder="1" applyAlignment="1">
      <alignment horizontal="center"/>
    </xf>
    <xf numFmtId="44" fontId="8" fillId="3" borderId="1" xfId="27" applyFont="1" applyFill="1" applyBorder="1" applyAlignment="1">
      <alignment horizontal="center"/>
    </xf>
    <xf numFmtId="44" fontId="8" fillId="4" borderId="1" xfId="8" applyFont="1" applyFill="1" applyBorder="1" applyAlignment="1">
      <alignment horizontal="center"/>
    </xf>
    <xf numFmtId="0" fontId="9" fillId="2" borderId="4" xfId="4" applyFont="1" applyFill="1" applyBorder="1" applyAlignment="1">
      <alignment horizontal="left" wrapText="1"/>
    </xf>
    <xf numFmtId="0" fontId="9" fillId="2" borderId="5" xfId="4" applyFont="1" applyFill="1" applyBorder="1" applyAlignment="1">
      <alignment horizontal="left" wrapText="1"/>
    </xf>
    <xf numFmtId="0" fontId="9" fillId="2" borderId="8" xfId="4" applyFont="1" applyFill="1" applyBorder="1" applyAlignment="1">
      <alignment horizontal="left" wrapText="1"/>
    </xf>
    <xf numFmtId="0" fontId="9" fillId="2" borderId="7" xfId="4" applyFont="1" applyFill="1" applyBorder="1" applyAlignment="1">
      <alignment horizontal="right" vertical="center"/>
    </xf>
    <xf numFmtId="0" fontId="8" fillId="2" borderId="4" xfId="4" applyFont="1" applyFill="1" applyBorder="1"/>
    <xf numFmtId="0" fontId="8" fillId="4" borderId="7" xfId="4" applyFont="1" applyFill="1" applyBorder="1"/>
    <xf numFmtId="0" fontId="9" fillId="4" borderId="7" xfId="4" applyFont="1" applyFill="1" applyBorder="1" applyAlignment="1">
      <alignment horizontal="right" vertical="center"/>
    </xf>
    <xf numFmtId="17" fontId="9" fillId="3" borderId="1" xfId="4" applyNumberFormat="1" applyFont="1" applyFill="1" applyBorder="1" applyAlignment="1">
      <alignment horizontal="center" wrapText="1"/>
    </xf>
    <xf numFmtId="44" fontId="8" fillId="2" borderId="1" xfId="27" applyFont="1" applyFill="1" applyBorder="1" applyAlignment="1">
      <alignment horizontal="center"/>
    </xf>
    <xf numFmtId="0" fontId="8" fillId="0" borderId="0" xfId="4" applyFont="1" applyAlignment="1">
      <alignment horizontal="center"/>
    </xf>
    <xf numFmtId="0" fontId="12" fillId="0" borderId="0" xfId="4" applyFont="1"/>
    <xf numFmtId="0" fontId="13" fillId="0" borderId="0" xfId="4" applyFont="1"/>
    <xf numFmtId="0" fontId="9" fillId="0" borderId="1" xfId="4" applyFont="1" applyBorder="1"/>
    <xf numFmtId="0" fontId="9" fillId="0" borderId="1" xfId="4" applyFont="1" applyBorder="1" applyAlignment="1">
      <alignment wrapText="1"/>
    </xf>
    <xf numFmtId="0" fontId="11" fillId="0" borderId="1" xfId="4" applyFont="1" applyBorder="1" applyAlignment="1">
      <alignment horizontal="center"/>
    </xf>
    <xf numFmtId="0" fontId="8" fillId="0" borderId="1" xfId="4" applyFont="1" applyBorder="1" applyAlignment="1">
      <alignment horizontal="center"/>
    </xf>
    <xf numFmtId="0" fontId="11" fillId="0" borderId="1" xfId="4" applyFont="1" applyBorder="1" applyAlignment="1">
      <alignment horizontal="right"/>
    </xf>
    <xf numFmtId="14" fontId="8" fillId="0" borderId="1" xfId="4" applyNumberFormat="1" applyFont="1" applyBorder="1" applyAlignment="1">
      <alignment horizontal="center"/>
    </xf>
    <xf numFmtId="0" fontId="15" fillId="0" borderId="0" xfId="29" applyFont="1"/>
    <xf numFmtId="3" fontId="15" fillId="0" borderId="10" xfId="29" applyNumberFormat="1" applyFont="1" applyBorder="1"/>
    <xf numFmtId="0" fontId="15" fillId="0" borderId="0" xfId="29" applyFont="1" applyAlignment="1">
      <alignment horizontal="center"/>
    </xf>
    <xf numFmtId="44" fontId="18" fillId="6" borderId="19" xfId="29" applyNumberFormat="1" applyFont="1" applyFill="1" applyBorder="1"/>
    <xf numFmtId="44" fontId="18" fillId="6" borderId="5" xfId="29" applyNumberFormat="1" applyFont="1" applyFill="1" applyBorder="1"/>
    <xf numFmtId="43" fontId="15" fillId="0" borderId="18" xfId="29" applyNumberFormat="1" applyFont="1" applyBorder="1" applyAlignment="1">
      <alignment horizontal="left" indent="1"/>
    </xf>
    <xf numFmtId="43" fontId="15" fillId="0" borderId="18" xfId="29" applyNumberFormat="1" applyFont="1" applyBorder="1"/>
    <xf numFmtId="0" fontId="3" fillId="0" borderId="0" xfId="29" applyFont="1"/>
    <xf numFmtId="43" fontId="18" fillId="7" borderId="19" xfId="29" applyNumberFormat="1" applyFont="1" applyFill="1" applyBorder="1" applyAlignment="1">
      <alignment horizontal="right"/>
    </xf>
    <xf numFmtId="43" fontId="18" fillId="7" borderId="5" xfId="29" applyNumberFormat="1" applyFont="1" applyFill="1" applyBorder="1"/>
    <xf numFmtId="43" fontId="18" fillId="0" borderId="19" xfId="29" applyNumberFormat="1" applyFont="1" applyBorder="1"/>
    <xf numFmtId="43" fontId="18" fillId="0" borderId="5" xfId="29" applyNumberFormat="1" applyFont="1" applyBorder="1"/>
    <xf numFmtId="43" fontId="18" fillId="6" borderId="19" xfId="29" applyNumberFormat="1" applyFont="1" applyFill="1" applyBorder="1"/>
    <xf numFmtId="43" fontId="18" fillId="6" borderId="5" xfId="29" applyNumberFormat="1" applyFont="1" applyFill="1" applyBorder="1"/>
    <xf numFmtId="43" fontId="15" fillId="0" borderId="16" xfId="30" applyNumberFormat="1" applyFont="1" applyBorder="1"/>
    <xf numFmtId="0" fontId="15" fillId="0" borderId="18" xfId="29" applyFont="1" applyBorder="1"/>
    <xf numFmtId="0" fontId="15" fillId="0" borderId="18" xfId="29" applyFont="1" applyBorder="1" applyAlignment="1">
      <alignment horizontal="left" indent="1"/>
    </xf>
    <xf numFmtId="43" fontId="18" fillId="0" borderId="18" xfId="29" applyNumberFormat="1" applyFont="1" applyBorder="1"/>
    <xf numFmtId="9" fontId="15" fillId="0" borderId="0" xfId="9" applyFont="1" applyFill="1"/>
    <xf numFmtId="43" fontId="18" fillId="0" borderId="17" xfId="29" applyNumberFormat="1" applyFont="1" applyBorder="1"/>
    <xf numFmtId="0" fontId="18" fillId="0" borderId="0" xfId="29" applyFont="1"/>
    <xf numFmtId="43" fontId="16" fillId="0" borderId="19" xfId="29" applyNumberFormat="1" applyFont="1" applyBorder="1" applyAlignment="1">
      <alignment horizontal="right"/>
    </xf>
    <xf numFmtId="44" fontId="15" fillId="0" borderId="0" xfId="29" applyNumberFormat="1" applyFont="1"/>
    <xf numFmtId="0" fontId="18" fillId="0" borderId="19" xfId="29" applyFont="1" applyBorder="1" applyAlignment="1">
      <alignment horizontal="right"/>
    </xf>
    <xf numFmtId="0" fontId="18" fillId="0" borderId="5" xfId="29" applyFont="1" applyBorder="1"/>
    <xf numFmtId="0" fontId="18" fillId="6" borderId="19" xfId="29" applyFont="1" applyFill="1" applyBorder="1"/>
    <xf numFmtId="0" fontId="18" fillId="6" borderId="5" xfId="29" applyFont="1" applyFill="1" applyBorder="1"/>
    <xf numFmtId="0" fontId="15" fillId="0" borderId="18" xfId="29" applyFont="1" applyBorder="1" applyAlignment="1">
      <alignment horizontal="left" wrapText="1" indent="1"/>
    </xf>
    <xf numFmtId="0" fontId="18" fillId="7" borderId="19" xfId="29" applyFont="1" applyFill="1" applyBorder="1" applyAlignment="1">
      <alignment horizontal="right"/>
    </xf>
    <xf numFmtId="0" fontId="18" fillId="7" borderId="5" xfId="29" applyFont="1" applyFill="1" applyBorder="1"/>
    <xf numFmtId="0" fontId="18" fillId="8" borderId="19" xfId="29" applyFont="1" applyFill="1" applyBorder="1"/>
    <xf numFmtId="43" fontId="18" fillId="8" borderId="5" xfId="29" applyNumberFormat="1" applyFont="1" applyFill="1" applyBorder="1"/>
    <xf numFmtId="10" fontId="15" fillId="8" borderId="4" xfId="29" applyNumberFormat="1" applyFont="1" applyFill="1" applyBorder="1"/>
    <xf numFmtId="0" fontId="17" fillId="5" borderId="13" xfId="29" applyFont="1" applyFill="1" applyBorder="1" applyAlignment="1">
      <alignment horizontal="center" wrapText="1"/>
    </xf>
    <xf numFmtId="17" fontId="19" fillId="9" borderId="12" xfId="31" applyNumberFormat="1" applyFont="1" applyFill="1" applyBorder="1" applyAlignment="1">
      <alignment horizontal="center" vertical="center"/>
    </xf>
    <xf numFmtId="3" fontId="15" fillId="0" borderId="0" xfId="29" applyNumberFormat="1" applyFont="1"/>
    <xf numFmtId="44" fontId="18" fillId="6" borderId="5" xfId="0" applyNumberFormat="1" applyFont="1" applyFill="1" applyBorder="1" applyAlignment="1">
      <alignment horizontal="left"/>
    </xf>
    <xf numFmtId="43" fontId="18" fillId="7" borderId="5" xfId="0" applyNumberFormat="1" applyFont="1" applyFill="1" applyBorder="1" applyAlignment="1">
      <alignment horizontal="left"/>
    </xf>
    <xf numFmtId="43" fontId="18" fillId="0" borderId="5" xfId="0" applyNumberFormat="1" applyFont="1" applyBorder="1" applyAlignment="1">
      <alignment horizontal="left"/>
    </xf>
    <xf numFmtId="43" fontId="18" fillId="6" borderId="5" xfId="0" applyNumberFormat="1" applyFont="1" applyFill="1" applyBorder="1" applyAlignment="1">
      <alignment horizontal="left"/>
    </xf>
    <xf numFmtId="43" fontId="18" fillId="0" borderId="17" xfId="0" applyNumberFormat="1" applyFont="1" applyBorder="1" applyAlignment="1">
      <alignment horizontal="left"/>
    </xf>
    <xf numFmtId="0" fontId="18" fillId="0" borderId="5" xfId="0" applyFont="1" applyBorder="1" applyAlignment="1">
      <alignment horizontal="left"/>
    </xf>
    <xf numFmtId="0" fontId="18" fillId="6" borderId="5" xfId="0" applyFont="1" applyFill="1" applyBorder="1" applyAlignment="1">
      <alignment horizontal="left"/>
    </xf>
    <xf numFmtId="0" fontId="18" fillId="7" borderId="5" xfId="0" applyFont="1" applyFill="1" applyBorder="1" applyAlignment="1">
      <alignment horizontal="left"/>
    </xf>
    <xf numFmtId="43" fontId="18" fillId="8" borderId="8" xfId="0" applyNumberFormat="1" applyFont="1" applyFill="1" applyBorder="1" applyAlignment="1">
      <alignment horizontal="left"/>
    </xf>
    <xf numFmtId="10" fontId="15" fillId="8" borderId="8" xfId="0" applyNumberFormat="1" applyFont="1" applyFill="1" applyBorder="1" applyAlignment="1">
      <alignment horizontal="left"/>
    </xf>
    <xf numFmtId="44" fontId="18" fillId="7" borderId="20" xfId="27" applyFont="1" applyFill="1" applyBorder="1"/>
    <xf numFmtId="0" fontId="17" fillId="5" borderId="14" xfId="29" applyFont="1" applyFill="1" applyBorder="1" applyAlignment="1">
      <alignment horizontal="center"/>
    </xf>
    <xf numFmtId="44" fontId="17" fillId="5" borderId="28" xfId="27" applyFont="1" applyFill="1" applyBorder="1" applyAlignment="1">
      <alignment horizontal="center" vertical="center"/>
    </xf>
    <xf numFmtId="0" fontId="15" fillId="6" borderId="20" xfId="29" applyFont="1" applyFill="1" applyBorder="1"/>
    <xf numFmtId="0" fontId="15" fillId="0" borderId="0" xfId="0" applyFont="1" applyAlignment="1">
      <alignment horizontal="left"/>
    </xf>
    <xf numFmtId="44" fontId="15" fillId="0" borderId="21" xfId="27" applyFont="1" applyBorder="1"/>
    <xf numFmtId="3" fontId="15" fillId="0" borderId="0" xfId="4" applyNumberFormat="1" applyFont="1"/>
    <xf numFmtId="44" fontId="15" fillId="0" borderId="20" xfId="27" applyFont="1" applyBorder="1"/>
    <xf numFmtId="44" fontId="15" fillId="6" borderId="20" xfId="27" applyFont="1" applyFill="1" applyBorder="1"/>
    <xf numFmtId="44" fontId="15" fillId="0" borderId="27" xfId="27" applyFont="1" applyBorder="1"/>
    <xf numFmtId="43" fontId="15" fillId="0" borderId="0" xfId="0" applyNumberFormat="1" applyFont="1" applyAlignment="1">
      <alignment horizontal="left"/>
    </xf>
    <xf numFmtId="169" fontId="15" fillId="0" borderId="0" xfId="29" applyNumberFormat="1" applyFont="1"/>
    <xf numFmtId="0" fontId="15" fillId="0" borderId="0" xfId="0" applyFont="1"/>
    <xf numFmtId="44" fontId="18" fillId="0" borderId="20" xfId="27" applyFont="1" applyBorder="1"/>
    <xf numFmtId="44" fontId="18" fillId="8" borderId="20" xfId="27" applyFont="1" applyFill="1" applyBorder="1" applyAlignment="1">
      <alignment horizontal="right"/>
    </xf>
    <xf numFmtId="44" fontId="15" fillId="8" borderId="20" xfId="27" applyFont="1" applyFill="1" applyBorder="1"/>
    <xf numFmtId="44" fontId="18" fillId="8" borderId="29" xfId="27" applyFont="1" applyFill="1" applyBorder="1"/>
    <xf numFmtId="0" fontId="17" fillId="5" borderId="13" xfId="0" applyFont="1" applyFill="1" applyBorder="1" applyAlignment="1">
      <alignment horizontal="center" vertical="center"/>
    </xf>
    <xf numFmtId="2" fontId="8" fillId="2" borderId="1" xfId="8" applyNumberFormat="1" applyFont="1" applyFill="1" applyBorder="1" applyAlignment="1">
      <alignment horizontal="center" vertical="center"/>
    </xf>
    <xf numFmtId="0" fontId="18" fillId="0" borderId="15" xfId="31" applyFont="1" applyBorder="1" applyAlignment="1">
      <alignment vertical="center" wrapText="1"/>
    </xf>
    <xf numFmtId="2" fontId="15" fillId="9" borderId="26" xfId="31" applyNumberFormat="1" applyFont="1" applyFill="1" applyBorder="1" applyAlignment="1">
      <alignment vertical="center"/>
    </xf>
    <xf numFmtId="170" fontId="8" fillId="3" borderId="1" xfId="8" applyNumberFormat="1" applyFont="1" applyFill="1" applyBorder="1" applyAlignment="1">
      <alignment horizontal="center" vertical="center"/>
    </xf>
    <xf numFmtId="171" fontId="17" fillId="5" borderId="28" xfId="27" applyNumberFormat="1" applyFont="1" applyFill="1" applyBorder="1" applyAlignment="1">
      <alignment horizontal="center" vertical="center"/>
    </xf>
    <xf numFmtId="171" fontId="15" fillId="6" borderId="20" xfId="29" applyNumberFormat="1" applyFont="1" applyFill="1" applyBorder="1"/>
    <xf numFmtId="171" fontId="15" fillId="0" borderId="21" xfId="27" applyNumberFormat="1" applyFont="1" applyBorder="1"/>
    <xf numFmtId="171" fontId="18" fillId="7" borderId="20" xfId="27" applyNumberFormat="1" applyFont="1" applyFill="1" applyBorder="1"/>
    <xf numFmtId="171" fontId="15" fillId="0" borderId="20" xfId="27" applyNumberFormat="1" applyFont="1" applyBorder="1"/>
    <xf numFmtId="171" fontId="15" fillId="6" borderId="20" xfId="27" applyNumberFormat="1" applyFont="1" applyFill="1" applyBorder="1"/>
    <xf numFmtId="171" fontId="15" fillId="0" borderId="27" xfId="27" applyNumberFormat="1" applyFont="1" applyBorder="1"/>
    <xf numFmtId="171" fontId="18" fillId="0" borderId="20" xfId="27" applyNumberFormat="1" applyFont="1" applyBorder="1"/>
    <xf numFmtId="171" fontId="18" fillId="8" borderId="20" xfId="27" applyNumberFormat="1" applyFont="1" applyFill="1" applyBorder="1" applyAlignment="1">
      <alignment horizontal="right"/>
    </xf>
    <xf numFmtId="171" fontId="15" fillId="8" borderId="20" xfId="27" applyNumberFormat="1" applyFont="1" applyFill="1" applyBorder="1"/>
    <xf numFmtId="171" fontId="18" fillId="8" borderId="29" xfId="27" applyNumberFormat="1" applyFont="1" applyFill="1" applyBorder="1"/>
    <xf numFmtId="171" fontId="15" fillId="0" borderId="0" xfId="29" applyNumberFormat="1" applyFont="1"/>
    <xf numFmtId="10" fontId="15" fillId="0" borderId="11" xfId="9" applyNumberFormat="1" applyFont="1" applyBorder="1"/>
    <xf numFmtId="0" fontId="18" fillId="8" borderId="22" xfId="29" applyFont="1" applyFill="1" applyBorder="1"/>
    <xf numFmtId="0" fontId="18" fillId="8" borderId="23" xfId="29" applyFont="1" applyFill="1" applyBorder="1"/>
    <xf numFmtId="0" fontId="18" fillId="8" borderId="24" xfId="0" applyFont="1" applyFill="1" applyBorder="1" applyAlignment="1">
      <alignment horizontal="left"/>
    </xf>
    <xf numFmtId="0" fontId="20" fillId="8" borderId="22" xfId="29" applyFont="1" applyFill="1" applyBorder="1"/>
    <xf numFmtId="0" fontId="20" fillId="8" borderId="23" xfId="29" applyFont="1" applyFill="1" applyBorder="1"/>
    <xf numFmtId="0" fontId="20" fillId="8" borderId="24" xfId="0" applyFont="1" applyFill="1" applyBorder="1" applyAlignment="1">
      <alignment horizontal="left"/>
    </xf>
    <xf numFmtId="171" fontId="20" fillId="8" borderId="29" xfId="27" applyNumberFormat="1" applyFont="1" applyFill="1" applyBorder="1"/>
    <xf numFmtId="44" fontId="20" fillId="8" borderId="29" xfId="27" applyFont="1" applyFill="1" applyBorder="1"/>
    <xf numFmtId="0" fontId="15" fillId="8" borderId="19" xfId="29" applyFont="1" applyFill="1" applyBorder="1"/>
    <xf numFmtId="0" fontId="8" fillId="0" borderId="0" xfId="4" applyFont="1" applyAlignment="1">
      <alignment horizontal="center"/>
    </xf>
    <xf numFmtId="0" fontId="4" fillId="0" borderId="0" xfId="4" applyFont="1" applyAlignment="1">
      <alignment horizontal="center"/>
    </xf>
    <xf numFmtId="0" fontId="6" fillId="0" borderId="0" xfId="4" applyFont="1" applyAlignment="1">
      <alignment horizontal="center"/>
    </xf>
    <xf numFmtId="0" fontId="11" fillId="0" borderId="1" xfId="4" applyFont="1" applyBorder="1" applyAlignment="1">
      <alignment horizontal="center"/>
    </xf>
    <xf numFmtId="168" fontId="9" fillId="3" borderId="3" xfId="4" applyNumberFormat="1" applyFont="1" applyFill="1" applyBorder="1" applyAlignment="1">
      <alignment horizontal="center"/>
    </xf>
    <xf numFmtId="168" fontId="9" fillId="3" borderId="8" xfId="4" applyNumberFormat="1" applyFont="1" applyFill="1" applyBorder="1" applyAlignment="1">
      <alignment horizontal="center"/>
    </xf>
    <xf numFmtId="0" fontId="9" fillId="3" borderId="4" xfId="4" applyFont="1" applyFill="1" applyBorder="1" applyAlignment="1">
      <alignment horizontal="left"/>
    </xf>
    <xf numFmtId="0" fontId="9" fillId="3" borderId="5" xfId="4" applyFont="1" applyFill="1" applyBorder="1" applyAlignment="1">
      <alignment horizontal="left"/>
    </xf>
    <xf numFmtId="0" fontId="9" fillId="3" borderId="8" xfId="4" applyFont="1" applyFill="1" applyBorder="1" applyAlignment="1">
      <alignment horizontal="left"/>
    </xf>
    <xf numFmtId="0" fontId="9" fillId="2" borderId="6" xfId="4" applyFont="1" applyFill="1" applyBorder="1" applyAlignment="1">
      <alignment horizontal="left"/>
    </xf>
    <xf numFmtId="0" fontId="9" fillId="2" borderId="7" xfId="4" applyFont="1" applyFill="1" applyBorder="1" applyAlignment="1">
      <alignment horizontal="left"/>
    </xf>
    <xf numFmtId="0" fontId="9" fillId="4" borderId="6" xfId="4" applyFont="1" applyFill="1" applyBorder="1" applyAlignment="1">
      <alignment horizontal="left"/>
    </xf>
    <xf numFmtId="0" fontId="9" fillId="4" borderId="7" xfId="4" applyFont="1" applyFill="1" applyBorder="1" applyAlignment="1">
      <alignment horizontal="left"/>
    </xf>
    <xf numFmtId="0" fontId="9" fillId="3" borderId="4" xfId="4" applyFont="1" applyFill="1" applyBorder="1" applyAlignment="1">
      <alignment horizontal="left" vertical="center"/>
    </xf>
    <xf numFmtId="0" fontId="9" fillId="3" borderId="5" xfId="4" applyFont="1" applyFill="1" applyBorder="1" applyAlignment="1">
      <alignment horizontal="left" vertical="center"/>
    </xf>
    <xf numFmtId="0" fontId="9" fillId="3" borderId="8" xfId="4" applyFont="1" applyFill="1" applyBorder="1" applyAlignment="1">
      <alignment horizontal="left" vertical="center"/>
    </xf>
    <xf numFmtId="0" fontId="10" fillId="2" borderId="4" xfId="4" applyFont="1" applyFill="1" applyBorder="1" applyAlignment="1">
      <alignment horizontal="left" vertical="center" wrapText="1"/>
    </xf>
    <xf numFmtId="0" fontId="10" fillId="2" borderId="5" xfId="4" applyFont="1" applyFill="1" applyBorder="1" applyAlignment="1">
      <alignment horizontal="left" vertical="center" wrapText="1"/>
    </xf>
    <xf numFmtId="0" fontId="10" fillId="2" borderId="8" xfId="4" applyFont="1" applyFill="1" applyBorder="1" applyAlignment="1">
      <alignment horizontal="left" vertical="center" wrapText="1"/>
    </xf>
    <xf numFmtId="0" fontId="9" fillId="3" borderId="4" xfId="4" applyFont="1" applyFill="1" applyBorder="1" applyAlignment="1">
      <alignment horizontal="left" wrapText="1"/>
    </xf>
    <xf numFmtId="0" fontId="9" fillId="3" borderId="5" xfId="4" applyFont="1" applyFill="1" applyBorder="1" applyAlignment="1">
      <alignment horizontal="left" wrapText="1"/>
    </xf>
    <xf numFmtId="0" fontId="11" fillId="2" borderId="4" xfId="4" applyFont="1" applyFill="1" applyBorder="1" applyAlignment="1">
      <alignment horizontal="center" wrapText="1"/>
    </xf>
    <xf numFmtId="0" fontId="11" fillId="2" borderId="5" xfId="4" applyFont="1" applyFill="1" applyBorder="1" applyAlignment="1">
      <alignment horizontal="center" wrapText="1"/>
    </xf>
    <xf numFmtId="0" fontId="11" fillId="2" borderId="8" xfId="4" applyFont="1" applyFill="1" applyBorder="1" applyAlignment="1">
      <alignment horizontal="center" wrapText="1"/>
    </xf>
    <xf numFmtId="0" fontId="10" fillId="2" borderId="4" xfId="4" applyFont="1" applyFill="1" applyBorder="1" applyAlignment="1">
      <alignment horizontal="left" wrapText="1" indent="2"/>
    </xf>
    <xf numFmtId="0" fontId="10" fillId="2" borderId="5" xfId="4" applyFont="1" applyFill="1" applyBorder="1" applyAlignment="1">
      <alignment horizontal="left" wrapText="1" indent="2"/>
    </xf>
    <xf numFmtId="0" fontId="10" fillId="2" borderId="8" xfId="4" applyFont="1" applyFill="1" applyBorder="1" applyAlignment="1">
      <alignment horizontal="left" wrapText="1" indent="2"/>
    </xf>
    <xf numFmtId="0" fontId="8" fillId="2" borderId="2" xfId="4" applyFont="1" applyFill="1" applyBorder="1" applyAlignment="1">
      <alignment horizontal="center"/>
    </xf>
    <xf numFmtId="0" fontId="8" fillId="2" borderId="9" xfId="4" applyFont="1" applyFill="1" applyBorder="1" applyAlignment="1">
      <alignment horizontal="center"/>
    </xf>
    <xf numFmtId="0" fontId="11" fillId="3" borderId="4" xfId="4" applyFont="1" applyFill="1" applyBorder="1" applyAlignment="1">
      <alignment horizontal="left" wrapText="1" indent="2"/>
    </xf>
    <xf numFmtId="0" fontId="11" fillId="3" borderId="5" xfId="4" applyFont="1" applyFill="1" applyBorder="1" applyAlignment="1">
      <alignment horizontal="left" wrapText="1" indent="2"/>
    </xf>
    <xf numFmtId="0" fontId="11" fillId="3" borderId="8" xfId="4" applyFont="1" applyFill="1" applyBorder="1" applyAlignment="1">
      <alignment horizontal="left" wrapText="1" indent="2"/>
    </xf>
    <xf numFmtId="43" fontId="19" fillId="9" borderId="25" xfId="31" applyNumberFormat="1" applyFont="1" applyFill="1" applyBorder="1" applyAlignment="1">
      <alignment horizontal="center" vertical="center"/>
    </xf>
  </cellXfs>
  <cellStyles count="32">
    <cellStyle name="Comma [0] 2" xfId="2" xr:uid="{00000000-0005-0000-0000-000000000000}"/>
    <cellStyle name="Comma 10" xfId="17" xr:uid="{00000000-0005-0000-0000-000001000000}"/>
    <cellStyle name="Comma 11" xfId="24" xr:uid="{00000000-0005-0000-0000-000002000000}"/>
    <cellStyle name="Comma 12" xfId="15" xr:uid="{00000000-0005-0000-0000-000003000000}"/>
    <cellStyle name="Comma 2" xfId="6" xr:uid="{00000000-0005-0000-0000-000004000000}"/>
    <cellStyle name="Comma 3" xfId="10" xr:uid="{00000000-0005-0000-0000-000005000000}"/>
    <cellStyle name="Comma 3 2" xfId="14" xr:uid="{00000000-0005-0000-0000-000006000000}"/>
    <cellStyle name="Comma 4" xfId="12" xr:uid="{00000000-0005-0000-0000-000007000000}"/>
    <cellStyle name="Comma 5" xfId="13" xr:uid="{00000000-0005-0000-0000-000008000000}"/>
    <cellStyle name="Comma 6" xfId="21" xr:uid="{00000000-0005-0000-0000-000009000000}"/>
    <cellStyle name="Comma 7" xfId="26" xr:uid="{00000000-0005-0000-0000-00000A000000}"/>
    <cellStyle name="Comma 8" xfId="19" xr:uid="{00000000-0005-0000-0000-00000B000000}"/>
    <cellStyle name="Comma 9" xfId="25" xr:uid="{00000000-0005-0000-0000-00000C000000}"/>
    <cellStyle name="Currency 2" xfId="8" xr:uid="{00000000-0005-0000-0000-00000E000000}"/>
    <cellStyle name="Currency 2 2" xfId="16" xr:uid="{00000000-0005-0000-0000-00000F000000}"/>
    <cellStyle name="Currency 3" xfId="7" xr:uid="{00000000-0005-0000-0000-000010000000}"/>
    <cellStyle name="Currency 4" xfId="3" xr:uid="{00000000-0005-0000-0000-000011000000}"/>
    <cellStyle name="Millares_Libro1" xfId="28" xr:uid="{00000000-0005-0000-0000-000012000000}"/>
    <cellStyle name="Moneda" xfId="27" builtinId="4"/>
    <cellStyle name="Normal" xfId="0" builtinId="0"/>
    <cellStyle name="Normal 2" xfId="4" xr:uid="{00000000-0005-0000-0000-000014000000}"/>
    <cellStyle name="Normal 2 2" xfId="18" xr:uid="{00000000-0005-0000-0000-000015000000}"/>
    <cellStyle name="Normal 3" xfId="5" xr:uid="{00000000-0005-0000-0000-000016000000}"/>
    <cellStyle name="Normal 3 2" xfId="30" xr:uid="{0FBA5071-B5C4-4DDF-A6F3-31E3FCD834D2}"/>
    <cellStyle name="Normal 4" xfId="1" xr:uid="{00000000-0005-0000-0000-000017000000}"/>
    <cellStyle name="Normal 4 2" xfId="20" xr:uid="{00000000-0005-0000-0000-000018000000}"/>
    <cellStyle name="Normal 5" xfId="29" xr:uid="{C04D08F5-666A-4119-AFE0-4D25FBF9FF2E}"/>
    <cellStyle name="Normal 6" xfId="31" xr:uid="{9225F09F-D2F0-454D-ABDF-5D04F58B7442}"/>
    <cellStyle name="Percent 2" xfId="9" xr:uid="{00000000-0005-0000-0000-000019000000}"/>
    <cellStyle name="Percent 2 2" xfId="22" xr:uid="{00000000-0005-0000-0000-00001A000000}"/>
    <cellStyle name="Percent 3" xfId="11" xr:uid="{00000000-0005-0000-0000-00001B000000}"/>
    <cellStyle name="Percent 3 2" xfId="23" xr:uid="{00000000-0005-0000-0000-00001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sharedStrings" Target="sharedStrings.xml"/><Relationship Id="rId50" Type="http://schemas.openxmlformats.org/officeDocument/2006/relationships/customXml" Target="../customXml/item2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customXml" Target="../customXml/item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calcChain" Target="calcChain.xml"/><Relationship Id="rId8" Type="http://schemas.openxmlformats.org/officeDocument/2006/relationships/externalLink" Target="externalLinks/externalLink6.xml"/><Relationship Id="rId51" Type="http://schemas.openxmlformats.org/officeDocument/2006/relationships/customXml" Target="../customXml/item3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styles" Target="styles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473004</xdr:colOff>
      <xdr:row>1</xdr:row>
      <xdr:rowOff>485274</xdr:rowOff>
    </xdr:to>
    <xdr:pic>
      <xdr:nvPicPr>
        <xdr:cNvPr id="3" name="Picture 2" descr="May be an image of text">
          <a:extLst>
            <a:ext uri="{FF2B5EF4-FFF2-40B4-BE49-F238E27FC236}">
              <a16:creationId xmlns:a16="http://schemas.microsoft.com/office/drawing/2014/main" id="{DE4D70D0-B28D-421E-9E6F-ED4F4AAE4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14951" cy="12111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castel/Ley%20715/Documents%20and%20Settings/rtorres/Mis%20documentos/windows/TEMP/DATOS/EXCEL/PREANT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py%20of%20Nicaragua_Budget_10_01_22v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GOBIERNO\CARLOSJ\PRES9194\PAGOS.XLW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GOBIERNO\modgobi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GOBIERNO\1999\Excell\PRESUPUESTO\24julio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ECDGP\Flujos\Gobierno\modgobie%20CHEQUEO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CARBOCOL\MODCARB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CAFE\MODCAF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gcastel/Ley%20715/WINDOWS/TEMP/Distribuciones/Conpes%202004/Consejos/Consejos%20comunales/Ejercicios%20Finales/MAGDALEN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GOBIERNO\1998\EXCELL\PRESUPUESTO\INGRESOS\vario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tprafe/Documents/FC-CP/Puerto%20de%20Cartagena/Prespuesto%20Estandar%20de%20Saberes%20V.F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udget%20Detail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gcastel/Ley%20715/WINDOWS/TEMP/Distribuciones/Conpes%202004/Consejos/Consejos%20comunales/Ejercicios%20Finales/Pr22010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ecDgp\Flujos\Regional\MODREGIO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%20Contrato%20AMB\0.%20Bases%20de%20Datos\Compromisos%20-%20Seguimiento%20Convenios%20Cr&#237;ticos%20Julio%20Rev.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ODCs%202003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Ssanchez/c/WINDOWS/TEMP/PROYECTO/FUNCIONAM972000shi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pas-jcasteblanco/Consejos%20Anticorrupci&#243;n/1_Elabora/Consejos%20Anticorrupci&#243;n/Doc%20Base/Adicionales/Transferencias_Sectores%20x%20Mpios%2094-03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RESTO\SOCIAL\MODESTSO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oec2000gob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GOBIERNO\windows\TEMP\CUADRO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Lrhenals/gobierno/Gobierno/Cierre97/OPEF%201997%20Cierre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Lrhenals/gobierno/Gobierno/GOB97/Tesoreria%201997%20Cierre%20ene28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Equipment%202003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Ssanchez/2001/ejecuaasepaoctu26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microsoft.com/office/2019/04/relationships/externalLinkLongPath" Target="/Users/Mariela/AppData/Local/Temp/Users/Ana%20Maria/Desktop/ANEXOS%20POAI%202010%20-%20PROPUESTA%20INICIAL%20AJUSTADA/Documents%20and%20Settings/Wvillota.EDUCACION/Mis%20documentos/COPIA%20ENTREGA%20PLANEACION%20PAOI%202010%20AGOST%2025-09/DATA%202010%20EDUCACION/DATA%202010%20?E776D024" TargetMode="External"/><Relationship Id="rId1" Type="http://schemas.openxmlformats.org/officeDocument/2006/relationships/externalLinkPath" Target="file:///\\E776D024\DATA%202010%20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gcastel/Ley%20715/diego/ECOPETROL/Modelo/Modelo1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TIP%20START%2014%20month%20Budget%20ver%2021Dec06%207%2055%20am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08%2008%2012%20%20Pact%20Proposal%20Budget-%20ICNL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Presupuesto/C/WINNT/Profiles/presup.001/Personal/NELSONIV/DATOS/EXCEL/PREANT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1%20Ivan%20Garcia\Escritorio\2018\Portafolio%20de%20Proyectos\L&#237;nea%20Base%202018\BD\BD%20FINAL\Bases%20de%20c&#225;lculo\Versiones\Versi&#243;n%20Final%20Portafolio%20VDS%20Octubre%2017%20-%20BD%20Origen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.%20VDS%202018\2.%20Portafolio\Recomposici&#243;n%202.0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GOBIERNO\1998\PRESUPUESTO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gcastel/Ley%20715/conso992002/PROFIN/PROGYCON/EJEC/Ejecdisgas/EJECDISYGAS0398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ATRIC~1/AppData/Local/Temp/4.%20PLANTILLA%20EJEMPLO%20ANEXO%20PPTO%20POAI%202015%20AJUSTADO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Ssanchez/c/WINDOWS/TEMP/PROYECTO/972000%20a%20julio8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5282001\Documents\1.%20VDS%202018\BD%20Seguimiento%20Inversi&#243;n%20socio%20ambiental%20Abril%202019%20VF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DF_SF_424_Final%20(4)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gcastel/Nombres%20Datamart/Documents%20and%20Settings/gcastel/Mis%20documentos/Variedades/Afros/Afros%20con%20Dptos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.%20VDS%202018\BD%20Seguimiento%20Inversi&#243;n%20socio%20ambiental%20Noviembre%202019%20VF2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gcastel/Ley%20715/windows/TEMP/oec7MAR00adicionPPTAL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Sherreno/c/WINDOWS/TEMP/PROYECTO/972000%20a%20julio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ADRO No 4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24 Cover"/>
      <sheetName val="424 A"/>
      <sheetName val="424 A Page 2"/>
      <sheetName val="PADF Master"/>
      <sheetName val="Component I"/>
      <sheetName val="Component II"/>
      <sheetName val="IFES_Component_III"/>
      <sheetName val="Summary"/>
      <sheetName val="Cost Share"/>
      <sheetName val="Rates"/>
      <sheetName val="Level of Effort"/>
      <sheetName val="Sheet1"/>
      <sheetName val="Sheet1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OFMI"/>
      <sheetName val="PAGOS VIGENCIA t"/>
      <sheetName val="PAGORE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UESTOS"/>
      <sheetName val="RESUOPE(fmi)"/>
      <sheetName val="RESUOPE"/>
      <sheetName val="MODELO"/>
      <sheetName val="INGRESOS GOB"/>
      <sheetName val="PAGOS GOB"/>
      <sheetName val="FINANCIAMIENTO GOB"/>
      <sheetName val="INGRESOS"/>
      <sheetName val="DETALL SP Y GG"/>
      <sheetName val="EXEDENT FINANC Y UTILI"/>
      <sheetName val="CAMBIOS2001"/>
      <sheetName val="ING-PROY-02 "/>
      <sheetName val="LIQUIDACION98"/>
      <sheetName val="Hoja1"/>
      <sheetName val="APRyPAGO-TRANSFE"/>
      <sheetName val="BDGOBIERNO"/>
      <sheetName val="SGPET"/>
      <sheetName val="TRANSFERENCIAS"/>
      <sheetName val="FONPET PPTO"/>
      <sheetName val="TRANSF_REFORMA98"/>
      <sheetName val="COSTO LEY100"/>
      <sheetName val="FINANCIAMIENTO"/>
      <sheetName val="DIFERIDOS"/>
      <sheetName val="CONSOLIDADO  FMI"/>
      <sheetName val="PRES NETO"/>
      <sheetName val="DEUDA EXTERNA"/>
      <sheetName val="proyeccionTESJULIO"/>
      <sheetName val="PRIVATIZACIONES"/>
      <sheetName val="proyeccionTES (2)"/>
      <sheetName val="proyeccionTES"/>
      <sheetName val="RESUMEN"/>
      <sheetName val="RESUMEN CON PLAN"/>
      <sheetName val="PIB"/>
      <sheetName val="DEUDA"/>
      <sheetName val="RESUOPE (2)"/>
      <sheetName val="Liquidación"/>
      <sheetName val="PROYECCION2000"/>
      <sheetName val="Cuadros CONFIS"/>
      <sheetName val=" SP y GG Leo"/>
      <sheetName val="deuda interna"/>
      <sheetName val="Proyecto Reforma Tributaria"/>
      <sheetName val="excedentes financieros"/>
      <sheetName val="Módulo1"/>
      <sheetName val="Módulo2"/>
      <sheetName val="DIFINGRESOS"/>
      <sheetName val="proy9798"/>
      <sheetName val="rezago"/>
      <sheetName val="I-FBKF"/>
      <sheetName val="DETALLE-INV"/>
      <sheetName val="detalle-planfin97-julio"/>
      <sheetName val="DEUDA ALTERN"/>
      <sheetName val="Formato Largo"/>
      <sheetName val="MODGOBIE"/>
      <sheetName val="TRIBUTARIOS"/>
      <sheetName val="APORTES A SEGSO"/>
      <sheetName val="TERRITORIALES"/>
      <sheetName val="OTROS CAPITAL"/>
      <sheetName val="% PIB"/>
      <sheetName val="DETALLE SERV.PERS. Y GTOS.GRALS"/>
      <sheetName val="TES"/>
      <sheetName val="DEUDA EXTERNA Y PRES NETO"/>
      <sheetName val="GOBIERNO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 refreshError="1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UESTO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UESTOS"/>
      <sheetName val="RESUOPE(fmi)"/>
      <sheetName val="RESUOPE"/>
      <sheetName val="MODELO"/>
      <sheetName val="INGRESOS GOB"/>
      <sheetName val="PAGOS GOB"/>
      <sheetName val="FINANCIAMIENTO GOB"/>
      <sheetName val="INGRESOS"/>
      <sheetName val="DETALL SP Y GG"/>
      <sheetName val="EXEDENT FINANC Y UTILI"/>
      <sheetName val="CAMBIOS2001"/>
      <sheetName val="LIQUIDACION98"/>
      <sheetName val="ING-PROY-02 "/>
      <sheetName val="Hoja1"/>
      <sheetName val="APRyPAGO-TRANSFE"/>
      <sheetName val="BDGOBIERNO"/>
      <sheetName val="SGPET"/>
      <sheetName val="TRANSFERENCIAS"/>
      <sheetName val="FONPET PPTO"/>
      <sheetName val="TRANSF_REFORMA98"/>
      <sheetName val="COSTO LEY100"/>
      <sheetName val="FINANCIAMIENTO"/>
      <sheetName val="DIFERIDOS"/>
      <sheetName val="CONSOLIDADO  FMI"/>
      <sheetName val="PRES NETO"/>
      <sheetName val="DEUDA EXTERNA"/>
      <sheetName val="proyeccionTESJULIO"/>
      <sheetName val="PRIVATIZACIONES"/>
      <sheetName val="proyeccionTES (2)"/>
      <sheetName val="proyeccionTES"/>
      <sheetName val="RESUMEN"/>
      <sheetName val="RESUMEN CON PLAN"/>
      <sheetName val="PIB"/>
      <sheetName val="DEUDA"/>
      <sheetName val="modgobie CHEQUEO"/>
      <sheetName val="excedentes financiero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DCARBOCOL"/>
      <sheetName val="PRES NETO"/>
      <sheetName val="DEUDA EXTERNA"/>
      <sheetName val="SUPUESTOS"/>
      <sheetName val="RESUMEN"/>
      <sheetName val="RESUMEN CON PLAN"/>
      <sheetName val="PIB"/>
      <sheetName val="TRANSFERENCIAS"/>
      <sheetName val="PPTO97"/>
      <sheetName val="CARBOCOL"/>
      <sheetName val="INTERESES"/>
      <sheetName val="AMORTIZA"/>
      <sheetName val="DEXT"/>
      <sheetName val="Diálogo1"/>
      <sheetName val="Módulo1"/>
      <sheetName val="PROYECTO97"/>
      <sheetName val="Hoja1"/>
      <sheetName val="SEG99"/>
      <sheetName val="RESU99"/>
      <sheetName val="SEG2000"/>
      <sheetName val="RESU2000"/>
      <sheetName val="C1-3vig97-00"/>
      <sheetName val="C1-3vIg98-00"/>
      <sheetName val="chequeo99"/>
      <sheetName val="plano-mensaje"/>
      <sheetName val="C1-3men"/>
      <sheetName val="DIFERENCIAS SI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DCAFE"/>
      <sheetName val="PRES NETO"/>
      <sheetName val="DEUDA EXTERNA"/>
      <sheetName val="PIB"/>
      <sheetName val="RESUMEN"/>
      <sheetName val="RESUMEN CON PLAN"/>
      <sheetName val="SUPUESTOS"/>
      <sheetName val="CONSOLIDADO"/>
      <sheetName val="CRECIMIENTOS %"/>
      <sheetName val="ANUAL1"/>
      <sheetName val="Asesores Junio 01"/>
      <sheetName val="TRANSFERENCIAS"/>
      <sheetName val="Módulo1"/>
      <sheetName val="MODCAFE"/>
      <sheetName val="DIFERENCIAS SIMUL"/>
      <sheetName val="ASESORES AGOSTO 13"/>
      <sheetName val="ASESORES AGOSTO 11"/>
      <sheetName val="ASESORES SEPTIEM 9"/>
      <sheetName val="ASESORES SEPTIEM 7"/>
      <sheetName val="ASESORES AGOSTO 26"/>
      <sheetName val="ASESORES AGOSTO 24"/>
      <sheetName val="Asesores"/>
      <sheetName val="Asesores nov8-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Gráfico1"/>
      <sheetName val="% pib"/>
      <sheetName val="ASIG"/>
      <sheetName val="Crec ASIG"/>
      <sheetName val="Crec"/>
      <sheetName val="PER CAPITA"/>
      <sheetName val="P ca"/>
      <sheetName val="P po"/>
      <sheetName val="SGP 2003"/>
      <sheetName val="PERIODO"/>
      <sheetName val="2003 N"/>
      <sheetName val="03."/>
      <sheetName val="03"/>
      <sheetName val="SGP 03"/>
      <sheetName val="EF_SAL"/>
      <sheetName val="01-03"/>
      <sheetName val="DATOS"/>
      <sheetName val="Hoja3"/>
      <sheetName val="POB"/>
      <sheetName val="Hoja5"/>
      <sheetName val="POBLACIÓN"/>
      <sheetName val="Hoja4"/>
      <sheetName val="03-06"/>
      <sheetName val="D7_Icfes 02"/>
      <sheetName val="D8_MS"/>
      <sheetName val="D8_1_Bajo"/>
      <sheetName val="D9_Saber 97-99"/>
      <sheetName val="20 Magdale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yecINGRESOS99"/>
      <sheetName val="proyecINGRESOS99 (det)"/>
      <sheetName val="proyecINGRESOS99 _det_"/>
    </sheetNames>
    <sheetDataSet>
      <sheetData sheetId="0" refreshError="1"/>
      <sheetData sheetId="1" refreshError="1"/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carios"/>
      <sheetName val="Presupuesto estandar"/>
      <sheetName val="Presupuesto Resumen"/>
      <sheetName val="Variables"/>
      <sheetName val="Presupuesto por Aliado"/>
      <sheetName val="Presupuesto por Aliado (2)"/>
      <sheetName val="Presupuesto Final"/>
      <sheetName val="Presupuesto Yumbo y Aliados"/>
      <sheetName val="Para uso interno"/>
      <sheetName val="Ppto Fin Ajus 2 Aliados "/>
      <sheetName val="Ppto Ajustado Mayo"/>
      <sheetName val="Presupuesto Proyec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"/>
      <sheetName val="DRAFT BUDGET"/>
      <sheetName val="Salary &amp; PR Tax"/>
      <sheetName val="Fringe Benefits"/>
      <sheetName val="PR Taxes Prior Year"/>
      <sheetName val="Prior Year Indirect"/>
      <sheetName val="Communication Prior Year"/>
      <sheetName val="Consultants 2005"/>
      <sheetName val="UNUM LTD &amp; STD Costs"/>
      <sheetName val="MAMSI 2003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OR.LEY21"/>
      <sheetName val="Hoja2"/>
      <sheetName val="ART.86 LEY 30-92"/>
      <sheetName val="JUNTA CENTRAL DE CONTADORES"/>
      <sheetName val="CALCULO LEY 21 1982 =&gt; 1998 "/>
      <sheetName val="CALCULO LEY 21 DE 1982 =&gt; 1999"/>
      <sheetName val="ART.87 LEY 30 1992"/>
      <sheetName val="NORMAS LEGALES"/>
      <sheetName val="JUSTIFICACION DIFERENCIAS"/>
      <sheetName val="GASTOS"/>
      <sheetName val="GASTOS (2)"/>
      <sheetName val="APOR.LEY21-2000 Y 2001"/>
      <sheetName val="JUNTA CENT.CONTAD. 2000 Y 20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/>
      <sheetData sheetId="1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DGOBLOCAL"/>
      <sheetName val="BDEMPLOCAL"/>
      <sheetName val="RESUMENLG"/>
      <sheetName val="RESUMENLE"/>
      <sheetName val="PRES NETO"/>
      <sheetName val="SUPUESTOS"/>
      <sheetName val="Resumen x Entidades"/>
      <sheetName val="DEUDA EXTERNA"/>
      <sheetName val="RESUMEN FMI"/>
      <sheetName val="FMI DEPARTAMENTOS"/>
      <sheetName val=" FMI MUNICIPIOS"/>
      <sheetName val="FMI FNR"/>
      <sheetName val="FMI EMPRESAS"/>
      <sheetName val="RESUMEN"/>
      <sheetName val="MUNICIPIOS"/>
      <sheetName val="DEPARTAM"/>
      <sheetName val="LOTERIAS"/>
      <sheetName val="LICORERA"/>
      <sheetName val="EMPTERRI"/>
      <sheetName val="FNR"/>
      <sheetName val="EJEC. REGALIAS"/>
      <sheetName val="REZAGO FNR"/>
      <sheetName val="DEUDA FLOTANTE-FNR"/>
      <sheetName val="FNR-PROYECCIONES"/>
      <sheetName val="FNR-LEY 756"/>
      <sheetName val="VERIFICACION NETEO2"/>
      <sheetName val="PIB"/>
      <sheetName val="SISTEMA GRAL.PART."/>
      <sheetName val="COMPARATIVO FMI-PF"/>
      <sheetName val="COMPARATIVO FMI-PF $MM"/>
      <sheetName val="FNR-PROYECCIONES MFMP"/>
      <sheetName val="ModDeuda"/>
      <sheetName val="RESUMEN CON PLAN"/>
      <sheetName val="TRANSFERENCIAS"/>
      <sheetName val="PROY. REGALIAS"/>
      <sheetName val="DPTOS"/>
      <sheetName val="MPIOS"/>
      <sheetName val="EJCLOTERIA"/>
      <sheetName val="EJLICOR"/>
      <sheetName val="EEPP"/>
      <sheetName val="Prepag deud Faep art133 ley633"/>
      <sheetName val="DF FNR (C. Zambrano)"/>
      <sheetName val="FNR Dic 5 (C.Zam)"/>
      <sheetName val="FNR Dic 13-02 (C.Zam)"/>
      <sheetName val="FNR Dic 18-02(C.Zam)"/>
      <sheetName val="FNR Dic 20-02(C.Zam)"/>
      <sheetName val="DEUDA FLOTANTE-FNR SIN FAEP"/>
      <sheetName val="DEUDA FLOTANTE-INV."/>
      <sheetName val=" FAEP Mensual "/>
      <sheetName val="DEUDA FLOTANTE-INV. sin faep"/>
      <sheetName val="cuadros"/>
      <sheetName val="Hoja1"/>
      <sheetName val="faep (2)"/>
      <sheetName val="DEUDA FLOTANTE fnr"/>
      <sheetName val="FNR reducc"/>
      <sheetName val="FMI redu2)"/>
      <sheetName val="EJECUCION FAEP"/>
      <sheetName val="RESUMEN FMI DEPARTAMENTOS"/>
      <sheetName val="RESUMEN FMI MUNICIPIOS"/>
      <sheetName val="RESUMEN FMI FNR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enios Suscritos 2017 -2018"/>
      <sheetName val="ADDORES -APOYO TRANS"/>
      <sheetName val="BD Julio 2018"/>
      <sheetName val="Hoja2"/>
      <sheetName val="GRÁFICAS"/>
      <sheetName val="Críticos Orinoquía"/>
      <sheetName val="ORINOQUÍA"/>
      <sheetName val="CENTRAL"/>
      <sheetName val="CATATUMBO"/>
      <sheetName val="SUR"/>
      <sheetName val="CORP"/>
      <sheetName val="VIT - VIT AMB"/>
      <sheetName val="CARIBE"/>
      <sheetName val="ORIENTE"/>
      <sheetName val="BD JULIO RUBY"/>
      <sheetName val="SF"/>
      <sheetName val="Listas"/>
      <sheetName val="Listas desplegable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E - Other"/>
    </sheetNames>
    <sheetDataSet>
      <sheetData sheetId="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a2castigo"/>
      <sheetName val="Hoja1"/>
      <sheetName val="CUA1-3"/>
      <sheetName val="TOTAL FUN"/>
      <sheetName val="NACION FUN"/>
      <sheetName val="PROPIOS FUN"/>
      <sheetName val="OCP"/>
      <sheetName val="TRANST"/>
      <sheetName val="notas"/>
      <sheetName val="TRANSN"/>
      <sheetName val="TRANSP"/>
      <sheetName val="GGT"/>
      <sheetName val="GGN"/>
      <sheetName val="GGP"/>
      <sheetName val="GPT"/>
      <sheetName val="GPN"/>
      <sheetName val="GPP"/>
      <sheetName val="ppry89aFEB"/>
      <sheetName val="CUA1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4-03 Mil Corr "/>
      <sheetName val="edu_sal_agua_milcte"/>
      <sheetName val="Educación"/>
      <sheetName val="Salud"/>
      <sheetName val="Hoja2"/>
      <sheetName val="Hoja3"/>
      <sheetName val="Agua"/>
      <sheetName val="94_03 Mil Corr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DSOCIAL"/>
      <sheetName val="PRES NETO"/>
      <sheetName val="RESUMEN"/>
      <sheetName val="SUPUESTOS"/>
      <sheetName val="TRANSFERENCIAS"/>
      <sheetName val="ICBF"/>
      <sheetName val="SENA"/>
      <sheetName val="SENA2%YPORTAF"/>
      <sheetName val="REZAGOS"/>
      <sheetName val="ICBF3%"/>
      <sheetName val="SENA2%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FERENCIAS"/>
      <sheetName val="RESUOPE"/>
      <sheetName val="APRyPAGO-TRANSFE"/>
      <sheetName val="FINANCIAMIENTO"/>
      <sheetName val="DETALLE-INV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2"/>
      <sheetName val="Hoja1"/>
    </sheetNames>
    <sheetDataSet>
      <sheetData sheetId="0" refreshError="1"/>
      <sheetData sheetId="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guimiento CSF"/>
      <sheetName val="Seguim. SSF"/>
      <sheetName val="Seguimiento SSF"/>
      <sheetName val="Formato Largo"/>
      <sheetName val="Resumen OPEF"/>
      <sheetName val="Reporte OPEF"/>
      <sheetName val="Resumen MES OPEF"/>
      <sheetName val="Confis Marzo 7-97"/>
      <sheetName val="Reclasificación"/>
      <sheetName val="Historia desembolsos"/>
      <sheetName val="Contingencias 1997"/>
      <sheetName val="Formato FMI"/>
      <sheetName val="Elasticidad"/>
      <sheetName val="Que pasaría si...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+D pagos"/>
      <sheetName val="P+D ingresos"/>
      <sheetName val="Dolares ingresos"/>
      <sheetName val="Pesos ingresos"/>
      <sheetName val="Dolares pagos"/>
      <sheetName val="Pesos pagos"/>
      <sheetName val="Seguimiento pagos"/>
      <sheetName val="Seguimiento ingresos"/>
      <sheetName val="Seguimiento Flujo"/>
      <sheetName val="Hoja2"/>
      <sheetName val="Hoja1"/>
      <sheetName val="Seguimiento Transferencias"/>
      <sheetName val="Gráfico3"/>
      <sheetName val="Reporte de Pagos"/>
      <sheetName val="Reporte Vicetecnico"/>
      <sheetName val="inversión"/>
      <sheetName val="Transferencias"/>
      <sheetName val="Calculo TC"/>
      <sheetName val="Gráfico TC"/>
      <sheetName val="Ejercicio Portafolio"/>
      <sheetName val="Rend. financieros"/>
      <sheetName val="Contingencias"/>
      <sheetName val="Resumen TES Convenidas"/>
      <sheetName val="TES Convenidas"/>
      <sheetName val="Gráfico1"/>
      <sheetName val="Comparación Tributarios"/>
      <sheetName val="Comparación Servicio Deuda"/>
      <sheetName val="Ahorro TES"/>
      <sheetName val="Flujo Tesorería"/>
      <sheetName val="P_D ingres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D - Equipment"/>
    </sheetNames>
    <sheetDataSet>
      <sheetData sheetId="0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ific"/>
      <sheetName val="RESUMENV"/>
      <sheetName val="VIGP"/>
      <sheetName val="VIGN"/>
      <sheetName val="RESUMENCXP"/>
      <sheetName val="PROPIOSCXP"/>
      <sheetName val="NACIONCXP"/>
      <sheetName val="RESUMENR"/>
      <sheetName val="PROPIOSR"/>
      <sheetName val="NACION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DUCIR_OBJETO_FUENTE"/>
      <sheetName val="INTRODUCIR_CCPD"/>
      <sheetName val="MYLIST"/>
      <sheetName val="INTRODUCIR_OBJETO"/>
      <sheetName val="Hoja2"/>
      <sheetName val="Listados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O DE GASOLINA"/>
      <sheetName val="MODELO DE TRANSF.IMPUESTOS"/>
      <sheetName val="SUPUESTOS BASICOS"/>
      <sheetName val="OPE DOLARES"/>
      <sheetName val="OPE PESOS"/>
      <sheetName val="OPE TOTALES"/>
      <sheetName val="Supuestos Macro"/>
      <sheetName val="Volumenes"/>
      <sheetName val="Precios"/>
      <sheetName val="OPEC Pesos y US$"/>
      <sheetName val="OPEC Pesos + US$"/>
      <sheetName val="Consolidado Diego"/>
      <sheetName val="CAJA MENSUAL PESOS"/>
      <sheetName val="CAJA MENSUAL DOLARES"/>
      <sheetName val="OPE CAJA PESOS"/>
      <sheetName val="OPE CAJA DOLARES"/>
      <sheetName val="OPE CAJA TOTAL"/>
      <sheetName val="FINANCIAMIENTO "/>
      <sheetName val="CONSOLIDADO"/>
      <sheetName val="RESUMENES"/>
      <sheetName val="INVERSIONES "/>
      <sheetName val="MODELO DE REGALÍA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Details"/>
    </sheetNames>
    <sheetDataSet>
      <sheetData sheetId="0"/>
      <sheetData sheetId="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etail-1"/>
      <sheetName val="IFLT Budget"/>
      <sheetName val="CCC Budget"/>
      <sheetName val="Institute Justification"/>
      <sheetName val="Travel"/>
      <sheetName val="Workshops"/>
      <sheetName val="Links"/>
      <sheetName val="SF424"/>
      <sheetName val="SF424A1"/>
      <sheetName val="SF424A2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ADRO No 4"/>
    </sheetNames>
    <sheetDataSet>
      <sheetData sheetId="0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ferencia 4 MM"/>
      <sheetName val="Hoja1"/>
      <sheetName val="Presupuesto"/>
      <sheetName val="Santander 1"/>
      <sheetName val="Santander (2)"/>
      <sheetName val="Portafolio"/>
      <sheetName val="Controles de Cambio"/>
      <sheetName val="Gráfica Rec 2019 (2)"/>
      <sheetName val="Gráfica Rec 2019"/>
      <sheetName val="Causación LFSB"/>
      <sheetName val="estudios1"/>
      <sheetName val="Estudios"/>
      <sheetName val="Listas"/>
      <sheetName val="Hoj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</sheetNames>
    <sheetDataSet>
      <sheetData sheetId="0"/>
      <sheetData sheetId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-TRANSF"/>
      <sheetName val="LIQUI_TRANSF"/>
    </sheetNames>
    <sheetDataSet>
      <sheetData sheetId="0" refreshError="1"/>
      <sheetData sheetId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ADDIST"/>
      <sheetName val="DISTRIBVTAS"/>
      <sheetName val="Datos"/>
      <sheetName val="PROVYOTF"/>
      <sheetName val="MFISICA"/>
      <sheetName val="Inv"/>
      <sheetName val="O&amp;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 MPD"/>
      <sheetName val="ACTIVIDADES PPTO GRAL."/>
      <sheetName val="Hoja1"/>
      <sheetName val="ANEXO DETALLE POBLACION"/>
      <sheetName val="1,1 CAFETERIA"/>
      <sheetName val="ACTIV. PROGRAM-FIDIC-FINA -"/>
      <sheetName val="ACTIV. PROD-INDIC POBL OBJ.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adro7"/>
      <sheetName val="GPT"/>
      <sheetName val="GPN"/>
      <sheetName val="GPP"/>
      <sheetName val="GGT"/>
      <sheetName val="GGN"/>
      <sheetName val="GGP"/>
      <sheetName val="CUA1-3"/>
      <sheetName val="PLANOJUL13"/>
      <sheetName val="CUA1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AS POWER BI"/>
      <sheetName val="Francisco N"/>
      <sheetName val="Procesos Jurídicos"/>
      <sheetName val="BD Mar 2019"/>
      <sheetName val="Hoja2"/>
      <sheetName val="LB Priorizados GCF"/>
      <sheetName val="Liquidaciones FA"/>
      <sheetName val="OPENT 11-ab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24 Cover"/>
      <sheetName val="424 A"/>
      <sheetName val="424 A Page 2"/>
      <sheetName val="PADF Master"/>
      <sheetName val="Component I"/>
      <sheetName val="Component II"/>
      <sheetName val="IFES_Component_III"/>
      <sheetName val="Summary"/>
      <sheetName val="DLDP Activity Plan"/>
      <sheetName val="Rates"/>
      <sheetName val="Level of Eff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1"/>
      <sheetName val="2"/>
      <sheetName val="3"/>
      <sheetName val="Cuadros Grales"/>
      <sheetName val="Base"/>
      <sheetName val="Pob"/>
      <sheetName val="Pob afro"/>
      <sheetName val="Pobla"/>
      <sheetName val="Matrícula"/>
      <sheetName val="Mat afro"/>
      <sheetName val="Matric"/>
      <sheetName val="Icfes afro"/>
      <sheetName val="Icfes oficial 03 afro"/>
      <sheetName val="Acu y Alc"/>
      <sheetName val="Acu y Alc Afro"/>
      <sheetName val="AcyAl"/>
      <sheetName val="Salud Afro 1"/>
      <sheetName val="Sal Afro 2"/>
      <sheetName val="Sal"/>
      <sheetName val="Sal1"/>
      <sheetName val="TD Sal"/>
      <sheetName val="Salidas"/>
      <sheetName val="Gráfico1"/>
      <sheetName val="Gráfico2"/>
      <sheetName val="Gráfico3"/>
      <sheetName val="Gráfico4"/>
      <sheetName val="Gráfico5"/>
      <sheetName val="Gráfico6"/>
      <sheetName val="Gráfico7"/>
      <sheetName val="Gráfico8"/>
      <sheetName val="Gráfico9"/>
      <sheetName val="Gráfico10"/>
      <sheetName val="Gráfico11"/>
      <sheetName val="Gráfico12"/>
      <sheetName val="Gráfico13"/>
      <sheetName val="Gráfico14"/>
      <sheetName val="Gráfico15"/>
      <sheetName val="Gráfico16"/>
      <sheetName val="Gráfico17"/>
      <sheetName val="Gráfico18"/>
      <sheetName val="Dat 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 GSO"/>
      <sheetName val="SE"/>
      <sheetName val="Prio GSO"/>
      <sheetName val="Prio"/>
      <sheetName val="BD Nov-19 Priorizados"/>
      <sheetName val="Mod 4Q"/>
      <sheetName val="GCF"/>
      <sheetName val="Planner 21-nov-19"/>
      <sheetName val="OPENT 19-nov"/>
      <sheetName val="Liquidaciones FA"/>
      <sheetName val="Por liquidar Oct19"/>
      <sheetName val="Escuela Nueva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gresos00"/>
      <sheetName val="Pagos00"/>
      <sheetName val="Financiamiento00"/>
      <sheetName val="opetesorer"/>
      <sheetName val="CAIDAINGRESOS"/>
      <sheetName val="caidaTRAS.TERRIT"/>
      <sheetName val="inversion"/>
      <sheetName val="variacionapropiacion"/>
      <sheetName val="METAPAGOS.REZAGO(sincambio)"/>
      <sheetName val="REZAGO CON Y SIN ESPACIO"/>
      <sheetName val="REZAGO CON ESPACIO FISCAL(FMI)"/>
      <sheetName val="REZAGO CON ESPACIO FISCAL(F (2)"/>
      <sheetName val="REZAGO CON ESPACIO FISCAL (2)"/>
      <sheetName val="REZAGO CON ESPACIO FISCAL 4813"/>
      <sheetName val="REZAGO CON ESPACIO FISCAL M-25"/>
      <sheetName val="ESCENA(CON ESPACIO)"/>
      <sheetName val="ESCENA(CON Y SIN ESPACIO)"/>
      <sheetName val="ESCENARIOS(BASICO)"/>
      <sheetName val="DETALLE-DEUDA"/>
      <sheetName val="ESCENARIOS(BASICO) (2)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adro7"/>
      <sheetName val="GPT"/>
      <sheetName val="GPN"/>
      <sheetName val="GPP"/>
      <sheetName val="GGT"/>
      <sheetName val="GGN"/>
      <sheetName val="GGP"/>
      <sheetName val="CUA1-3"/>
      <sheetName val="PLANOJUL13"/>
      <sheetName val="CUA1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topLeftCell="A2" zoomScale="95" zoomScaleNormal="100" workbookViewId="0">
      <selection activeCell="G16" sqref="G16"/>
    </sheetView>
  </sheetViews>
  <sheetFormatPr defaultColWidth="9" defaultRowHeight="12.4"/>
  <cols>
    <col min="1" max="1" width="10.28515625" style="1" customWidth="1"/>
    <col min="2" max="2" width="14" style="1" customWidth="1"/>
    <col min="3" max="3" width="10.5703125" style="1" customWidth="1"/>
    <col min="4" max="4" width="13.85546875" style="1" customWidth="1"/>
    <col min="5" max="5" width="7.42578125" style="1" customWidth="1"/>
    <col min="6" max="6" width="20.85546875" style="1" customWidth="1"/>
    <col min="7" max="7" width="20.7109375" style="1" customWidth="1"/>
    <col min="8" max="16384" width="9" style="1"/>
  </cols>
  <sheetData>
    <row r="1" spans="1:7" ht="57" customHeight="1"/>
    <row r="2" spans="1:7" ht="45.95">
      <c r="A2" s="123" t="s">
        <v>0</v>
      </c>
      <c r="B2" s="123"/>
      <c r="C2" s="123"/>
      <c r="D2" s="123"/>
      <c r="E2" s="123"/>
      <c r="F2" s="123"/>
      <c r="G2" s="123"/>
    </row>
    <row r="4" spans="1:7" ht="18.399999999999999">
      <c r="A4" s="2"/>
      <c r="B4" s="8"/>
      <c r="C4" s="124" t="s">
        <v>1</v>
      </c>
      <c r="D4" s="124"/>
      <c r="E4" s="124"/>
      <c r="F4" s="9">
        <v>44531</v>
      </c>
      <c r="G4" s="3"/>
    </row>
    <row r="5" spans="1:7">
      <c r="F5" s="4"/>
    </row>
    <row r="6" spans="1:7" ht="15.6">
      <c r="A6" s="28" t="s">
        <v>2</v>
      </c>
      <c r="B6" s="29" t="s">
        <v>3</v>
      </c>
      <c r="C6" s="125" t="s">
        <v>4</v>
      </c>
      <c r="D6" s="125"/>
      <c r="E6" s="29" t="s">
        <v>5</v>
      </c>
      <c r="F6" s="30" t="s">
        <v>6</v>
      </c>
      <c r="G6" s="31">
        <v>44519</v>
      </c>
    </row>
    <row r="7" spans="1:7" ht="15.6">
      <c r="A7" s="5"/>
      <c r="B7" s="5"/>
      <c r="C7" s="5"/>
      <c r="D7" s="5"/>
      <c r="E7" s="5"/>
      <c r="F7" s="7"/>
      <c r="G7" s="5"/>
    </row>
    <row r="8" spans="1:7" ht="15.6">
      <c r="A8" s="125" t="s">
        <v>7</v>
      </c>
      <c r="B8" s="125"/>
      <c r="C8" s="26" t="s">
        <v>8</v>
      </c>
      <c r="D8" s="26"/>
      <c r="E8" s="125" t="s">
        <v>9</v>
      </c>
      <c r="F8" s="125"/>
      <c r="G8" s="27" t="s">
        <v>10</v>
      </c>
    </row>
    <row r="9" spans="1:7" ht="15.6">
      <c r="A9" s="5"/>
      <c r="B9" s="5"/>
      <c r="C9"/>
      <c r="D9" s="5"/>
      <c r="E9" s="5"/>
      <c r="F9" s="5"/>
      <c r="G9" s="5"/>
    </row>
    <row r="10" spans="1:7" s="5" customFormat="1" ht="15.6">
      <c r="G10" s="10" t="s">
        <v>11</v>
      </c>
    </row>
    <row r="11" spans="1:7" s="5" customFormat="1" ht="15.6">
      <c r="A11" s="135" t="s">
        <v>12</v>
      </c>
      <c r="B11" s="136"/>
      <c r="C11" s="136"/>
      <c r="D11" s="136"/>
      <c r="E11" s="136"/>
      <c r="F11" s="137"/>
      <c r="G11" s="99">
        <v>0</v>
      </c>
    </row>
    <row r="12" spans="1:7" s="5" customFormat="1" ht="15.6">
      <c r="A12" s="138" t="s">
        <v>13</v>
      </c>
      <c r="B12" s="139"/>
      <c r="C12" s="139"/>
      <c r="D12" s="139"/>
      <c r="E12" s="139"/>
      <c r="F12" s="140"/>
      <c r="G12" s="96">
        <v>20.76</v>
      </c>
    </row>
    <row r="13" spans="1:7" s="5" customFormat="1" ht="15.6">
      <c r="A13" s="128" t="s">
        <v>14</v>
      </c>
      <c r="B13" s="129"/>
      <c r="C13" s="129"/>
      <c r="D13" s="129"/>
      <c r="E13" s="129"/>
      <c r="F13" s="130"/>
      <c r="G13" s="12">
        <f>G11/G12</f>
        <v>0</v>
      </c>
    </row>
    <row r="14" spans="1:7" s="5" customFormat="1" ht="15.6">
      <c r="A14" s="143"/>
      <c r="B14" s="144"/>
      <c r="C14" s="144"/>
      <c r="D14" s="144"/>
      <c r="E14" s="144"/>
      <c r="F14" s="144"/>
      <c r="G14" s="145"/>
    </row>
    <row r="15" spans="1:7" s="5" customFormat="1" ht="15.6">
      <c r="A15" s="128" t="s">
        <v>15</v>
      </c>
      <c r="B15" s="129"/>
      <c r="C15" s="129"/>
      <c r="D15" s="129"/>
      <c r="E15" s="126">
        <f>G6</f>
        <v>44519</v>
      </c>
      <c r="F15" s="127"/>
      <c r="G15" s="12">
        <v>0</v>
      </c>
    </row>
    <row r="16" spans="1:7" s="5" customFormat="1" ht="15.6">
      <c r="A16" s="14"/>
      <c r="B16" s="15"/>
      <c r="C16" s="15"/>
      <c r="D16" s="15"/>
      <c r="E16" s="15"/>
      <c r="F16" s="16"/>
      <c r="G16" s="11"/>
    </row>
    <row r="17" spans="1:7" s="5" customFormat="1" ht="15.75" customHeight="1">
      <c r="A17" s="141" t="s">
        <v>16</v>
      </c>
      <c r="B17" s="142"/>
      <c r="C17" s="142"/>
      <c r="D17" s="142"/>
      <c r="E17" s="142"/>
      <c r="F17" s="21">
        <f>F4</f>
        <v>44531</v>
      </c>
      <c r="G17" s="12"/>
    </row>
    <row r="18" spans="1:7" s="5" customFormat="1" ht="15.6">
      <c r="A18" s="146" t="s">
        <v>17</v>
      </c>
      <c r="B18" s="147"/>
      <c r="C18" s="147"/>
      <c r="D18" s="147"/>
      <c r="E18" s="147"/>
      <c r="F18" s="148"/>
      <c r="G18" s="22">
        <f>Details!E51</f>
        <v>0</v>
      </c>
    </row>
    <row r="19" spans="1:7" s="5" customFormat="1" ht="15.6">
      <c r="A19" s="146" t="s">
        <v>18</v>
      </c>
      <c r="B19" s="147"/>
      <c r="C19" s="147"/>
      <c r="D19" s="147"/>
      <c r="E19" s="147"/>
      <c r="F19" s="148"/>
      <c r="G19" s="22">
        <f>Details!E97</f>
        <v>0</v>
      </c>
    </row>
    <row r="20" spans="1:7" s="5" customFormat="1" ht="15.75" customHeight="1">
      <c r="A20" s="151" t="s">
        <v>19</v>
      </c>
      <c r="B20" s="152"/>
      <c r="C20" s="152"/>
      <c r="D20" s="152"/>
      <c r="E20" s="152"/>
      <c r="F20" s="153"/>
      <c r="G20" s="12">
        <f>SUM(G18:G19)</f>
        <v>0</v>
      </c>
    </row>
    <row r="21" spans="1:7" s="5" customFormat="1" ht="18" customHeight="1" thickBot="1">
      <c r="A21" s="131" t="s">
        <v>20</v>
      </c>
      <c r="B21" s="132"/>
      <c r="C21" s="132"/>
      <c r="D21" s="132"/>
      <c r="E21" s="132"/>
      <c r="F21" s="17"/>
      <c r="G21" s="22">
        <f>G15+G20-G13</f>
        <v>0</v>
      </c>
    </row>
    <row r="22" spans="1:7" s="5" customFormat="1" ht="18" customHeight="1" thickTop="1">
      <c r="A22" s="18"/>
      <c r="B22" s="149"/>
      <c r="C22" s="149"/>
      <c r="D22" s="149"/>
      <c r="E22" s="149"/>
      <c r="F22" s="149"/>
      <c r="G22" s="150"/>
    </row>
    <row r="23" spans="1:7" s="5" customFormat="1" ht="18" customHeight="1" thickBot="1">
      <c r="A23" s="133" t="s">
        <v>21</v>
      </c>
      <c r="B23" s="134"/>
      <c r="C23" s="134"/>
      <c r="D23" s="134"/>
      <c r="E23" s="19"/>
      <c r="F23" s="20"/>
      <c r="G23" s="13">
        <f>G21</f>
        <v>0</v>
      </c>
    </row>
    <row r="24" spans="1:7" s="5" customFormat="1" ht="15.95" thickTop="1"/>
    <row r="25" spans="1:7" s="5" customFormat="1" ht="19.5" customHeight="1">
      <c r="A25" s="122" t="s">
        <v>22</v>
      </c>
      <c r="B25" s="122"/>
      <c r="C25" s="6"/>
      <c r="D25" s="6"/>
      <c r="E25" s="6"/>
      <c r="F25" s="7" t="s">
        <v>23</v>
      </c>
      <c r="G25" s="6"/>
    </row>
    <row r="26" spans="1:7" s="5" customFormat="1" ht="19.5" customHeight="1">
      <c r="F26" s="7"/>
    </row>
    <row r="27" spans="1:7" s="5" customFormat="1" ht="19.5" customHeight="1">
      <c r="A27" s="122" t="s">
        <v>24</v>
      </c>
      <c r="B27" s="122"/>
      <c r="C27" s="6"/>
      <c r="D27" s="6"/>
      <c r="E27" s="6"/>
      <c r="F27" s="7"/>
    </row>
    <row r="28" spans="1:7" s="5" customFormat="1" ht="19.5" customHeight="1">
      <c r="F28" s="7"/>
    </row>
    <row r="29" spans="1:7" s="5" customFormat="1" ht="19.5" customHeight="1">
      <c r="A29" s="122" t="s">
        <v>25</v>
      </c>
      <c r="B29" s="122"/>
      <c r="C29" s="6"/>
      <c r="D29" s="6"/>
      <c r="E29" s="6"/>
      <c r="F29" s="7" t="s">
        <v>23</v>
      </c>
      <c r="G29" s="6"/>
    </row>
    <row r="30" spans="1:7" s="5" customFormat="1" ht="19.5" customHeight="1"/>
    <row r="31" spans="1:7" s="5" customFormat="1" ht="19.5" customHeight="1">
      <c r="A31" s="122" t="s">
        <v>26</v>
      </c>
      <c r="B31" s="122"/>
      <c r="C31" s="6"/>
      <c r="D31" s="6"/>
      <c r="E31" s="6"/>
    </row>
    <row r="32" spans="1:7" s="5" customFormat="1" ht="15.6"/>
    <row r="33" spans="1:7" s="5" customFormat="1" ht="15.6">
      <c r="A33" s="23" t="s">
        <v>27</v>
      </c>
      <c r="B33" s="6"/>
      <c r="C33" s="6"/>
      <c r="D33" s="6"/>
      <c r="E33" s="6"/>
      <c r="F33" s="6"/>
      <c r="G33" s="6"/>
    </row>
    <row r="34" spans="1:7" s="5" customFormat="1" ht="15.6"/>
    <row r="35" spans="1:7" s="5" customFormat="1" ht="15.6">
      <c r="B35" s="6"/>
      <c r="C35" s="6"/>
      <c r="D35" s="6"/>
      <c r="E35" s="6"/>
      <c r="F35" s="6"/>
      <c r="G35" s="6"/>
    </row>
    <row r="36" spans="1:7" s="5" customFormat="1" ht="15.6"/>
    <row r="37" spans="1:7" s="5" customFormat="1" ht="15.6">
      <c r="B37" s="6"/>
      <c r="C37" s="6"/>
      <c r="D37" s="6"/>
      <c r="E37" s="6"/>
      <c r="F37" s="6"/>
      <c r="G37" s="6"/>
    </row>
    <row r="39" spans="1:7">
      <c r="A39" s="25" t="s">
        <v>28</v>
      </c>
    </row>
    <row r="40" spans="1:7">
      <c r="A40" s="24" t="s">
        <v>29</v>
      </c>
    </row>
    <row r="41" spans="1:7" s="5" customFormat="1" ht="21.75" customHeight="1">
      <c r="A41" s="122" t="s">
        <v>30</v>
      </c>
      <c r="B41" s="122"/>
      <c r="C41" s="6"/>
      <c r="D41" s="6"/>
      <c r="E41" s="6"/>
      <c r="F41" s="7" t="s">
        <v>23</v>
      </c>
      <c r="G41" s="6"/>
    </row>
    <row r="42" spans="1:7" s="5" customFormat="1" ht="19.5" customHeight="1">
      <c r="F42" s="7"/>
    </row>
    <row r="43" spans="1:7" s="5" customFormat="1" ht="19.5" customHeight="1">
      <c r="A43" s="122" t="s">
        <v>31</v>
      </c>
      <c r="B43" s="122"/>
      <c r="C43" s="6"/>
      <c r="D43" s="6"/>
      <c r="E43" s="6"/>
      <c r="F43" s="7"/>
    </row>
  </sheetData>
  <mergeCells count="24">
    <mergeCell ref="E8:F8"/>
    <mergeCell ref="A17:E17"/>
    <mergeCell ref="A14:G14"/>
    <mergeCell ref="A25:B25"/>
    <mergeCell ref="A19:F19"/>
    <mergeCell ref="B22:G22"/>
    <mergeCell ref="A20:F20"/>
    <mergeCell ref="A18:F18"/>
    <mergeCell ref="A41:B41"/>
    <mergeCell ref="A43:B43"/>
    <mergeCell ref="A2:G2"/>
    <mergeCell ref="C4:E4"/>
    <mergeCell ref="A8:B8"/>
    <mergeCell ref="E15:F15"/>
    <mergeCell ref="A13:F13"/>
    <mergeCell ref="A15:D15"/>
    <mergeCell ref="A27:B27"/>
    <mergeCell ref="A29:B29"/>
    <mergeCell ref="A31:B31"/>
    <mergeCell ref="C6:D6"/>
    <mergeCell ref="A21:E21"/>
    <mergeCell ref="A23:D23"/>
    <mergeCell ref="A11:F11"/>
    <mergeCell ref="A12:F1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41948-758C-4516-A2CE-4E18707A7EF1}">
  <sheetPr>
    <pageSetUpPr fitToPage="1"/>
  </sheetPr>
  <dimension ref="A1:I98"/>
  <sheetViews>
    <sheetView zoomScale="110" zoomScaleNormal="110" zoomScalePageLayoutView="60" workbookViewId="0">
      <pane xSplit="1" ySplit="2" topLeftCell="B3" activePane="bottomRight" state="frozen"/>
      <selection pane="bottomRight" activeCell="D7" sqref="D7"/>
      <selection pane="bottomLeft" activeCell="A12" sqref="A12"/>
      <selection pane="topRight" activeCell="B1" sqref="B1"/>
    </sheetView>
  </sheetViews>
  <sheetFormatPr defaultColWidth="8.7109375" defaultRowHeight="12.6" outlineLevelCol="1"/>
  <cols>
    <col min="1" max="1" width="97.140625" style="32" bestFit="1" customWidth="1"/>
    <col min="2" max="2" width="11.5703125" style="32" bestFit="1" customWidth="1" outlineLevel="1"/>
    <col min="3" max="3" width="9.5703125" style="32" bestFit="1" customWidth="1" outlineLevel="1"/>
    <col min="4" max="4" width="18.42578125" style="111" customWidth="1"/>
    <col min="5" max="5" width="10.140625" style="32" bestFit="1" customWidth="1"/>
    <col min="6" max="6" width="11.85546875" style="32" bestFit="1" customWidth="1"/>
    <col min="7" max="7" width="10.42578125" style="32" customWidth="1"/>
    <col min="8" max="16384" width="8.7109375" style="32"/>
  </cols>
  <sheetData>
    <row r="1" spans="1:9" ht="20.100000000000001" thickBot="1">
      <c r="A1" s="66" t="s">
        <v>32</v>
      </c>
      <c r="B1" s="154"/>
      <c r="C1" s="154"/>
      <c r="D1" s="154"/>
      <c r="E1" s="154"/>
      <c r="F1" s="154"/>
      <c r="G1" s="154"/>
    </row>
    <row r="2" spans="1:9" s="34" customFormat="1" ht="26.45" customHeight="1" thickBot="1">
      <c r="A2" s="79"/>
      <c r="B2" s="65" t="s">
        <v>33</v>
      </c>
      <c r="C2" s="95" t="s">
        <v>34</v>
      </c>
      <c r="D2" s="100" t="s">
        <v>35</v>
      </c>
      <c r="E2" s="80" t="s">
        <v>36</v>
      </c>
      <c r="F2" s="97" t="s">
        <v>37</v>
      </c>
      <c r="G2" s="98">
        <f>'Cash Flow'!G12</f>
        <v>20.76</v>
      </c>
    </row>
    <row r="3" spans="1:9">
      <c r="A3" s="35" t="s">
        <v>38</v>
      </c>
      <c r="B3" s="36"/>
      <c r="C3" s="68"/>
      <c r="D3" s="101"/>
      <c r="E3" s="81"/>
    </row>
    <row r="4" spans="1:9">
      <c r="A4" s="37" t="s">
        <v>39</v>
      </c>
      <c r="B4" s="33">
        <v>1200</v>
      </c>
      <c r="C4" s="90" t="s">
        <v>40</v>
      </c>
      <c r="D4" s="102">
        <v>0</v>
      </c>
      <c r="E4" s="83">
        <f>$D4/$G$2</f>
        <v>0</v>
      </c>
    </row>
    <row r="5" spans="1:9">
      <c r="A5" s="37" t="s">
        <v>41</v>
      </c>
      <c r="B5" s="33">
        <v>800</v>
      </c>
      <c r="C5" s="90" t="s">
        <v>40</v>
      </c>
      <c r="D5" s="102">
        <v>0</v>
      </c>
      <c r="E5" s="83">
        <f t="shared" ref="E5:E9" si="0">$D5/$G$2</f>
        <v>0</v>
      </c>
    </row>
    <row r="6" spans="1:9" s="39" customFormat="1">
      <c r="A6" s="37" t="s">
        <v>42</v>
      </c>
      <c r="B6" s="33">
        <v>400</v>
      </c>
      <c r="C6" s="90" t="s">
        <v>40</v>
      </c>
      <c r="D6" s="102">
        <v>0</v>
      </c>
      <c r="E6" s="83">
        <f t="shared" si="0"/>
        <v>0</v>
      </c>
      <c r="F6" s="32"/>
      <c r="G6" s="32"/>
      <c r="H6" s="32"/>
      <c r="I6" s="32"/>
    </row>
    <row r="7" spans="1:9" s="39" customFormat="1">
      <c r="A7" s="37" t="s">
        <v>43</v>
      </c>
      <c r="B7" s="84">
        <v>200</v>
      </c>
      <c r="C7" s="90" t="s">
        <v>40</v>
      </c>
      <c r="D7" s="102">
        <v>0</v>
      </c>
      <c r="E7" s="83">
        <f t="shared" si="0"/>
        <v>0</v>
      </c>
      <c r="F7" s="32"/>
      <c r="G7" s="32"/>
      <c r="H7" s="32"/>
      <c r="I7" s="32"/>
    </row>
    <row r="8" spans="1:9" s="39" customFormat="1">
      <c r="A8" s="37" t="s">
        <v>44</v>
      </c>
      <c r="B8" s="84">
        <v>200</v>
      </c>
      <c r="C8" s="90" t="s">
        <v>40</v>
      </c>
      <c r="D8" s="102">
        <v>0</v>
      </c>
      <c r="E8" s="83">
        <f t="shared" si="0"/>
        <v>0</v>
      </c>
      <c r="F8" s="32"/>
      <c r="G8" s="32"/>
      <c r="H8" s="32"/>
      <c r="I8" s="32"/>
    </row>
    <row r="9" spans="1:9">
      <c r="A9" s="37" t="s">
        <v>45</v>
      </c>
      <c r="B9" s="84">
        <v>200</v>
      </c>
      <c r="C9" s="90" t="s">
        <v>40</v>
      </c>
      <c r="D9" s="102">
        <v>0</v>
      </c>
      <c r="E9" s="83">
        <f t="shared" si="0"/>
        <v>0</v>
      </c>
    </row>
    <row r="10" spans="1:9">
      <c r="A10" s="40" t="s">
        <v>46</v>
      </c>
      <c r="B10" s="41"/>
      <c r="C10" s="69"/>
      <c r="D10" s="103">
        <f>SUM(D4:D9)</f>
        <v>0</v>
      </c>
      <c r="E10" s="78">
        <f>SUM(E4:E9)</f>
        <v>0</v>
      </c>
    </row>
    <row r="11" spans="1:9">
      <c r="A11" s="42"/>
      <c r="B11" s="43"/>
      <c r="C11" s="70"/>
      <c r="D11" s="104"/>
      <c r="E11" s="85"/>
    </row>
    <row r="12" spans="1:9">
      <c r="A12" s="44" t="s">
        <v>47</v>
      </c>
      <c r="B12" s="45"/>
      <c r="C12" s="71"/>
      <c r="D12" s="105"/>
      <c r="E12" s="86"/>
    </row>
    <row r="13" spans="1:9">
      <c r="A13" s="46" t="s">
        <v>48</v>
      </c>
      <c r="B13" s="112">
        <v>0.5</v>
      </c>
      <c r="C13" s="82"/>
      <c r="D13" s="102">
        <f>D10*B13</f>
        <v>0</v>
      </c>
      <c r="E13" s="83">
        <f t="shared" ref="E13" si="1">$D13/$G$2</f>
        <v>0</v>
      </c>
    </row>
    <row r="14" spans="1:9">
      <c r="A14" s="40" t="s">
        <v>49</v>
      </c>
      <c r="B14" s="41"/>
      <c r="C14" s="69"/>
      <c r="D14" s="103">
        <f>SUM(D13:D13)</f>
        <v>0</v>
      </c>
      <c r="E14" s="78">
        <f>SUM(E13:E13)</f>
        <v>0</v>
      </c>
    </row>
    <row r="15" spans="1:9">
      <c r="A15" s="42"/>
      <c r="B15" s="43"/>
      <c r="C15" s="70"/>
      <c r="D15" s="104"/>
      <c r="E15" s="85"/>
    </row>
    <row r="16" spans="1:9">
      <c r="A16" s="44" t="s">
        <v>50</v>
      </c>
      <c r="B16" s="45"/>
      <c r="C16" s="71"/>
      <c r="D16" s="105"/>
      <c r="E16" s="86"/>
    </row>
    <row r="17" spans="1:9">
      <c r="A17" s="48" t="s">
        <v>51</v>
      </c>
      <c r="B17" s="67">
        <v>375</v>
      </c>
      <c r="C17" s="90" t="s">
        <v>52</v>
      </c>
      <c r="D17" s="102">
        <v>0</v>
      </c>
      <c r="E17" s="83">
        <f t="shared" ref="E17:E19" si="2">$D17/$G$2</f>
        <v>0</v>
      </c>
    </row>
    <row r="18" spans="1:9">
      <c r="A18" s="48" t="s">
        <v>53</v>
      </c>
      <c r="B18" s="67">
        <v>110</v>
      </c>
      <c r="C18" s="90" t="s">
        <v>54</v>
      </c>
      <c r="D18" s="102">
        <v>0</v>
      </c>
      <c r="E18" s="83">
        <f t="shared" si="2"/>
        <v>0</v>
      </c>
    </row>
    <row r="19" spans="1:9">
      <c r="A19" s="48" t="s">
        <v>55</v>
      </c>
      <c r="B19" s="67">
        <v>25</v>
      </c>
      <c r="C19" s="90" t="s">
        <v>54</v>
      </c>
      <c r="D19" s="102">
        <v>0</v>
      </c>
      <c r="E19" s="83">
        <f t="shared" si="2"/>
        <v>0</v>
      </c>
    </row>
    <row r="20" spans="1:9">
      <c r="A20" s="40" t="s">
        <v>56</v>
      </c>
      <c r="B20" s="41"/>
      <c r="C20" s="69"/>
      <c r="D20" s="103">
        <f>SUM(D17:D19)</f>
        <v>0</v>
      </c>
      <c r="E20" s="78">
        <f>SUM(E17:E19)</f>
        <v>0</v>
      </c>
    </row>
    <row r="21" spans="1:9">
      <c r="A21" s="53"/>
      <c r="B21" s="43"/>
      <c r="C21" s="70"/>
      <c r="D21" s="104"/>
      <c r="E21" s="85"/>
    </row>
    <row r="22" spans="1:9">
      <c r="A22" s="44" t="s">
        <v>57</v>
      </c>
      <c r="B22" s="45"/>
      <c r="C22" s="71"/>
      <c r="D22" s="105"/>
      <c r="E22" s="86"/>
    </row>
    <row r="23" spans="1:9">
      <c r="A23" s="38" t="s">
        <v>58</v>
      </c>
      <c r="B23" s="67">
        <v>650</v>
      </c>
      <c r="C23" s="90" t="s">
        <v>59</v>
      </c>
      <c r="D23" s="102">
        <v>0</v>
      </c>
      <c r="E23" s="83">
        <f t="shared" ref="E23:E25" si="3">$D23/$G$2</f>
        <v>0</v>
      </c>
    </row>
    <row r="24" spans="1:9">
      <c r="A24" s="38" t="s">
        <v>60</v>
      </c>
      <c r="B24" s="67">
        <v>600</v>
      </c>
      <c r="C24" s="90" t="s">
        <v>59</v>
      </c>
      <c r="D24" s="102">
        <v>0</v>
      </c>
      <c r="E24" s="83">
        <f t="shared" si="3"/>
        <v>0</v>
      </c>
    </row>
    <row r="25" spans="1:9">
      <c r="A25" s="38" t="s">
        <v>61</v>
      </c>
      <c r="B25" s="67">
        <v>300</v>
      </c>
      <c r="C25" s="90" t="s">
        <v>59</v>
      </c>
      <c r="D25" s="102">
        <v>0</v>
      </c>
      <c r="E25" s="83">
        <f t="shared" si="3"/>
        <v>0</v>
      </c>
    </row>
    <row r="26" spans="1:9" s="52" customFormat="1" ht="12.4">
      <c r="A26" s="40" t="s">
        <v>62</v>
      </c>
      <c r="B26" s="41"/>
      <c r="C26" s="69"/>
      <c r="D26" s="103">
        <f>SUM(D23:D25)</f>
        <v>0</v>
      </c>
      <c r="E26" s="78">
        <f>SUM(E23:E25)</f>
        <v>0</v>
      </c>
    </row>
    <row r="27" spans="1:9">
      <c r="A27" s="53"/>
      <c r="B27" s="43"/>
      <c r="C27" s="70"/>
      <c r="D27" s="104"/>
      <c r="E27" s="85"/>
    </row>
    <row r="28" spans="1:9">
      <c r="A28" s="44" t="s">
        <v>63</v>
      </c>
      <c r="B28" s="45"/>
      <c r="C28" s="71"/>
      <c r="D28" s="105"/>
      <c r="E28" s="86"/>
    </row>
    <row r="29" spans="1:9">
      <c r="A29" s="38" t="s">
        <v>64</v>
      </c>
      <c r="B29" s="67">
        <v>30</v>
      </c>
      <c r="C29" s="90" t="s">
        <v>40</v>
      </c>
      <c r="D29" s="102">
        <v>0</v>
      </c>
      <c r="E29" s="83">
        <f t="shared" ref="E29:E35" si="4">$D29/$G$2</f>
        <v>0</v>
      </c>
      <c r="F29" s="54"/>
      <c r="H29" s="50"/>
      <c r="I29" s="50"/>
    </row>
    <row r="30" spans="1:9">
      <c r="A30" s="38" t="s">
        <v>65</v>
      </c>
      <c r="B30" s="67">
        <v>50</v>
      </c>
      <c r="C30" s="90" t="s">
        <v>66</v>
      </c>
      <c r="D30" s="102">
        <v>0</v>
      </c>
      <c r="E30" s="83">
        <f t="shared" si="4"/>
        <v>0</v>
      </c>
      <c r="F30" s="54"/>
      <c r="H30" s="50"/>
      <c r="I30" s="50"/>
    </row>
    <row r="31" spans="1:9">
      <c r="A31" s="38" t="s">
        <v>67</v>
      </c>
      <c r="B31" s="67">
        <v>40</v>
      </c>
      <c r="C31" s="90" t="s">
        <v>40</v>
      </c>
      <c r="D31" s="102">
        <v>0</v>
      </c>
      <c r="E31" s="83">
        <f t="shared" si="4"/>
        <v>0</v>
      </c>
      <c r="F31" s="54"/>
      <c r="H31" s="50"/>
      <c r="I31" s="50"/>
    </row>
    <row r="32" spans="1:9">
      <c r="A32" s="38" t="s">
        <v>68</v>
      </c>
      <c r="B32" s="67">
        <v>435</v>
      </c>
      <c r="C32" s="90" t="s">
        <v>40</v>
      </c>
      <c r="D32" s="102">
        <v>0</v>
      </c>
      <c r="E32" s="83">
        <f t="shared" si="4"/>
        <v>0</v>
      </c>
      <c r="F32" s="54"/>
      <c r="H32" s="50"/>
      <c r="I32" s="50"/>
    </row>
    <row r="33" spans="1:9">
      <c r="A33" s="38" t="s">
        <v>69</v>
      </c>
      <c r="B33" s="67">
        <v>60</v>
      </c>
      <c r="C33" s="90" t="s">
        <v>40</v>
      </c>
      <c r="D33" s="102">
        <v>0</v>
      </c>
      <c r="E33" s="83">
        <f t="shared" si="4"/>
        <v>0</v>
      </c>
      <c r="F33" s="54"/>
      <c r="H33" s="50"/>
      <c r="I33" s="50"/>
    </row>
    <row r="34" spans="1:9">
      <c r="A34" s="38" t="s">
        <v>70</v>
      </c>
      <c r="B34" s="67">
        <v>250</v>
      </c>
      <c r="C34" s="90" t="s">
        <v>66</v>
      </c>
      <c r="D34" s="102">
        <v>0</v>
      </c>
      <c r="E34" s="83">
        <f t="shared" si="4"/>
        <v>0</v>
      </c>
      <c r="F34" s="54"/>
      <c r="H34" s="50"/>
      <c r="I34" s="50"/>
    </row>
    <row r="35" spans="1:9">
      <c r="A35" s="38" t="s">
        <v>71</v>
      </c>
      <c r="B35" s="67">
        <v>100</v>
      </c>
      <c r="C35" s="90" t="s">
        <v>40</v>
      </c>
      <c r="D35" s="102">
        <v>0</v>
      </c>
      <c r="E35" s="83">
        <f t="shared" si="4"/>
        <v>0</v>
      </c>
      <c r="F35" s="54"/>
      <c r="H35" s="50"/>
      <c r="I35" s="50"/>
    </row>
    <row r="36" spans="1:9" s="52" customFormat="1" ht="12.4">
      <c r="A36" s="40" t="s">
        <v>72</v>
      </c>
      <c r="B36" s="41"/>
      <c r="C36" s="69"/>
      <c r="D36" s="103">
        <f>SUM(D29:D35)</f>
        <v>0</v>
      </c>
      <c r="E36" s="78">
        <f>SUM(E29:E35)</f>
        <v>0</v>
      </c>
    </row>
    <row r="37" spans="1:9" s="52" customFormat="1" ht="12.4">
      <c r="A37" s="55"/>
      <c r="B37" s="56"/>
      <c r="C37" s="73"/>
      <c r="D37" s="107"/>
      <c r="E37" s="91"/>
    </row>
    <row r="38" spans="1:9">
      <c r="A38" s="57" t="s">
        <v>73</v>
      </c>
      <c r="B38" s="58"/>
      <c r="C38" s="74"/>
      <c r="D38" s="105"/>
      <c r="E38" s="86"/>
    </row>
    <row r="39" spans="1:9">
      <c r="A39" s="49" t="s">
        <v>74</v>
      </c>
      <c r="B39" s="51"/>
      <c r="C39" s="72"/>
      <c r="D39" s="106"/>
      <c r="E39" s="87"/>
    </row>
    <row r="40" spans="1:9">
      <c r="A40" s="59" t="s">
        <v>75</v>
      </c>
      <c r="B40" s="89">
        <v>2000</v>
      </c>
      <c r="C40" s="88" t="s">
        <v>59</v>
      </c>
      <c r="D40" s="102"/>
      <c r="E40" s="83"/>
    </row>
    <row r="41" spans="1:9">
      <c r="A41" s="59" t="s">
        <v>76</v>
      </c>
      <c r="B41" s="89">
        <v>10000</v>
      </c>
      <c r="C41" s="88" t="s">
        <v>77</v>
      </c>
      <c r="D41" s="102">
        <v>0</v>
      </c>
      <c r="E41" s="83">
        <f t="shared" ref="E41:E46" si="5">$D41/$G$2</f>
        <v>0</v>
      </c>
    </row>
    <row r="42" spans="1:9">
      <c r="A42" s="59" t="s">
        <v>78</v>
      </c>
      <c r="B42" s="89">
        <v>110</v>
      </c>
      <c r="C42" s="88" t="s">
        <v>54</v>
      </c>
      <c r="D42" s="102">
        <v>0</v>
      </c>
      <c r="E42" s="83">
        <f t="shared" si="5"/>
        <v>0</v>
      </c>
    </row>
    <row r="43" spans="1:9">
      <c r="A43" s="59" t="s">
        <v>79</v>
      </c>
      <c r="B43" s="89">
        <v>50</v>
      </c>
      <c r="C43" s="88" t="s">
        <v>54</v>
      </c>
      <c r="D43" s="102">
        <v>0</v>
      </c>
      <c r="E43" s="83">
        <f t="shared" si="5"/>
        <v>0</v>
      </c>
    </row>
    <row r="44" spans="1:9">
      <c r="A44" s="49" t="s">
        <v>80</v>
      </c>
      <c r="B44" s="89"/>
      <c r="C44" s="88"/>
      <c r="D44" s="102">
        <v>0</v>
      </c>
      <c r="E44" s="83">
        <f t="shared" si="5"/>
        <v>0</v>
      </c>
    </row>
    <row r="45" spans="1:9">
      <c r="A45" s="59" t="s">
        <v>81</v>
      </c>
      <c r="B45" s="89">
        <v>50</v>
      </c>
      <c r="C45" s="88" t="s">
        <v>54</v>
      </c>
      <c r="D45" s="102"/>
      <c r="E45" s="83"/>
    </row>
    <row r="46" spans="1:9">
      <c r="A46" s="59" t="s">
        <v>82</v>
      </c>
      <c r="B46" s="89">
        <v>300</v>
      </c>
      <c r="C46" s="88" t="s">
        <v>59</v>
      </c>
      <c r="D46" s="102">
        <v>0</v>
      </c>
      <c r="E46" s="83">
        <f t="shared" si="5"/>
        <v>0</v>
      </c>
    </row>
    <row r="47" spans="1:9" s="52" customFormat="1" ht="12.4">
      <c r="A47" s="60" t="s">
        <v>83</v>
      </c>
      <c r="B47" s="61"/>
      <c r="C47" s="75"/>
      <c r="D47" s="103">
        <f>SUM(D41:D46)</f>
        <v>0</v>
      </c>
      <c r="E47" s="78">
        <f>SUM(E41:E46)</f>
        <v>0</v>
      </c>
    </row>
    <row r="48" spans="1:9">
      <c r="A48" s="47"/>
      <c r="C48" s="82"/>
      <c r="D48" s="102"/>
      <c r="E48" s="83"/>
    </row>
    <row r="49" spans="1:9" s="52" customFormat="1" ht="12.4">
      <c r="A49" s="62" t="s">
        <v>84</v>
      </c>
      <c r="B49" s="63"/>
      <c r="C49" s="76"/>
      <c r="D49" s="108">
        <f>D47+D36+D26+D20+D14+D10</f>
        <v>0</v>
      </c>
      <c r="E49" s="92">
        <f>E47+E36+E26+E20+E14+E10</f>
        <v>0</v>
      </c>
    </row>
    <row r="50" spans="1:9" s="52" customFormat="1">
      <c r="A50" s="121" t="s">
        <v>85</v>
      </c>
      <c r="B50" s="64">
        <v>0.1</v>
      </c>
      <c r="C50" s="77"/>
      <c r="D50" s="109">
        <f>(D49*B50)</f>
        <v>0</v>
      </c>
      <c r="E50" s="93">
        <f>$D50/$G$2</f>
        <v>0</v>
      </c>
    </row>
    <row r="51" spans="1:9" ht="12.95" thickBot="1">
      <c r="A51" s="113" t="s">
        <v>86</v>
      </c>
      <c r="B51" s="114"/>
      <c r="C51" s="115"/>
      <c r="D51" s="110">
        <f>D50+D49</f>
        <v>0</v>
      </c>
      <c r="E51" s="94">
        <f>E50+E49</f>
        <v>0</v>
      </c>
    </row>
    <row r="52" spans="1:9">
      <c r="A52" s="79"/>
      <c r="B52" s="79"/>
      <c r="C52" s="79"/>
      <c r="D52" s="79"/>
      <c r="E52" s="79"/>
    </row>
    <row r="53" spans="1:9">
      <c r="A53" s="35" t="s">
        <v>87</v>
      </c>
      <c r="B53" s="36"/>
      <c r="C53" s="68"/>
      <c r="D53" s="101"/>
      <c r="E53" s="81"/>
    </row>
    <row r="54" spans="1:9">
      <c r="A54" s="37" t="s">
        <v>39</v>
      </c>
      <c r="B54" s="33">
        <v>1200</v>
      </c>
      <c r="C54" s="90" t="s">
        <v>40</v>
      </c>
      <c r="D54" s="102">
        <v>0</v>
      </c>
      <c r="E54" s="83">
        <f>$D54/$G$2</f>
        <v>0</v>
      </c>
    </row>
    <row r="55" spans="1:9">
      <c r="A55" s="37" t="s">
        <v>41</v>
      </c>
      <c r="B55" s="33">
        <v>800</v>
      </c>
      <c r="C55" s="90" t="s">
        <v>40</v>
      </c>
      <c r="D55" s="102">
        <v>0</v>
      </c>
      <c r="E55" s="83">
        <f t="shared" ref="E55:E59" si="6">$D55/$G$2</f>
        <v>0</v>
      </c>
    </row>
    <row r="56" spans="1:9" s="39" customFormat="1">
      <c r="A56" s="37" t="s">
        <v>42</v>
      </c>
      <c r="B56" s="33">
        <v>400</v>
      </c>
      <c r="C56" s="90" t="s">
        <v>40</v>
      </c>
      <c r="D56" s="102">
        <v>0</v>
      </c>
      <c r="E56" s="83">
        <f t="shared" si="6"/>
        <v>0</v>
      </c>
      <c r="F56" s="32"/>
      <c r="G56" s="32"/>
      <c r="H56" s="32"/>
      <c r="I56" s="32"/>
    </row>
    <row r="57" spans="1:9" s="39" customFormat="1">
      <c r="A57" s="37" t="s">
        <v>43</v>
      </c>
      <c r="B57" s="84">
        <v>200</v>
      </c>
      <c r="C57" s="90" t="s">
        <v>40</v>
      </c>
      <c r="D57" s="102">
        <v>0</v>
      </c>
      <c r="E57" s="83">
        <f t="shared" si="6"/>
        <v>0</v>
      </c>
      <c r="F57" s="32"/>
      <c r="G57" s="32"/>
      <c r="H57" s="32"/>
      <c r="I57" s="32"/>
    </row>
    <row r="58" spans="1:9" s="39" customFormat="1">
      <c r="A58" s="37" t="s">
        <v>44</v>
      </c>
      <c r="B58" s="84">
        <v>200</v>
      </c>
      <c r="C58" s="90" t="s">
        <v>40</v>
      </c>
      <c r="D58" s="102">
        <v>0</v>
      </c>
      <c r="E58" s="83">
        <f t="shared" si="6"/>
        <v>0</v>
      </c>
      <c r="F58" s="32"/>
      <c r="G58" s="32"/>
      <c r="H58" s="32"/>
      <c r="I58" s="32"/>
    </row>
    <row r="59" spans="1:9">
      <c r="A59" s="37" t="s">
        <v>45</v>
      </c>
      <c r="B59" s="84">
        <v>200</v>
      </c>
      <c r="C59" s="90" t="s">
        <v>40</v>
      </c>
      <c r="D59" s="102">
        <v>0</v>
      </c>
      <c r="E59" s="83">
        <f t="shared" si="6"/>
        <v>0</v>
      </c>
    </row>
    <row r="60" spans="1:9">
      <c r="A60" s="40" t="s">
        <v>88</v>
      </c>
      <c r="B60" s="41"/>
      <c r="C60" s="69"/>
      <c r="D60" s="103">
        <f>SUM(D54:D59)</f>
        <v>0</v>
      </c>
      <c r="E60" s="78">
        <f>SUM(E54:E59)</f>
        <v>0</v>
      </c>
    </row>
    <row r="61" spans="1:9">
      <c r="A61" s="42"/>
      <c r="B61" s="43"/>
      <c r="C61" s="70"/>
      <c r="D61" s="104"/>
      <c r="E61" s="85"/>
    </row>
    <row r="62" spans="1:9">
      <c r="A62" s="44" t="s">
        <v>89</v>
      </c>
      <c r="B62" s="45"/>
      <c r="C62" s="71"/>
      <c r="D62" s="105"/>
      <c r="E62" s="86"/>
    </row>
    <row r="63" spans="1:9">
      <c r="A63" s="46" t="s">
        <v>48</v>
      </c>
      <c r="B63" s="112">
        <v>0.5</v>
      </c>
      <c r="C63" s="82"/>
      <c r="D63" s="102">
        <f>D60*B63</f>
        <v>0</v>
      </c>
      <c r="E63" s="83">
        <f t="shared" ref="E63" si="7">$D63/$G$2</f>
        <v>0</v>
      </c>
    </row>
    <row r="64" spans="1:9">
      <c r="A64" s="40" t="s">
        <v>90</v>
      </c>
      <c r="B64" s="41"/>
      <c r="C64" s="69"/>
      <c r="D64" s="103">
        <f>SUM(D63:D63)</f>
        <v>0</v>
      </c>
      <c r="E64" s="78">
        <f>SUM(E63:E63)</f>
        <v>0</v>
      </c>
    </row>
    <row r="65" spans="1:9">
      <c r="A65" s="42"/>
      <c r="B65" s="43"/>
      <c r="C65" s="70"/>
      <c r="D65" s="104"/>
      <c r="E65" s="85"/>
    </row>
    <row r="66" spans="1:9">
      <c r="A66" s="44" t="s">
        <v>91</v>
      </c>
      <c r="B66" s="45"/>
      <c r="C66" s="71"/>
      <c r="D66" s="105"/>
      <c r="E66" s="86"/>
    </row>
    <row r="67" spans="1:9">
      <c r="A67" s="48" t="s">
        <v>51</v>
      </c>
      <c r="B67" s="67">
        <v>375</v>
      </c>
      <c r="C67" s="90" t="s">
        <v>52</v>
      </c>
      <c r="D67" s="102">
        <v>0</v>
      </c>
      <c r="E67" s="83">
        <f t="shared" ref="E67:E69" si="8">$D67/$G$2</f>
        <v>0</v>
      </c>
    </row>
    <row r="68" spans="1:9">
      <c r="A68" s="48" t="s">
        <v>53</v>
      </c>
      <c r="B68" s="67">
        <v>110</v>
      </c>
      <c r="C68" s="90" t="s">
        <v>54</v>
      </c>
      <c r="D68" s="102">
        <v>0</v>
      </c>
      <c r="E68" s="83">
        <f t="shared" si="8"/>
        <v>0</v>
      </c>
    </row>
    <row r="69" spans="1:9">
      <c r="A69" s="48" t="s">
        <v>55</v>
      </c>
      <c r="B69" s="67">
        <v>25</v>
      </c>
      <c r="C69" s="90" t="s">
        <v>54</v>
      </c>
      <c r="D69" s="102">
        <v>0</v>
      </c>
      <c r="E69" s="83">
        <f t="shared" si="8"/>
        <v>0</v>
      </c>
    </row>
    <row r="70" spans="1:9">
      <c r="A70" s="40" t="s">
        <v>92</v>
      </c>
      <c r="B70" s="41"/>
      <c r="C70" s="69"/>
      <c r="D70" s="103">
        <f>SUM(D67:D69)</f>
        <v>0</v>
      </c>
      <c r="E70" s="78">
        <f>SUM(E67:E69)</f>
        <v>0</v>
      </c>
    </row>
    <row r="71" spans="1:9">
      <c r="A71" s="53"/>
      <c r="B71" s="43"/>
      <c r="C71" s="70"/>
      <c r="D71" s="104"/>
      <c r="E71" s="85"/>
    </row>
    <row r="72" spans="1:9">
      <c r="A72" s="44" t="s">
        <v>93</v>
      </c>
      <c r="B72" s="45"/>
      <c r="C72" s="71"/>
      <c r="D72" s="105"/>
      <c r="E72" s="86"/>
    </row>
    <row r="73" spans="1:9">
      <c r="A73" s="38" t="s">
        <v>58</v>
      </c>
      <c r="B73" s="67">
        <v>650</v>
      </c>
      <c r="C73" s="90" t="s">
        <v>59</v>
      </c>
      <c r="D73" s="102">
        <v>0</v>
      </c>
      <c r="E73" s="83">
        <f t="shared" ref="E73:E75" si="9">$D73/$G$2</f>
        <v>0</v>
      </c>
    </row>
    <row r="74" spans="1:9">
      <c r="A74" s="38" t="s">
        <v>60</v>
      </c>
      <c r="B74" s="67">
        <v>600</v>
      </c>
      <c r="C74" s="90" t="s">
        <v>59</v>
      </c>
      <c r="D74" s="102">
        <v>0</v>
      </c>
      <c r="E74" s="83">
        <f t="shared" si="9"/>
        <v>0</v>
      </c>
    </row>
    <row r="75" spans="1:9">
      <c r="A75" s="38" t="s">
        <v>61</v>
      </c>
      <c r="B75" s="67">
        <v>300</v>
      </c>
      <c r="C75" s="90" t="s">
        <v>59</v>
      </c>
      <c r="D75" s="102">
        <v>0</v>
      </c>
      <c r="E75" s="83">
        <f t="shared" si="9"/>
        <v>0</v>
      </c>
    </row>
    <row r="76" spans="1:9" s="52" customFormat="1" ht="12.4">
      <c r="A76" s="40" t="s">
        <v>94</v>
      </c>
      <c r="B76" s="41"/>
      <c r="C76" s="69"/>
      <c r="D76" s="103">
        <f>SUM(D73:D75)</f>
        <v>0</v>
      </c>
      <c r="E76" s="78">
        <f>SUM(E73:E75)</f>
        <v>0</v>
      </c>
    </row>
    <row r="77" spans="1:9">
      <c r="A77" s="53"/>
      <c r="B77" s="43"/>
      <c r="C77" s="70"/>
      <c r="D77" s="104"/>
      <c r="E77" s="85"/>
    </row>
    <row r="78" spans="1:9">
      <c r="A78" s="44" t="s">
        <v>95</v>
      </c>
      <c r="B78" s="45"/>
      <c r="C78" s="71"/>
      <c r="D78" s="105"/>
      <c r="E78" s="86"/>
    </row>
    <row r="79" spans="1:9">
      <c r="A79" s="38" t="s">
        <v>64</v>
      </c>
      <c r="B79" s="67">
        <v>30</v>
      </c>
      <c r="C79" s="90" t="s">
        <v>40</v>
      </c>
      <c r="D79" s="102">
        <v>0</v>
      </c>
      <c r="E79" s="83">
        <f t="shared" ref="E79:E85" si="10">$D79/$G$2</f>
        <v>0</v>
      </c>
      <c r="F79" s="54"/>
      <c r="H79" s="50"/>
      <c r="I79" s="50"/>
    </row>
    <row r="80" spans="1:9">
      <c r="A80" s="38" t="s">
        <v>65</v>
      </c>
      <c r="B80" s="67">
        <v>50</v>
      </c>
      <c r="C80" s="90" t="s">
        <v>66</v>
      </c>
      <c r="D80" s="102">
        <v>0</v>
      </c>
      <c r="E80" s="83">
        <f t="shared" si="10"/>
        <v>0</v>
      </c>
      <c r="F80" s="54"/>
      <c r="H80" s="50"/>
      <c r="I80" s="50"/>
    </row>
    <row r="81" spans="1:9">
      <c r="A81" s="38" t="s">
        <v>67</v>
      </c>
      <c r="B81" s="67">
        <v>40</v>
      </c>
      <c r="C81" s="90" t="s">
        <v>40</v>
      </c>
      <c r="D81" s="102">
        <v>0</v>
      </c>
      <c r="E81" s="83">
        <f t="shared" si="10"/>
        <v>0</v>
      </c>
      <c r="F81" s="54"/>
      <c r="H81" s="50"/>
      <c r="I81" s="50"/>
    </row>
    <row r="82" spans="1:9">
      <c r="A82" s="38" t="s">
        <v>68</v>
      </c>
      <c r="B82" s="67">
        <v>435</v>
      </c>
      <c r="C82" s="90" t="s">
        <v>40</v>
      </c>
      <c r="D82" s="102">
        <v>0</v>
      </c>
      <c r="E82" s="83">
        <f t="shared" si="10"/>
        <v>0</v>
      </c>
      <c r="F82" s="54"/>
      <c r="H82" s="50"/>
      <c r="I82" s="50"/>
    </row>
    <row r="83" spans="1:9">
      <c r="A83" s="38" t="s">
        <v>69</v>
      </c>
      <c r="B83" s="67">
        <v>60</v>
      </c>
      <c r="C83" s="90" t="s">
        <v>40</v>
      </c>
      <c r="D83" s="102">
        <v>0</v>
      </c>
      <c r="E83" s="83">
        <f t="shared" si="10"/>
        <v>0</v>
      </c>
      <c r="F83" s="54"/>
      <c r="H83" s="50"/>
      <c r="I83" s="50"/>
    </row>
    <row r="84" spans="1:9">
      <c r="A84" s="38" t="s">
        <v>70</v>
      </c>
      <c r="B84" s="67">
        <v>250</v>
      </c>
      <c r="C84" s="90" t="s">
        <v>66</v>
      </c>
      <c r="D84" s="102">
        <v>0</v>
      </c>
      <c r="E84" s="83">
        <f t="shared" si="10"/>
        <v>0</v>
      </c>
      <c r="F84" s="54"/>
      <c r="H84" s="50"/>
      <c r="I84" s="50"/>
    </row>
    <row r="85" spans="1:9">
      <c r="A85" s="38" t="s">
        <v>71</v>
      </c>
      <c r="B85" s="67">
        <v>100</v>
      </c>
      <c r="C85" s="90" t="s">
        <v>40</v>
      </c>
      <c r="D85" s="102">
        <v>0</v>
      </c>
      <c r="E85" s="83">
        <f t="shared" si="10"/>
        <v>0</v>
      </c>
      <c r="F85" s="54"/>
      <c r="H85" s="50"/>
      <c r="I85" s="50"/>
    </row>
    <row r="86" spans="1:9" s="52" customFormat="1" ht="12.4">
      <c r="A86" s="40" t="s">
        <v>96</v>
      </c>
      <c r="B86" s="41"/>
      <c r="C86" s="69"/>
      <c r="D86" s="103">
        <f>SUM(D79:D85)</f>
        <v>0</v>
      </c>
      <c r="E86" s="78">
        <f>SUM(E79:E85)</f>
        <v>0</v>
      </c>
    </row>
    <row r="87" spans="1:9" s="52" customFormat="1" ht="12.4">
      <c r="A87" s="55"/>
      <c r="B87" s="56"/>
      <c r="C87" s="73"/>
      <c r="D87" s="107"/>
      <c r="E87" s="91"/>
    </row>
    <row r="88" spans="1:9">
      <c r="A88" s="57" t="s">
        <v>97</v>
      </c>
      <c r="B88" s="58"/>
      <c r="C88" s="74"/>
      <c r="D88" s="105"/>
      <c r="E88" s="86"/>
    </row>
    <row r="89" spans="1:9">
      <c r="A89" s="49" t="s">
        <v>98</v>
      </c>
      <c r="B89" s="51"/>
      <c r="C89" s="72"/>
      <c r="D89" s="106"/>
      <c r="E89" s="87"/>
    </row>
    <row r="90" spans="1:9">
      <c r="A90" s="59" t="s">
        <v>99</v>
      </c>
      <c r="B90" s="89">
        <v>110</v>
      </c>
      <c r="C90" s="88" t="s">
        <v>59</v>
      </c>
      <c r="D90" s="102"/>
      <c r="E90" s="83"/>
    </row>
    <row r="91" spans="1:9">
      <c r="A91" s="59" t="s">
        <v>100</v>
      </c>
      <c r="B91" s="89">
        <v>25</v>
      </c>
      <c r="C91" s="88" t="s">
        <v>59</v>
      </c>
      <c r="D91" s="102">
        <v>0</v>
      </c>
      <c r="E91" s="83">
        <f t="shared" ref="E91:E92" si="11">$D91/$G$2</f>
        <v>0</v>
      </c>
    </row>
    <row r="92" spans="1:9">
      <c r="A92" s="59" t="s">
        <v>101</v>
      </c>
      <c r="B92" s="89">
        <v>100</v>
      </c>
      <c r="C92" s="88" t="s">
        <v>59</v>
      </c>
      <c r="D92" s="102">
        <v>0</v>
      </c>
      <c r="E92" s="83">
        <f t="shared" si="11"/>
        <v>0</v>
      </c>
    </row>
    <row r="93" spans="1:9" s="52" customFormat="1" ht="12.4">
      <c r="A93" s="60" t="s">
        <v>102</v>
      </c>
      <c r="B93" s="61"/>
      <c r="C93" s="75"/>
      <c r="D93" s="103">
        <f>SUM(D91:D92)</f>
        <v>0</v>
      </c>
      <c r="E93" s="78">
        <f>SUM(E91:E92)</f>
        <v>0</v>
      </c>
    </row>
    <row r="94" spans="1:9">
      <c r="A94" s="47"/>
      <c r="C94" s="82"/>
      <c r="D94" s="102"/>
      <c r="E94" s="83"/>
    </row>
    <row r="95" spans="1:9" s="52" customFormat="1" ht="12.4">
      <c r="A95" s="62" t="s">
        <v>103</v>
      </c>
      <c r="B95" s="63"/>
      <c r="C95" s="76"/>
      <c r="D95" s="108">
        <f>D93+D86+D76+D70+D64+D60</f>
        <v>0</v>
      </c>
      <c r="E95" s="92">
        <f>E93+E86+E76+E70+E64+E60</f>
        <v>0</v>
      </c>
    </row>
    <row r="96" spans="1:9" s="52" customFormat="1">
      <c r="A96" s="121" t="s">
        <v>104</v>
      </c>
      <c r="B96" s="64">
        <v>0.1</v>
      </c>
      <c r="C96" s="77"/>
      <c r="D96" s="109">
        <f>(D95*B96)</f>
        <v>0</v>
      </c>
      <c r="E96" s="93">
        <f>$D96/$G$2</f>
        <v>0</v>
      </c>
      <c r="F96" s="32"/>
    </row>
    <row r="97" spans="1:5" ht="12.95" thickBot="1">
      <c r="A97" s="113" t="s">
        <v>105</v>
      </c>
      <c r="B97" s="114"/>
      <c r="C97" s="115"/>
      <c r="D97" s="110">
        <f>D96+D95</f>
        <v>0</v>
      </c>
      <c r="E97" s="94">
        <f>E96+E95</f>
        <v>0</v>
      </c>
    </row>
    <row r="98" spans="1:5" ht="14.1" thickBot="1">
      <c r="A98" s="116" t="s">
        <v>106</v>
      </c>
      <c r="B98" s="117"/>
      <c r="C98" s="118"/>
      <c r="D98" s="119">
        <f>D97+D51</f>
        <v>0</v>
      </c>
      <c r="E98" s="120">
        <f>E97+E51</f>
        <v>0</v>
      </c>
    </row>
  </sheetData>
  <mergeCells count="1">
    <mergeCell ref="B1:G1"/>
  </mergeCells>
  <pageMargins left="0.5" right="0.34" top="0.63" bottom="0.41" header="0.5" footer="0.5"/>
  <pageSetup paperSize="17" scale="50" fitToHeight="2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2" ma:contentTypeDescription="Create a new document." ma:contentTypeScope="" ma:versionID="b9b9115c0a7ba5ac1a4f71ca19fa2a6b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ee5f6545d17dbae8f4c99dcf00b8be7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2B3350-C697-4BD8-A1CF-D0CD8A83BDE1}"/>
</file>

<file path=customXml/itemProps2.xml><?xml version="1.0" encoding="utf-8"?>
<ds:datastoreItem xmlns:ds="http://schemas.openxmlformats.org/officeDocument/2006/customXml" ds:itemID="{2114FEA1-8AE1-4E52-8029-A263F1BE222B}"/>
</file>

<file path=customXml/itemProps3.xml><?xml version="1.0" encoding="utf-8"?>
<ds:datastoreItem xmlns:ds="http://schemas.openxmlformats.org/officeDocument/2006/customXml" ds:itemID="{73A46503-40E7-4420-942D-D9E0A05A94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~Danielle~</dc:creator>
  <cp:keywords/>
  <dc:description/>
  <cp:lastModifiedBy>Román Alberto Rojas Hernández</cp:lastModifiedBy>
  <cp:revision/>
  <dcterms:created xsi:type="dcterms:W3CDTF">2016-01-06T16:54:57Z</dcterms:created>
  <dcterms:modified xsi:type="dcterms:W3CDTF">2021-11-30T23:11:27Z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3579000</vt:r8>
  </property>
</Properties>
</file>