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722"/>
  <workbookPr defaultThemeVersion="124226"/>
  <mc:AlternateContent xmlns:mc="http://schemas.openxmlformats.org/markup-compatibility/2006">
    <mc:Choice Requires="x15">
      <x15ac:absPath xmlns:x15ac="http://schemas.microsoft.com/office/spreadsheetml/2010/11/ac" url="https://partnersnet107.sharepoint.com/sites/FA/Finance  Operational/Field Office &amp; Sub/FO &amp; Sub Expense Reports/DOL423 CFO/Templates/"/>
    </mc:Choice>
  </mc:AlternateContent>
  <xr:revisionPtr revIDLastSave="1034" documentId="14_{69640FEB-6BC2-40D9-B906-5E7CF53CAC2D}" xr6:coauthVersionLast="47" xr6:coauthVersionMax="47" xr10:uidLastSave="{36ECEBED-0FEC-452D-BD06-0D57EB5A43E9}"/>
  <bookViews>
    <workbookView xWindow="-96" yWindow="-96" windowWidth="23232" windowHeight="12552" firstSheet="1" activeTab="1" xr2:uid="{00000000-000D-0000-FFFF-FFFF00000000}"/>
  </bookViews>
  <sheets>
    <sheet name="Invoice" sheetId="1" r:id="rId1"/>
    <sheet name="Certification of Expenses" sheetId="3" r:id="rId2"/>
  </sheets>
  <definedNames>
    <definedName name="_xlnm.Print_Area" localSheetId="0">Invoice!$A$1:$E$23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8" i="1" l="1"/>
  <c r="E32" i="1"/>
  <c r="B24" i="1"/>
  <c r="F39" i="1"/>
  <c r="F44" i="1" s="1"/>
  <c r="C39" i="1"/>
  <c r="F24" i="1"/>
  <c r="F29" i="1" s="1"/>
  <c r="C24" i="1"/>
  <c r="C29" i="1" s="1"/>
  <c r="E42" i="1"/>
  <c r="D42" i="1"/>
  <c r="D38" i="1"/>
  <c r="E37" i="1"/>
  <c r="D37" i="1"/>
  <c r="E36" i="1"/>
  <c r="D36" i="1"/>
  <c r="E35" i="1"/>
  <c r="D35" i="1"/>
  <c r="E34" i="1"/>
  <c r="D34" i="1"/>
  <c r="E33" i="1"/>
  <c r="D33" i="1"/>
  <c r="E27" i="1"/>
  <c r="D27" i="1"/>
  <c r="B39" i="1" l="1"/>
  <c r="B44" i="1" s="1"/>
  <c r="E44" i="1" s="1"/>
  <c r="D32" i="1"/>
  <c r="D39" i="1" s="1"/>
  <c r="D44" i="1" s="1"/>
  <c r="F46" i="1"/>
  <c r="C44" i="1"/>
  <c r="C46" i="1" s="1"/>
  <c r="E39" i="1" l="1"/>
  <c r="E17" i="1"/>
  <c r="D17" i="1"/>
  <c r="E16" i="1"/>
  <c r="D16" i="1"/>
  <c r="E15" i="1"/>
  <c r="D15" i="1"/>
  <c r="E20" i="1"/>
  <c r="D20" i="1"/>
  <c r="E19" i="1"/>
  <c r="D19" i="1"/>
  <c r="E18" i="1"/>
  <c r="D18" i="1"/>
  <c r="E14" i="1"/>
  <c r="D14" i="1"/>
  <c r="E23" i="1" l="1"/>
  <c r="D23" i="1"/>
  <c r="E22" i="1"/>
  <c r="D22" i="1"/>
  <c r="E21" i="1"/>
  <c r="D21" i="1"/>
  <c r="D24" i="1" l="1"/>
  <c r="D29" i="1" s="1"/>
  <c r="D46" i="1" s="1"/>
  <c r="B13" i="3" l="1"/>
  <c r="B14" i="3"/>
  <c r="B15" i="3" l="1"/>
  <c r="B16" i="3" l="1"/>
  <c r="B29" i="1" l="1"/>
  <c r="B46" i="1" s="1"/>
  <c r="E46" i="1" s="1"/>
  <c r="E24" i="1"/>
  <c r="E29" i="1" l="1"/>
</calcChain>
</file>

<file path=xl/sharedStrings.xml><?xml version="1.0" encoding="utf-8"?>
<sst xmlns="http://schemas.openxmlformats.org/spreadsheetml/2006/main" count="79" uniqueCount="71">
  <si>
    <t xml:space="preserve"> Invoice to:  Partners of the Americas Inc.</t>
  </si>
  <si>
    <t xml:space="preserve"> Invoice from: Comité Fronterizo de Obreros y Obreras</t>
  </si>
  <si>
    <t xml:space="preserve">           1424 K ST NW STE 700. Washington, DC 20005</t>
  </si>
  <si>
    <t xml:space="preserve">           Blvd. Eliseo Mendoza Berrueto 801, Local D, Col. Las Delicias, Piedras Negras 26070 Coahuila, Mexico</t>
  </si>
  <si>
    <t xml:space="preserve">Invoice Date:  </t>
  </si>
  <si>
    <t xml:space="preserve">Invoice No. </t>
  </si>
  <si>
    <t>Obligation Amount</t>
  </si>
  <si>
    <t>Subcontract Agreement #:</t>
  </si>
  <si>
    <t xml:space="preserve">Reporting/Billing Period:  </t>
  </si>
  <si>
    <t>Budget</t>
  </si>
  <si>
    <t>Cumulative $ as of DATE</t>
  </si>
  <si>
    <t>Remaining Budget</t>
  </si>
  <si>
    <t>% Budget Spent</t>
  </si>
  <si>
    <t>Amount Spent in Current Month</t>
  </si>
  <si>
    <t>Outcome 1 Direct Costs</t>
  </si>
  <si>
    <t>Outcome 1: Personnel &amp; Fringe</t>
  </si>
  <si>
    <t>Outcome 1: Travel</t>
  </si>
  <si>
    <t>Outcome 1: Supplies</t>
  </si>
  <si>
    <t>Outcome 1: Office Expenses</t>
  </si>
  <si>
    <t>Outcome 1: Assessment and inclusion of gender-based violence at work within educational programs</t>
  </si>
  <si>
    <t>Outcome 1: Extension of GEMA to two additional states</t>
  </si>
  <si>
    <t>Outcome 1: Lodging and M&amp;IE for project staff to support GEMA extension</t>
  </si>
  <si>
    <t>Outcome 1: Transportation for project staff to support GEMA extension</t>
  </si>
  <si>
    <t>Outcome 1: Local transportation for project staff to support exchanges</t>
  </si>
  <si>
    <t>Outcome 1: Material design and printing for exchanges</t>
  </si>
  <si>
    <t>Outcome 1 Direct Costs Total</t>
  </si>
  <si>
    <t>Indirect Costs Outcome 1</t>
  </si>
  <si>
    <t>Outcome 1: Indirect Costs for CFO</t>
  </si>
  <si>
    <t>Total Costs Outcome 1</t>
  </si>
  <si>
    <t>Monitoring, Evaluation, and Collection of Reliable Data Direct Costs</t>
  </si>
  <si>
    <t>M&amp;E: Personnel &amp; Fringe</t>
  </si>
  <si>
    <t>M&amp;E: Travel</t>
  </si>
  <si>
    <t>M&amp;E: Supplies</t>
  </si>
  <si>
    <t>M&amp;E: Office Expenses</t>
  </si>
  <si>
    <t>M&amp;E: Lodging and M&amp;IE - Field verification and data collection visits</t>
  </si>
  <si>
    <t>M&amp;E: Local transportation - Field verification and data collection visits</t>
  </si>
  <si>
    <t>M&amp;E: Data collection materials and printing</t>
  </si>
  <si>
    <t>Monitoring, Evaluation, and Collection of Reliable Data Direct Costs Total</t>
  </si>
  <si>
    <t>Indirect Costs Monitoring, Evaluation, and Collection of Reliable Data</t>
  </si>
  <si>
    <t>M&amp;E: Indirect Costs for CFO</t>
  </si>
  <si>
    <t xml:space="preserve">Total Costs Monitoring, Evaluation, and Collection of Reliable Data </t>
  </si>
  <si>
    <t>TOTAL</t>
  </si>
  <si>
    <t xml:space="preserve">Partners of the Americas </t>
  </si>
  <si>
    <t>General Information &amp; Certifications</t>
  </si>
  <si>
    <t>Name of Country and Subrecipient</t>
  </si>
  <si>
    <t>Comité Fronterizo de Obreros y Obreras</t>
  </si>
  <si>
    <t>Project Code:</t>
  </si>
  <si>
    <t>DOL423</t>
  </si>
  <si>
    <t>Project Name:</t>
  </si>
  <si>
    <t>Mexico Awareness Raising</t>
  </si>
  <si>
    <t>Project Start Date:</t>
  </si>
  <si>
    <t>Project End Date:</t>
  </si>
  <si>
    <t>Report Date:</t>
  </si>
  <si>
    <t>Total Months for the Project:</t>
  </si>
  <si>
    <t>Remaining Months for the Project:</t>
  </si>
  <si>
    <t>Remaining Budget Balance:</t>
  </si>
  <si>
    <t>Certification of Expenses:</t>
  </si>
  <si>
    <r>
      <t>1.</t>
    </r>
    <r>
      <rPr>
        <sz val="7"/>
        <color theme="1"/>
        <rFont val="Times New Roman"/>
        <family val="1"/>
      </rPr>
      <t>  </t>
    </r>
    <r>
      <rPr>
        <sz val="12"/>
        <color theme="1"/>
        <rFont val="Times New Roman"/>
        <family val="1"/>
      </rPr>
      <t>The undersigned hereby certifies (1) the fiscal report &amp; attachments  have been prepared from the books &amp; records of the Subawardee in accordance with the terms of this Subaward, and to the best of my knowledge and belief, that they are correct, that the sum claimed under this contract is proper and that all the costs of the Subaward performance (except as herewith reported in writing has been accrued or paid or will be paid currently to the Subaward when due in the ordinary course of business.)</t>
    </r>
  </si>
  <si>
    <r>
      <t>2.</t>
    </r>
    <r>
      <rPr>
        <sz val="7"/>
        <color theme="1"/>
        <rFont val="Times New Roman"/>
        <family val="1"/>
      </rPr>
      <t>  </t>
    </r>
    <r>
      <rPr>
        <sz val="12"/>
        <color theme="1"/>
        <rFont val="Times New Roman"/>
        <family val="1"/>
      </rPr>
      <t>That the work reflected by the costs above have been performed, that the quantities and amounts involved are consistent with the requirements of the Subaward.</t>
    </r>
  </si>
  <si>
    <r>
      <t>3.</t>
    </r>
    <r>
      <rPr>
        <sz val="7"/>
        <color theme="1"/>
        <rFont val="Times New Roman"/>
        <family val="1"/>
      </rPr>
      <t>  </t>
    </r>
    <r>
      <rPr>
        <sz val="12"/>
        <color theme="1"/>
        <rFont val="Times New Roman"/>
        <family val="1"/>
      </rPr>
      <t>That all required approvals have been obtained and appropriate refund to Partners of the Americas will be made upon request in the event of disallowance of costs not reimbursable under the term of this Subaward.</t>
    </r>
  </si>
  <si>
    <t>4. By signing this report, I certify that the expenses contained in the present report for month of __XXXX____ equivalent to US dollars __XXXX___ were incurred by the entity, and are related to activities carried out by the project. I certify to the best of my knowledge and belief that the report is true, complete, and accurate, and that the expenditures and disbursements are for the purposes and objectives set forth in the terms and conditions of the USDOL Award. I am aware that any false, fictitious, or fraudulent information, or the omission of any material fact, may subject me to criminal, civil or administrative penalties for fraud, false statements, false claims or otherwise. I understand that if the expenses contained herein are questioned or not approved by Partners CFO or by USDOL, I will provide full cooperation to all the involved parties to complete such review, audit or investigation.</t>
  </si>
  <si>
    <t>Name of Certifier:</t>
  </si>
  <si>
    <t>Signature:</t>
  </si>
  <si>
    <t>Title:</t>
  </si>
  <si>
    <t>For Internal Use Only</t>
  </si>
  <si>
    <t>Partners of the Americas</t>
  </si>
  <si>
    <t>Program Manager</t>
  </si>
  <si>
    <t>I have reviewed and confirmed that all expenses listed in the detail of disbursements report are in line with the program goals and approved work plan. I certify that all expenses are reasonable within the approved budget.</t>
  </si>
  <si>
    <t>______________________________________________________</t>
  </si>
  <si>
    <t>Finance &amp; Accounting</t>
  </si>
  <si>
    <t>I certify that I have reviewed that all of the supporting documents are included and consistent and accurate with the financial report. I have also reviewed that the expenses are allocable, allowable and were recorded in the accounting system and there is a file containing the hard copies. All the expenses questioned or not approved were reported to the respective Program Manager and CFO.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</si>
</sst>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 #,##0.00_ ;_ * \-#,##0.00_ ;_ * &quot;-&quot;??_ ;_ @_ "/>
    <numFmt numFmtId="165" formatCode="_-* #,##0.00\ &quot;Bs&quot;_-;\-* #,##0.00\ &quot;Bs&quot;_-;_-* &quot;-&quot;??\ &quot;Bs&quot;_-;_-@_-"/>
    <numFmt numFmtId="166" formatCode="_-* #,##0.00\ _B_s_-;\-* #,##0.00\ _B_s_-;_-* &quot;-&quot;??\ _B_s_-;_-@_-"/>
    <numFmt numFmtId="167" formatCode="_-* #,##0.00\ _€_-;\-* #,##0.00\ _€_-;_-* &quot;-&quot;??\ _€_-;_-@_-"/>
    <numFmt numFmtId="168" formatCode="#,##0.00;[Red]#,##0.00"/>
    <numFmt numFmtId="169" formatCode="[$-409]dd\-mmm\-yy;@"/>
    <numFmt numFmtId="170" formatCode="0\ &quot;Months&quot;"/>
  </numFmts>
  <fonts count="42">
    <font>
      <sz val="8"/>
      <color theme="1"/>
      <name val="Tahoma"/>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color theme="1"/>
      <name val="Tahoma"/>
      <family val="2"/>
    </font>
    <font>
      <sz val="8"/>
      <color theme="0"/>
      <name val="Tahoma"/>
      <family val="2"/>
    </font>
    <font>
      <sz val="8"/>
      <color rgb="FF9C0006"/>
      <name val="Tahoma"/>
      <family val="2"/>
    </font>
    <font>
      <b/>
      <sz val="8"/>
      <color rgb="FFFA7D00"/>
      <name val="Tahoma"/>
      <family val="2"/>
    </font>
    <font>
      <b/>
      <sz val="8"/>
      <color theme="0"/>
      <name val="Tahoma"/>
      <family val="2"/>
    </font>
    <font>
      <i/>
      <sz val="8"/>
      <color rgb="FF7F7F7F"/>
      <name val="Tahoma"/>
      <family val="2"/>
    </font>
    <font>
      <sz val="8"/>
      <color rgb="FF006100"/>
      <name val="Tahoma"/>
      <family val="2"/>
    </font>
    <font>
      <b/>
      <sz val="8"/>
      <color theme="3"/>
      <name val="Tahoma"/>
      <family val="2"/>
    </font>
    <font>
      <sz val="8"/>
      <color rgb="FF3F3F76"/>
      <name val="Tahoma"/>
      <family val="2"/>
    </font>
    <font>
      <sz val="8"/>
      <color rgb="FFFA7D00"/>
      <name val="Tahoma"/>
      <family val="2"/>
    </font>
    <font>
      <sz val="8"/>
      <color rgb="FF9C6500"/>
      <name val="Tahoma"/>
      <family val="2"/>
    </font>
    <font>
      <b/>
      <sz val="8"/>
      <color rgb="FF3F3F3F"/>
      <name val="Tahoma"/>
      <family val="2"/>
    </font>
    <font>
      <b/>
      <sz val="8"/>
      <color theme="1"/>
      <name val="Tahoma"/>
      <family val="2"/>
    </font>
    <font>
      <sz val="8"/>
      <color rgb="FFFF0000"/>
      <name val="Tahoma"/>
      <family val="2"/>
    </font>
    <font>
      <sz val="8"/>
      <name val="Tahoma"/>
      <family val="2"/>
    </font>
    <font>
      <b/>
      <sz val="12"/>
      <color theme="1"/>
      <name val="Times New Roman"/>
      <family val="1"/>
    </font>
    <font>
      <sz val="12"/>
      <color theme="1"/>
      <name val="Times New Roman"/>
      <family val="1"/>
    </font>
    <font>
      <sz val="7"/>
      <color theme="1"/>
      <name val="Times New Roman"/>
      <family val="1"/>
    </font>
    <font>
      <sz val="8"/>
      <color theme="1"/>
      <name val="Times New Roman"/>
      <family val="1"/>
    </font>
    <font>
      <b/>
      <sz val="11"/>
      <color theme="1"/>
      <name val="Times New Roman"/>
      <family val="1"/>
    </font>
    <font>
      <sz val="11"/>
      <color theme="1"/>
      <name val="Times New Roman"/>
      <family val="1"/>
    </font>
    <font>
      <b/>
      <i/>
      <sz val="11"/>
      <color theme="1"/>
      <name val="Times New Roman"/>
      <family val="1"/>
    </font>
    <font>
      <sz val="11"/>
      <name val="Times New Roman"/>
      <family val="1"/>
    </font>
    <font>
      <b/>
      <sz val="11"/>
      <name val="Times New Roman"/>
      <family val="1"/>
    </font>
    <font>
      <sz val="10"/>
      <name val="Arial"/>
      <family val="2"/>
    </font>
    <font>
      <sz val="11"/>
      <color indexed="8"/>
      <name val="Calibri"/>
      <family val="2"/>
    </font>
    <font>
      <sz val="8"/>
      <color indexed="8"/>
      <name val="Tahoma"/>
      <family val="2"/>
    </font>
    <font>
      <sz val="8"/>
      <color indexed="14"/>
      <name val="Tahoma"/>
      <family val="2"/>
    </font>
    <font>
      <b/>
      <sz val="8"/>
      <color indexed="62"/>
      <name val="Tahoma"/>
      <family val="2"/>
    </font>
    <font>
      <sz val="11"/>
      <color rgb="FF000000"/>
      <name val="Calibri"/>
      <family val="2"/>
    </font>
    <font>
      <sz val="11"/>
      <color rgb="FF000000"/>
      <name val="Calibri"/>
      <family val="2"/>
    </font>
    <font>
      <b/>
      <sz val="12"/>
      <name val="Times New Roman"/>
      <family val="1"/>
    </font>
    <font>
      <i/>
      <sz val="12"/>
      <color theme="1"/>
      <name val="Times New Roman"/>
      <family val="1"/>
    </font>
    <font>
      <b/>
      <i/>
      <sz val="12"/>
      <color theme="1"/>
      <name val="Times New Roman"/>
      <family val="1"/>
    </font>
    <font>
      <b/>
      <i/>
      <sz val="11"/>
      <name val="Times New Roman"/>
      <family val="1"/>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patternFill>
    </fill>
    <fill>
      <patternFill patternType="solid">
        <fgColor indexed="47"/>
      </patternFill>
    </fill>
    <fill>
      <patternFill patternType="solid">
        <fgColor indexed="26"/>
      </patternFill>
    </fill>
    <fill>
      <patternFill patternType="solid">
        <fgColor indexed="22"/>
      </patternFill>
    </fill>
    <fill>
      <patternFill patternType="solid">
        <fgColor indexed="43"/>
      </patternFill>
    </fill>
    <fill>
      <patternFill patternType="solid">
        <fgColor indexed="49"/>
      </patternFill>
    </fill>
    <fill>
      <patternFill patternType="solid">
        <fgColor indexed="19"/>
      </patternFill>
    </fill>
    <fill>
      <patternFill patternType="solid">
        <fgColor indexed="54"/>
      </patternFill>
    </fill>
    <fill>
      <patternFill patternType="solid">
        <fgColor theme="8" tint="0.39997558519241921"/>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bottom style="double">
        <color indexed="64"/>
      </bottom>
      <diagonal/>
    </border>
    <border>
      <left/>
      <right/>
      <top style="thin">
        <color indexed="64"/>
      </top>
      <bottom style="thin">
        <color indexed="64"/>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s>
  <cellStyleXfs count="422">
    <xf numFmtId="0" fontId="0" fillId="0" borderId="0"/>
    <xf numFmtId="43" fontId="7" fillId="0" borderId="0" applyFont="0" applyFill="0" applyBorder="0" applyAlignment="0" applyProtection="0"/>
    <xf numFmtId="41" fontId="7" fillId="0" borderId="0" applyFont="0" applyFill="0" applyBorder="0" applyAlignment="0" applyProtection="0"/>
    <xf numFmtId="44" fontId="7" fillId="0" borderId="0" applyFont="0" applyFill="0" applyBorder="0" applyAlignment="0" applyProtection="0"/>
    <xf numFmtId="42" fontId="7" fillId="0" borderId="0" applyFont="0" applyFill="0" applyBorder="0" applyAlignment="0" applyProtection="0"/>
    <xf numFmtId="9" fontId="7" fillId="0" borderId="0" applyFont="0" applyFill="0" applyBorder="0" applyAlignment="0" applyProtection="0"/>
    <xf numFmtId="0" fontId="14" fillId="0" borderId="0" applyNumberFormat="0" applyFill="0" applyBorder="0" applyAlignment="0" applyProtection="0"/>
    <xf numFmtId="0" fontId="14" fillId="0" borderId="1" applyNumberFormat="0" applyFill="0" applyAlignment="0" applyProtection="0"/>
    <xf numFmtId="0" fontId="14" fillId="0" borderId="2" applyNumberFormat="0" applyFill="0" applyAlignment="0" applyProtection="0"/>
    <xf numFmtId="0" fontId="14" fillId="0" borderId="3" applyNumberFormat="0" applyFill="0" applyAlignment="0" applyProtection="0"/>
    <xf numFmtId="0" fontId="14" fillId="0" borderId="0" applyNumberFormat="0" applyFill="0" applyBorder="0" applyAlignment="0" applyProtection="0"/>
    <xf numFmtId="0" fontId="13" fillId="2" borderId="0" applyNumberFormat="0" applyBorder="0" applyAlignment="0" applyProtection="0"/>
    <xf numFmtId="0" fontId="9" fillId="3" borderId="0" applyNumberFormat="0" applyBorder="0" applyAlignment="0" applyProtection="0"/>
    <xf numFmtId="0" fontId="17" fillId="4" borderId="0" applyNumberFormat="0" applyBorder="0" applyAlignment="0" applyProtection="0"/>
    <xf numFmtId="0" fontId="15" fillId="5" borderId="4" applyNumberFormat="0" applyAlignment="0" applyProtection="0"/>
    <xf numFmtId="0" fontId="18" fillId="6" borderId="5" applyNumberFormat="0" applyAlignment="0" applyProtection="0"/>
    <xf numFmtId="0" fontId="10" fillId="6" borderId="4" applyNumberFormat="0" applyAlignment="0" applyProtection="0"/>
    <xf numFmtId="0" fontId="16" fillId="0" borderId="6" applyNumberFormat="0" applyFill="0" applyAlignment="0" applyProtection="0"/>
    <xf numFmtId="0" fontId="11" fillId="7" borderId="7" applyNumberFormat="0" applyAlignment="0" applyProtection="0"/>
    <xf numFmtId="0" fontId="20" fillId="0" borderId="0" applyNumberFormat="0" applyFill="0" applyBorder="0" applyAlignment="0" applyProtection="0"/>
    <xf numFmtId="0" fontId="7" fillId="8" borderId="8" applyNumberFormat="0" applyFont="0" applyAlignment="0" applyProtection="0"/>
    <xf numFmtId="0" fontId="12" fillId="0" borderId="0" applyNumberFormat="0" applyFill="0" applyBorder="0" applyAlignment="0" applyProtection="0"/>
    <xf numFmtId="0" fontId="19" fillId="0" borderId="9" applyNumberFormat="0" applyFill="0" applyAlignment="0" applyProtection="0"/>
    <xf numFmtId="0" fontId="8"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8" fillId="32" borderId="0" applyNumberFormat="0" applyBorder="0" applyAlignment="0" applyProtection="0"/>
    <xf numFmtId="0" fontId="6" fillId="0" borderId="0"/>
    <xf numFmtId="164" fontId="6" fillId="0" borderId="0" applyFont="0" applyFill="0" applyBorder="0" applyAlignment="0" applyProtection="0"/>
    <xf numFmtId="44" fontId="6" fillId="0" borderId="0" applyFont="0" applyFill="0" applyBorder="0" applyAlignment="0" applyProtection="0"/>
    <xf numFmtId="0" fontId="5" fillId="0" borderId="0"/>
    <xf numFmtId="164" fontId="5" fillId="0" borderId="0" applyFont="0" applyFill="0" applyBorder="0" applyAlignment="0" applyProtection="0"/>
    <xf numFmtId="44" fontId="5" fillId="0" borderId="0" applyFont="0" applyFill="0" applyBorder="0" applyAlignment="0" applyProtection="0"/>
    <xf numFmtId="0" fontId="4" fillId="0" borderId="0"/>
    <xf numFmtId="164" fontId="4" fillId="0" borderId="0" applyFont="0" applyFill="0" applyBorder="0" applyAlignment="0" applyProtection="0"/>
    <xf numFmtId="0" fontId="21" fillId="0" borderId="0"/>
    <xf numFmtId="44" fontId="21" fillId="0" borderId="0" applyFont="0" applyFill="0" applyBorder="0" applyAlignment="0" applyProtection="0"/>
    <xf numFmtId="0" fontId="31" fillId="0" borderId="0"/>
    <xf numFmtId="0" fontId="7" fillId="33" borderId="0" applyNumberFormat="0" applyBorder="0" applyAlignment="0" applyProtection="0"/>
    <xf numFmtId="0" fontId="7" fillId="34" borderId="0" applyNumberFormat="0" applyBorder="0" applyAlignment="0" applyProtection="0"/>
    <xf numFmtId="0" fontId="7" fillId="35" borderId="0" applyNumberFormat="0" applyBorder="0" applyAlignment="0" applyProtection="0"/>
    <xf numFmtId="0" fontId="7" fillId="33" borderId="0" applyNumberFormat="0" applyBorder="0" applyAlignment="0" applyProtection="0"/>
    <xf numFmtId="0" fontId="7" fillId="26" borderId="0" applyNumberFormat="0" applyBorder="0" applyAlignment="0" applyProtection="0"/>
    <xf numFmtId="0" fontId="7" fillId="30" borderId="0" applyNumberFormat="0" applyBorder="0" applyAlignment="0" applyProtection="0"/>
    <xf numFmtId="0" fontId="7" fillId="36" borderId="0" applyNumberFormat="0" applyBorder="0" applyAlignment="0" applyProtection="0"/>
    <xf numFmtId="0" fontId="7" fillId="15" borderId="0" applyNumberFormat="0" applyBorder="0" applyAlignment="0" applyProtection="0"/>
    <xf numFmtId="0" fontId="7" fillId="37" borderId="0" applyNumberFormat="0" applyBorder="0" applyAlignment="0" applyProtection="0"/>
    <xf numFmtId="0" fontId="7" fillId="36" borderId="0" applyNumberFormat="0" applyBorder="0" applyAlignment="0" applyProtection="0"/>
    <xf numFmtId="0" fontId="7" fillId="27" borderId="0" applyNumberFormat="0" applyBorder="0" applyAlignment="0" applyProtection="0"/>
    <xf numFmtId="0" fontId="7" fillId="34" borderId="0" applyNumberFormat="0" applyBorder="0" applyAlignment="0" applyProtection="0"/>
    <xf numFmtId="0" fontId="8" fillId="38" borderId="0" applyNumberFormat="0" applyBorder="0" applyAlignment="0" applyProtection="0"/>
    <xf numFmtId="0" fontId="8" fillId="16" borderId="0" applyNumberFormat="0" applyBorder="0" applyAlignment="0" applyProtection="0"/>
    <xf numFmtId="0" fontId="8" fillId="37" borderId="0" applyNumberFormat="0" applyBorder="0" applyAlignment="0" applyProtection="0"/>
    <xf numFmtId="0" fontId="8" fillId="36" borderId="0" applyNumberFormat="0" applyBorder="0" applyAlignment="0" applyProtection="0"/>
    <xf numFmtId="0" fontId="8" fillId="28" borderId="0" applyNumberFormat="0" applyBorder="0" applyAlignment="0" applyProtection="0"/>
    <xf numFmtId="0" fontId="8" fillId="34" borderId="0" applyNumberFormat="0" applyBorder="0" applyAlignment="0" applyProtection="0"/>
    <xf numFmtId="0" fontId="8" fillId="38" borderId="0" applyNumberFormat="0" applyBorder="0" applyAlignment="0" applyProtection="0"/>
    <xf numFmtId="0" fontId="8" fillId="39" borderId="0" applyNumberFormat="0" applyBorder="0" applyAlignment="0" applyProtection="0"/>
    <xf numFmtId="0" fontId="8" fillId="39" borderId="0" applyNumberFormat="0" applyBorder="0" applyAlignment="0" applyProtection="0"/>
    <xf numFmtId="0" fontId="8" fillId="40" borderId="0" applyNumberFormat="0" applyBorder="0" applyAlignment="0" applyProtection="0"/>
    <xf numFmtId="0" fontId="8" fillId="25" borderId="0" applyNumberFormat="0" applyBorder="0" applyAlignment="0" applyProtection="0"/>
    <xf numFmtId="0" fontId="8" fillId="29" borderId="0" applyNumberFormat="0" applyBorder="0" applyAlignment="0" applyProtection="0"/>
    <xf numFmtId="0" fontId="34" fillId="3" borderId="0" applyNumberFormat="0" applyBorder="0" applyAlignment="0" applyProtection="0"/>
    <xf numFmtId="0" fontId="10" fillId="33" borderId="4" applyNumberFormat="0" applyAlignment="0" applyProtection="0"/>
    <xf numFmtId="0" fontId="11" fillId="7" borderId="7" applyNumberFormat="0" applyAlignment="0" applyProtection="0"/>
    <xf numFmtId="166" fontId="31" fillId="0" borderId="0" applyFont="0" applyFill="0" applyBorder="0" applyAlignment="0" applyProtection="0"/>
    <xf numFmtId="41"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 fillId="0" borderId="0" applyFont="0" applyFill="0" applyBorder="0" applyAlignment="0" applyProtection="0"/>
    <xf numFmtId="43" fontId="33" fillId="0" borderId="0" applyFont="0" applyFill="0" applyBorder="0" applyAlignment="0" applyProtection="0"/>
    <xf numFmtId="43" fontId="32"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166" fontId="31" fillId="0" borderId="0" applyFont="0" applyFill="0" applyBorder="0" applyAlignment="0" applyProtection="0"/>
    <xf numFmtId="167" fontId="32" fillId="0" borderId="0" applyFont="0" applyFill="0" applyBorder="0" applyAlignment="0" applyProtection="0"/>
    <xf numFmtId="166"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3"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3"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3"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3"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165" fontId="31" fillId="0" borderId="0" applyFont="0" applyFill="0" applyBorder="0" applyAlignment="0" applyProtection="0"/>
    <xf numFmtId="42"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165" fontId="31"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165" fontId="31"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3"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3"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3"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3"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44" fontId="33" fillId="0" borderId="0" applyFont="0" applyFill="0" applyBorder="0" applyAlignment="0" applyProtection="0"/>
    <xf numFmtId="44"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0" fontId="12" fillId="0" borderId="0" applyNumberFormat="0" applyFill="0" applyBorder="0" applyAlignment="0" applyProtection="0"/>
    <xf numFmtId="0" fontId="13" fillId="2" borderId="0" applyNumberFormat="0" applyBorder="0" applyAlignment="0" applyProtection="0"/>
    <xf numFmtId="0" fontId="35" fillId="0" borderId="13" applyNumberFormat="0" applyFill="0" applyAlignment="0" applyProtection="0"/>
    <xf numFmtId="0" fontId="35" fillId="0" borderId="2" applyNumberFormat="0" applyFill="0" applyAlignment="0" applyProtection="0"/>
    <xf numFmtId="0" fontId="35" fillId="0" borderId="14" applyNumberFormat="0" applyFill="0" applyAlignment="0" applyProtection="0"/>
    <xf numFmtId="0" fontId="35" fillId="0" borderId="0" applyNumberFormat="0" applyFill="0" applyBorder="0" applyAlignment="0" applyProtection="0"/>
    <xf numFmtId="0" fontId="15" fillId="5" borderId="4" applyNumberFormat="0" applyAlignment="0" applyProtection="0"/>
    <xf numFmtId="0" fontId="16" fillId="0" borderId="6" applyNumberFormat="0" applyFill="0" applyAlignment="0" applyProtection="0"/>
    <xf numFmtId="168" fontId="32" fillId="0" borderId="0" applyFont="0" applyFill="0" applyBorder="0" applyAlignment="0" applyProtection="0"/>
    <xf numFmtId="43" fontId="32" fillId="0" borderId="0" applyFont="0" applyFill="0" applyBorder="0" applyAlignment="0" applyProtection="0"/>
    <xf numFmtId="0" fontId="17" fillId="4" borderId="0" applyNumberFormat="0" applyBorder="0" applyAlignment="0" applyProtection="0"/>
    <xf numFmtId="0" fontId="31" fillId="0" borderId="0"/>
    <xf numFmtId="0" fontId="31" fillId="0" borderId="0"/>
    <xf numFmtId="0" fontId="7" fillId="0" borderId="0"/>
    <xf numFmtId="0" fontId="31" fillId="0" borderId="0"/>
    <xf numFmtId="0" fontId="31" fillId="0" borderId="0"/>
    <xf numFmtId="0" fontId="3" fillId="0" borderId="0"/>
    <xf numFmtId="0" fontId="31" fillId="0" borderId="0"/>
    <xf numFmtId="0" fontId="3" fillId="0" borderId="0"/>
    <xf numFmtId="0" fontId="33" fillId="8" borderId="8" applyNumberFormat="0" applyFont="0" applyAlignment="0" applyProtection="0"/>
    <xf numFmtId="0" fontId="18" fillId="33" borderId="5" applyNumberFormat="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3" fillId="0" borderId="0" applyFont="0" applyFill="0" applyBorder="0" applyAlignment="0" applyProtection="0"/>
    <xf numFmtId="9" fontId="31" fillId="0" borderId="0" applyFont="0" applyFill="0" applyBorder="0" applyAlignment="0" applyProtection="0"/>
    <xf numFmtId="9" fontId="32"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0" fontId="35" fillId="0" borderId="0" applyNumberFormat="0" applyFill="0" applyBorder="0" applyAlignment="0" applyProtection="0"/>
    <xf numFmtId="0" fontId="19" fillId="0" borderId="15" applyNumberFormat="0" applyFill="0" applyAlignment="0" applyProtection="0"/>
    <xf numFmtId="0" fontId="20" fillId="0" borderId="0" applyNumberForma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166" fontId="31" fillId="0" borderId="0" applyFont="0" applyFill="0" applyBorder="0" applyAlignment="0" applyProtection="0"/>
    <xf numFmtId="0" fontId="36" fillId="0" borderId="0"/>
    <xf numFmtId="9" fontId="36"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1" fillId="0" borderId="0"/>
    <xf numFmtId="164" fontId="1" fillId="0" borderId="0" applyFont="0" applyFill="0" applyBorder="0" applyAlignment="0" applyProtection="0"/>
    <xf numFmtId="44" fontId="1" fillId="0" borderId="0" applyFont="0" applyFill="0" applyBorder="0" applyAlignment="0" applyProtection="0"/>
    <xf numFmtId="0" fontId="1" fillId="0" borderId="0"/>
    <xf numFmtId="164" fontId="1" fillId="0" borderId="0" applyFont="0" applyFill="0" applyBorder="0" applyAlignment="0" applyProtection="0"/>
    <xf numFmtId="44" fontId="1" fillId="0" borderId="0" applyFont="0" applyFill="0" applyBorder="0" applyAlignment="0" applyProtection="0"/>
    <xf numFmtId="0" fontId="1" fillId="0" borderId="0"/>
    <xf numFmtId="164"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37" fillId="0" borderId="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43" fontId="1" fillId="0" borderId="0" applyFont="0" applyFill="0" applyBorder="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 fillId="0" borderId="0"/>
    <xf numFmtId="0" fontId="1" fillId="0" borderId="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9" fillId="0" borderId="15" applyNumberFormat="0" applyFill="0" applyAlignment="0" applyProtection="0"/>
    <xf numFmtId="0" fontId="1" fillId="0" borderId="0"/>
    <xf numFmtId="9"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cellStyleXfs>
  <cellXfs count="59">
    <xf numFmtId="0" fontId="0" fillId="0" borderId="0" xfId="0"/>
    <xf numFmtId="40" fontId="26" fillId="0" borderId="0" xfId="0" applyNumberFormat="1" applyFont="1" applyAlignment="1">
      <alignment horizontal="left" vertical="top"/>
    </xf>
    <xf numFmtId="40" fontId="26" fillId="0" borderId="0" xfId="0" applyNumberFormat="1" applyFont="1" applyAlignment="1">
      <alignment horizontal="right"/>
    </xf>
    <xf numFmtId="40" fontId="27" fillId="0" borderId="0" xfId="0" applyNumberFormat="1" applyFont="1" applyAlignment="1">
      <alignment horizontal="right" vertical="top"/>
    </xf>
    <xf numFmtId="10" fontId="27" fillId="0" borderId="0" xfId="0" applyNumberFormat="1" applyFont="1"/>
    <xf numFmtId="43" fontId="27" fillId="0" borderId="0" xfId="1" applyFont="1"/>
    <xf numFmtId="40" fontId="27" fillId="0" borderId="10" xfId="0" applyNumberFormat="1" applyFont="1" applyBorder="1" applyAlignment="1">
      <alignment horizontal="right" vertical="top"/>
    </xf>
    <xf numFmtId="10" fontId="27" fillId="0" borderId="10" xfId="0" applyNumberFormat="1" applyFont="1" applyBorder="1"/>
    <xf numFmtId="43" fontId="27" fillId="0" borderId="10" xfId="1" applyFont="1" applyBorder="1"/>
    <xf numFmtId="0" fontId="26" fillId="0" borderId="0" xfId="0" applyFont="1" applyAlignment="1">
      <alignment horizontal="left" vertical="top"/>
    </xf>
    <xf numFmtId="40" fontId="30" fillId="0" borderId="0" xfId="0" applyNumberFormat="1" applyFont="1" applyAlignment="1">
      <alignment horizontal="right" vertical="top"/>
    </xf>
    <xf numFmtId="40" fontId="26" fillId="0" borderId="0" xfId="0" applyNumberFormat="1" applyFont="1" applyAlignment="1">
      <alignment horizontal="right" vertical="top"/>
    </xf>
    <xf numFmtId="10" fontId="26" fillId="0" borderId="0" xfId="0" applyNumberFormat="1" applyFont="1"/>
    <xf numFmtId="43" fontId="26" fillId="0" borderId="0" xfId="1" applyFont="1"/>
    <xf numFmtId="40" fontId="30" fillId="0" borderId="11" xfId="0" applyNumberFormat="1" applyFont="1" applyBorder="1" applyAlignment="1">
      <alignment horizontal="right" vertical="top"/>
    </xf>
    <xf numFmtId="10" fontId="26" fillId="0" borderId="11" xfId="0" applyNumberFormat="1" applyFont="1" applyBorder="1"/>
    <xf numFmtId="40" fontId="26" fillId="0" borderId="11" xfId="0" applyNumberFormat="1" applyFont="1" applyBorder="1" applyAlignment="1">
      <alignment horizontal="right"/>
    </xf>
    <xf numFmtId="44" fontId="26" fillId="0" borderId="11" xfId="3" applyFont="1" applyBorder="1" applyAlignment="1">
      <alignment horizontal="right"/>
    </xf>
    <xf numFmtId="0" fontId="23" fillId="0" borderId="0" xfId="0" applyFont="1" applyAlignment="1">
      <alignment vertical="center" wrapText="1"/>
    </xf>
    <xf numFmtId="0" fontId="23" fillId="0" borderId="0" xfId="0" applyFont="1" applyAlignment="1">
      <alignment vertical="center"/>
    </xf>
    <xf numFmtId="0" fontId="25" fillId="0" borderId="0" xfId="0" applyFont="1" applyAlignment="1">
      <alignment horizontal="left"/>
    </xf>
    <xf numFmtId="0" fontId="25" fillId="0" borderId="0" xfId="0" applyFont="1"/>
    <xf numFmtId="0" fontId="27" fillId="0" borderId="0" xfId="0" applyFont="1" applyAlignment="1">
      <alignment horizontal="left"/>
    </xf>
    <xf numFmtId="0" fontId="26" fillId="0" borderId="0" xfId="0" applyFont="1" applyAlignment="1">
      <alignment horizontal="left"/>
    </xf>
    <xf numFmtId="0" fontId="27" fillId="0" borderId="0" xfId="0" applyFont="1"/>
    <xf numFmtId="0" fontId="28" fillId="0" borderId="0" xfId="0" applyFont="1" applyAlignment="1">
      <alignment horizontal="left"/>
    </xf>
    <xf numFmtId="40" fontId="27" fillId="0" borderId="0" xfId="0" applyNumberFormat="1" applyFont="1" applyAlignment="1">
      <alignment horizontal="right"/>
    </xf>
    <xf numFmtId="40" fontId="27" fillId="0" borderId="10" xfId="0" applyNumberFormat="1" applyFont="1" applyBorder="1" applyAlignment="1">
      <alignment horizontal="right"/>
    </xf>
    <xf numFmtId="40" fontId="25" fillId="0" borderId="0" xfId="0" applyNumberFormat="1" applyFont="1" applyAlignment="1">
      <alignment horizontal="right"/>
    </xf>
    <xf numFmtId="0" fontId="26" fillId="0" borderId="0" xfId="0" applyFont="1" applyAlignment="1">
      <alignment horizontal="right"/>
    </xf>
    <xf numFmtId="0" fontId="27" fillId="0" borderId="10" xfId="0" applyFont="1" applyBorder="1" applyAlignment="1">
      <alignment horizontal="left"/>
    </xf>
    <xf numFmtId="0" fontId="27" fillId="0" borderId="10" xfId="0" applyFont="1" applyBorder="1"/>
    <xf numFmtId="0" fontId="38" fillId="0" borderId="0" xfId="415" applyFont="1" applyProtection="1">
      <protection locked="0"/>
    </xf>
    <xf numFmtId="0" fontId="23" fillId="0" borderId="0" xfId="415" applyFont="1"/>
    <xf numFmtId="0" fontId="22" fillId="0" borderId="0" xfId="415" applyFont="1" applyProtection="1">
      <protection locked="0"/>
    </xf>
    <xf numFmtId="0" fontId="23" fillId="0" borderId="0" xfId="415" applyFont="1" applyAlignment="1" applyProtection="1">
      <alignment horizontal="left"/>
      <protection locked="0"/>
    </xf>
    <xf numFmtId="49" fontId="39" fillId="0" borderId="0" xfId="415" applyNumberFormat="1" applyFont="1" applyProtection="1">
      <protection locked="0"/>
    </xf>
    <xf numFmtId="169" fontId="38" fillId="0" borderId="0" xfId="415" applyNumberFormat="1" applyFont="1" applyAlignment="1" applyProtection="1">
      <alignment horizontal="left"/>
      <protection locked="0"/>
    </xf>
    <xf numFmtId="169" fontId="38" fillId="41" borderId="0" xfId="415" applyNumberFormat="1" applyFont="1" applyFill="1" applyAlignment="1" applyProtection="1">
      <alignment horizontal="left"/>
      <protection locked="0"/>
    </xf>
    <xf numFmtId="170" fontId="38" fillId="0" borderId="0" xfId="415" applyNumberFormat="1" applyFont="1" applyProtection="1">
      <protection locked="0"/>
    </xf>
    <xf numFmtId="10" fontId="38" fillId="0" borderId="0" xfId="416" applyNumberFormat="1" applyFont="1" applyFill="1" applyProtection="1">
      <protection locked="0"/>
    </xf>
    <xf numFmtId="44" fontId="38" fillId="0" borderId="0" xfId="416" applyNumberFormat="1" applyFont="1" applyFill="1" applyProtection="1">
      <protection locked="0"/>
    </xf>
    <xf numFmtId="0" fontId="40" fillId="0" borderId="0" xfId="415" applyFont="1" applyAlignment="1" applyProtection="1">
      <alignment horizontal="left"/>
      <protection locked="0"/>
    </xf>
    <xf numFmtId="0" fontId="29" fillId="0" borderId="0" xfId="0" applyFont="1" applyAlignment="1">
      <alignment horizontal="left"/>
    </xf>
    <xf numFmtId="0" fontId="41" fillId="0" borderId="0" xfId="0" applyFont="1" applyAlignment="1">
      <alignment horizontal="left"/>
    </xf>
    <xf numFmtId="0" fontId="30" fillId="0" borderId="0" xfId="0" applyFont="1" applyAlignment="1">
      <alignment horizontal="left" vertical="top"/>
    </xf>
    <xf numFmtId="0" fontId="29" fillId="0" borderId="0" xfId="0" applyFont="1" applyAlignment="1">
      <alignment horizontal="left" vertical="top"/>
    </xf>
    <xf numFmtId="0" fontId="29" fillId="0" borderId="0" xfId="0" applyFont="1"/>
    <xf numFmtId="0" fontId="26" fillId="0" borderId="0" xfId="0" applyFont="1"/>
    <xf numFmtId="0" fontId="28" fillId="0" borderId="0" xfId="0" applyFont="1"/>
    <xf numFmtId="0" fontId="29" fillId="0" borderId="0" xfId="0" applyFont="1" applyAlignment="1">
      <alignment horizontal="left" vertical="top" wrapText="1"/>
    </xf>
    <xf numFmtId="40" fontId="26" fillId="0" borderId="10" xfId="0" applyNumberFormat="1" applyFont="1" applyBorder="1" applyAlignment="1">
      <alignment horizontal="center" vertical="center" wrapText="1"/>
    </xf>
    <xf numFmtId="40" fontId="27" fillId="0" borderId="12" xfId="0" applyNumberFormat="1" applyFont="1" applyBorder="1" applyAlignment="1">
      <alignment horizontal="right" vertical="top"/>
    </xf>
    <xf numFmtId="10" fontId="27" fillId="0" borderId="12" xfId="0" applyNumberFormat="1" applyFont="1" applyBorder="1"/>
    <xf numFmtId="43" fontId="27" fillId="0" borderId="12" xfId="1" applyFont="1" applyBorder="1"/>
    <xf numFmtId="0" fontId="23" fillId="0" borderId="0" xfId="0" applyFont="1" applyAlignment="1">
      <alignment horizontal="left" vertical="center" wrapText="1"/>
    </xf>
    <xf numFmtId="0" fontId="38" fillId="0" borderId="0" xfId="415" applyFont="1" applyAlignment="1" applyProtection="1">
      <alignment horizontal="center" vertical="center"/>
      <protection locked="0"/>
    </xf>
    <xf numFmtId="0" fontId="38" fillId="0" borderId="0" xfId="415" applyFont="1" applyAlignment="1" applyProtection="1">
      <alignment horizontal="center"/>
      <protection locked="0"/>
    </xf>
    <xf numFmtId="0" fontId="27" fillId="0" borderId="12" xfId="0" applyFont="1" applyBorder="1" applyAlignment="1">
      <alignment horizontal="left"/>
    </xf>
  </cellXfs>
  <cellStyles count="422">
    <cellStyle name="20% - Accent1" xfId="24" builtinId="30" customBuiltin="1"/>
    <cellStyle name="20% - Accent1 2" xfId="58" xr:uid="{00000000-0005-0000-0000-000001000000}"/>
    <cellStyle name="20% - Accent2" xfId="28" builtinId="34" customBuiltin="1"/>
    <cellStyle name="20% - Accent2 2" xfId="59" xr:uid="{00000000-0005-0000-0000-000003000000}"/>
    <cellStyle name="20% - Accent3" xfId="32" builtinId="38" customBuiltin="1"/>
    <cellStyle name="20% - Accent3 2" xfId="60" xr:uid="{00000000-0005-0000-0000-000005000000}"/>
    <cellStyle name="20% - Accent4" xfId="36" builtinId="42" customBuiltin="1"/>
    <cellStyle name="20% - Accent4 2" xfId="61" xr:uid="{00000000-0005-0000-0000-000007000000}"/>
    <cellStyle name="20% - Accent5" xfId="40" builtinId="46" customBuiltin="1"/>
    <cellStyle name="20% - Accent5 2" xfId="62" xr:uid="{00000000-0005-0000-0000-000009000000}"/>
    <cellStyle name="20% - Accent6" xfId="44" builtinId="50" customBuiltin="1"/>
    <cellStyle name="20% - Accent6 2" xfId="63" xr:uid="{00000000-0005-0000-0000-00000B000000}"/>
    <cellStyle name="40% - Accent1" xfId="25" builtinId="31" customBuiltin="1"/>
    <cellStyle name="40% - Accent1 2" xfId="64" xr:uid="{00000000-0005-0000-0000-00000D000000}"/>
    <cellStyle name="40% - Accent2" xfId="29" builtinId="35" customBuiltin="1"/>
    <cellStyle name="40% - Accent2 2" xfId="65" xr:uid="{00000000-0005-0000-0000-00000F000000}"/>
    <cellStyle name="40% - Accent3" xfId="33" builtinId="39" customBuiltin="1"/>
    <cellStyle name="40% - Accent3 2" xfId="66" xr:uid="{00000000-0005-0000-0000-000011000000}"/>
    <cellStyle name="40% - Accent4" xfId="37" builtinId="43" customBuiltin="1"/>
    <cellStyle name="40% - Accent4 2" xfId="67" xr:uid="{00000000-0005-0000-0000-000013000000}"/>
    <cellStyle name="40% - Accent5" xfId="41" builtinId="47" customBuiltin="1"/>
    <cellStyle name="40% - Accent5 2" xfId="68" xr:uid="{00000000-0005-0000-0000-000015000000}"/>
    <cellStyle name="40% - Accent6" xfId="45" builtinId="51" customBuiltin="1"/>
    <cellStyle name="40% - Accent6 2" xfId="69" xr:uid="{00000000-0005-0000-0000-000017000000}"/>
    <cellStyle name="60% - Accent1" xfId="26" builtinId="32" customBuiltin="1"/>
    <cellStyle name="60% - Accent1 2" xfId="70" xr:uid="{00000000-0005-0000-0000-000019000000}"/>
    <cellStyle name="60% - Accent2" xfId="30" builtinId="36" customBuiltin="1"/>
    <cellStyle name="60% - Accent2 2" xfId="71" xr:uid="{00000000-0005-0000-0000-00001B000000}"/>
    <cellStyle name="60% - Accent3" xfId="34" builtinId="40" customBuiltin="1"/>
    <cellStyle name="60% - Accent3 2" xfId="72" xr:uid="{00000000-0005-0000-0000-00001D000000}"/>
    <cellStyle name="60% - Accent4" xfId="38" builtinId="44" customBuiltin="1"/>
    <cellStyle name="60% - Accent4 2" xfId="73" xr:uid="{00000000-0005-0000-0000-00001F000000}"/>
    <cellStyle name="60% - Accent5" xfId="42" builtinId="48" customBuiltin="1"/>
    <cellStyle name="60% - Accent5 2" xfId="74" xr:uid="{00000000-0005-0000-0000-000021000000}"/>
    <cellStyle name="60% - Accent6" xfId="46" builtinId="52" customBuiltin="1"/>
    <cellStyle name="60% - Accent6 2" xfId="75" xr:uid="{00000000-0005-0000-0000-000023000000}"/>
    <cellStyle name="Accent1" xfId="23" builtinId="29" customBuiltin="1"/>
    <cellStyle name="Accent1 2" xfId="76" xr:uid="{00000000-0005-0000-0000-000025000000}"/>
    <cellStyle name="Accent2" xfId="27" builtinId="33" customBuiltin="1"/>
    <cellStyle name="Accent2 2" xfId="77" xr:uid="{00000000-0005-0000-0000-000027000000}"/>
    <cellStyle name="Accent3" xfId="31" builtinId="37" customBuiltin="1"/>
    <cellStyle name="Accent3 2" xfId="78" xr:uid="{00000000-0005-0000-0000-000029000000}"/>
    <cellStyle name="Accent4" xfId="35" builtinId="41" customBuiltin="1"/>
    <cellStyle name="Accent4 2" xfId="79" xr:uid="{00000000-0005-0000-0000-00002B000000}"/>
    <cellStyle name="Accent5" xfId="39" builtinId="45" customBuiltin="1"/>
    <cellStyle name="Accent5 2" xfId="80" xr:uid="{00000000-0005-0000-0000-00002D000000}"/>
    <cellStyle name="Accent6" xfId="43" builtinId="49" customBuiltin="1"/>
    <cellStyle name="Accent6 2" xfId="81" xr:uid="{00000000-0005-0000-0000-00002F000000}"/>
    <cellStyle name="Bad" xfId="12" builtinId="27" customBuiltin="1"/>
    <cellStyle name="Bad 2" xfId="82" xr:uid="{00000000-0005-0000-0000-000031000000}"/>
    <cellStyle name="Calculation" xfId="16" builtinId="22" customBuiltin="1"/>
    <cellStyle name="Calculation 2" xfId="83" xr:uid="{00000000-0005-0000-0000-000033000000}"/>
    <cellStyle name="Check Cell" xfId="18" builtinId="23" customBuiltin="1"/>
    <cellStyle name="Check Cell 2" xfId="84" xr:uid="{00000000-0005-0000-0000-000035000000}"/>
    <cellStyle name="Comma" xfId="1" builtinId="3" customBuiltin="1"/>
    <cellStyle name="Comma [0]" xfId="2" builtinId="6" customBuiltin="1"/>
    <cellStyle name="Comma [0] 2" xfId="86" xr:uid="{00000000-0005-0000-0000-000038000000}"/>
    <cellStyle name="Comma 10" xfId="87" xr:uid="{00000000-0005-0000-0000-000039000000}"/>
    <cellStyle name="Comma 100" xfId="344" xr:uid="{00000000-0005-0000-0000-00003A000000}"/>
    <cellStyle name="Comma 101" xfId="323" xr:uid="{00000000-0005-0000-0000-00003B000000}"/>
    <cellStyle name="Comma 102" xfId="345" xr:uid="{00000000-0005-0000-0000-00003C000000}"/>
    <cellStyle name="Comma 103" xfId="322" xr:uid="{00000000-0005-0000-0000-00003D000000}"/>
    <cellStyle name="Comma 104" xfId="321" xr:uid="{00000000-0005-0000-0000-00003E000000}"/>
    <cellStyle name="Comma 105" xfId="346" xr:uid="{00000000-0005-0000-0000-00003F000000}"/>
    <cellStyle name="Comma 106" xfId="347" xr:uid="{00000000-0005-0000-0000-000040000000}"/>
    <cellStyle name="Comma 107" xfId="348" xr:uid="{00000000-0005-0000-0000-000041000000}"/>
    <cellStyle name="Comma 108" xfId="349" xr:uid="{00000000-0005-0000-0000-000042000000}"/>
    <cellStyle name="Comma 109" xfId="350" xr:uid="{00000000-0005-0000-0000-000043000000}"/>
    <cellStyle name="Comma 11" xfId="88" xr:uid="{00000000-0005-0000-0000-000044000000}"/>
    <cellStyle name="Comma 110" xfId="351" xr:uid="{00000000-0005-0000-0000-000045000000}"/>
    <cellStyle name="Comma 111" xfId="352" xr:uid="{00000000-0005-0000-0000-000046000000}"/>
    <cellStyle name="Comma 112" xfId="353" xr:uid="{00000000-0005-0000-0000-000047000000}"/>
    <cellStyle name="Comma 113" xfId="354" xr:uid="{00000000-0005-0000-0000-000048000000}"/>
    <cellStyle name="Comma 114" xfId="396" xr:uid="{00000000-0005-0000-0000-000049000000}"/>
    <cellStyle name="Comma 115" xfId="375" xr:uid="{00000000-0005-0000-0000-00004A000000}"/>
    <cellStyle name="Comma 116" xfId="376" xr:uid="{00000000-0005-0000-0000-00004B000000}"/>
    <cellStyle name="Comma 117" xfId="377" xr:uid="{00000000-0005-0000-0000-00004C000000}"/>
    <cellStyle name="Comma 118" xfId="378" xr:uid="{00000000-0005-0000-0000-00004D000000}"/>
    <cellStyle name="Comma 119" xfId="379" xr:uid="{00000000-0005-0000-0000-00004E000000}"/>
    <cellStyle name="Comma 12" xfId="89" xr:uid="{00000000-0005-0000-0000-00004F000000}"/>
    <cellStyle name="Comma 120" xfId="380" xr:uid="{00000000-0005-0000-0000-000050000000}"/>
    <cellStyle name="Comma 121" xfId="381" xr:uid="{00000000-0005-0000-0000-000051000000}"/>
    <cellStyle name="Comma 122" xfId="382" xr:uid="{00000000-0005-0000-0000-000052000000}"/>
    <cellStyle name="Comma 123" xfId="383" xr:uid="{00000000-0005-0000-0000-000053000000}"/>
    <cellStyle name="Comma 124" xfId="384" xr:uid="{00000000-0005-0000-0000-000054000000}"/>
    <cellStyle name="Comma 125" xfId="385" xr:uid="{00000000-0005-0000-0000-000055000000}"/>
    <cellStyle name="Comma 126" xfId="386" xr:uid="{00000000-0005-0000-0000-000056000000}"/>
    <cellStyle name="Comma 127" xfId="387" xr:uid="{00000000-0005-0000-0000-000057000000}"/>
    <cellStyle name="Comma 128" xfId="388" xr:uid="{00000000-0005-0000-0000-000058000000}"/>
    <cellStyle name="Comma 129" xfId="389" xr:uid="{00000000-0005-0000-0000-000059000000}"/>
    <cellStyle name="Comma 13" xfId="90" xr:uid="{00000000-0005-0000-0000-00005A000000}"/>
    <cellStyle name="Comma 130" xfId="390" xr:uid="{00000000-0005-0000-0000-00005B000000}"/>
    <cellStyle name="Comma 131" xfId="391" xr:uid="{00000000-0005-0000-0000-00005C000000}"/>
    <cellStyle name="Comma 132" xfId="392" xr:uid="{00000000-0005-0000-0000-00005D000000}"/>
    <cellStyle name="Comma 133" xfId="393" xr:uid="{00000000-0005-0000-0000-00005E000000}"/>
    <cellStyle name="Comma 134" xfId="394" xr:uid="{00000000-0005-0000-0000-00005F000000}"/>
    <cellStyle name="Comma 135" xfId="395" xr:uid="{00000000-0005-0000-0000-000060000000}"/>
    <cellStyle name="Comma 14" xfId="91" xr:uid="{00000000-0005-0000-0000-000061000000}"/>
    <cellStyle name="Comma 15" xfId="92" xr:uid="{00000000-0005-0000-0000-000062000000}"/>
    <cellStyle name="Comma 16" xfId="93" xr:uid="{00000000-0005-0000-0000-000063000000}"/>
    <cellStyle name="Comma 17" xfId="94" xr:uid="{00000000-0005-0000-0000-000064000000}"/>
    <cellStyle name="Comma 18" xfId="95" xr:uid="{00000000-0005-0000-0000-000065000000}"/>
    <cellStyle name="Comma 19" xfId="96" xr:uid="{00000000-0005-0000-0000-000066000000}"/>
    <cellStyle name="Comma 2" xfId="48" xr:uid="{00000000-0005-0000-0000-000067000000}"/>
    <cellStyle name="Comma 2 2" xfId="51" xr:uid="{00000000-0005-0000-0000-000068000000}"/>
    <cellStyle name="Comma 2 2 2" xfId="98" xr:uid="{00000000-0005-0000-0000-000069000000}"/>
    <cellStyle name="Comma 2 2 3" xfId="364" xr:uid="{00000000-0005-0000-0000-00006A000000}"/>
    <cellStyle name="Comma 2 3" xfId="99" xr:uid="{00000000-0005-0000-0000-00006B000000}"/>
    <cellStyle name="Comma 2 4" xfId="97" xr:uid="{00000000-0005-0000-0000-00006C000000}"/>
    <cellStyle name="Comma 2 5" xfId="361" xr:uid="{00000000-0005-0000-0000-00006D000000}"/>
    <cellStyle name="Comma 20" xfId="100" xr:uid="{00000000-0005-0000-0000-00006E000000}"/>
    <cellStyle name="Comma 21" xfId="101" xr:uid="{00000000-0005-0000-0000-00006F000000}"/>
    <cellStyle name="Comma 22" xfId="102" xr:uid="{00000000-0005-0000-0000-000070000000}"/>
    <cellStyle name="Comma 23" xfId="103" xr:uid="{00000000-0005-0000-0000-000071000000}"/>
    <cellStyle name="Comma 24" xfId="104" xr:uid="{00000000-0005-0000-0000-000072000000}"/>
    <cellStyle name="Comma 25" xfId="105" xr:uid="{00000000-0005-0000-0000-000073000000}"/>
    <cellStyle name="Comma 26" xfId="106" xr:uid="{00000000-0005-0000-0000-000074000000}"/>
    <cellStyle name="Comma 27" xfId="107" xr:uid="{00000000-0005-0000-0000-000075000000}"/>
    <cellStyle name="Comma 28" xfId="108" xr:uid="{00000000-0005-0000-0000-000076000000}"/>
    <cellStyle name="Comma 29" xfId="109" xr:uid="{00000000-0005-0000-0000-000077000000}"/>
    <cellStyle name="Comma 3" xfId="54" xr:uid="{00000000-0005-0000-0000-000078000000}"/>
    <cellStyle name="Comma 3 2" xfId="111" xr:uid="{00000000-0005-0000-0000-000079000000}"/>
    <cellStyle name="Comma 3 3" xfId="112" xr:uid="{00000000-0005-0000-0000-00007A000000}"/>
    <cellStyle name="Comma 3 4" xfId="110" xr:uid="{00000000-0005-0000-0000-00007B000000}"/>
    <cellStyle name="Comma 3 4 2" xfId="368" xr:uid="{00000000-0005-0000-0000-00007C000000}"/>
    <cellStyle name="Comma 3 5" xfId="357" xr:uid="{00000000-0005-0000-0000-00007D000000}"/>
    <cellStyle name="Comma 3 5 2" xfId="371" xr:uid="{00000000-0005-0000-0000-00007E000000}"/>
    <cellStyle name="Comma 3 6" xfId="401" xr:uid="{00000000-0005-0000-0000-00007F000000}"/>
    <cellStyle name="Comma 3 7" xfId="367" xr:uid="{00000000-0005-0000-0000-000080000000}"/>
    <cellStyle name="Comma 30" xfId="113" xr:uid="{00000000-0005-0000-0000-000081000000}"/>
    <cellStyle name="Comma 31" xfId="114" xr:uid="{00000000-0005-0000-0000-000082000000}"/>
    <cellStyle name="Comma 32" xfId="115" xr:uid="{00000000-0005-0000-0000-000083000000}"/>
    <cellStyle name="Comma 33" xfId="116" xr:uid="{00000000-0005-0000-0000-000084000000}"/>
    <cellStyle name="Comma 34" xfId="117" xr:uid="{00000000-0005-0000-0000-000085000000}"/>
    <cellStyle name="Comma 35" xfId="118" xr:uid="{00000000-0005-0000-0000-000086000000}"/>
    <cellStyle name="Comma 36" xfId="119" xr:uid="{00000000-0005-0000-0000-000087000000}"/>
    <cellStyle name="Comma 37" xfId="120" xr:uid="{00000000-0005-0000-0000-000088000000}"/>
    <cellStyle name="Comma 38" xfId="121" xr:uid="{00000000-0005-0000-0000-000089000000}"/>
    <cellStyle name="Comma 39" xfId="122" xr:uid="{00000000-0005-0000-0000-00008A000000}"/>
    <cellStyle name="Comma 4" xfId="123" xr:uid="{00000000-0005-0000-0000-00008B000000}"/>
    <cellStyle name="Comma 40" xfId="124" xr:uid="{00000000-0005-0000-0000-00008C000000}"/>
    <cellStyle name="Comma 41" xfId="125" xr:uid="{00000000-0005-0000-0000-00008D000000}"/>
    <cellStyle name="Comma 42" xfId="126" xr:uid="{00000000-0005-0000-0000-00008E000000}"/>
    <cellStyle name="Comma 43" xfId="127" xr:uid="{00000000-0005-0000-0000-00008F000000}"/>
    <cellStyle name="Comma 44" xfId="128" xr:uid="{00000000-0005-0000-0000-000090000000}"/>
    <cellStyle name="Comma 45" xfId="129" xr:uid="{00000000-0005-0000-0000-000091000000}"/>
    <cellStyle name="Comma 46" xfId="130" xr:uid="{00000000-0005-0000-0000-000092000000}"/>
    <cellStyle name="Comma 47" xfId="131" xr:uid="{00000000-0005-0000-0000-000093000000}"/>
    <cellStyle name="Comma 48" xfId="132" xr:uid="{00000000-0005-0000-0000-000094000000}"/>
    <cellStyle name="Comma 49" xfId="133" xr:uid="{00000000-0005-0000-0000-000095000000}"/>
    <cellStyle name="Comma 5" xfId="134" xr:uid="{00000000-0005-0000-0000-000096000000}"/>
    <cellStyle name="Comma 50" xfId="135" xr:uid="{00000000-0005-0000-0000-000097000000}"/>
    <cellStyle name="Comma 51" xfId="136" xr:uid="{00000000-0005-0000-0000-000098000000}"/>
    <cellStyle name="Comma 52" xfId="137" xr:uid="{00000000-0005-0000-0000-000099000000}"/>
    <cellStyle name="Comma 53" xfId="138" xr:uid="{00000000-0005-0000-0000-00009A000000}"/>
    <cellStyle name="Comma 54" xfId="139" xr:uid="{00000000-0005-0000-0000-00009B000000}"/>
    <cellStyle name="Comma 54 2" xfId="140" xr:uid="{00000000-0005-0000-0000-00009C000000}"/>
    <cellStyle name="Comma 55" xfId="141" xr:uid="{00000000-0005-0000-0000-00009D000000}"/>
    <cellStyle name="Comma 56" xfId="142" xr:uid="{00000000-0005-0000-0000-00009E000000}"/>
    <cellStyle name="Comma 56 2" xfId="143" xr:uid="{00000000-0005-0000-0000-00009F000000}"/>
    <cellStyle name="Comma 56 3" xfId="144" xr:uid="{00000000-0005-0000-0000-0000A0000000}"/>
    <cellStyle name="Comma 57" xfId="145" xr:uid="{00000000-0005-0000-0000-0000A1000000}"/>
    <cellStyle name="Comma 58" xfId="146" xr:uid="{00000000-0005-0000-0000-0000A2000000}"/>
    <cellStyle name="Comma 59" xfId="147" xr:uid="{00000000-0005-0000-0000-0000A3000000}"/>
    <cellStyle name="Comma 6" xfId="148" xr:uid="{00000000-0005-0000-0000-0000A4000000}"/>
    <cellStyle name="Comma 60" xfId="149" xr:uid="{00000000-0005-0000-0000-0000A5000000}"/>
    <cellStyle name="Comma 61" xfId="150" xr:uid="{00000000-0005-0000-0000-0000A6000000}"/>
    <cellStyle name="Comma 62" xfId="151" xr:uid="{00000000-0005-0000-0000-0000A7000000}"/>
    <cellStyle name="Comma 63" xfId="152" xr:uid="{00000000-0005-0000-0000-0000A8000000}"/>
    <cellStyle name="Comma 64" xfId="153" xr:uid="{00000000-0005-0000-0000-0000A9000000}"/>
    <cellStyle name="Comma 65" xfId="154" xr:uid="{00000000-0005-0000-0000-0000AA000000}"/>
    <cellStyle name="Comma 66" xfId="155" xr:uid="{00000000-0005-0000-0000-0000AB000000}"/>
    <cellStyle name="Comma 67" xfId="156" xr:uid="{00000000-0005-0000-0000-0000AC000000}"/>
    <cellStyle name="Comma 68" xfId="157" xr:uid="{00000000-0005-0000-0000-0000AD000000}"/>
    <cellStyle name="Comma 69" xfId="158" xr:uid="{00000000-0005-0000-0000-0000AE000000}"/>
    <cellStyle name="Comma 7" xfId="159" xr:uid="{00000000-0005-0000-0000-0000AF000000}"/>
    <cellStyle name="Comma 70" xfId="160" xr:uid="{00000000-0005-0000-0000-0000B0000000}"/>
    <cellStyle name="Comma 71" xfId="161" xr:uid="{00000000-0005-0000-0000-0000B1000000}"/>
    <cellStyle name="Comma 72" xfId="162" xr:uid="{00000000-0005-0000-0000-0000B2000000}"/>
    <cellStyle name="Comma 73" xfId="163" xr:uid="{00000000-0005-0000-0000-0000B3000000}"/>
    <cellStyle name="Comma 74" xfId="164" xr:uid="{00000000-0005-0000-0000-0000B4000000}"/>
    <cellStyle name="Comma 75" xfId="165" xr:uid="{00000000-0005-0000-0000-0000B5000000}"/>
    <cellStyle name="Comma 76" xfId="166" xr:uid="{00000000-0005-0000-0000-0000B6000000}"/>
    <cellStyle name="Comma 77" xfId="167" xr:uid="{00000000-0005-0000-0000-0000B7000000}"/>
    <cellStyle name="Comma 78" xfId="168" xr:uid="{00000000-0005-0000-0000-0000B8000000}"/>
    <cellStyle name="Comma 79" xfId="169" xr:uid="{00000000-0005-0000-0000-0000B9000000}"/>
    <cellStyle name="Comma 8" xfId="170" xr:uid="{00000000-0005-0000-0000-0000BA000000}"/>
    <cellStyle name="Comma 80" xfId="171" xr:uid="{00000000-0005-0000-0000-0000BB000000}"/>
    <cellStyle name="Comma 81" xfId="172" xr:uid="{00000000-0005-0000-0000-0000BC000000}"/>
    <cellStyle name="Comma 82" xfId="173" xr:uid="{00000000-0005-0000-0000-0000BD000000}"/>
    <cellStyle name="Comma 83" xfId="174" xr:uid="{00000000-0005-0000-0000-0000BE000000}"/>
    <cellStyle name="Comma 84" xfId="175" xr:uid="{00000000-0005-0000-0000-0000BF000000}"/>
    <cellStyle name="Comma 85" xfId="176" xr:uid="{00000000-0005-0000-0000-0000C0000000}"/>
    <cellStyle name="Comma 86" xfId="177" xr:uid="{00000000-0005-0000-0000-0000C1000000}"/>
    <cellStyle name="Comma 87" xfId="178" xr:uid="{00000000-0005-0000-0000-0000C2000000}"/>
    <cellStyle name="Comma 88" xfId="179" xr:uid="{00000000-0005-0000-0000-0000C3000000}"/>
    <cellStyle name="Comma 89" xfId="180" xr:uid="{00000000-0005-0000-0000-0000C4000000}"/>
    <cellStyle name="Comma 9" xfId="181" xr:uid="{00000000-0005-0000-0000-0000C5000000}"/>
    <cellStyle name="Comma 90" xfId="182" xr:uid="{00000000-0005-0000-0000-0000C6000000}"/>
    <cellStyle name="Comma 91" xfId="183" xr:uid="{00000000-0005-0000-0000-0000C7000000}"/>
    <cellStyle name="Comma 92" xfId="184" xr:uid="{00000000-0005-0000-0000-0000C8000000}"/>
    <cellStyle name="Comma 93" xfId="185" xr:uid="{00000000-0005-0000-0000-0000C9000000}"/>
    <cellStyle name="Comma 94" xfId="186" xr:uid="{00000000-0005-0000-0000-0000CA000000}"/>
    <cellStyle name="Comma 95" xfId="187" xr:uid="{00000000-0005-0000-0000-0000CB000000}"/>
    <cellStyle name="Comma 96" xfId="85" xr:uid="{00000000-0005-0000-0000-0000CC000000}"/>
    <cellStyle name="Comma 97" xfId="325" xr:uid="{00000000-0005-0000-0000-0000CD000000}"/>
    <cellStyle name="Comma 98" xfId="343" xr:uid="{00000000-0005-0000-0000-0000CE000000}"/>
    <cellStyle name="Comma 99" xfId="324" xr:uid="{00000000-0005-0000-0000-0000CF000000}"/>
    <cellStyle name="Currency" xfId="3" builtinId="4" customBuiltin="1"/>
    <cellStyle name="Currency [0]" xfId="4" builtinId="7" customBuiltin="1"/>
    <cellStyle name="Currency [0] 2" xfId="189" xr:uid="{00000000-0005-0000-0000-0000D2000000}"/>
    <cellStyle name="Currency 10" xfId="190" xr:uid="{00000000-0005-0000-0000-0000D3000000}"/>
    <cellStyle name="Currency 100" xfId="337" xr:uid="{00000000-0005-0000-0000-0000D4000000}"/>
    <cellStyle name="Currency 101" xfId="331" xr:uid="{00000000-0005-0000-0000-0000D5000000}"/>
    <cellStyle name="Currency 102" xfId="338" xr:uid="{00000000-0005-0000-0000-0000D6000000}"/>
    <cellStyle name="Currency 103" xfId="330" xr:uid="{00000000-0005-0000-0000-0000D7000000}"/>
    <cellStyle name="Currency 104" xfId="339" xr:uid="{00000000-0005-0000-0000-0000D8000000}"/>
    <cellStyle name="Currency 105" xfId="329" xr:uid="{00000000-0005-0000-0000-0000D9000000}"/>
    <cellStyle name="Currency 106" xfId="340" xr:uid="{00000000-0005-0000-0000-0000DA000000}"/>
    <cellStyle name="Currency 107" xfId="328" xr:uid="{00000000-0005-0000-0000-0000DB000000}"/>
    <cellStyle name="Currency 108" xfId="341" xr:uid="{00000000-0005-0000-0000-0000DC000000}"/>
    <cellStyle name="Currency 109" xfId="327" xr:uid="{00000000-0005-0000-0000-0000DD000000}"/>
    <cellStyle name="Currency 11" xfId="191" xr:uid="{00000000-0005-0000-0000-0000DE000000}"/>
    <cellStyle name="Currency 110" xfId="342" xr:uid="{00000000-0005-0000-0000-0000DF000000}"/>
    <cellStyle name="Currency 111" xfId="326" xr:uid="{00000000-0005-0000-0000-0000E0000000}"/>
    <cellStyle name="Currency 112" xfId="417" xr:uid="{00000000-0005-0000-0000-0000E1000000}"/>
    <cellStyle name="Currency 113" xfId="418" xr:uid="{00000000-0005-0000-0000-0000E2000000}"/>
    <cellStyle name="Currency 114" xfId="419" xr:uid="{00000000-0005-0000-0000-0000E3000000}"/>
    <cellStyle name="Currency 115" xfId="420" xr:uid="{00000000-0005-0000-0000-0000E4000000}"/>
    <cellStyle name="Currency 116" xfId="421" xr:uid="{00000000-0005-0000-0000-0000E5000000}"/>
    <cellStyle name="Currency 12" xfId="192" xr:uid="{00000000-0005-0000-0000-0000E6000000}"/>
    <cellStyle name="Currency 13" xfId="193" xr:uid="{00000000-0005-0000-0000-0000E7000000}"/>
    <cellStyle name="Currency 14" xfId="194" xr:uid="{00000000-0005-0000-0000-0000E8000000}"/>
    <cellStyle name="Currency 15" xfId="195" xr:uid="{00000000-0005-0000-0000-0000E9000000}"/>
    <cellStyle name="Currency 16" xfId="196" xr:uid="{00000000-0005-0000-0000-0000EA000000}"/>
    <cellStyle name="Currency 17" xfId="197" xr:uid="{00000000-0005-0000-0000-0000EB000000}"/>
    <cellStyle name="Currency 18" xfId="198" xr:uid="{00000000-0005-0000-0000-0000EC000000}"/>
    <cellStyle name="Currency 19" xfId="199" xr:uid="{00000000-0005-0000-0000-0000ED000000}"/>
    <cellStyle name="Currency 2" xfId="49" xr:uid="{00000000-0005-0000-0000-0000EE000000}"/>
    <cellStyle name="Currency 2 2" xfId="52" xr:uid="{00000000-0005-0000-0000-0000EF000000}"/>
    <cellStyle name="Currency 2 2 2" xfId="201" xr:uid="{00000000-0005-0000-0000-0000F0000000}"/>
    <cellStyle name="Currency 2 2 3" xfId="365" xr:uid="{00000000-0005-0000-0000-0000F1000000}"/>
    <cellStyle name="Currency 2 3" xfId="202" xr:uid="{00000000-0005-0000-0000-0000F2000000}"/>
    <cellStyle name="Currency 2 4" xfId="200" xr:uid="{00000000-0005-0000-0000-0000F3000000}"/>
    <cellStyle name="Currency 2 5" xfId="362" xr:uid="{00000000-0005-0000-0000-0000F4000000}"/>
    <cellStyle name="Currency 20" xfId="203" xr:uid="{00000000-0005-0000-0000-0000F5000000}"/>
    <cellStyle name="Currency 21" xfId="204" xr:uid="{00000000-0005-0000-0000-0000F6000000}"/>
    <cellStyle name="Currency 22" xfId="205" xr:uid="{00000000-0005-0000-0000-0000F7000000}"/>
    <cellStyle name="Currency 23" xfId="206" xr:uid="{00000000-0005-0000-0000-0000F8000000}"/>
    <cellStyle name="Currency 24" xfId="207" xr:uid="{00000000-0005-0000-0000-0000F9000000}"/>
    <cellStyle name="Currency 25" xfId="208" xr:uid="{00000000-0005-0000-0000-0000FA000000}"/>
    <cellStyle name="Currency 26" xfId="209" xr:uid="{00000000-0005-0000-0000-0000FB000000}"/>
    <cellStyle name="Currency 27" xfId="210" xr:uid="{00000000-0005-0000-0000-0000FC000000}"/>
    <cellStyle name="Currency 28" xfId="211" xr:uid="{00000000-0005-0000-0000-0000FD000000}"/>
    <cellStyle name="Currency 29" xfId="212" xr:uid="{00000000-0005-0000-0000-0000FE000000}"/>
    <cellStyle name="Currency 3" xfId="56" xr:uid="{00000000-0005-0000-0000-0000FF000000}"/>
    <cellStyle name="Currency 3 2" xfId="214" xr:uid="{00000000-0005-0000-0000-000000010000}"/>
    <cellStyle name="Currency 3 3" xfId="213" xr:uid="{00000000-0005-0000-0000-000001010000}"/>
    <cellStyle name="Currency 30" xfId="215" xr:uid="{00000000-0005-0000-0000-000002010000}"/>
    <cellStyle name="Currency 31" xfId="216" xr:uid="{00000000-0005-0000-0000-000003010000}"/>
    <cellStyle name="Currency 32" xfId="217" xr:uid="{00000000-0005-0000-0000-000004010000}"/>
    <cellStyle name="Currency 33" xfId="218" xr:uid="{00000000-0005-0000-0000-000005010000}"/>
    <cellStyle name="Currency 34" xfId="219" xr:uid="{00000000-0005-0000-0000-000006010000}"/>
    <cellStyle name="Currency 35" xfId="220" xr:uid="{00000000-0005-0000-0000-000007010000}"/>
    <cellStyle name="Currency 36" xfId="221" xr:uid="{00000000-0005-0000-0000-000008010000}"/>
    <cellStyle name="Currency 37" xfId="222" xr:uid="{00000000-0005-0000-0000-000009010000}"/>
    <cellStyle name="Currency 38" xfId="223" xr:uid="{00000000-0005-0000-0000-00000A010000}"/>
    <cellStyle name="Currency 39" xfId="224" xr:uid="{00000000-0005-0000-0000-00000B010000}"/>
    <cellStyle name="Currency 4" xfId="225" xr:uid="{00000000-0005-0000-0000-00000C010000}"/>
    <cellStyle name="Currency 4 2" xfId="226" xr:uid="{00000000-0005-0000-0000-00000D010000}"/>
    <cellStyle name="Currency 40" xfId="227" xr:uid="{00000000-0005-0000-0000-00000E010000}"/>
    <cellStyle name="Currency 41" xfId="228" xr:uid="{00000000-0005-0000-0000-00000F010000}"/>
    <cellStyle name="Currency 42" xfId="229" xr:uid="{00000000-0005-0000-0000-000010010000}"/>
    <cellStyle name="Currency 43" xfId="230" xr:uid="{00000000-0005-0000-0000-000011010000}"/>
    <cellStyle name="Currency 44" xfId="231" xr:uid="{00000000-0005-0000-0000-000012010000}"/>
    <cellStyle name="Currency 45" xfId="232" xr:uid="{00000000-0005-0000-0000-000013010000}"/>
    <cellStyle name="Currency 46" xfId="233" xr:uid="{00000000-0005-0000-0000-000014010000}"/>
    <cellStyle name="Currency 47" xfId="234" xr:uid="{00000000-0005-0000-0000-000015010000}"/>
    <cellStyle name="Currency 48" xfId="235" xr:uid="{00000000-0005-0000-0000-000016010000}"/>
    <cellStyle name="Currency 49" xfId="236" xr:uid="{00000000-0005-0000-0000-000017010000}"/>
    <cellStyle name="Currency 5" xfId="237" xr:uid="{00000000-0005-0000-0000-000018010000}"/>
    <cellStyle name="Currency 50" xfId="238" xr:uid="{00000000-0005-0000-0000-000019010000}"/>
    <cellStyle name="Currency 51" xfId="239" xr:uid="{00000000-0005-0000-0000-00001A010000}"/>
    <cellStyle name="Currency 52" xfId="240" xr:uid="{00000000-0005-0000-0000-00001B010000}"/>
    <cellStyle name="Currency 53" xfId="241" xr:uid="{00000000-0005-0000-0000-00001C010000}"/>
    <cellStyle name="Currency 54" xfId="242" xr:uid="{00000000-0005-0000-0000-00001D010000}"/>
    <cellStyle name="Currency 54 2" xfId="243" xr:uid="{00000000-0005-0000-0000-00001E010000}"/>
    <cellStyle name="Currency 55" xfId="244" xr:uid="{00000000-0005-0000-0000-00001F010000}"/>
    <cellStyle name="Currency 55 2" xfId="245" xr:uid="{00000000-0005-0000-0000-000020010000}"/>
    <cellStyle name="Currency 56" xfId="246" xr:uid="{00000000-0005-0000-0000-000021010000}"/>
    <cellStyle name="Currency 57" xfId="247" xr:uid="{00000000-0005-0000-0000-000022010000}"/>
    <cellStyle name="Currency 58" xfId="248" xr:uid="{00000000-0005-0000-0000-000023010000}"/>
    <cellStyle name="Currency 59" xfId="249" xr:uid="{00000000-0005-0000-0000-000024010000}"/>
    <cellStyle name="Currency 6" xfId="250" xr:uid="{00000000-0005-0000-0000-000025010000}"/>
    <cellStyle name="Currency 60" xfId="251" xr:uid="{00000000-0005-0000-0000-000026010000}"/>
    <cellStyle name="Currency 61" xfId="252" xr:uid="{00000000-0005-0000-0000-000027010000}"/>
    <cellStyle name="Currency 62" xfId="253" xr:uid="{00000000-0005-0000-0000-000028010000}"/>
    <cellStyle name="Currency 63" xfId="254" xr:uid="{00000000-0005-0000-0000-000029010000}"/>
    <cellStyle name="Currency 64" xfId="255" xr:uid="{00000000-0005-0000-0000-00002A010000}"/>
    <cellStyle name="Currency 65" xfId="256" xr:uid="{00000000-0005-0000-0000-00002B010000}"/>
    <cellStyle name="Currency 66" xfId="257" xr:uid="{00000000-0005-0000-0000-00002C010000}"/>
    <cellStyle name="Currency 67" xfId="258" xr:uid="{00000000-0005-0000-0000-00002D010000}"/>
    <cellStyle name="Currency 68" xfId="259" xr:uid="{00000000-0005-0000-0000-00002E010000}"/>
    <cellStyle name="Currency 69" xfId="260" xr:uid="{00000000-0005-0000-0000-00002F010000}"/>
    <cellStyle name="Currency 7" xfId="261" xr:uid="{00000000-0005-0000-0000-000030010000}"/>
    <cellStyle name="Currency 70" xfId="262" xr:uid="{00000000-0005-0000-0000-000031010000}"/>
    <cellStyle name="Currency 71" xfId="263" xr:uid="{00000000-0005-0000-0000-000032010000}"/>
    <cellStyle name="Currency 72" xfId="264" xr:uid="{00000000-0005-0000-0000-000033010000}"/>
    <cellStyle name="Currency 73" xfId="265" xr:uid="{00000000-0005-0000-0000-000034010000}"/>
    <cellStyle name="Currency 74" xfId="266" xr:uid="{00000000-0005-0000-0000-000035010000}"/>
    <cellStyle name="Currency 75" xfId="267" xr:uid="{00000000-0005-0000-0000-000036010000}"/>
    <cellStyle name="Currency 76" xfId="268" xr:uid="{00000000-0005-0000-0000-000037010000}"/>
    <cellStyle name="Currency 77" xfId="269" xr:uid="{00000000-0005-0000-0000-000038010000}"/>
    <cellStyle name="Currency 78" xfId="270" xr:uid="{00000000-0005-0000-0000-000039010000}"/>
    <cellStyle name="Currency 79" xfId="271" xr:uid="{00000000-0005-0000-0000-00003A010000}"/>
    <cellStyle name="Currency 8" xfId="272" xr:uid="{00000000-0005-0000-0000-00003B010000}"/>
    <cellStyle name="Currency 80" xfId="273" xr:uid="{00000000-0005-0000-0000-00003C010000}"/>
    <cellStyle name="Currency 81" xfId="274" xr:uid="{00000000-0005-0000-0000-00003D010000}"/>
    <cellStyle name="Currency 82" xfId="275" xr:uid="{00000000-0005-0000-0000-00003E010000}"/>
    <cellStyle name="Currency 83" xfId="276" xr:uid="{00000000-0005-0000-0000-00003F010000}"/>
    <cellStyle name="Currency 84" xfId="277" xr:uid="{00000000-0005-0000-0000-000040010000}"/>
    <cellStyle name="Currency 85" xfId="278" xr:uid="{00000000-0005-0000-0000-000041010000}"/>
    <cellStyle name="Currency 86" xfId="279" xr:uid="{00000000-0005-0000-0000-000042010000}"/>
    <cellStyle name="Currency 87" xfId="280" xr:uid="{00000000-0005-0000-0000-000043010000}"/>
    <cellStyle name="Currency 88" xfId="281" xr:uid="{00000000-0005-0000-0000-000044010000}"/>
    <cellStyle name="Currency 89" xfId="282" xr:uid="{00000000-0005-0000-0000-000045010000}"/>
    <cellStyle name="Currency 9" xfId="283" xr:uid="{00000000-0005-0000-0000-000046010000}"/>
    <cellStyle name="Currency 90" xfId="284" xr:uid="{00000000-0005-0000-0000-000047010000}"/>
    <cellStyle name="Currency 91" xfId="285" xr:uid="{00000000-0005-0000-0000-000048010000}"/>
    <cellStyle name="Currency 92" xfId="286" xr:uid="{00000000-0005-0000-0000-000049010000}"/>
    <cellStyle name="Currency 93" xfId="287" xr:uid="{00000000-0005-0000-0000-00004A010000}"/>
    <cellStyle name="Currency 94" xfId="188" xr:uid="{00000000-0005-0000-0000-00004B010000}"/>
    <cellStyle name="Currency 95" xfId="334" xr:uid="{00000000-0005-0000-0000-00004C010000}"/>
    <cellStyle name="Currency 96" xfId="335" xr:uid="{00000000-0005-0000-0000-00004D010000}"/>
    <cellStyle name="Currency 97" xfId="333" xr:uid="{00000000-0005-0000-0000-00004E010000}"/>
    <cellStyle name="Currency 98" xfId="336" xr:uid="{00000000-0005-0000-0000-00004F010000}"/>
    <cellStyle name="Currency 99" xfId="332" xr:uid="{00000000-0005-0000-0000-000050010000}"/>
    <cellStyle name="Explanatory Text" xfId="21" builtinId="53" customBuiltin="1"/>
    <cellStyle name="Explanatory Text 2" xfId="288" xr:uid="{00000000-0005-0000-0000-000052010000}"/>
    <cellStyle name="Good" xfId="11" builtinId="26" customBuiltin="1"/>
    <cellStyle name="Good 2" xfId="289" xr:uid="{00000000-0005-0000-0000-000054010000}"/>
    <cellStyle name="Heading 1" xfId="7" builtinId="16" customBuiltin="1"/>
    <cellStyle name="Heading 1 2" xfId="290" xr:uid="{00000000-0005-0000-0000-000056010000}"/>
    <cellStyle name="Heading 2" xfId="8" builtinId="17" customBuiltin="1"/>
    <cellStyle name="Heading 2 2" xfId="291" xr:uid="{00000000-0005-0000-0000-000058010000}"/>
    <cellStyle name="Heading 3" xfId="9" builtinId="18" customBuiltin="1"/>
    <cellStyle name="Heading 3 2" xfId="292" xr:uid="{00000000-0005-0000-0000-00005A010000}"/>
    <cellStyle name="Heading 4" xfId="10" builtinId="19" customBuiltin="1"/>
    <cellStyle name="Heading 4 2" xfId="293" xr:uid="{00000000-0005-0000-0000-00005C010000}"/>
    <cellStyle name="Input" xfId="14" builtinId="20" customBuiltin="1"/>
    <cellStyle name="Input 2" xfId="294" xr:uid="{00000000-0005-0000-0000-00005E010000}"/>
    <cellStyle name="Linked Cell" xfId="17" builtinId="24" customBuiltin="1"/>
    <cellStyle name="Linked Cell 2" xfId="295" xr:uid="{00000000-0005-0000-0000-000060010000}"/>
    <cellStyle name="Millares 2" xfId="296" xr:uid="{00000000-0005-0000-0000-000061010000}"/>
    <cellStyle name="Millares 3" xfId="297" xr:uid="{00000000-0005-0000-0000-000062010000}"/>
    <cellStyle name="Neutral" xfId="13" builtinId="28" customBuiltin="1"/>
    <cellStyle name="Neutral 2" xfId="298" xr:uid="{00000000-0005-0000-0000-000064010000}"/>
    <cellStyle name="Normal" xfId="0" builtinId="0" customBuiltin="1"/>
    <cellStyle name="Normal 2" xfId="47" xr:uid="{00000000-0005-0000-0000-000066010000}"/>
    <cellStyle name="Normal 2 2" xfId="50" xr:uid="{00000000-0005-0000-0000-000067010000}"/>
    <cellStyle name="Normal 2 2 2" xfId="300" xr:uid="{00000000-0005-0000-0000-000068010000}"/>
    <cellStyle name="Normal 2 2 3" xfId="363" xr:uid="{00000000-0005-0000-0000-000069010000}"/>
    <cellStyle name="Normal 2 3" xfId="301" xr:uid="{00000000-0005-0000-0000-00006A010000}"/>
    <cellStyle name="Normal 2 4" xfId="299" xr:uid="{00000000-0005-0000-0000-00006B010000}"/>
    <cellStyle name="Normal 2 5" xfId="360" xr:uid="{00000000-0005-0000-0000-00006C010000}"/>
    <cellStyle name="Normal 3" xfId="53" xr:uid="{00000000-0005-0000-0000-00006D010000}"/>
    <cellStyle name="Normal 3 2" xfId="303" xr:uid="{00000000-0005-0000-0000-00006E010000}"/>
    <cellStyle name="Normal 3 3" xfId="302" xr:uid="{00000000-0005-0000-0000-00006F010000}"/>
    <cellStyle name="Normal 3 4" xfId="366" xr:uid="{00000000-0005-0000-0000-000070010000}"/>
    <cellStyle name="Normal 4" xfId="55" xr:uid="{00000000-0005-0000-0000-000071010000}"/>
    <cellStyle name="Normal 4 2" xfId="305" xr:uid="{00000000-0005-0000-0000-000072010000}"/>
    <cellStyle name="Normal 4 3" xfId="304" xr:uid="{00000000-0005-0000-0000-000073010000}"/>
    <cellStyle name="Normal 4 3 2" xfId="369" xr:uid="{00000000-0005-0000-0000-000074010000}"/>
    <cellStyle name="Normal 4 4" xfId="358" xr:uid="{00000000-0005-0000-0000-000075010000}"/>
    <cellStyle name="Normal 4 4 2" xfId="372" xr:uid="{00000000-0005-0000-0000-000076010000}"/>
    <cellStyle name="Normal 4 5" xfId="407" xr:uid="{00000000-0005-0000-0000-000077010000}"/>
    <cellStyle name="Normal 5" xfId="306" xr:uid="{00000000-0005-0000-0000-000078010000}"/>
    <cellStyle name="Normal 5 2" xfId="359" xr:uid="{00000000-0005-0000-0000-000079010000}"/>
    <cellStyle name="Normal 5 2 2" xfId="373" xr:uid="{00000000-0005-0000-0000-00007A010000}"/>
    <cellStyle name="Normal 5 3" xfId="408" xr:uid="{00000000-0005-0000-0000-00007B010000}"/>
    <cellStyle name="Normal 5 4" xfId="370" xr:uid="{00000000-0005-0000-0000-00007C010000}"/>
    <cellStyle name="Normal 6" xfId="57" xr:uid="{00000000-0005-0000-0000-00007D010000}"/>
    <cellStyle name="Normal 7" xfId="355" xr:uid="{00000000-0005-0000-0000-00007E010000}"/>
    <cellStyle name="Normal 8" xfId="374" xr:uid="{00000000-0005-0000-0000-00007F010000}"/>
    <cellStyle name="Normal 9" xfId="415" xr:uid="{00000000-0005-0000-0000-000080010000}"/>
    <cellStyle name="Note" xfId="20" builtinId="10" customBuiltin="1"/>
    <cellStyle name="Note 2" xfId="307" xr:uid="{00000000-0005-0000-0000-000082010000}"/>
    <cellStyle name="Output" xfId="15" builtinId="21" customBuiltin="1"/>
    <cellStyle name="Output 2" xfId="308" xr:uid="{00000000-0005-0000-0000-000084010000}"/>
    <cellStyle name="Percent" xfId="5" builtinId="5" customBuiltin="1"/>
    <cellStyle name="Percent 2" xfId="310" xr:uid="{00000000-0005-0000-0000-000086010000}"/>
    <cellStyle name="Percent 2 2" xfId="311" xr:uid="{00000000-0005-0000-0000-000087010000}"/>
    <cellStyle name="Percent 2 3" xfId="312" xr:uid="{00000000-0005-0000-0000-000088010000}"/>
    <cellStyle name="Percent 3" xfId="313" xr:uid="{00000000-0005-0000-0000-000089010000}"/>
    <cellStyle name="Percent 3 2" xfId="314" xr:uid="{00000000-0005-0000-0000-00008A010000}"/>
    <cellStyle name="Percent 4" xfId="315" xr:uid="{00000000-0005-0000-0000-00008B010000}"/>
    <cellStyle name="Percent 4 2" xfId="316" xr:uid="{00000000-0005-0000-0000-00008C010000}"/>
    <cellStyle name="Percent 5" xfId="317" xr:uid="{00000000-0005-0000-0000-00008D010000}"/>
    <cellStyle name="Percent 6" xfId="309" xr:uid="{00000000-0005-0000-0000-00008E010000}"/>
    <cellStyle name="Percent 7" xfId="356" xr:uid="{00000000-0005-0000-0000-00008F010000}"/>
    <cellStyle name="Percent 8" xfId="416" xr:uid="{00000000-0005-0000-0000-000090010000}"/>
    <cellStyle name="Title" xfId="6" builtinId="15" customBuiltin="1"/>
    <cellStyle name="Title 2" xfId="318" xr:uid="{00000000-0005-0000-0000-000092010000}"/>
    <cellStyle name="Total" xfId="22" builtinId="25" customBuiltin="1"/>
    <cellStyle name="Total 2" xfId="319" xr:uid="{00000000-0005-0000-0000-000094010000}"/>
    <cellStyle name="Total 2 10" xfId="404" xr:uid="{00000000-0005-0000-0000-000095010000}"/>
    <cellStyle name="Total 2 11" xfId="403" xr:uid="{00000000-0005-0000-0000-000096010000}"/>
    <cellStyle name="Total 2 12" xfId="406" xr:uid="{00000000-0005-0000-0000-000097010000}"/>
    <cellStyle name="Total 2 13" xfId="411" xr:uid="{00000000-0005-0000-0000-000098010000}"/>
    <cellStyle name="Total 2 14" xfId="409" xr:uid="{00000000-0005-0000-0000-000099010000}"/>
    <cellStyle name="Total 2 15" xfId="402" xr:uid="{00000000-0005-0000-0000-00009A010000}"/>
    <cellStyle name="Total 2 16" xfId="397" xr:uid="{00000000-0005-0000-0000-00009B010000}"/>
    <cellStyle name="Total 2 2" xfId="412" xr:uid="{00000000-0005-0000-0000-00009C010000}"/>
    <cellStyle name="Total 2 3" xfId="414" xr:uid="{00000000-0005-0000-0000-00009D010000}"/>
    <cellStyle name="Total 2 4" xfId="398" xr:uid="{00000000-0005-0000-0000-00009E010000}"/>
    <cellStyle name="Total 2 5" xfId="399" xr:uid="{00000000-0005-0000-0000-00009F010000}"/>
    <cellStyle name="Total 2 6" xfId="410" xr:uid="{00000000-0005-0000-0000-0000A0010000}"/>
    <cellStyle name="Total 2 7" xfId="400" xr:uid="{00000000-0005-0000-0000-0000A1010000}"/>
    <cellStyle name="Total 2 8" xfId="413" xr:uid="{00000000-0005-0000-0000-0000A2010000}"/>
    <cellStyle name="Total 2 9" xfId="405" xr:uid="{00000000-0005-0000-0000-0000A3010000}"/>
    <cellStyle name="Warning Text" xfId="19" builtinId="11" customBuiltin="1"/>
    <cellStyle name="Warning Text 2" xfId="320" xr:uid="{00000000-0005-0000-0000-0000A501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1530048</xdr:colOff>
      <xdr:row>2</xdr:row>
      <xdr:rowOff>84667</xdr:rowOff>
    </xdr:to>
    <xdr:pic>
      <xdr:nvPicPr>
        <xdr:cNvPr id="4" name="Picture 3" descr="May be an image of text">
          <a:extLst>
            <a:ext uri="{FF2B5EF4-FFF2-40B4-BE49-F238E27FC236}">
              <a16:creationId xmlns:a16="http://schemas.microsoft.com/office/drawing/2014/main" id="{AB05D763-128A-4C0A-BFAE-D28719D40D45}"/>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5316" b="13051"/>
        <a:stretch/>
      </xdr:blipFill>
      <xdr:spPr bwMode="auto">
        <a:xfrm>
          <a:off x="1" y="0"/>
          <a:ext cx="1530047" cy="12095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47"/>
  <sheetViews>
    <sheetView zoomScale="92" workbookViewId="0">
      <pane ySplit="12" topLeftCell="A40" activePane="bottomLeft" state="frozen"/>
      <selection pane="bottomLeft" activeCell="F46" sqref="F46"/>
    </sheetView>
  </sheetViews>
  <sheetFormatPr defaultColWidth="9.33203125" defaultRowHeight="14.1"/>
  <cols>
    <col min="1" max="1" width="129.6640625" style="43" bestFit="1" customWidth="1"/>
    <col min="2" max="2" width="18.83203125" style="22" customWidth="1"/>
    <col min="3" max="3" width="22" style="26" customWidth="1"/>
    <col min="4" max="4" width="16.1640625" style="26" customWidth="1"/>
    <col min="5" max="5" width="13.83203125" style="24" customWidth="1"/>
    <col min="6" max="6" width="22.6640625" style="24" customWidth="1"/>
    <col min="7" max="16384" width="9.33203125" style="24"/>
  </cols>
  <sheetData>
    <row r="1" spans="1:6" ht="74.45" customHeight="1">
      <c r="A1" s="47"/>
      <c r="C1" s="1"/>
      <c r="D1" s="2"/>
    </row>
    <row r="2" spans="1:6">
      <c r="C2" s="23"/>
      <c r="D2" s="2"/>
      <c r="E2" s="22"/>
    </row>
    <row r="3" spans="1:6">
      <c r="C3" s="23"/>
      <c r="D3" s="2"/>
      <c r="E3" s="22"/>
    </row>
    <row r="4" spans="1:6">
      <c r="A4" s="44" t="s">
        <v>0</v>
      </c>
      <c r="C4" s="25" t="s">
        <v>1</v>
      </c>
      <c r="D4" s="2"/>
      <c r="E4" s="22"/>
    </row>
    <row r="5" spans="1:6">
      <c r="A5" s="44" t="s">
        <v>2</v>
      </c>
      <c r="C5" s="25" t="s">
        <v>3</v>
      </c>
      <c r="D5" s="2"/>
      <c r="E5" s="22"/>
    </row>
    <row r="6" spans="1:6">
      <c r="C6" s="22"/>
      <c r="D6" s="2"/>
      <c r="E6" s="22"/>
    </row>
    <row r="7" spans="1:6">
      <c r="A7" s="43" t="s">
        <v>4</v>
      </c>
    </row>
    <row r="8" spans="1:6" ht="14.45" thickBot="1">
      <c r="A8" s="43" t="s">
        <v>5</v>
      </c>
      <c r="C8" s="16" t="s">
        <v>6</v>
      </c>
      <c r="D8" s="17">
        <v>25922</v>
      </c>
    </row>
    <row r="9" spans="1:6" ht="14.45" thickTop="1">
      <c r="A9" s="43" t="s">
        <v>7</v>
      </c>
    </row>
    <row r="10" spans="1:6">
      <c r="A10" s="43" t="s">
        <v>8</v>
      </c>
    </row>
    <row r="12" spans="1:6" ht="27.6">
      <c r="B12" s="51" t="s">
        <v>9</v>
      </c>
      <c r="C12" s="51" t="s">
        <v>10</v>
      </c>
      <c r="D12" s="51" t="s">
        <v>11</v>
      </c>
      <c r="E12" s="51" t="s">
        <v>12</v>
      </c>
      <c r="F12" s="51" t="s">
        <v>13</v>
      </c>
    </row>
    <row r="13" spans="1:6">
      <c r="A13" s="45" t="s">
        <v>14</v>
      </c>
      <c r="B13" s="3"/>
      <c r="D13" s="3"/>
      <c r="E13" s="4"/>
      <c r="F13" s="5"/>
    </row>
    <row r="14" spans="1:6" s="49" customFormat="1">
      <c r="A14" s="46" t="s">
        <v>15</v>
      </c>
      <c r="B14" s="3">
        <v>177752</v>
      </c>
      <c r="C14" s="3">
        <v>0</v>
      </c>
      <c r="D14" s="3">
        <f t="shared" ref="D14:D23" si="0">+B14-C14</f>
        <v>177752</v>
      </c>
      <c r="E14" s="4">
        <f t="shared" ref="E14:E24" si="1">C14/B14</f>
        <v>0</v>
      </c>
      <c r="F14" s="5">
        <v>0</v>
      </c>
    </row>
    <row r="15" spans="1:6" s="49" customFormat="1">
      <c r="A15" s="46" t="s">
        <v>16</v>
      </c>
      <c r="B15" s="3">
        <v>9556</v>
      </c>
      <c r="C15" s="3">
        <v>0</v>
      </c>
      <c r="D15" s="3">
        <f t="shared" si="0"/>
        <v>9556</v>
      </c>
      <c r="E15" s="4">
        <f t="shared" si="1"/>
        <v>0</v>
      </c>
      <c r="F15" s="5">
        <v>0</v>
      </c>
    </row>
    <row r="16" spans="1:6">
      <c r="A16" s="46" t="s">
        <v>17</v>
      </c>
      <c r="B16" s="3">
        <v>3895</v>
      </c>
      <c r="C16" s="3">
        <v>0</v>
      </c>
      <c r="D16" s="3">
        <f t="shared" si="0"/>
        <v>3895</v>
      </c>
      <c r="E16" s="4">
        <f t="shared" si="1"/>
        <v>0</v>
      </c>
      <c r="F16" s="5">
        <v>0</v>
      </c>
    </row>
    <row r="17" spans="1:6" s="49" customFormat="1">
      <c r="A17" s="46" t="s">
        <v>18</v>
      </c>
      <c r="B17" s="3">
        <v>27591</v>
      </c>
      <c r="C17" s="3">
        <v>0</v>
      </c>
      <c r="D17" s="3">
        <f t="shared" si="0"/>
        <v>27591</v>
      </c>
      <c r="E17" s="4">
        <f t="shared" si="1"/>
        <v>0</v>
      </c>
      <c r="F17" s="5">
        <v>0</v>
      </c>
    </row>
    <row r="18" spans="1:6" s="49" customFormat="1">
      <c r="A18" s="46" t="s">
        <v>19</v>
      </c>
      <c r="B18" s="3">
        <v>6000</v>
      </c>
      <c r="C18" s="3">
        <v>0</v>
      </c>
      <c r="D18" s="3">
        <f t="shared" si="0"/>
        <v>6000</v>
      </c>
      <c r="E18" s="4">
        <f t="shared" si="1"/>
        <v>0</v>
      </c>
      <c r="F18" s="5">
        <v>0</v>
      </c>
    </row>
    <row r="19" spans="1:6" s="49" customFormat="1">
      <c r="A19" s="46" t="s">
        <v>20</v>
      </c>
      <c r="B19" s="3">
        <v>20000</v>
      </c>
      <c r="C19" s="3">
        <v>0</v>
      </c>
      <c r="D19" s="3">
        <f t="shared" si="0"/>
        <v>20000</v>
      </c>
      <c r="E19" s="4">
        <f t="shared" si="1"/>
        <v>0</v>
      </c>
      <c r="F19" s="5">
        <v>0</v>
      </c>
    </row>
    <row r="20" spans="1:6" s="49" customFormat="1">
      <c r="A20" s="46" t="s">
        <v>21</v>
      </c>
      <c r="B20" s="3">
        <v>16500</v>
      </c>
      <c r="C20" s="3">
        <v>0</v>
      </c>
      <c r="D20" s="3">
        <f t="shared" si="0"/>
        <v>16500</v>
      </c>
      <c r="E20" s="4">
        <f t="shared" si="1"/>
        <v>0</v>
      </c>
      <c r="F20" s="5">
        <v>0</v>
      </c>
    </row>
    <row r="21" spans="1:6" s="49" customFormat="1">
      <c r="A21" s="46" t="s">
        <v>22</v>
      </c>
      <c r="B21" s="3">
        <v>7500</v>
      </c>
      <c r="C21" s="3">
        <v>0</v>
      </c>
      <c r="D21" s="3">
        <f t="shared" si="0"/>
        <v>7500</v>
      </c>
      <c r="E21" s="4">
        <f t="shared" si="1"/>
        <v>0</v>
      </c>
      <c r="F21" s="5">
        <v>0</v>
      </c>
    </row>
    <row r="22" spans="1:6" s="49" customFormat="1">
      <c r="A22" s="50" t="s">
        <v>23</v>
      </c>
      <c r="B22" s="3">
        <v>3000</v>
      </c>
      <c r="C22" s="3">
        <v>0</v>
      </c>
      <c r="D22" s="3">
        <f t="shared" si="0"/>
        <v>3000</v>
      </c>
      <c r="E22" s="4">
        <f t="shared" si="1"/>
        <v>0</v>
      </c>
      <c r="F22" s="5">
        <v>0</v>
      </c>
    </row>
    <row r="23" spans="1:6" s="49" customFormat="1">
      <c r="A23" s="50" t="s">
        <v>24</v>
      </c>
      <c r="B23" s="3">
        <v>9000</v>
      </c>
      <c r="C23" s="3">
        <v>0</v>
      </c>
      <c r="D23" s="3">
        <f t="shared" si="0"/>
        <v>9000</v>
      </c>
      <c r="E23" s="4">
        <f t="shared" si="1"/>
        <v>0</v>
      </c>
      <c r="F23" s="5">
        <v>0</v>
      </c>
    </row>
    <row r="24" spans="1:6" s="48" customFormat="1" ht="13.9">
      <c r="A24" s="45" t="s">
        <v>25</v>
      </c>
      <c r="B24" s="11">
        <f>SUM(B14:B23)</f>
        <v>280794</v>
      </c>
      <c r="C24" s="11">
        <f>SUM(C14:C23)</f>
        <v>0</v>
      </c>
      <c r="D24" s="11">
        <f>SUM(D14:D23)</f>
        <v>280794</v>
      </c>
      <c r="E24" s="12">
        <f t="shared" si="1"/>
        <v>0</v>
      </c>
      <c r="F24" s="11">
        <f>SUM(F14:F23)</f>
        <v>0</v>
      </c>
    </row>
    <row r="25" spans="1:6">
      <c r="A25" s="46"/>
      <c r="B25" s="3"/>
      <c r="C25" s="3"/>
      <c r="D25" s="3"/>
      <c r="E25" s="4"/>
      <c r="F25" s="5"/>
    </row>
    <row r="26" spans="1:6" s="48" customFormat="1" ht="13.9">
      <c r="A26" s="45" t="s">
        <v>26</v>
      </c>
      <c r="B26" s="11"/>
      <c r="C26" s="11"/>
      <c r="D26" s="11"/>
      <c r="E26" s="12"/>
      <c r="F26" s="13"/>
    </row>
    <row r="27" spans="1:6">
      <c r="A27" s="46" t="s">
        <v>27</v>
      </c>
      <c r="B27" s="6">
        <v>28079</v>
      </c>
      <c r="C27" s="6">
        <v>0</v>
      </c>
      <c r="D27" s="6">
        <f>+B27-C27</f>
        <v>28079</v>
      </c>
      <c r="E27" s="7">
        <f>C27/B27</f>
        <v>0</v>
      </c>
      <c r="F27" s="8">
        <v>0</v>
      </c>
    </row>
    <row r="28" spans="1:6">
      <c r="A28" s="46"/>
      <c r="B28" s="52"/>
      <c r="C28" s="52"/>
      <c r="D28" s="52"/>
      <c r="E28" s="53"/>
      <c r="F28" s="54"/>
    </row>
    <row r="29" spans="1:6" s="48" customFormat="1" ht="13.9">
      <c r="A29" s="45" t="s">
        <v>28</v>
      </c>
      <c r="B29" s="11">
        <f>B27+B24</f>
        <v>308873</v>
      </c>
      <c r="C29" s="11">
        <f>C27+C24</f>
        <v>0</v>
      </c>
      <c r="D29" s="11">
        <f>D27+D24</f>
        <v>308873</v>
      </c>
      <c r="E29" s="12">
        <f>C29/B29</f>
        <v>0</v>
      </c>
      <c r="F29" s="11">
        <f>F27+F24</f>
        <v>0</v>
      </c>
    </row>
    <row r="30" spans="1:6">
      <c r="A30" s="46"/>
      <c r="B30" s="3"/>
      <c r="C30" s="3"/>
      <c r="D30" s="3"/>
      <c r="E30" s="4"/>
      <c r="F30" s="5"/>
    </row>
    <row r="31" spans="1:6">
      <c r="A31" s="45" t="s">
        <v>29</v>
      </c>
      <c r="B31" s="3"/>
      <c r="D31" s="3"/>
      <c r="E31" s="4"/>
      <c r="F31" s="5"/>
    </row>
    <row r="32" spans="1:6" s="49" customFormat="1">
      <c r="A32" s="46" t="s">
        <v>30</v>
      </c>
      <c r="B32" s="3">
        <v>9355</v>
      </c>
      <c r="C32" s="3">
        <v>0</v>
      </c>
      <c r="D32" s="3">
        <f t="shared" ref="D32:D38" si="2">+B32-C32</f>
        <v>9355</v>
      </c>
      <c r="E32" s="4">
        <f t="shared" ref="E32:E39" si="3">C32/B32</f>
        <v>0</v>
      </c>
      <c r="F32" s="5">
        <v>0</v>
      </c>
    </row>
    <row r="33" spans="1:6" s="49" customFormat="1">
      <c r="A33" s="46" t="s">
        <v>31</v>
      </c>
      <c r="B33" s="3">
        <v>503</v>
      </c>
      <c r="C33" s="3">
        <v>0</v>
      </c>
      <c r="D33" s="3">
        <f t="shared" si="2"/>
        <v>503</v>
      </c>
      <c r="E33" s="4">
        <f t="shared" si="3"/>
        <v>0</v>
      </c>
      <c r="F33" s="5">
        <v>0</v>
      </c>
    </row>
    <row r="34" spans="1:6">
      <c r="A34" s="46" t="s">
        <v>32</v>
      </c>
      <c r="B34" s="3">
        <v>205</v>
      </c>
      <c r="C34" s="3">
        <v>0</v>
      </c>
      <c r="D34" s="3">
        <f t="shared" si="2"/>
        <v>205</v>
      </c>
      <c r="E34" s="4">
        <f t="shared" si="3"/>
        <v>0</v>
      </c>
      <c r="F34" s="5">
        <v>0</v>
      </c>
    </row>
    <row r="35" spans="1:6" s="49" customFormat="1">
      <c r="A35" s="46" t="s">
        <v>33</v>
      </c>
      <c r="B35" s="3">
        <v>1452</v>
      </c>
      <c r="C35" s="3">
        <v>0</v>
      </c>
      <c r="D35" s="3">
        <f t="shared" si="2"/>
        <v>1452</v>
      </c>
      <c r="E35" s="4">
        <f t="shared" si="3"/>
        <v>0</v>
      </c>
      <c r="F35" s="5">
        <v>0</v>
      </c>
    </row>
    <row r="36" spans="1:6" s="49" customFormat="1">
      <c r="A36" s="46" t="s">
        <v>34</v>
      </c>
      <c r="B36" s="3">
        <v>4510</v>
      </c>
      <c r="C36" s="3">
        <v>0</v>
      </c>
      <c r="D36" s="3">
        <f t="shared" si="2"/>
        <v>4510</v>
      </c>
      <c r="E36" s="4">
        <f t="shared" si="3"/>
        <v>0</v>
      </c>
      <c r="F36" s="5">
        <v>0</v>
      </c>
    </row>
    <row r="37" spans="1:6" s="49" customFormat="1">
      <c r="A37" s="46" t="s">
        <v>35</v>
      </c>
      <c r="B37" s="3">
        <v>1025</v>
      </c>
      <c r="C37" s="3">
        <v>0</v>
      </c>
      <c r="D37" s="3">
        <f t="shared" si="2"/>
        <v>1025</v>
      </c>
      <c r="E37" s="4">
        <f t="shared" si="3"/>
        <v>0</v>
      </c>
      <c r="F37" s="5">
        <v>0</v>
      </c>
    </row>
    <row r="38" spans="1:6" s="49" customFormat="1">
      <c r="A38" s="46" t="s">
        <v>36</v>
      </c>
      <c r="B38" s="6">
        <v>1700</v>
      </c>
      <c r="C38" s="6">
        <v>0</v>
      </c>
      <c r="D38" s="6">
        <f t="shared" si="2"/>
        <v>1700</v>
      </c>
      <c r="E38" s="7">
        <f t="shared" si="3"/>
        <v>0</v>
      </c>
      <c r="F38" s="8">
        <v>0</v>
      </c>
    </row>
    <row r="39" spans="1:6" s="48" customFormat="1" ht="13.9">
      <c r="A39" s="45" t="s">
        <v>37</v>
      </c>
      <c r="B39" s="11">
        <f>SUM(B31:B38)</f>
        <v>18750</v>
      </c>
      <c r="C39" s="11">
        <f>SUM(C31:C38)</f>
        <v>0</v>
      </c>
      <c r="D39" s="11">
        <f>SUM(D31:D38)</f>
        <v>18750</v>
      </c>
      <c r="E39" s="12">
        <f t="shared" si="3"/>
        <v>0</v>
      </c>
      <c r="F39" s="11">
        <f>SUM(F31:F38)</f>
        <v>0</v>
      </c>
    </row>
    <row r="40" spans="1:6">
      <c r="A40" s="46"/>
      <c r="B40" s="3"/>
      <c r="C40" s="3"/>
      <c r="D40" s="3"/>
      <c r="E40" s="4"/>
      <c r="F40" s="5"/>
    </row>
    <row r="41" spans="1:6" s="48" customFormat="1" ht="13.9">
      <c r="A41" s="45" t="s">
        <v>38</v>
      </c>
      <c r="B41" s="11"/>
      <c r="C41" s="11"/>
      <c r="D41" s="11"/>
      <c r="E41" s="12"/>
      <c r="F41" s="13"/>
    </row>
    <row r="42" spans="1:6">
      <c r="A42" s="46" t="s">
        <v>39</v>
      </c>
      <c r="B42" s="6">
        <v>1875</v>
      </c>
      <c r="C42" s="6">
        <v>0</v>
      </c>
      <c r="D42" s="6">
        <f>+B42-C42</f>
        <v>1875</v>
      </c>
      <c r="E42" s="7">
        <f>C42/B42</f>
        <v>0</v>
      </c>
      <c r="F42" s="8">
        <v>0</v>
      </c>
    </row>
    <row r="43" spans="1:6">
      <c r="A43" s="46"/>
      <c r="B43" s="52"/>
      <c r="C43" s="52"/>
      <c r="D43" s="52"/>
      <c r="E43" s="53"/>
      <c r="F43" s="54"/>
    </row>
    <row r="44" spans="1:6" s="48" customFormat="1" ht="13.9">
      <c r="A44" s="45" t="s">
        <v>40</v>
      </c>
      <c r="B44" s="11">
        <f>B42+B39</f>
        <v>20625</v>
      </c>
      <c r="C44" s="11">
        <f>C42+C39</f>
        <v>0</v>
      </c>
      <c r="D44" s="11">
        <f>D42+D39</f>
        <v>20625</v>
      </c>
      <c r="E44" s="12">
        <f>C44/B44</f>
        <v>0</v>
      </c>
      <c r="F44" s="11">
        <f>F42+F39</f>
        <v>0</v>
      </c>
    </row>
    <row r="45" spans="1:6">
      <c r="A45" s="9"/>
      <c r="B45" s="10"/>
      <c r="C45" s="10"/>
      <c r="D45" s="3"/>
      <c r="E45" s="4"/>
      <c r="F45" s="10"/>
    </row>
    <row r="46" spans="1:6" ht="14.45" thickBot="1">
      <c r="A46" s="9" t="s">
        <v>41</v>
      </c>
      <c r="B46" s="14">
        <f>B44+B29</f>
        <v>329498</v>
      </c>
      <c r="C46" s="14">
        <f>C44+C29</f>
        <v>0</v>
      </c>
      <c r="D46" s="14">
        <f>D44+D29</f>
        <v>329498</v>
      </c>
      <c r="E46" s="15">
        <f>C46/B46</f>
        <v>0</v>
      </c>
      <c r="F46" s="14">
        <f>F44+F29</f>
        <v>0</v>
      </c>
    </row>
    <row r="47" spans="1:6" ht="14.45" thickTop="1"/>
  </sheetData>
  <pageMargins left="0" right="0" top="0.75" bottom="0.75" header="0.3" footer="0.3"/>
  <pageSetup scale="83" orientation="portrait" r:id="rId1"/>
  <headerFooter>
    <oddFooter>&amp;L&amp;6&amp;"Tahoma"Date:  &amp;D, &amp;T&amp;R&amp;6&amp;"Tahoma"Page: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7"/>
  <sheetViews>
    <sheetView tabSelected="1" topLeftCell="A19" workbookViewId="0">
      <selection activeCell="B24" sqref="B24:E24"/>
    </sheetView>
  </sheetViews>
  <sheetFormatPr defaultColWidth="9.33203125" defaultRowHeight="10.15"/>
  <cols>
    <col min="1" max="1" width="94.33203125" customWidth="1"/>
    <col min="2" max="2" width="22" customWidth="1"/>
  </cols>
  <sheetData>
    <row r="1" spans="1:4" ht="15">
      <c r="A1" s="56" t="s">
        <v>42</v>
      </c>
      <c r="B1" s="56"/>
      <c r="C1" s="56"/>
      <c r="D1" s="56"/>
    </row>
    <row r="2" spans="1:4" ht="15">
      <c r="A2" s="57" t="s">
        <v>43</v>
      </c>
      <c r="B2" s="57"/>
      <c r="C2" s="57"/>
      <c r="D2" s="57"/>
    </row>
    <row r="3" spans="1:4" ht="15.4">
      <c r="A3" s="33"/>
      <c r="B3" s="33"/>
      <c r="C3" s="33"/>
      <c r="D3" s="33"/>
    </row>
    <row r="4" spans="1:4" ht="15">
      <c r="A4" s="32" t="s">
        <v>44</v>
      </c>
      <c r="B4" s="34" t="s">
        <v>45</v>
      </c>
      <c r="C4" s="32"/>
      <c r="D4" s="32"/>
    </row>
    <row r="5" spans="1:4" ht="15.4">
      <c r="A5" s="33"/>
      <c r="B5" s="35"/>
      <c r="C5" s="33"/>
      <c r="D5" s="33"/>
    </row>
    <row r="6" spans="1:4" ht="15.4">
      <c r="A6" s="32" t="s">
        <v>46</v>
      </c>
      <c r="B6" s="42" t="s">
        <v>47</v>
      </c>
      <c r="C6" s="33"/>
      <c r="D6" s="33"/>
    </row>
    <row r="7" spans="1:4" ht="15.4">
      <c r="A7" s="32" t="s">
        <v>48</v>
      </c>
      <c r="B7" s="42" t="s">
        <v>49</v>
      </c>
      <c r="C7" s="36"/>
      <c r="D7" s="36"/>
    </row>
    <row r="8" spans="1:4" ht="15">
      <c r="A8" s="32" t="s">
        <v>50</v>
      </c>
      <c r="B8" s="37">
        <v>44470</v>
      </c>
      <c r="C8" s="32"/>
      <c r="D8" s="32"/>
    </row>
    <row r="9" spans="1:4" ht="15">
      <c r="A9" s="32" t="s">
        <v>51</v>
      </c>
      <c r="B9" s="37">
        <v>45657</v>
      </c>
      <c r="C9" s="32"/>
      <c r="D9" s="32"/>
    </row>
    <row r="10" spans="1:4" ht="15">
      <c r="A10" s="32"/>
      <c r="B10" s="37"/>
      <c r="C10" s="32"/>
      <c r="D10" s="32"/>
    </row>
    <row r="11" spans="1:4" ht="15">
      <c r="A11" s="32" t="s">
        <v>52</v>
      </c>
      <c r="B11" s="38">
        <v>44515</v>
      </c>
      <c r="C11" s="32"/>
      <c r="D11" s="32"/>
    </row>
    <row r="12" spans="1:4" ht="15">
      <c r="A12" s="32"/>
      <c r="B12" s="37"/>
      <c r="C12" s="32"/>
      <c r="D12" s="32"/>
    </row>
    <row r="13" spans="1:4" ht="15">
      <c r="A13" s="37" t="s">
        <v>53</v>
      </c>
      <c r="B13" s="39">
        <f>+(B9-B8)/30</f>
        <v>39.56666666666667</v>
      </c>
      <c r="C13" s="32"/>
      <c r="D13" s="32"/>
    </row>
    <row r="14" spans="1:4" ht="15.4">
      <c r="A14" s="37" t="s">
        <v>54</v>
      </c>
      <c r="B14" s="39">
        <f>+(B9-B11)/30</f>
        <v>38.06666666666667</v>
      </c>
      <c r="C14" s="33"/>
      <c r="D14" s="33"/>
    </row>
    <row r="15" spans="1:4" ht="15.4">
      <c r="A15" s="37" t="s">
        <v>54</v>
      </c>
      <c r="B15" s="40">
        <f>B14/B13</f>
        <v>0.96208930075821397</v>
      </c>
      <c r="C15" s="33"/>
      <c r="D15" s="33"/>
    </row>
    <row r="16" spans="1:4" ht="15.4">
      <c r="A16" s="37" t="s">
        <v>55</v>
      </c>
      <c r="B16" s="41">
        <f>Invoice!C46</f>
        <v>0</v>
      </c>
      <c r="C16" s="33"/>
      <c r="D16" s="33"/>
    </row>
    <row r="17" spans="1:6" ht="15.4">
      <c r="A17" s="33"/>
      <c r="B17" s="33"/>
      <c r="C17" s="33"/>
      <c r="D17" s="33"/>
    </row>
    <row r="18" spans="1:6" ht="15.4">
      <c r="A18" s="32" t="s">
        <v>56</v>
      </c>
      <c r="B18" s="33"/>
      <c r="C18" s="33"/>
      <c r="D18" s="33"/>
    </row>
    <row r="19" spans="1:6" s="21" customFormat="1" ht="78" customHeight="1">
      <c r="A19" s="55" t="s">
        <v>57</v>
      </c>
      <c r="B19" s="55"/>
      <c r="C19" s="55"/>
      <c r="D19" s="55"/>
      <c r="E19" s="55"/>
      <c r="F19" s="19"/>
    </row>
    <row r="20" spans="1:6" s="21" customFormat="1" ht="30" customHeight="1">
      <c r="A20" s="55" t="s">
        <v>58</v>
      </c>
      <c r="B20" s="55"/>
      <c r="C20" s="55"/>
      <c r="D20" s="55"/>
      <c r="E20" s="55"/>
      <c r="F20" s="18"/>
    </row>
    <row r="21" spans="1:6" s="21" customFormat="1" ht="35.25" customHeight="1">
      <c r="A21" s="55" t="s">
        <v>59</v>
      </c>
      <c r="B21" s="55"/>
      <c r="C21" s="55"/>
      <c r="D21" s="55"/>
      <c r="E21" s="55"/>
      <c r="F21" s="18"/>
    </row>
    <row r="22" spans="1:6" s="21" customFormat="1" ht="125.45" customHeight="1">
      <c r="A22" s="55" t="s">
        <v>60</v>
      </c>
      <c r="B22" s="55"/>
      <c r="C22" s="55"/>
      <c r="D22" s="55"/>
      <c r="E22" s="55"/>
      <c r="F22" s="18"/>
    </row>
    <row r="23" spans="1:6" s="21" customFormat="1" ht="22.5" customHeight="1">
      <c r="A23" s="29" t="s">
        <v>61</v>
      </c>
      <c r="B23" s="30"/>
      <c r="C23" s="27"/>
      <c r="D23" s="27"/>
      <c r="E23" s="31"/>
      <c r="F23" s="24"/>
    </row>
    <row r="24" spans="1:6" s="21" customFormat="1" ht="29.25" customHeight="1">
      <c r="A24" s="29" t="s">
        <v>62</v>
      </c>
      <c r="B24" s="58"/>
      <c r="C24" s="58"/>
      <c r="D24" s="58"/>
      <c r="E24" s="58"/>
      <c r="F24" s="24"/>
    </row>
    <row r="25" spans="1:6" s="21" customFormat="1" ht="14.25" customHeight="1">
      <c r="A25" s="29"/>
      <c r="B25" s="22"/>
      <c r="C25" s="22"/>
      <c r="D25" s="22"/>
      <c r="E25" s="22"/>
      <c r="F25" s="24"/>
    </row>
    <row r="26" spans="1:6" s="21" customFormat="1" ht="21" customHeight="1">
      <c r="A26" s="29" t="s">
        <v>63</v>
      </c>
      <c r="B26" s="30"/>
      <c r="C26" s="27"/>
      <c r="D26" s="27"/>
      <c r="E26" s="31"/>
      <c r="F26" s="24"/>
    </row>
    <row r="27" spans="1:6" s="21" customFormat="1" ht="14.1">
      <c r="A27" s="22"/>
      <c r="B27" s="22"/>
      <c r="C27" s="26"/>
      <c r="D27" s="26"/>
      <c r="E27" s="24"/>
      <c r="F27" s="24"/>
    </row>
    <row r="28" spans="1:6" s="21" customFormat="1" ht="14.1">
      <c r="A28" s="22"/>
      <c r="B28" s="22"/>
      <c r="C28" s="26"/>
      <c r="D28" s="26"/>
      <c r="E28" s="24"/>
      <c r="F28" s="24"/>
    </row>
    <row r="29" spans="1:6" s="21" customFormat="1" ht="14.1">
      <c r="A29" s="25" t="s">
        <v>64</v>
      </c>
      <c r="B29" s="22"/>
      <c r="C29" s="26"/>
      <c r="D29" s="26"/>
      <c r="E29" s="24"/>
      <c r="F29" s="24"/>
    </row>
    <row r="30" spans="1:6" s="21" customFormat="1" ht="14.1">
      <c r="A30" s="25" t="s">
        <v>65</v>
      </c>
      <c r="B30" s="22"/>
      <c r="C30" s="26"/>
      <c r="D30" s="26"/>
      <c r="E30" s="24"/>
      <c r="F30" s="24"/>
    </row>
    <row r="31" spans="1:6" s="21" customFormat="1" ht="10.5">
      <c r="A31" s="20"/>
      <c r="B31" s="20"/>
      <c r="C31" s="28"/>
      <c r="D31" s="28"/>
    </row>
    <row r="32" spans="1:6" s="21" customFormat="1" ht="13.9">
      <c r="A32" s="23" t="s">
        <v>66</v>
      </c>
      <c r="B32" s="20"/>
      <c r="C32" s="28"/>
      <c r="D32" s="28"/>
    </row>
    <row r="33" spans="1:6" s="21" customFormat="1" ht="34.5" customHeight="1">
      <c r="A33" s="55" t="s">
        <v>67</v>
      </c>
      <c r="B33" s="55"/>
      <c r="C33" s="55"/>
      <c r="D33" s="55"/>
      <c r="E33" s="55"/>
    </row>
    <row r="34" spans="1:6" s="21" customFormat="1" ht="14.1">
      <c r="A34" s="29" t="s">
        <v>61</v>
      </c>
      <c r="B34" s="30"/>
      <c r="C34" s="27"/>
      <c r="D34" s="27"/>
      <c r="E34" s="31"/>
      <c r="F34" s="24"/>
    </row>
    <row r="35" spans="1:6" s="21" customFormat="1" ht="51" customHeight="1">
      <c r="A35" s="29" t="s">
        <v>62</v>
      </c>
      <c r="B35" s="58" t="s">
        <v>68</v>
      </c>
      <c r="C35" s="58"/>
      <c r="D35" s="58"/>
      <c r="E35" s="58"/>
      <c r="F35" s="24"/>
    </row>
    <row r="36" spans="1:6" s="21" customFormat="1" ht="14.25" customHeight="1">
      <c r="A36" s="29"/>
      <c r="B36" s="22"/>
      <c r="C36" s="22"/>
      <c r="D36" s="22"/>
      <c r="E36" s="22"/>
      <c r="F36" s="24"/>
    </row>
    <row r="37" spans="1:6" s="21" customFormat="1" ht="21" customHeight="1">
      <c r="A37" s="29" t="s">
        <v>63</v>
      </c>
      <c r="B37" s="30"/>
      <c r="C37" s="27"/>
      <c r="D37" s="27"/>
      <c r="E37" s="31"/>
      <c r="F37" s="24"/>
    </row>
    <row r="38" spans="1:6" s="21" customFormat="1" ht="10.5">
      <c r="A38" s="20"/>
      <c r="B38" s="20"/>
      <c r="C38" s="28"/>
      <c r="D38" s="28"/>
    </row>
    <row r="39" spans="1:6" s="21" customFormat="1" ht="13.9">
      <c r="A39" s="23" t="s">
        <v>69</v>
      </c>
      <c r="B39" s="20"/>
      <c r="C39" s="28"/>
      <c r="D39" s="28"/>
    </row>
    <row r="40" spans="1:6" s="21" customFormat="1" ht="60" customHeight="1">
      <c r="A40" s="55" t="s">
        <v>70</v>
      </c>
      <c r="B40" s="55"/>
      <c r="C40" s="55"/>
      <c r="D40" s="55"/>
      <c r="E40" s="55"/>
    </row>
    <row r="41" spans="1:6" s="21" customFormat="1" ht="14.1">
      <c r="A41" s="29" t="s">
        <v>61</v>
      </c>
      <c r="B41" s="30"/>
      <c r="C41" s="27"/>
      <c r="D41" s="27"/>
      <c r="E41" s="31"/>
      <c r="F41" s="24"/>
    </row>
    <row r="42" spans="1:6" s="21" customFormat="1" ht="51" customHeight="1">
      <c r="A42" s="29" t="s">
        <v>62</v>
      </c>
      <c r="B42" s="58" t="s">
        <v>68</v>
      </c>
      <c r="C42" s="58"/>
      <c r="D42" s="58"/>
      <c r="E42" s="58"/>
      <c r="F42" s="24"/>
    </row>
    <row r="43" spans="1:6" s="21" customFormat="1" ht="14.25" customHeight="1">
      <c r="A43" s="29"/>
      <c r="B43" s="22"/>
      <c r="C43" s="22"/>
      <c r="D43" s="22"/>
      <c r="E43" s="22"/>
      <c r="F43" s="24"/>
    </row>
    <row r="44" spans="1:6" s="21" customFormat="1" ht="21" customHeight="1">
      <c r="A44" s="29" t="s">
        <v>63</v>
      </c>
      <c r="B44" s="30"/>
      <c r="C44" s="27"/>
      <c r="D44" s="27"/>
      <c r="E44" s="31"/>
      <c r="F44" s="24"/>
    </row>
    <row r="45" spans="1:6" s="21" customFormat="1" ht="10.5">
      <c r="A45" s="20"/>
      <c r="B45" s="20"/>
      <c r="C45" s="28"/>
      <c r="D45" s="28"/>
    </row>
    <row r="46" spans="1:6" s="21" customFormat="1" ht="10.5">
      <c r="A46" s="20"/>
      <c r="B46" s="20"/>
      <c r="C46" s="28"/>
      <c r="D46" s="28"/>
    </row>
    <row r="47" spans="1:6" s="21" customFormat="1" ht="10.5">
      <c r="A47" s="20"/>
      <c r="B47" s="20"/>
      <c r="C47" s="28"/>
      <c r="D47" s="28"/>
    </row>
  </sheetData>
  <mergeCells count="11">
    <mergeCell ref="B24:E24"/>
    <mergeCell ref="A33:E33"/>
    <mergeCell ref="B35:E35"/>
    <mergeCell ref="A40:E40"/>
    <mergeCell ref="B42:E42"/>
    <mergeCell ref="A22:E22"/>
    <mergeCell ref="A1:D1"/>
    <mergeCell ref="A2:D2"/>
    <mergeCell ref="A19:E19"/>
    <mergeCell ref="A20:E20"/>
    <mergeCell ref="A21:E2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2" ma:contentTypeDescription="Create a new document." ma:contentTypeScope="" ma:versionID="b9b9115c0a7ba5ac1a4f71ca19fa2a6b">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ee5f6545d17dbae8f4c99dcf00b8be7"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81FA42E-BAE5-4D64-BC25-AA1F0A316354}"/>
</file>

<file path=customXml/itemProps2.xml><?xml version="1.0" encoding="utf-8"?>
<ds:datastoreItem xmlns:ds="http://schemas.openxmlformats.org/officeDocument/2006/customXml" ds:itemID="{48A6D322-32A1-4826-95F0-1BD2D75CDCDB}"/>
</file>

<file path=customXml/itemProps3.xml><?xml version="1.0" encoding="utf-8"?>
<ds:datastoreItem xmlns:ds="http://schemas.openxmlformats.org/officeDocument/2006/customXml" ds:itemID="{E0518EB0-4955-44CB-98D2-BFAB31D3BB7F}"/>
</file>

<file path=docProps/app.xml><?xml version="1.0" encoding="utf-8"?>
<Properties xmlns="http://schemas.openxmlformats.org/officeDocument/2006/extended-properties" xmlns:vt="http://schemas.openxmlformats.org/officeDocument/2006/docPropsVTypes">
  <Application>Microsoft Excel Online</Application>
  <Manager/>
  <Company>Microsoft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Rosalind Elahi</dc:creator>
  <cp:keywords/>
  <dc:description/>
  <cp:lastModifiedBy>Danielle Martin</cp:lastModifiedBy>
  <cp:revision/>
  <dcterms:created xsi:type="dcterms:W3CDTF">2017-09-27T20:36:59Z</dcterms:created>
  <dcterms:modified xsi:type="dcterms:W3CDTF">2021-11-30T18:58:50Z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Order">
    <vt:r8>3579400</vt:r8>
  </property>
</Properties>
</file>