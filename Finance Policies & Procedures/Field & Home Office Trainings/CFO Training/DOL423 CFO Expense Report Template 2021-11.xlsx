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Field Office &amp; Sub/FO &amp; Sub Expense Reports/DOL423 CFO/Templates/"/>
    </mc:Choice>
  </mc:AlternateContent>
  <xr:revisionPtr revIDLastSave="13" documentId="14_{5E6880AA-C074-4BAD-8EAB-6EBCE616F893}" xr6:coauthVersionLast="47" xr6:coauthVersionMax="47" xr10:uidLastSave="{855CB1EB-9615-466E-8905-EAE1D931C5C9}"/>
  <bookViews>
    <workbookView xWindow="-96" yWindow="-96" windowWidth="23232" windowHeight="12552" xr2:uid="{00000000-000D-0000-FFFF-FFFF00000000}"/>
  </bookViews>
  <sheets>
    <sheet name="CFO Expense Report Main" sheetId="1" r:id="rId1"/>
    <sheet name="CFO Code Database" sheetId="2" state="hidden" r:id="rId2"/>
  </sheets>
  <definedNames>
    <definedName name="Budget">'CFO Code Database'!$A$2:$A$52</definedName>
    <definedName name="CFOCodes">'CFO Code Database'!$A$2:$E$52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I8" i="1" l="1"/>
  <c r="I9" i="1"/>
  <c r="I10" i="1"/>
  <c r="F11" i="1"/>
  <c r="F12" i="1"/>
  <c r="H12" i="1"/>
  <c r="F13" i="1"/>
  <c r="H13" i="1"/>
  <c r="F14" i="1"/>
  <c r="F15" i="1"/>
  <c r="F16" i="1"/>
  <c r="H16" i="1" s="1"/>
  <c r="F17" i="1"/>
  <c r="H17" i="1"/>
  <c r="F18" i="1"/>
  <c r="F19" i="1"/>
  <c r="F20" i="1"/>
  <c r="H20" i="1"/>
  <c r="F21" i="1"/>
  <c r="H21" i="1"/>
  <c r="F22" i="1"/>
  <c r="F23" i="1"/>
  <c r="F24" i="1"/>
  <c r="H24" i="1"/>
  <c r="F25" i="1"/>
  <c r="H25" i="1"/>
  <c r="F26" i="1"/>
  <c r="F27" i="1"/>
  <c r="F28" i="1"/>
  <c r="H28" i="1"/>
  <c r="F29" i="1"/>
  <c r="H29" i="1"/>
  <c r="F30" i="1"/>
  <c r="F31" i="1"/>
  <c r="F32" i="1"/>
  <c r="H32" i="1"/>
  <c r="F33" i="1"/>
  <c r="H33" i="1"/>
  <c r="F34" i="1"/>
  <c r="F35" i="1"/>
  <c r="F36" i="1"/>
  <c r="H36" i="1"/>
  <c r="F37" i="1"/>
  <c r="F38" i="1"/>
  <c r="F39" i="1"/>
  <c r="H39" i="1"/>
  <c r="F40" i="1"/>
  <c r="H40" i="1"/>
  <c r="F41" i="1"/>
  <c r="F42" i="1"/>
  <c r="F43" i="1"/>
  <c r="H43" i="1"/>
  <c r="F44" i="1"/>
  <c r="H44" i="1"/>
  <c r="F45" i="1"/>
  <c r="F46" i="1"/>
  <c r="F47" i="1"/>
  <c r="H47" i="1"/>
  <c r="F48" i="1"/>
  <c r="H48" i="1"/>
  <c r="F49" i="1"/>
  <c r="F50" i="1"/>
  <c r="F51" i="1"/>
  <c r="H51" i="1"/>
  <c r="F52" i="1"/>
  <c r="H52" i="1"/>
  <c r="F53" i="1"/>
  <c r="F54" i="1"/>
  <c r="F55" i="1"/>
  <c r="H55" i="1"/>
  <c r="F56" i="1"/>
  <c r="H56" i="1"/>
  <c r="F57" i="1"/>
  <c r="F58" i="1"/>
  <c r="F59" i="1"/>
  <c r="H59" i="1"/>
  <c r="F60" i="1"/>
  <c r="H60" i="1"/>
  <c r="F61" i="1"/>
  <c r="F62" i="1"/>
  <c r="F63" i="1"/>
  <c r="H63" i="1"/>
  <c r="F64" i="1"/>
  <c r="H64" i="1"/>
  <c r="F65" i="1"/>
  <c r="F66" i="1"/>
  <c r="E8" i="1"/>
  <c r="H11" i="1"/>
  <c r="H14" i="1"/>
  <c r="H15" i="1"/>
  <c r="H18" i="1"/>
  <c r="H19" i="1"/>
  <c r="H22" i="1"/>
  <c r="H23" i="1"/>
  <c r="H26" i="1"/>
  <c r="H27" i="1"/>
  <c r="H30" i="1"/>
  <c r="H31" i="1"/>
  <c r="H34" i="1"/>
  <c r="H35" i="1"/>
  <c r="H37" i="1"/>
  <c r="H38" i="1"/>
  <c r="H41" i="1"/>
  <c r="H42" i="1"/>
  <c r="H45" i="1"/>
  <c r="H46" i="1"/>
  <c r="H49" i="1"/>
  <c r="H50" i="1"/>
  <c r="H53" i="1"/>
  <c r="H54" i="1"/>
  <c r="H57" i="1"/>
  <c r="H58" i="1"/>
  <c r="H61" i="1"/>
  <c r="H62" i="1"/>
  <c r="H65" i="1"/>
  <c r="H66" i="1"/>
  <c r="G9" i="1"/>
  <c r="H9" i="1" s="1"/>
  <c r="G10" i="1"/>
  <c r="H10" i="1" s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8" i="1"/>
  <c r="H8" i="1" s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8" i="1"/>
  <c r="K8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F67" i="1" l="1"/>
  <c r="H6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tc={6DB00813-1BC2-4D7D-BB43-E8DAD5F244BA}</author>
  </authors>
  <commentList>
    <comment ref="G7" authorId="0" shapeId="0" xr:uid="{6DB00813-1BC2-4D7D-BB43-E8DAD5F244BA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update with each month's average exchange rate from OANDA: https://www1.oanda.com/currency/converter/</t>
      </text>
    </comment>
  </commentList>
</comments>
</file>

<file path=xl/sharedStrings.xml><?xml version="1.0" encoding="utf-8"?>
<sst xmlns="http://schemas.openxmlformats.org/spreadsheetml/2006/main" count="235" uniqueCount="108">
  <si>
    <t>Mexico Awareness - CFO</t>
  </si>
  <si>
    <t>Month ending</t>
  </si>
  <si>
    <t>Expenses:</t>
  </si>
  <si>
    <t>* Choose from drop down list</t>
  </si>
  <si>
    <t>Date</t>
  </si>
  <si>
    <t>Ref or CK#</t>
  </si>
  <si>
    <t>Payee</t>
  </si>
  <si>
    <t xml:space="preserve">*Budget Description </t>
  </si>
  <si>
    <t>Activity Code</t>
  </si>
  <si>
    <t>Amount Mexican pesos</t>
  </si>
  <si>
    <t>Exchange Rate Applied</t>
  </si>
  <si>
    <t>Amount (USD)</t>
  </si>
  <si>
    <t>Object Code</t>
  </si>
  <si>
    <t>Description of Expense</t>
  </si>
  <si>
    <t>Subcont. ID</t>
  </si>
  <si>
    <t>CFO Budget Code</t>
  </si>
  <si>
    <t>Sample expense</t>
  </si>
  <si>
    <t>Outcome 1: Lodging and M&amp;IE for project staff to support GEMA extension</t>
  </si>
  <si>
    <t>Airline, Name of Traveler, Dates of Travel</t>
  </si>
  <si>
    <t>Outcome 1: Personnel - Gender Coordinator (50%)</t>
  </si>
  <si>
    <t>Name of personnel, pay period</t>
  </si>
  <si>
    <t>Outcome 1: Indirect Costs for CFO</t>
  </si>
  <si>
    <t>IDC for Month Year</t>
  </si>
  <si>
    <t>Expense Report Total</t>
  </si>
  <si>
    <t>Budget Description</t>
  </si>
  <si>
    <t>Subcontract ID</t>
  </si>
  <si>
    <t>Open 1</t>
  </si>
  <si>
    <t>Outcome 1: Personnel - Lead Coordinator for the Project (50%)</t>
  </si>
  <si>
    <t>MX.1.1.A</t>
  </si>
  <si>
    <t>CFO</t>
  </si>
  <si>
    <t>CFOPERSLLC</t>
  </si>
  <si>
    <t>CFOPERSLGC</t>
  </si>
  <si>
    <t>Outcome 1: Personnel - Administrative Assistant (50%)</t>
  </si>
  <si>
    <t>CFOPERSLAA</t>
  </si>
  <si>
    <t>Outcome 1: Personnel - Promoter 1 (100%)</t>
  </si>
  <si>
    <t>CFOPERSLP1</t>
  </si>
  <si>
    <t>Outcome 1: Personnel - Promoter 2 (100%)</t>
  </si>
  <si>
    <t>CFOPERSLP2</t>
  </si>
  <si>
    <t>Outcome 1: Personnel - Promoter 3 (100%)</t>
  </si>
  <si>
    <t>CFOPERSLP3</t>
  </si>
  <si>
    <t xml:space="preserve">Outcome 1: Fringe benefits </t>
  </si>
  <si>
    <t>CFOFRINGE</t>
  </si>
  <si>
    <t>Outcome 1: Travel - Project Staff - Airfare</t>
  </si>
  <si>
    <t>CFOT1AIR</t>
  </si>
  <si>
    <t>Outcome 1: Travel - Project Staff - Lodging and M&amp;IE</t>
  </si>
  <si>
    <t>CFOT1LODME</t>
  </si>
  <si>
    <t>Outcome 1: Travel - Project Staff - Ground Transportation</t>
  </si>
  <si>
    <t>CFOT1TRANS</t>
  </si>
  <si>
    <t>Outcome 1: Supplies - Laptops and software</t>
  </si>
  <si>
    <t>CFOLAPTOP</t>
  </si>
  <si>
    <t>Outcome 1: Supplies - Cellphone</t>
  </si>
  <si>
    <t>CFOPHONE</t>
  </si>
  <si>
    <t>Outcome 1: Supplies - Printer and copier</t>
  </si>
  <si>
    <t>CFOPRINT</t>
  </si>
  <si>
    <t xml:space="preserve">Outcome 1: Office Ex. - Banking and cash handling fees </t>
  </si>
  <si>
    <t>CFOBANKFEE</t>
  </si>
  <si>
    <t>Outcome 1: Office Ex. - Courier fees/services/postage</t>
  </si>
  <si>
    <t>CFOPOSTAGE</t>
  </si>
  <si>
    <t xml:space="preserve">Outcome 1: Office Ex. - Email/Internet </t>
  </si>
  <si>
    <t>CFOEMAIL</t>
  </si>
  <si>
    <t>Outcome 1: Office Ex. - Office Rent</t>
  </si>
  <si>
    <t>CFORENT</t>
  </si>
  <si>
    <t>Outcome 1: Office Ex. - Office Utilities</t>
  </si>
  <si>
    <t>CFOUTILITY</t>
  </si>
  <si>
    <t xml:space="preserve">Outcome 1: Office Ex. - Equipment and office repairs and maintenance </t>
  </si>
  <si>
    <t>CFOMAINT</t>
  </si>
  <si>
    <t>Outcome 1: Office Ex. - Translation Costs</t>
  </si>
  <si>
    <t>CFOTRANS</t>
  </si>
  <si>
    <t>Outcome 1: Assessment and inclusion of gender-based violence at work within educational programs</t>
  </si>
  <si>
    <t>CFOGBVPROG</t>
  </si>
  <si>
    <t>Outcome 1: Extension of GEMA to two additional states</t>
  </si>
  <si>
    <t>CFOGEMA</t>
  </si>
  <si>
    <t>CFOGEMALOD</t>
  </si>
  <si>
    <t>Outcome 1: Transportation for project staff to support GEMA extension</t>
  </si>
  <si>
    <t>CFOGEMATRN</t>
  </si>
  <si>
    <t>Outcome 1: Local transportation for project staff to support exchanges</t>
  </si>
  <si>
    <t>CFOEXTRANS</t>
  </si>
  <si>
    <t>Outcome 1: Material design and printing for exchanges</t>
  </si>
  <si>
    <t>CFOEXMATL</t>
  </si>
  <si>
    <t>CFOIDCCOST</t>
  </si>
  <si>
    <t>M&amp;E: Personnel - Lead Coordinator for the Project (50%)</t>
  </si>
  <si>
    <t>MX.3.7.A</t>
  </si>
  <si>
    <t>M&amp;E: Personnel - Gender Coordinator (50%)</t>
  </si>
  <si>
    <t>M&amp;E: Personnel - Administrative Assistant (50%)</t>
  </si>
  <si>
    <t>M&amp;E: Personnel - Promoter 1 (100%)</t>
  </si>
  <si>
    <t>M&amp;E: Personnel - Promoter 2 (100%)</t>
  </si>
  <si>
    <t>M&amp;E: Personnel - Promoter 3 (100%)</t>
  </si>
  <si>
    <t xml:space="preserve">M&amp;E: Fringe benefits </t>
  </si>
  <si>
    <t>M&amp;E: Travel - Project Staff - Airfare</t>
  </si>
  <si>
    <t>M&amp;E: Travel - Project Staff - Lodging and M&amp;IE</t>
  </si>
  <si>
    <t>M&amp;E: Travel - Project Staff - Ground Transportation</t>
  </si>
  <si>
    <t>M&amp;E: Supplies - Laptops and software</t>
  </si>
  <si>
    <t>M&amp;E: Supplies - Cellphone</t>
  </si>
  <si>
    <t>M&amp;E: Supplies - Printer and copier</t>
  </si>
  <si>
    <t xml:space="preserve">M&amp;E: Office Ex. - Banking and cash handling fees </t>
  </si>
  <si>
    <t>M&amp;E: Office Ex. - Courier fees/services/postage</t>
  </si>
  <si>
    <t xml:space="preserve">M&amp;E: Office Ex. - Email/Internet </t>
  </si>
  <si>
    <t>M&amp;E: Office Ex. - Office Rent</t>
  </si>
  <si>
    <t>M&amp;E: Office Ex. - Office Utilities</t>
  </si>
  <si>
    <t xml:space="preserve">M&amp;E: Office Ex. - Equipment and office repairs and maintenance </t>
  </si>
  <si>
    <t>M&amp;E: Office Ex. - Translation Costs</t>
  </si>
  <si>
    <t>M&amp;E: Lodging and M&amp;IE - Field verification and data collection visits</t>
  </si>
  <si>
    <t>CFOM&amp;ELOD</t>
  </si>
  <si>
    <t>M&amp;E: Local transportation - Field verification and data collection visits</t>
  </si>
  <si>
    <t>CFOM&amp;ETRAN</t>
  </si>
  <si>
    <t>M&amp;E: Data collection materials and printing</t>
  </si>
  <si>
    <t>CFOM&amp;EMATL</t>
  </si>
  <si>
    <t>M&amp;E: Indirect Costs for CFO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</si>
</sst>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[$-409]d\-mmm\-yy;@"/>
    <numFmt numFmtId="166" formatCode="#,##0.00;\(#,##0.00\)"/>
    <numFmt numFmtId="167" formatCode="_-* #,##0.00\ _B_s_-;\-* #,##0.00\ _B_s_-;_-* &quot;-&quot;??\ _B_s_-;_-@_-"/>
    <numFmt numFmtId="168" formatCode="_-* #,##0.00\ &quot;Bs&quot;_-;\-* #,##0.00\ &quot;Bs&quot;_-;_-* &quot;-&quot;??\ &quot;Bs&quot;_-;_-@_-"/>
    <numFmt numFmtId="169" formatCode="#,##0.00;[Red]#,##0.00"/>
    <numFmt numFmtId="170" formatCode="_([$COP]\ * #,##0.00_);_([$COP]\ * \(#,##0.00\);_([$COP]\ * &quot;-&quot;??_);_(@_)"/>
    <numFmt numFmtId="171" formatCode="[$MXN]\ #,##0.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b/>
      <sz val="16"/>
      <name val="Arial"/>
      <family val="2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Tahoma"/>
      <family val="2"/>
    </font>
    <font>
      <sz val="8"/>
      <color indexed="14"/>
      <name val="Tahoma"/>
      <family val="2"/>
    </font>
    <font>
      <b/>
      <sz val="8"/>
      <color indexed="62"/>
      <name val="Tahoma"/>
      <family val="2"/>
    </font>
    <font>
      <sz val="8"/>
      <color theme="1"/>
      <name val="Tahoma"/>
      <family val="2"/>
    </font>
    <font>
      <sz val="8"/>
      <color theme="0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4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91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1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1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2" fillId="5" borderId="0" applyNumberFormat="0" applyBorder="0" applyAlignment="0" applyProtection="0"/>
    <xf numFmtId="0" fontId="16" fillId="18" borderId="6" applyNumberFormat="0" applyAlignment="0" applyProtection="0"/>
    <xf numFmtId="0" fontId="17" fillId="8" borderId="9" applyNumberFormat="0" applyAlignment="0" applyProtection="0"/>
    <xf numFmtId="167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2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3" fillId="0" borderId="11" applyNumberFormat="0" applyFill="0" applyAlignment="0" applyProtection="0"/>
    <xf numFmtId="0" fontId="13" fillId="0" borderId="5" applyNumberFormat="0" applyFill="0" applyAlignment="0" applyProtection="0"/>
    <xf numFmtId="0" fontId="13" fillId="0" borderId="12" applyNumberFormat="0" applyFill="0" applyAlignment="0" applyProtection="0"/>
    <xf numFmtId="0" fontId="13" fillId="0" borderId="0" applyNumberFormat="0" applyFill="0" applyBorder="0" applyAlignment="0" applyProtection="0"/>
    <xf numFmtId="0" fontId="20" fillId="7" borderId="6" applyNumberFormat="0" applyAlignment="0" applyProtection="0"/>
    <xf numFmtId="0" fontId="21" fillId="0" borderId="8" applyNumberFormat="0" applyFill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2" fillId="6" borderId="0" applyNumberFormat="0" applyBorder="0" applyAlignment="0" applyProtection="0"/>
    <xf numFmtId="0" fontId="14" fillId="0" borderId="0"/>
    <xf numFmtId="0" fontId="6" fillId="0" borderId="0"/>
    <xf numFmtId="0" fontId="6" fillId="0" borderId="0"/>
    <xf numFmtId="0" fontId="1" fillId="0" borderId="0"/>
    <xf numFmtId="0" fontId="11" fillId="9" borderId="10" applyNumberFormat="0" applyFont="0" applyAlignment="0" applyProtection="0"/>
    <xf numFmtId="0" fontId="23" fillId="18" borderId="7" applyNumberFormat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0" borderId="0" applyNumberForma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4" fillId="0" borderId="14" applyNumberFormat="0" applyFill="0" applyAlignment="0" applyProtection="0"/>
    <xf numFmtId="0" fontId="27" fillId="0" borderId="0"/>
    <xf numFmtId="9" fontId="2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24" fillId="0" borderId="15" applyNumberFormat="0" applyFill="0" applyAlignment="0" applyProtection="0"/>
  </cellStyleXfs>
  <cellXfs count="47">
    <xf numFmtId="0" fontId="0" fillId="0" borderId="0" xfId="0"/>
    <xf numFmtId="14" fontId="0" fillId="0" borderId="0" xfId="0" applyNumberFormat="1"/>
    <xf numFmtId="44" fontId="0" fillId="0" borderId="0" xfId="27" applyFont="1"/>
    <xf numFmtId="0" fontId="0" fillId="0" borderId="0" xfId="0" applyProtection="1">
      <protection locked="0"/>
    </xf>
    <xf numFmtId="0" fontId="9" fillId="0" borderId="0" xfId="0" applyFont="1"/>
    <xf numFmtId="44" fontId="9" fillId="0" borderId="0" xfId="27" applyFont="1"/>
    <xf numFmtId="0" fontId="5" fillId="0" borderId="0" xfId="0" applyFont="1"/>
    <xf numFmtId="0" fontId="26" fillId="3" borderId="1" xfId="0" applyFont="1" applyFill="1" applyBorder="1"/>
    <xf numFmtId="40" fontId="4" fillId="2" borderId="2" xfId="2" applyNumberFormat="1" applyFont="1" applyFill="1" applyBorder="1" applyAlignment="1">
      <alignment vertical="center" wrapText="1"/>
    </xf>
    <xf numFmtId="40" fontId="4" fillId="3" borderId="3" xfId="2" applyNumberFormat="1" applyFont="1" applyFill="1" applyBorder="1" applyAlignment="1">
      <alignment vertical="center" wrapText="1"/>
    </xf>
    <xf numFmtId="40" fontId="0" fillId="0" borderId="0" xfId="0" applyNumberFormat="1"/>
    <xf numFmtId="14" fontId="9" fillId="0" borderId="0" xfId="0" applyNumberFormat="1" applyFont="1"/>
    <xf numFmtId="0" fontId="3" fillId="0" borderId="0" xfId="1" applyFont="1" applyAlignment="1">
      <alignment horizontal="center"/>
    </xf>
    <xf numFmtId="49" fontId="4" fillId="0" borderId="0" xfId="2" applyNumberFormat="1" applyFont="1" applyFill="1" applyBorder="1" applyAlignment="1">
      <alignment horizontal="center"/>
    </xf>
    <xf numFmtId="0" fontId="8" fillId="0" borderId="0" xfId="1" applyFont="1" applyAlignment="1">
      <alignment horizontal="left"/>
    </xf>
    <xf numFmtId="170" fontId="8" fillId="0" borderId="0" xfId="27" applyNumberFormat="1" applyFont="1" applyBorder="1" applyAlignment="1">
      <alignment horizontal="right"/>
    </xf>
    <xf numFmtId="0" fontId="28" fillId="0" borderId="0" xfId="1" applyFont="1" applyAlignment="1">
      <alignment horizontal="left"/>
    </xf>
    <xf numFmtId="171" fontId="0" fillId="0" borderId="0" xfId="0" applyNumberFormat="1"/>
    <xf numFmtId="171" fontId="9" fillId="0" borderId="0" xfId="0" applyNumberFormat="1" applyFont="1"/>
    <xf numFmtId="49" fontId="4" fillId="0" borderId="16" xfId="2" applyNumberFormat="1" applyFont="1" applyFill="1" applyBorder="1" applyAlignment="1">
      <alignment horizontal="center"/>
    </xf>
    <xf numFmtId="49" fontId="4" fillId="0" borderId="17" xfId="2" applyNumberFormat="1" applyFont="1" applyFill="1" applyBorder="1" applyAlignment="1">
      <alignment horizontal="center"/>
    </xf>
    <xf numFmtId="0" fontId="8" fillId="0" borderId="0" xfId="1" applyFont="1" applyAlignment="1">
      <alignment horizontal="left"/>
    </xf>
    <xf numFmtId="165" fontId="7" fillId="0" borderId="4" xfId="1" applyNumberFormat="1" applyFont="1" applyBorder="1" applyAlignment="1">
      <alignment horizontal="left" vertical="top"/>
    </xf>
    <xf numFmtId="165" fontId="7" fillId="0" borderId="0" xfId="1" applyNumberFormat="1" applyFont="1" applyAlignment="1">
      <alignment horizontal="left" vertical="top"/>
    </xf>
    <xf numFmtId="14" fontId="4" fillId="2" borderId="18" xfId="3" applyNumberFormat="1" applyFont="1" applyFill="1" applyBorder="1" applyAlignment="1">
      <alignment horizontal="center" vertical="center" wrapText="1"/>
    </xf>
    <xf numFmtId="14" fontId="4" fillId="2" borderId="17" xfId="3" applyNumberFormat="1" applyFont="1" applyFill="1" applyBorder="1" applyAlignment="1">
      <alignment horizontal="center" vertical="center" wrapText="1"/>
    </xf>
    <xf numFmtId="14" fontId="4" fillId="2" borderId="19" xfId="3" applyNumberFormat="1" applyFont="1" applyFill="1" applyBorder="1" applyAlignment="1">
      <alignment horizontal="center" vertical="center" wrapText="1"/>
    </xf>
    <xf numFmtId="171" fontId="4" fillId="2" borderId="2" xfId="27" applyNumberFormat="1" applyFont="1" applyFill="1" applyBorder="1" applyAlignment="1">
      <alignment vertical="center" wrapText="1"/>
    </xf>
    <xf numFmtId="171" fontId="4" fillId="2" borderId="3" xfId="27" applyNumberFormat="1" applyFont="1" applyFill="1" applyBorder="1" applyAlignment="1">
      <alignment vertical="center" wrapText="1"/>
    </xf>
    <xf numFmtId="44" fontId="4" fillId="2" borderId="2" xfId="3" applyFont="1" applyFill="1" applyBorder="1" applyAlignment="1">
      <alignment vertical="center" wrapText="1"/>
    </xf>
    <xf numFmtId="44" fontId="4" fillId="2" borderId="3" xfId="3" applyFont="1" applyFill="1" applyBorder="1" applyAlignment="1">
      <alignment vertical="center" wrapText="1"/>
    </xf>
    <xf numFmtId="166" fontId="8" fillId="0" borderId="0" xfId="2" applyNumberFormat="1" applyFont="1" applyFill="1" applyBorder="1" applyAlignment="1">
      <alignment horizontal="center" vertical="center"/>
    </xf>
    <xf numFmtId="0" fontId="8" fillId="0" borderId="0" xfId="1" applyFont="1" applyAlignment="1">
      <alignment horizontal="right"/>
    </xf>
    <xf numFmtId="0" fontId="3" fillId="0" borderId="0" xfId="1" applyFont="1" applyAlignment="1">
      <alignment horizontal="center"/>
    </xf>
    <xf numFmtId="44" fontId="4" fillId="2" borderId="2" xfId="27" applyFont="1" applyFill="1" applyBorder="1" applyAlignment="1">
      <alignment vertical="center" wrapText="1"/>
    </xf>
    <xf numFmtId="44" fontId="4" fillId="2" borderId="3" xfId="27" applyFont="1" applyFill="1" applyBorder="1" applyAlignment="1">
      <alignment vertical="center" wrapText="1"/>
    </xf>
    <xf numFmtId="165" fontId="4" fillId="2" borderId="1" xfId="1" applyNumberFormat="1" applyFont="1" applyFill="1" applyBorder="1" applyAlignment="1">
      <alignment vertical="center" wrapText="1"/>
    </xf>
    <xf numFmtId="49" fontId="4" fillId="2" borderId="1" xfId="2" applyNumberFormat="1" applyFont="1" applyFill="1" applyBorder="1" applyAlignment="1">
      <alignment vertical="center" wrapText="1"/>
    </xf>
    <xf numFmtId="49" fontId="4" fillId="2" borderId="2" xfId="2" applyNumberFormat="1" applyFont="1" applyFill="1" applyBorder="1" applyAlignment="1">
      <alignment vertical="center" wrapText="1"/>
    </xf>
    <xf numFmtId="49" fontId="4" fillId="2" borderId="3" xfId="2" applyNumberFormat="1" applyFont="1" applyFill="1" applyBorder="1" applyAlignment="1">
      <alignment vertical="center" wrapText="1"/>
    </xf>
    <xf numFmtId="0" fontId="4" fillId="2" borderId="2" xfId="1" applyFont="1" applyFill="1" applyBorder="1" applyAlignment="1">
      <alignment vertical="center" wrapText="1"/>
    </xf>
    <xf numFmtId="0" fontId="4" fillId="2" borderId="3" xfId="1" applyFont="1" applyFill="1" applyBorder="1" applyAlignment="1">
      <alignment vertical="center" wrapText="1"/>
    </xf>
    <xf numFmtId="40" fontId="4" fillId="2" borderId="2" xfId="2" applyNumberFormat="1" applyFont="1" applyFill="1" applyBorder="1" applyAlignment="1">
      <alignment vertical="center" wrapText="1"/>
    </xf>
    <xf numFmtId="40" fontId="4" fillId="2" borderId="3" xfId="2" applyNumberFormat="1" applyFont="1" applyFill="1" applyBorder="1" applyAlignment="1">
      <alignment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4" applyFont="1" applyBorder="1"/>
  </cellXfs>
  <cellStyles count="291">
    <cellStyle name="20% - Accent1 2" xfId="28" xr:uid="{00000000-0005-0000-0000-000000000000}"/>
    <cellStyle name="20% - Accent2 2" xfId="29" xr:uid="{00000000-0005-0000-0000-000001000000}"/>
    <cellStyle name="20% - Accent3 2" xfId="30" xr:uid="{00000000-0005-0000-0000-000002000000}"/>
    <cellStyle name="20% - Accent4 2" xfId="31" xr:uid="{00000000-0005-0000-0000-000003000000}"/>
    <cellStyle name="20% - Accent5 2" xfId="32" xr:uid="{00000000-0005-0000-0000-000004000000}"/>
    <cellStyle name="20% - Accent6 2" xfId="33" xr:uid="{00000000-0005-0000-0000-000005000000}"/>
    <cellStyle name="40% - Accent1 2" xfId="34" xr:uid="{00000000-0005-0000-0000-000006000000}"/>
    <cellStyle name="40% - Accent2 2" xfId="35" xr:uid="{00000000-0005-0000-0000-000007000000}"/>
    <cellStyle name="40% - Accent3 2" xfId="36" xr:uid="{00000000-0005-0000-0000-000008000000}"/>
    <cellStyle name="40% - Accent4 2" xfId="37" xr:uid="{00000000-0005-0000-0000-000009000000}"/>
    <cellStyle name="40% - Accent5 2" xfId="38" xr:uid="{00000000-0005-0000-0000-00000A000000}"/>
    <cellStyle name="40% - Accent6 2" xfId="39" xr:uid="{00000000-0005-0000-0000-00000B000000}"/>
    <cellStyle name="60% - Accent1 2" xfId="40" xr:uid="{00000000-0005-0000-0000-00000C000000}"/>
    <cellStyle name="60% - Accent2 2" xfId="41" xr:uid="{00000000-0005-0000-0000-00000D000000}"/>
    <cellStyle name="60% - Accent3 2" xfId="42" xr:uid="{00000000-0005-0000-0000-00000E000000}"/>
    <cellStyle name="60% - Accent4 2" xfId="43" xr:uid="{00000000-0005-0000-0000-00000F000000}"/>
    <cellStyle name="60% - Accent5 2" xfId="44" xr:uid="{00000000-0005-0000-0000-000010000000}"/>
    <cellStyle name="60% - Accent6 2" xfId="45" xr:uid="{00000000-0005-0000-0000-000011000000}"/>
    <cellStyle name="Accent1 2" xfId="46" xr:uid="{00000000-0005-0000-0000-000012000000}"/>
    <cellStyle name="Accent2 2" xfId="47" xr:uid="{00000000-0005-0000-0000-000013000000}"/>
    <cellStyle name="Accent3 2" xfId="48" xr:uid="{00000000-0005-0000-0000-000014000000}"/>
    <cellStyle name="Accent4 2" xfId="49" xr:uid="{00000000-0005-0000-0000-000015000000}"/>
    <cellStyle name="Accent5 2" xfId="50" xr:uid="{00000000-0005-0000-0000-000016000000}"/>
    <cellStyle name="Accent6 2" xfId="51" xr:uid="{00000000-0005-0000-0000-000017000000}"/>
    <cellStyle name="Bad 2" xfId="52" xr:uid="{00000000-0005-0000-0000-000018000000}"/>
    <cellStyle name="Calculation 2" xfId="53" xr:uid="{00000000-0005-0000-0000-000019000000}"/>
    <cellStyle name="Check Cell 2" xfId="54" xr:uid="{00000000-0005-0000-0000-00001A000000}"/>
    <cellStyle name="Comma [0] 2" xfId="2" xr:uid="{00000000-0005-0000-0000-00001B000000}"/>
    <cellStyle name="Comma [0] 2 2" xfId="56" xr:uid="{00000000-0005-0000-0000-00001C000000}"/>
    <cellStyle name="Comma 10" xfId="17" xr:uid="{00000000-0005-0000-0000-00001D000000}"/>
    <cellStyle name="Comma 10 2" xfId="57" xr:uid="{00000000-0005-0000-0000-00001E000000}"/>
    <cellStyle name="Comma 100" xfId="283" xr:uid="{00000000-0005-0000-0000-00001F000000}"/>
    <cellStyle name="Comma 11" xfId="24" xr:uid="{00000000-0005-0000-0000-000020000000}"/>
    <cellStyle name="Comma 11 2" xfId="58" xr:uid="{00000000-0005-0000-0000-000021000000}"/>
    <cellStyle name="Comma 12" xfId="15" xr:uid="{00000000-0005-0000-0000-000022000000}"/>
    <cellStyle name="Comma 12 2" xfId="59" xr:uid="{00000000-0005-0000-0000-000023000000}"/>
    <cellStyle name="Comma 13" xfId="60" xr:uid="{00000000-0005-0000-0000-000024000000}"/>
    <cellStyle name="Comma 14" xfId="61" xr:uid="{00000000-0005-0000-0000-000025000000}"/>
    <cellStyle name="Comma 15" xfId="62" xr:uid="{00000000-0005-0000-0000-000026000000}"/>
    <cellStyle name="Comma 16" xfId="63" xr:uid="{00000000-0005-0000-0000-000027000000}"/>
    <cellStyle name="Comma 17" xfId="64" xr:uid="{00000000-0005-0000-0000-000028000000}"/>
    <cellStyle name="Comma 18" xfId="65" xr:uid="{00000000-0005-0000-0000-000029000000}"/>
    <cellStyle name="Comma 19" xfId="66" xr:uid="{00000000-0005-0000-0000-00002A000000}"/>
    <cellStyle name="Comma 2" xfId="6" xr:uid="{00000000-0005-0000-0000-00002B000000}"/>
    <cellStyle name="Comma 2 2" xfId="67" xr:uid="{00000000-0005-0000-0000-00002C000000}"/>
    <cellStyle name="Comma 2 3" xfId="68" xr:uid="{00000000-0005-0000-0000-00002D000000}"/>
    <cellStyle name="Comma 20" xfId="69" xr:uid="{00000000-0005-0000-0000-00002E000000}"/>
    <cellStyle name="Comma 21" xfId="70" xr:uid="{00000000-0005-0000-0000-00002F000000}"/>
    <cellStyle name="Comma 22" xfId="71" xr:uid="{00000000-0005-0000-0000-000030000000}"/>
    <cellStyle name="Comma 23" xfId="72" xr:uid="{00000000-0005-0000-0000-000031000000}"/>
    <cellStyle name="Comma 24" xfId="73" xr:uid="{00000000-0005-0000-0000-000032000000}"/>
    <cellStyle name="Comma 25" xfId="74" xr:uid="{00000000-0005-0000-0000-000033000000}"/>
    <cellStyle name="Comma 26" xfId="75" xr:uid="{00000000-0005-0000-0000-000034000000}"/>
    <cellStyle name="Comma 27" xfId="76" xr:uid="{00000000-0005-0000-0000-000035000000}"/>
    <cellStyle name="Comma 28" xfId="77" xr:uid="{00000000-0005-0000-0000-000036000000}"/>
    <cellStyle name="Comma 29" xfId="78" xr:uid="{00000000-0005-0000-0000-000037000000}"/>
    <cellStyle name="Comma 3" xfId="10" xr:uid="{00000000-0005-0000-0000-000038000000}"/>
    <cellStyle name="Comma 3 2" xfId="14" xr:uid="{00000000-0005-0000-0000-000039000000}"/>
    <cellStyle name="Comma 3 2 2" xfId="79" xr:uid="{00000000-0005-0000-0000-00003A000000}"/>
    <cellStyle name="Comma 3 3" xfId="80" xr:uid="{00000000-0005-0000-0000-00003B000000}"/>
    <cellStyle name="Comma 30" xfId="81" xr:uid="{00000000-0005-0000-0000-00003C000000}"/>
    <cellStyle name="Comma 31" xfId="82" xr:uid="{00000000-0005-0000-0000-00003D000000}"/>
    <cellStyle name="Comma 32" xfId="83" xr:uid="{00000000-0005-0000-0000-00003E000000}"/>
    <cellStyle name="Comma 33" xfId="84" xr:uid="{00000000-0005-0000-0000-00003F000000}"/>
    <cellStyle name="Comma 34" xfId="85" xr:uid="{00000000-0005-0000-0000-000040000000}"/>
    <cellStyle name="Comma 35" xfId="86" xr:uid="{00000000-0005-0000-0000-000041000000}"/>
    <cellStyle name="Comma 36" xfId="87" xr:uid="{00000000-0005-0000-0000-000042000000}"/>
    <cellStyle name="Comma 37" xfId="88" xr:uid="{00000000-0005-0000-0000-000043000000}"/>
    <cellStyle name="Comma 38" xfId="89" xr:uid="{00000000-0005-0000-0000-000044000000}"/>
    <cellStyle name="Comma 39" xfId="90" xr:uid="{00000000-0005-0000-0000-000045000000}"/>
    <cellStyle name="Comma 4" xfId="12" xr:uid="{00000000-0005-0000-0000-000046000000}"/>
    <cellStyle name="Comma 4 2" xfId="91" xr:uid="{00000000-0005-0000-0000-000047000000}"/>
    <cellStyle name="Comma 40" xfId="92" xr:uid="{00000000-0005-0000-0000-000048000000}"/>
    <cellStyle name="Comma 41" xfId="93" xr:uid="{00000000-0005-0000-0000-000049000000}"/>
    <cellStyle name="Comma 42" xfId="94" xr:uid="{00000000-0005-0000-0000-00004A000000}"/>
    <cellStyle name="Comma 43" xfId="95" xr:uid="{00000000-0005-0000-0000-00004B000000}"/>
    <cellStyle name="Comma 44" xfId="96" xr:uid="{00000000-0005-0000-0000-00004C000000}"/>
    <cellStyle name="Comma 45" xfId="97" xr:uid="{00000000-0005-0000-0000-00004D000000}"/>
    <cellStyle name="Comma 46" xfId="98" xr:uid="{00000000-0005-0000-0000-00004E000000}"/>
    <cellStyle name="Comma 47" xfId="99" xr:uid="{00000000-0005-0000-0000-00004F000000}"/>
    <cellStyle name="Comma 48" xfId="100" xr:uid="{00000000-0005-0000-0000-000050000000}"/>
    <cellStyle name="Comma 49" xfId="101" xr:uid="{00000000-0005-0000-0000-000051000000}"/>
    <cellStyle name="Comma 5" xfId="13" xr:uid="{00000000-0005-0000-0000-000052000000}"/>
    <cellStyle name="Comma 5 2" xfId="102" xr:uid="{00000000-0005-0000-0000-000053000000}"/>
    <cellStyle name="Comma 50" xfId="103" xr:uid="{00000000-0005-0000-0000-000054000000}"/>
    <cellStyle name="Comma 51" xfId="104" xr:uid="{00000000-0005-0000-0000-000055000000}"/>
    <cellStyle name="Comma 52" xfId="105" xr:uid="{00000000-0005-0000-0000-000056000000}"/>
    <cellStyle name="Comma 53" xfId="106" xr:uid="{00000000-0005-0000-0000-000057000000}"/>
    <cellStyle name="Comma 54" xfId="107" xr:uid="{00000000-0005-0000-0000-000058000000}"/>
    <cellStyle name="Comma 54 2" xfId="108" xr:uid="{00000000-0005-0000-0000-000059000000}"/>
    <cellStyle name="Comma 55" xfId="109" xr:uid="{00000000-0005-0000-0000-00005A000000}"/>
    <cellStyle name="Comma 56" xfId="110" xr:uid="{00000000-0005-0000-0000-00005B000000}"/>
    <cellStyle name="Comma 56 2" xfId="111" xr:uid="{00000000-0005-0000-0000-00005C000000}"/>
    <cellStyle name="Comma 56 3" xfId="112" xr:uid="{00000000-0005-0000-0000-00005D000000}"/>
    <cellStyle name="Comma 57" xfId="113" xr:uid="{00000000-0005-0000-0000-00005E000000}"/>
    <cellStyle name="Comma 58" xfId="114" xr:uid="{00000000-0005-0000-0000-00005F000000}"/>
    <cellStyle name="Comma 59" xfId="115" xr:uid="{00000000-0005-0000-0000-000060000000}"/>
    <cellStyle name="Comma 6" xfId="21" xr:uid="{00000000-0005-0000-0000-000061000000}"/>
    <cellStyle name="Comma 6 2" xfId="116" xr:uid="{00000000-0005-0000-0000-000062000000}"/>
    <cellStyle name="Comma 60" xfId="117" xr:uid="{00000000-0005-0000-0000-000063000000}"/>
    <cellStyle name="Comma 61" xfId="118" xr:uid="{00000000-0005-0000-0000-000064000000}"/>
    <cellStyle name="Comma 62" xfId="119" xr:uid="{00000000-0005-0000-0000-000065000000}"/>
    <cellStyle name="Comma 63" xfId="120" xr:uid="{00000000-0005-0000-0000-000066000000}"/>
    <cellStyle name="Comma 64" xfId="121" xr:uid="{00000000-0005-0000-0000-000067000000}"/>
    <cellStyle name="Comma 65" xfId="122" xr:uid="{00000000-0005-0000-0000-000068000000}"/>
    <cellStyle name="Comma 66" xfId="123" xr:uid="{00000000-0005-0000-0000-000069000000}"/>
    <cellStyle name="Comma 67" xfId="124" xr:uid="{00000000-0005-0000-0000-00006A000000}"/>
    <cellStyle name="Comma 68" xfId="125" xr:uid="{00000000-0005-0000-0000-00006B000000}"/>
    <cellStyle name="Comma 69" xfId="126" xr:uid="{00000000-0005-0000-0000-00006C000000}"/>
    <cellStyle name="Comma 7" xfId="26" xr:uid="{00000000-0005-0000-0000-00006D000000}"/>
    <cellStyle name="Comma 7 2" xfId="127" xr:uid="{00000000-0005-0000-0000-00006E000000}"/>
    <cellStyle name="Comma 70" xfId="128" xr:uid="{00000000-0005-0000-0000-00006F000000}"/>
    <cellStyle name="Comma 71" xfId="129" xr:uid="{00000000-0005-0000-0000-000070000000}"/>
    <cellStyle name="Comma 72" xfId="130" xr:uid="{00000000-0005-0000-0000-000071000000}"/>
    <cellStyle name="Comma 73" xfId="131" xr:uid="{00000000-0005-0000-0000-000072000000}"/>
    <cellStyle name="Comma 74" xfId="132" xr:uid="{00000000-0005-0000-0000-000073000000}"/>
    <cellStyle name="Comma 75" xfId="133" xr:uid="{00000000-0005-0000-0000-000074000000}"/>
    <cellStyle name="Comma 76" xfId="134" xr:uid="{00000000-0005-0000-0000-000075000000}"/>
    <cellStyle name="Comma 77" xfId="135" xr:uid="{00000000-0005-0000-0000-000076000000}"/>
    <cellStyle name="Comma 78" xfId="136" xr:uid="{00000000-0005-0000-0000-000077000000}"/>
    <cellStyle name="Comma 79" xfId="137" xr:uid="{00000000-0005-0000-0000-000078000000}"/>
    <cellStyle name="Comma 8" xfId="19" xr:uid="{00000000-0005-0000-0000-000079000000}"/>
    <cellStyle name="Comma 8 2" xfId="138" xr:uid="{00000000-0005-0000-0000-00007A000000}"/>
    <cellStyle name="Comma 80" xfId="139" xr:uid="{00000000-0005-0000-0000-00007B000000}"/>
    <cellStyle name="Comma 81" xfId="140" xr:uid="{00000000-0005-0000-0000-00007C000000}"/>
    <cellStyle name="Comma 82" xfId="141" xr:uid="{00000000-0005-0000-0000-00007D000000}"/>
    <cellStyle name="Comma 83" xfId="142" xr:uid="{00000000-0005-0000-0000-00007E000000}"/>
    <cellStyle name="Comma 84" xfId="143" xr:uid="{00000000-0005-0000-0000-00007F000000}"/>
    <cellStyle name="Comma 85" xfId="144" xr:uid="{00000000-0005-0000-0000-000080000000}"/>
    <cellStyle name="Comma 86" xfId="145" xr:uid="{00000000-0005-0000-0000-000081000000}"/>
    <cellStyle name="Comma 87" xfId="146" xr:uid="{00000000-0005-0000-0000-000082000000}"/>
    <cellStyle name="Comma 88" xfId="147" xr:uid="{00000000-0005-0000-0000-000083000000}"/>
    <cellStyle name="Comma 89" xfId="148" xr:uid="{00000000-0005-0000-0000-000084000000}"/>
    <cellStyle name="Comma 9" xfId="25" xr:uid="{00000000-0005-0000-0000-000085000000}"/>
    <cellStyle name="Comma 9 2" xfId="149" xr:uid="{00000000-0005-0000-0000-000086000000}"/>
    <cellStyle name="Comma 90" xfId="150" xr:uid="{00000000-0005-0000-0000-000087000000}"/>
    <cellStyle name="Comma 91" xfId="151" xr:uid="{00000000-0005-0000-0000-000088000000}"/>
    <cellStyle name="Comma 92" xfId="152" xr:uid="{00000000-0005-0000-0000-000089000000}"/>
    <cellStyle name="Comma 93" xfId="153" xr:uid="{00000000-0005-0000-0000-00008A000000}"/>
    <cellStyle name="Comma 94" xfId="154" xr:uid="{00000000-0005-0000-0000-00008B000000}"/>
    <cellStyle name="Comma 95" xfId="155" xr:uid="{00000000-0005-0000-0000-00008C000000}"/>
    <cellStyle name="Comma 96" xfId="55" xr:uid="{00000000-0005-0000-0000-00008D000000}"/>
    <cellStyle name="Comma 97" xfId="278" xr:uid="{00000000-0005-0000-0000-00008E000000}"/>
    <cellStyle name="Comma 98" xfId="284" xr:uid="{00000000-0005-0000-0000-00008F000000}"/>
    <cellStyle name="Comma 99" xfId="277" xr:uid="{00000000-0005-0000-0000-000090000000}"/>
    <cellStyle name="Currency [0] 2" xfId="156" xr:uid="{00000000-0005-0000-0000-000092000000}"/>
    <cellStyle name="Currency 10" xfId="157" xr:uid="{00000000-0005-0000-0000-000093000000}"/>
    <cellStyle name="Currency 11" xfId="158" xr:uid="{00000000-0005-0000-0000-000094000000}"/>
    <cellStyle name="Currency 12" xfId="159" xr:uid="{00000000-0005-0000-0000-000095000000}"/>
    <cellStyle name="Currency 13" xfId="160" xr:uid="{00000000-0005-0000-0000-000096000000}"/>
    <cellStyle name="Currency 14" xfId="161" xr:uid="{00000000-0005-0000-0000-000097000000}"/>
    <cellStyle name="Currency 15" xfId="162" xr:uid="{00000000-0005-0000-0000-000098000000}"/>
    <cellStyle name="Currency 16" xfId="163" xr:uid="{00000000-0005-0000-0000-000099000000}"/>
    <cellStyle name="Currency 17" xfId="164" xr:uid="{00000000-0005-0000-0000-00009A000000}"/>
    <cellStyle name="Currency 18" xfId="165" xr:uid="{00000000-0005-0000-0000-00009B000000}"/>
    <cellStyle name="Currency 19" xfId="166" xr:uid="{00000000-0005-0000-0000-00009C000000}"/>
    <cellStyle name="Currency 2" xfId="8" xr:uid="{00000000-0005-0000-0000-00009D000000}"/>
    <cellStyle name="Currency 2 2" xfId="16" xr:uid="{00000000-0005-0000-0000-00009E000000}"/>
    <cellStyle name="Currency 2 3" xfId="167" xr:uid="{00000000-0005-0000-0000-00009F000000}"/>
    <cellStyle name="Currency 20" xfId="168" xr:uid="{00000000-0005-0000-0000-0000A0000000}"/>
    <cellStyle name="Currency 21" xfId="169" xr:uid="{00000000-0005-0000-0000-0000A1000000}"/>
    <cellStyle name="Currency 22" xfId="170" xr:uid="{00000000-0005-0000-0000-0000A2000000}"/>
    <cellStyle name="Currency 23" xfId="171" xr:uid="{00000000-0005-0000-0000-0000A3000000}"/>
    <cellStyle name="Currency 24" xfId="172" xr:uid="{00000000-0005-0000-0000-0000A4000000}"/>
    <cellStyle name="Currency 25" xfId="173" xr:uid="{00000000-0005-0000-0000-0000A5000000}"/>
    <cellStyle name="Currency 26" xfId="174" xr:uid="{00000000-0005-0000-0000-0000A6000000}"/>
    <cellStyle name="Currency 27" xfId="175" xr:uid="{00000000-0005-0000-0000-0000A7000000}"/>
    <cellStyle name="Currency 28" xfId="176" xr:uid="{00000000-0005-0000-0000-0000A8000000}"/>
    <cellStyle name="Currency 29" xfId="177" xr:uid="{00000000-0005-0000-0000-0000A9000000}"/>
    <cellStyle name="Currency 3" xfId="7" xr:uid="{00000000-0005-0000-0000-0000AA000000}"/>
    <cellStyle name="Currency 3 2" xfId="178" xr:uid="{00000000-0005-0000-0000-0000AB000000}"/>
    <cellStyle name="Currency 30" xfId="179" xr:uid="{00000000-0005-0000-0000-0000AC000000}"/>
    <cellStyle name="Currency 31" xfId="180" xr:uid="{00000000-0005-0000-0000-0000AD000000}"/>
    <cellStyle name="Currency 32" xfId="181" xr:uid="{00000000-0005-0000-0000-0000AE000000}"/>
    <cellStyle name="Currency 33" xfId="182" xr:uid="{00000000-0005-0000-0000-0000AF000000}"/>
    <cellStyle name="Currency 34" xfId="183" xr:uid="{00000000-0005-0000-0000-0000B0000000}"/>
    <cellStyle name="Currency 35" xfId="184" xr:uid="{00000000-0005-0000-0000-0000B1000000}"/>
    <cellStyle name="Currency 36" xfId="185" xr:uid="{00000000-0005-0000-0000-0000B2000000}"/>
    <cellStyle name="Currency 37" xfId="186" xr:uid="{00000000-0005-0000-0000-0000B3000000}"/>
    <cellStyle name="Currency 38" xfId="187" xr:uid="{00000000-0005-0000-0000-0000B4000000}"/>
    <cellStyle name="Currency 39" xfId="188" xr:uid="{00000000-0005-0000-0000-0000B5000000}"/>
    <cellStyle name="Currency 4" xfId="3" xr:uid="{00000000-0005-0000-0000-0000B6000000}"/>
    <cellStyle name="Currency 4 2" xfId="190" xr:uid="{00000000-0005-0000-0000-0000B7000000}"/>
    <cellStyle name="Currency 4 3" xfId="189" xr:uid="{00000000-0005-0000-0000-0000B8000000}"/>
    <cellStyle name="Currency 40" xfId="191" xr:uid="{00000000-0005-0000-0000-0000B9000000}"/>
    <cellStyle name="Currency 41" xfId="192" xr:uid="{00000000-0005-0000-0000-0000BA000000}"/>
    <cellStyle name="Currency 42" xfId="193" xr:uid="{00000000-0005-0000-0000-0000BB000000}"/>
    <cellStyle name="Currency 43" xfId="194" xr:uid="{00000000-0005-0000-0000-0000BC000000}"/>
    <cellStyle name="Currency 44" xfId="195" xr:uid="{00000000-0005-0000-0000-0000BD000000}"/>
    <cellStyle name="Currency 45" xfId="196" xr:uid="{00000000-0005-0000-0000-0000BE000000}"/>
    <cellStyle name="Currency 46" xfId="197" xr:uid="{00000000-0005-0000-0000-0000BF000000}"/>
    <cellStyle name="Currency 47" xfId="198" xr:uid="{00000000-0005-0000-0000-0000C0000000}"/>
    <cellStyle name="Currency 48" xfId="199" xr:uid="{00000000-0005-0000-0000-0000C1000000}"/>
    <cellStyle name="Currency 49" xfId="200" xr:uid="{00000000-0005-0000-0000-0000C2000000}"/>
    <cellStyle name="Currency 5" xfId="201" xr:uid="{00000000-0005-0000-0000-0000C3000000}"/>
    <cellStyle name="Currency 50" xfId="202" xr:uid="{00000000-0005-0000-0000-0000C4000000}"/>
    <cellStyle name="Currency 51" xfId="203" xr:uid="{00000000-0005-0000-0000-0000C5000000}"/>
    <cellStyle name="Currency 52" xfId="204" xr:uid="{00000000-0005-0000-0000-0000C6000000}"/>
    <cellStyle name="Currency 53" xfId="205" xr:uid="{00000000-0005-0000-0000-0000C7000000}"/>
    <cellStyle name="Currency 54" xfId="206" xr:uid="{00000000-0005-0000-0000-0000C8000000}"/>
    <cellStyle name="Currency 54 2" xfId="207" xr:uid="{00000000-0005-0000-0000-0000C9000000}"/>
    <cellStyle name="Currency 55" xfId="208" xr:uid="{00000000-0005-0000-0000-0000CA000000}"/>
    <cellStyle name="Currency 55 2" xfId="209" xr:uid="{00000000-0005-0000-0000-0000CB000000}"/>
    <cellStyle name="Currency 56" xfId="210" xr:uid="{00000000-0005-0000-0000-0000CC000000}"/>
    <cellStyle name="Currency 57" xfId="211" xr:uid="{00000000-0005-0000-0000-0000CD000000}"/>
    <cellStyle name="Currency 58" xfId="212" xr:uid="{00000000-0005-0000-0000-0000CE000000}"/>
    <cellStyle name="Currency 59" xfId="213" xr:uid="{00000000-0005-0000-0000-0000CF000000}"/>
    <cellStyle name="Currency 6" xfId="214" xr:uid="{00000000-0005-0000-0000-0000D0000000}"/>
    <cellStyle name="Currency 60" xfId="215" xr:uid="{00000000-0005-0000-0000-0000D1000000}"/>
    <cellStyle name="Currency 61" xfId="216" xr:uid="{00000000-0005-0000-0000-0000D2000000}"/>
    <cellStyle name="Currency 62" xfId="217" xr:uid="{00000000-0005-0000-0000-0000D3000000}"/>
    <cellStyle name="Currency 63" xfId="218" xr:uid="{00000000-0005-0000-0000-0000D4000000}"/>
    <cellStyle name="Currency 64" xfId="219" xr:uid="{00000000-0005-0000-0000-0000D5000000}"/>
    <cellStyle name="Currency 65" xfId="220" xr:uid="{00000000-0005-0000-0000-0000D6000000}"/>
    <cellStyle name="Currency 66" xfId="221" xr:uid="{00000000-0005-0000-0000-0000D7000000}"/>
    <cellStyle name="Currency 67" xfId="222" xr:uid="{00000000-0005-0000-0000-0000D8000000}"/>
    <cellStyle name="Currency 68" xfId="223" xr:uid="{00000000-0005-0000-0000-0000D9000000}"/>
    <cellStyle name="Currency 69" xfId="224" xr:uid="{00000000-0005-0000-0000-0000DA000000}"/>
    <cellStyle name="Currency 7" xfId="225" xr:uid="{00000000-0005-0000-0000-0000DB000000}"/>
    <cellStyle name="Currency 70" xfId="226" xr:uid="{00000000-0005-0000-0000-0000DC000000}"/>
    <cellStyle name="Currency 71" xfId="227" xr:uid="{00000000-0005-0000-0000-0000DD000000}"/>
    <cellStyle name="Currency 72" xfId="228" xr:uid="{00000000-0005-0000-0000-0000DE000000}"/>
    <cellStyle name="Currency 73" xfId="229" xr:uid="{00000000-0005-0000-0000-0000DF000000}"/>
    <cellStyle name="Currency 74" xfId="230" xr:uid="{00000000-0005-0000-0000-0000E0000000}"/>
    <cellStyle name="Currency 75" xfId="231" xr:uid="{00000000-0005-0000-0000-0000E1000000}"/>
    <cellStyle name="Currency 76" xfId="232" xr:uid="{00000000-0005-0000-0000-0000E2000000}"/>
    <cellStyle name="Currency 77" xfId="233" xr:uid="{00000000-0005-0000-0000-0000E3000000}"/>
    <cellStyle name="Currency 78" xfId="234" xr:uid="{00000000-0005-0000-0000-0000E4000000}"/>
    <cellStyle name="Currency 79" xfId="235" xr:uid="{00000000-0005-0000-0000-0000E5000000}"/>
    <cellStyle name="Currency 8" xfId="236" xr:uid="{00000000-0005-0000-0000-0000E6000000}"/>
    <cellStyle name="Currency 80" xfId="237" xr:uid="{00000000-0005-0000-0000-0000E7000000}"/>
    <cellStyle name="Currency 81" xfId="238" xr:uid="{00000000-0005-0000-0000-0000E8000000}"/>
    <cellStyle name="Currency 82" xfId="239" xr:uid="{00000000-0005-0000-0000-0000E9000000}"/>
    <cellStyle name="Currency 83" xfId="240" xr:uid="{00000000-0005-0000-0000-0000EA000000}"/>
    <cellStyle name="Currency 84" xfId="241" xr:uid="{00000000-0005-0000-0000-0000EB000000}"/>
    <cellStyle name="Currency 85" xfId="242" xr:uid="{00000000-0005-0000-0000-0000EC000000}"/>
    <cellStyle name="Currency 86" xfId="243" xr:uid="{00000000-0005-0000-0000-0000ED000000}"/>
    <cellStyle name="Currency 87" xfId="244" xr:uid="{00000000-0005-0000-0000-0000EE000000}"/>
    <cellStyle name="Currency 88" xfId="245" xr:uid="{00000000-0005-0000-0000-0000EF000000}"/>
    <cellStyle name="Currency 89" xfId="246" xr:uid="{00000000-0005-0000-0000-0000F0000000}"/>
    <cellStyle name="Currency 9" xfId="247" xr:uid="{00000000-0005-0000-0000-0000F1000000}"/>
    <cellStyle name="Currency 90" xfId="248" xr:uid="{00000000-0005-0000-0000-0000F2000000}"/>
    <cellStyle name="Currency 91" xfId="249" xr:uid="{00000000-0005-0000-0000-0000F3000000}"/>
    <cellStyle name="Currency 92" xfId="250" xr:uid="{00000000-0005-0000-0000-0000F4000000}"/>
    <cellStyle name="Currency 93" xfId="251" xr:uid="{00000000-0005-0000-0000-0000F5000000}"/>
    <cellStyle name="Currency 94" xfId="281" xr:uid="{00000000-0005-0000-0000-0000F6000000}"/>
    <cellStyle name="Currency 95" xfId="282" xr:uid="{00000000-0005-0000-0000-0000F7000000}"/>
    <cellStyle name="Currency 96" xfId="280" xr:uid="{00000000-0005-0000-0000-0000F8000000}"/>
    <cellStyle name="Currency 97" xfId="279" xr:uid="{00000000-0005-0000-0000-0000F9000000}"/>
    <cellStyle name="Explanatory Text 2" xfId="252" xr:uid="{00000000-0005-0000-0000-0000FA000000}"/>
    <cellStyle name="Good 2" xfId="253" xr:uid="{00000000-0005-0000-0000-0000FB000000}"/>
    <cellStyle name="Heading 1 2" xfId="254" xr:uid="{00000000-0005-0000-0000-0000FC000000}"/>
    <cellStyle name="Heading 2 2" xfId="255" xr:uid="{00000000-0005-0000-0000-0000FD000000}"/>
    <cellStyle name="Heading 3 2" xfId="256" xr:uid="{00000000-0005-0000-0000-0000FE000000}"/>
    <cellStyle name="Heading 4 2" xfId="257" xr:uid="{00000000-0005-0000-0000-0000FF000000}"/>
    <cellStyle name="Input 2" xfId="258" xr:uid="{00000000-0005-0000-0000-000000010000}"/>
    <cellStyle name="Linked Cell 2" xfId="259" xr:uid="{00000000-0005-0000-0000-000001010000}"/>
    <cellStyle name="Millares 2" xfId="260" xr:uid="{00000000-0005-0000-0000-000002010000}"/>
    <cellStyle name="Millares 3" xfId="261" xr:uid="{00000000-0005-0000-0000-000003010000}"/>
    <cellStyle name="Moneda" xfId="27" builtinId="4"/>
    <cellStyle name="Neutral 2" xfId="262" xr:uid="{00000000-0005-0000-0000-000004010000}"/>
    <cellStyle name="Normal" xfId="0" builtinId="0"/>
    <cellStyle name="Normal 2" xfId="4" xr:uid="{00000000-0005-0000-0000-000006010000}"/>
    <cellStyle name="Normal 2 2" xfId="18" xr:uid="{00000000-0005-0000-0000-000007010000}"/>
    <cellStyle name="Normal 2 3" xfId="263" xr:uid="{00000000-0005-0000-0000-000008010000}"/>
    <cellStyle name="Normal 3" xfId="5" xr:uid="{00000000-0005-0000-0000-000009010000}"/>
    <cellStyle name="Normal 3 2" xfId="264" xr:uid="{00000000-0005-0000-0000-00000A010000}"/>
    <cellStyle name="Normal 4" xfId="1" xr:uid="{00000000-0005-0000-0000-00000B010000}"/>
    <cellStyle name="Normal 4 2" xfId="20" xr:uid="{00000000-0005-0000-0000-00000C010000}"/>
    <cellStyle name="Normal 4 2 2" xfId="265" xr:uid="{00000000-0005-0000-0000-00000D010000}"/>
    <cellStyle name="Normal 5" xfId="266" xr:uid="{00000000-0005-0000-0000-00000E010000}"/>
    <cellStyle name="Normal 6" xfId="288" xr:uid="{00000000-0005-0000-0000-00000F010000}"/>
    <cellStyle name="Normal 7" xfId="286" xr:uid="{00000000-0005-0000-0000-000010010000}"/>
    <cellStyle name="Note 2" xfId="267" xr:uid="{00000000-0005-0000-0000-000011010000}"/>
    <cellStyle name="Output 2" xfId="268" xr:uid="{00000000-0005-0000-0000-000012010000}"/>
    <cellStyle name="Percent 2" xfId="9" xr:uid="{00000000-0005-0000-0000-000013010000}"/>
    <cellStyle name="Percent 2 2" xfId="22" xr:uid="{00000000-0005-0000-0000-000014010000}"/>
    <cellStyle name="Percent 2 3" xfId="269" xr:uid="{00000000-0005-0000-0000-000015010000}"/>
    <cellStyle name="Percent 3" xfId="11" xr:uid="{00000000-0005-0000-0000-000016010000}"/>
    <cellStyle name="Percent 3 2" xfId="23" xr:uid="{00000000-0005-0000-0000-000017010000}"/>
    <cellStyle name="Percent 3 2 2" xfId="270" xr:uid="{00000000-0005-0000-0000-000018010000}"/>
    <cellStyle name="Percent 4" xfId="271" xr:uid="{00000000-0005-0000-0000-000019010000}"/>
    <cellStyle name="Percent 4 2" xfId="272" xr:uid="{00000000-0005-0000-0000-00001A010000}"/>
    <cellStyle name="Percent 5" xfId="273" xr:uid="{00000000-0005-0000-0000-00001B010000}"/>
    <cellStyle name="Percent 6" xfId="289" xr:uid="{00000000-0005-0000-0000-00001C010000}"/>
    <cellStyle name="Percent 7" xfId="287" xr:uid="{00000000-0005-0000-0000-00001D010000}"/>
    <cellStyle name="Title 2" xfId="274" xr:uid="{00000000-0005-0000-0000-00001E010000}"/>
    <cellStyle name="Total 2" xfId="275" xr:uid="{00000000-0005-0000-0000-00001F010000}"/>
    <cellStyle name="Total 2 2" xfId="285" xr:uid="{00000000-0005-0000-0000-000020010000}"/>
    <cellStyle name="Total 2 3" xfId="290" xr:uid="{00000000-0005-0000-0000-000021010000}"/>
    <cellStyle name="Warning Text 2" xfId="276" xr:uid="{00000000-0005-0000-0000-000022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le Martin" id="{62795B0F-08B3-4412-B36D-666ACCA77696}" userId="S::dmartin@partners.net::04f63225-1d27-46ab-9c7c-1c8b513bed3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" dT="2019-11-29T21:48:34.60" personId="{62795B0F-08B3-4412-B36D-666ACCA77696}" id="{6DB00813-1BC2-4D7D-BB43-E8DAD5F244BA}">
    <text>Please update with each month's average exchange rate from OANDA: https://www1.oanda.com/currency/converter/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L522"/>
  <sheetViews>
    <sheetView tabSelected="1" topLeftCell="B1" zoomScale="116" zoomScaleNormal="80" workbookViewId="0">
      <selection activeCell="G8" sqref="G8"/>
    </sheetView>
  </sheetViews>
  <sheetFormatPr defaultRowHeight="14.45"/>
  <cols>
    <col min="1" max="1" width="15.140625" customWidth="1"/>
    <col min="2" max="2" width="15.42578125" customWidth="1"/>
    <col min="3" max="3" width="35.140625" customWidth="1"/>
    <col min="4" max="4" width="72.42578125" customWidth="1"/>
    <col min="5" max="5" width="13.5703125" bestFit="1" customWidth="1"/>
    <col min="6" max="6" width="25.42578125" style="17" customWidth="1"/>
    <col min="7" max="7" width="13.5703125" bestFit="1" customWidth="1"/>
    <col min="8" max="8" width="18.140625" style="2" customWidth="1"/>
    <col min="9" max="9" width="9.5703125" customWidth="1"/>
    <col min="10" max="10" width="51.140625" customWidth="1"/>
    <col min="11" max="11" width="12.140625" bestFit="1" customWidth="1"/>
    <col min="12" max="12" width="16" bestFit="1" customWidth="1"/>
  </cols>
  <sheetData>
    <row r="1" spans="1:12" ht="15.7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5.75" customHeight="1" thickBo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15.75" customHeight="1" thickBot="1">
      <c r="A3" s="32"/>
      <c r="B3" s="32"/>
      <c r="C3" s="32"/>
      <c r="D3" s="32"/>
      <c r="E3" s="19" t="s">
        <v>1</v>
      </c>
      <c r="F3" s="20"/>
      <c r="G3" s="24">
        <v>44530</v>
      </c>
      <c r="H3" s="25"/>
      <c r="I3" s="26"/>
      <c r="J3" s="33"/>
      <c r="K3" s="33"/>
      <c r="L3" s="33"/>
    </row>
    <row r="4" spans="1:12" ht="20.100000000000001">
      <c r="A4" s="21"/>
      <c r="B4" s="21"/>
      <c r="C4" s="13"/>
      <c r="D4" s="23"/>
      <c r="E4" s="23"/>
      <c r="F4" s="23"/>
      <c r="G4" s="13"/>
      <c r="H4"/>
      <c r="I4" s="12"/>
      <c r="J4" s="12"/>
      <c r="K4" s="12"/>
      <c r="L4" s="12"/>
    </row>
    <row r="5" spans="1:12" ht="20.100000000000001">
      <c r="A5" s="16" t="s">
        <v>2</v>
      </c>
      <c r="B5" s="14"/>
      <c r="C5" s="15"/>
      <c r="D5" s="22" t="s">
        <v>3</v>
      </c>
      <c r="E5" s="22"/>
      <c r="F5" s="22"/>
      <c r="G5" s="13"/>
      <c r="H5"/>
      <c r="I5" s="12"/>
      <c r="J5" s="12"/>
      <c r="K5" s="12"/>
      <c r="L5" s="12"/>
    </row>
    <row r="6" spans="1:12" ht="26.25" customHeight="1">
      <c r="A6" s="36" t="s">
        <v>4</v>
      </c>
      <c r="B6" s="40" t="s">
        <v>5</v>
      </c>
      <c r="C6" s="37" t="s">
        <v>6</v>
      </c>
      <c r="D6" s="38" t="s">
        <v>7</v>
      </c>
      <c r="E6" s="42" t="s">
        <v>8</v>
      </c>
      <c r="F6" s="27" t="s">
        <v>9</v>
      </c>
      <c r="G6" s="8" t="s">
        <v>10</v>
      </c>
      <c r="H6" s="34" t="s">
        <v>11</v>
      </c>
      <c r="I6" s="29" t="s">
        <v>12</v>
      </c>
      <c r="J6" s="29" t="s">
        <v>13</v>
      </c>
      <c r="K6" s="29" t="s">
        <v>14</v>
      </c>
      <c r="L6" s="29" t="s">
        <v>15</v>
      </c>
    </row>
    <row r="7" spans="1:12" ht="15">
      <c r="A7" s="36"/>
      <c r="B7" s="41"/>
      <c r="C7" s="37"/>
      <c r="D7" s="39"/>
      <c r="E7" s="43"/>
      <c r="F7" s="28"/>
      <c r="G7" s="9">
        <v>20.98</v>
      </c>
      <c r="H7" s="35"/>
      <c r="I7" s="30"/>
      <c r="J7" s="30"/>
      <c r="K7" s="30"/>
      <c r="L7" s="30"/>
    </row>
    <row r="8" spans="1:12">
      <c r="A8" s="1"/>
      <c r="C8" t="s">
        <v>16</v>
      </c>
      <c r="D8" s="3" t="s">
        <v>17</v>
      </c>
      <c r="E8" t="str">
        <f t="shared" ref="E8:E20" si="0">IF(D8="","",(VLOOKUP(D8,CFOCodes,2,FALSE)))</f>
        <v>MX.1.1.A</v>
      </c>
      <c r="F8" s="17">
        <v>5000</v>
      </c>
      <c r="G8" s="10">
        <f>IF(D8="","",$G$7)</f>
        <v>20.98</v>
      </c>
      <c r="H8" s="2">
        <f>IF(D8="","",F8/G8)</f>
        <v>238.32221163012392</v>
      </c>
      <c r="I8">
        <f t="shared" ref="I8:I20" si="1">IF(D8="","",(VLOOKUP(D8,CFOCodes,3,FALSE)))</f>
        <v>7370</v>
      </c>
      <c r="J8" t="s">
        <v>18</v>
      </c>
      <c r="K8" t="str">
        <f t="shared" ref="K8:K20" si="2">IF(D8="","",(VLOOKUP(D8,CFOCodes,4,FALSE)))</f>
        <v>CFO</v>
      </c>
      <c r="L8" t="str">
        <f t="shared" ref="L8:L20" si="3">IF(D8="","",(VLOOKUP(D8,CFOCodes,5,FALSE)))</f>
        <v>CFOGEMALOD</v>
      </c>
    </row>
    <row r="9" spans="1:12">
      <c r="A9" s="1"/>
      <c r="C9" t="s">
        <v>16</v>
      </c>
      <c r="D9" s="3" t="s">
        <v>19</v>
      </c>
      <c r="E9" t="str">
        <f t="shared" si="0"/>
        <v>MX.1.1.A</v>
      </c>
      <c r="F9" s="17">
        <v>30000</v>
      </c>
      <c r="G9" s="10">
        <f t="shared" ref="G9:G36" si="4">IF(D9="","",$G$7)</f>
        <v>20.98</v>
      </c>
      <c r="H9" s="2">
        <f>IF(D9="","",F9/G9)</f>
        <v>1429.9332697807436</v>
      </c>
      <c r="I9">
        <f t="shared" si="1"/>
        <v>7370</v>
      </c>
      <c r="J9" t="s">
        <v>20</v>
      </c>
      <c r="K9" t="str">
        <f t="shared" si="2"/>
        <v>CFO</v>
      </c>
      <c r="L9" t="str">
        <f t="shared" si="3"/>
        <v>CFOPERSLGC</v>
      </c>
    </row>
    <row r="10" spans="1:12">
      <c r="A10" s="1"/>
      <c r="C10" t="s">
        <v>16</v>
      </c>
      <c r="D10" s="3" t="s">
        <v>21</v>
      </c>
      <c r="E10" t="str">
        <f t="shared" si="0"/>
        <v>MX.1.1.A</v>
      </c>
      <c r="F10" s="17">
        <f>SUM(F8:F9)*0.1</f>
        <v>3500</v>
      </c>
      <c r="G10" s="10">
        <f t="shared" si="4"/>
        <v>20.98</v>
      </c>
      <c r="H10" s="2">
        <f>IF(D10="","",F10/G10)</f>
        <v>166.82554814108676</v>
      </c>
      <c r="I10">
        <f t="shared" si="1"/>
        <v>7370</v>
      </c>
      <c r="J10" t="s">
        <v>22</v>
      </c>
      <c r="K10" t="str">
        <f t="shared" si="2"/>
        <v>CFO</v>
      </c>
      <c r="L10" t="str">
        <f t="shared" si="3"/>
        <v>CFOIDCCOST</v>
      </c>
    </row>
    <row r="11" spans="1:12">
      <c r="A11" s="1"/>
      <c r="D11" s="3"/>
      <c r="E11" t="str">
        <f t="shared" si="0"/>
        <v/>
      </c>
      <c r="F11" s="17" t="str">
        <f t="shared" ref="F11:F36" si="5">IF(D11="","",0)</f>
        <v/>
      </c>
      <c r="G11" s="10" t="str">
        <f t="shared" si="4"/>
        <v/>
      </c>
      <c r="H11" s="2" t="str">
        <f t="shared" ref="H11:H36" si="6">IF(D11="","",F11/G11)</f>
        <v/>
      </c>
      <c r="I11" t="str">
        <f t="shared" si="1"/>
        <v/>
      </c>
      <c r="K11" t="str">
        <f t="shared" si="2"/>
        <v/>
      </c>
      <c r="L11" t="str">
        <f t="shared" si="3"/>
        <v/>
      </c>
    </row>
    <row r="12" spans="1:12">
      <c r="A12" s="1"/>
      <c r="D12" s="3"/>
      <c r="E12" t="str">
        <f t="shared" si="0"/>
        <v/>
      </c>
      <c r="F12" s="17" t="str">
        <f t="shared" si="5"/>
        <v/>
      </c>
      <c r="G12" s="10" t="str">
        <f t="shared" si="4"/>
        <v/>
      </c>
      <c r="H12" s="2" t="str">
        <f t="shared" si="6"/>
        <v/>
      </c>
      <c r="I12" t="str">
        <f t="shared" si="1"/>
        <v/>
      </c>
      <c r="K12" t="str">
        <f t="shared" si="2"/>
        <v/>
      </c>
      <c r="L12" t="str">
        <f t="shared" si="3"/>
        <v/>
      </c>
    </row>
    <row r="13" spans="1:12">
      <c r="A13" s="1"/>
      <c r="D13" s="3"/>
      <c r="E13" t="str">
        <f t="shared" si="0"/>
        <v/>
      </c>
      <c r="F13" s="17" t="str">
        <f t="shared" si="5"/>
        <v/>
      </c>
      <c r="G13" s="10" t="str">
        <f t="shared" si="4"/>
        <v/>
      </c>
      <c r="H13" s="2" t="str">
        <f t="shared" si="6"/>
        <v/>
      </c>
      <c r="I13" t="str">
        <f t="shared" si="1"/>
        <v/>
      </c>
      <c r="K13" t="str">
        <f t="shared" si="2"/>
        <v/>
      </c>
      <c r="L13" t="str">
        <f t="shared" si="3"/>
        <v/>
      </c>
    </row>
    <row r="14" spans="1:12">
      <c r="A14" s="1"/>
      <c r="D14" s="3"/>
      <c r="E14" t="str">
        <f t="shared" si="0"/>
        <v/>
      </c>
      <c r="F14" s="17" t="str">
        <f t="shared" si="5"/>
        <v/>
      </c>
      <c r="G14" s="10" t="str">
        <f t="shared" si="4"/>
        <v/>
      </c>
      <c r="H14" s="2" t="str">
        <f t="shared" si="6"/>
        <v/>
      </c>
      <c r="I14" t="str">
        <f t="shared" si="1"/>
        <v/>
      </c>
      <c r="K14" t="str">
        <f t="shared" si="2"/>
        <v/>
      </c>
      <c r="L14" t="str">
        <f t="shared" si="3"/>
        <v/>
      </c>
    </row>
    <row r="15" spans="1:12">
      <c r="A15" s="1"/>
      <c r="D15" s="3"/>
      <c r="E15" t="str">
        <f t="shared" si="0"/>
        <v/>
      </c>
      <c r="F15" s="17" t="str">
        <f t="shared" si="5"/>
        <v/>
      </c>
      <c r="G15" s="10" t="str">
        <f t="shared" si="4"/>
        <v/>
      </c>
      <c r="H15" s="2" t="str">
        <f t="shared" si="6"/>
        <v/>
      </c>
      <c r="I15" t="str">
        <f t="shared" si="1"/>
        <v/>
      </c>
      <c r="K15" t="str">
        <f t="shared" si="2"/>
        <v/>
      </c>
      <c r="L15" t="str">
        <f t="shared" si="3"/>
        <v/>
      </c>
    </row>
    <row r="16" spans="1:12">
      <c r="A16" s="1"/>
      <c r="D16" s="3"/>
      <c r="E16" t="str">
        <f t="shared" si="0"/>
        <v/>
      </c>
      <c r="F16" s="17" t="str">
        <f t="shared" si="5"/>
        <v/>
      </c>
      <c r="G16" s="10" t="str">
        <f t="shared" si="4"/>
        <v/>
      </c>
      <c r="H16" s="2" t="str">
        <f t="shared" si="6"/>
        <v/>
      </c>
      <c r="I16" t="str">
        <f t="shared" si="1"/>
        <v/>
      </c>
      <c r="K16" t="str">
        <f t="shared" si="2"/>
        <v/>
      </c>
      <c r="L16" t="str">
        <f t="shared" si="3"/>
        <v/>
      </c>
    </row>
    <row r="17" spans="1:12">
      <c r="A17" s="1"/>
      <c r="D17" s="3"/>
      <c r="E17" t="str">
        <f t="shared" si="0"/>
        <v/>
      </c>
      <c r="F17" s="17" t="str">
        <f t="shared" si="5"/>
        <v/>
      </c>
      <c r="G17" s="10" t="str">
        <f t="shared" si="4"/>
        <v/>
      </c>
      <c r="H17" s="2" t="str">
        <f t="shared" si="6"/>
        <v/>
      </c>
      <c r="I17" t="str">
        <f t="shared" si="1"/>
        <v/>
      </c>
      <c r="K17" t="str">
        <f t="shared" si="2"/>
        <v/>
      </c>
      <c r="L17" t="str">
        <f t="shared" si="3"/>
        <v/>
      </c>
    </row>
    <row r="18" spans="1:12">
      <c r="A18" s="1"/>
      <c r="D18" s="3"/>
      <c r="E18" t="str">
        <f t="shared" si="0"/>
        <v/>
      </c>
      <c r="F18" s="17" t="str">
        <f t="shared" si="5"/>
        <v/>
      </c>
      <c r="G18" s="10" t="str">
        <f t="shared" si="4"/>
        <v/>
      </c>
      <c r="H18" s="2" t="str">
        <f t="shared" si="6"/>
        <v/>
      </c>
      <c r="I18" t="str">
        <f t="shared" si="1"/>
        <v/>
      </c>
      <c r="K18" t="str">
        <f t="shared" si="2"/>
        <v/>
      </c>
      <c r="L18" t="str">
        <f t="shared" si="3"/>
        <v/>
      </c>
    </row>
    <row r="19" spans="1:12">
      <c r="A19" s="1"/>
      <c r="D19" s="3"/>
      <c r="E19" t="str">
        <f t="shared" si="0"/>
        <v/>
      </c>
      <c r="F19" s="17" t="str">
        <f t="shared" si="5"/>
        <v/>
      </c>
      <c r="G19" s="10" t="str">
        <f t="shared" si="4"/>
        <v/>
      </c>
      <c r="H19" s="2" t="str">
        <f t="shared" si="6"/>
        <v/>
      </c>
      <c r="I19" t="str">
        <f t="shared" si="1"/>
        <v/>
      </c>
      <c r="K19" t="str">
        <f t="shared" si="2"/>
        <v/>
      </c>
      <c r="L19" t="str">
        <f t="shared" si="3"/>
        <v/>
      </c>
    </row>
    <row r="20" spans="1:12">
      <c r="A20" s="1"/>
      <c r="D20" s="3"/>
      <c r="E20" t="str">
        <f t="shared" si="0"/>
        <v/>
      </c>
      <c r="F20" s="17" t="str">
        <f t="shared" si="5"/>
        <v/>
      </c>
      <c r="G20" s="10" t="str">
        <f t="shared" si="4"/>
        <v/>
      </c>
      <c r="H20" s="2" t="str">
        <f t="shared" si="6"/>
        <v/>
      </c>
      <c r="I20" t="str">
        <f t="shared" si="1"/>
        <v/>
      </c>
      <c r="K20" t="str">
        <f t="shared" si="2"/>
        <v/>
      </c>
      <c r="L20" t="str">
        <f t="shared" si="3"/>
        <v/>
      </c>
    </row>
    <row r="21" spans="1:12">
      <c r="A21" s="1"/>
      <c r="D21" s="3"/>
      <c r="E21" t="str">
        <f t="shared" ref="E21:E36" si="7">IF(D21="","",(VLOOKUP(D21,CFOCodes,2,FALSE)))</f>
        <v/>
      </c>
      <c r="F21" s="17" t="str">
        <f t="shared" si="5"/>
        <v/>
      </c>
      <c r="G21" s="10" t="str">
        <f t="shared" si="4"/>
        <v/>
      </c>
      <c r="H21" s="2" t="str">
        <f t="shared" si="6"/>
        <v/>
      </c>
      <c r="I21" t="str">
        <f t="shared" ref="I21:I36" si="8">IF(D21="","",(VLOOKUP(D21,CFOCodes,3,FALSE)))</f>
        <v/>
      </c>
      <c r="K21" t="str">
        <f t="shared" ref="K21:K36" si="9">IF(D21="","",(VLOOKUP(D21,CFOCodes,4,FALSE)))</f>
        <v/>
      </c>
      <c r="L21" t="str">
        <f t="shared" ref="L21:L36" si="10">IF(D21="","",(VLOOKUP(D21,CFOCodes,5,FALSE)))</f>
        <v/>
      </c>
    </row>
    <row r="22" spans="1:12">
      <c r="A22" s="1"/>
      <c r="D22" s="3"/>
      <c r="E22" t="str">
        <f t="shared" si="7"/>
        <v/>
      </c>
      <c r="F22" s="17" t="str">
        <f t="shared" si="5"/>
        <v/>
      </c>
      <c r="G22" s="10" t="str">
        <f t="shared" si="4"/>
        <v/>
      </c>
      <c r="H22" s="2" t="str">
        <f t="shared" si="6"/>
        <v/>
      </c>
      <c r="I22" t="str">
        <f t="shared" si="8"/>
        <v/>
      </c>
      <c r="K22" t="str">
        <f t="shared" si="9"/>
        <v/>
      </c>
      <c r="L22" t="str">
        <f t="shared" si="10"/>
        <v/>
      </c>
    </row>
    <row r="23" spans="1:12">
      <c r="A23" s="1"/>
      <c r="D23" s="3"/>
      <c r="E23" t="str">
        <f t="shared" si="7"/>
        <v/>
      </c>
      <c r="F23" s="17" t="str">
        <f t="shared" si="5"/>
        <v/>
      </c>
      <c r="G23" s="10" t="str">
        <f t="shared" si="4"/>
        <v/>
      </c>
      <c r="H23" s="2" t="str">
        <f t="shared" si="6"/>
        <v/>
      </c>
      <c r="I23" t="str">
        <f t="shared" si="8"/>
        <v/>
      </c>
      <c r="K23" t="str">
        <f t="shared" si="9"/>
        <v/>
      </c>
      <c r="L23" t="str">
        <f t="shared" si="10"/>
        <v/>
      </c>
    </row>
    <row r="24" spans="1:12">
      <c r="A24" s="1"/>
      <c r="D24" s="3"/>
      <c r="E24" t="str">
        <f t="shared" si="7"/>
        <v/>
      </c>
      <c r="F24" s="17" t="str">
        <f t="shared" si="5"/>
        <v/>
      </c>
      <c r="G24" s="10" t="str">
        <f t="shared" si="4"/>
        <v/>
      </c>
      <c r="H24" s="2" t="str">
        <f t="shared" si="6"/>
        <v/>
      </c>
      <c r="I24" t="str">
        <f t="shared" si="8"/>
        <v/>
      </c>
      <c r="K24" t="str">
        <f t="shared" si="9"/>
        <v/>
      </c>
      <c r="L24" t="str">
        <f t="shared" si="10"/>
        <v/>
      </c>
    </row>
    <row r="25" spans="1:12">
      <c r="A25" s="1"/>
      <c r="D25" s="3"/>
      <c r="E25" t="str">
        <f t="shared" si="7"/>
        <v/>
      </c>
      <c r="F25" s="17" t="str">
        <f t="shared" si="5"/>
        <v/>
      </c>
      <c r="G25" s="10" t="str">
        <f t="shared" si="4"/>
        <v/>
      </c>
      <c r="H25" s="2" t="str">
        <f t="shared" si="6"/>
        <v/>
      </c>
      <c r="I25" t="str">
        <f t="shared" si="8"/>
        <v/>
      </c>
      <c r="K25" t="str">
        <f t="shared" si="9"/>
        <v/>
      </c>
      <c r="L25" t="str">
        <f t="shared" si="10"/>
        <v/>
      </c>
    </row>
    <row r="26" spans="1:12">
      <c r="A26" s="1"/>
      <c r="D26" s="3"/>
      <c r="E26" t="str">
        <f t="shared" si="7"/>
        <v/>
      </c>
      <c r="F26" s="17" t="str">
        <f t="shared" si="5"/>
        <v/>
      </c>
      <c r="G26" s="10" t="str">
        <f t="shared" si="4"/>
        <v/>
      </c>
      <c r="H26" s="2" t="str">
        <f t="shared" si="6"/>
        <v/>
      </c>
      <c r="I26" t="str">
        <f t="shared" si="8"/>
        <v/>
      </c>
      <c r="K26" t="str">
        <f t="shared" si="9"/>
        <v/>
      </c>
      <c r="L26" t="str">
        <f t="shared" si="10"/>
        <v/>
      </c>
    </row>
    <row r="27" spans="1:12">
      <c r="A27" s="1"/>
      <c r="D27" s="3"/>
      <c r="E27" t="str">
        <f t="shared" si="7"/>
        <v/>
      </c>
      <c r="F27" s="17" t="str">
        <f t="shared" si="5"/>
        <v/>
      </c>
      <c r="G27" s="10" t="str">
        <f t="shared" si="4"/>
        <v/>
      </c>
      <c r="H27" s="2" t="str">
        <f t="shared" si="6"/>
        <v/>
      </c>
      <c r="I27" t="str">
        <f t="shared" si="8"/>
        <v/>
      </c>
      <c r="K27" t="str">
        <f t="shared" si="9"/>
        <v/>
      </c>
      <c r="L27" t="str">
        <f t="shared" si="10"/>
        <v/>
      </c>
    </row>
    <row r="28" spans="1:12">
      <c r="A28" s="1"/>
      <c r="D28" s="3"/>
      <c r="E28" t="str">
        <f t="shared" si="7"/>
        <v/>
      </c>
      <c r="F28" s="17" t="str">
        <f t="shared" si="5"/>
        <v/>
      </c>
      <c r="G28" s="10" t="str">
        <f t="shared" si="4"/>
        <v/>
      </c>
      <c r="H28" s="2" t="str">
        <f t="shared" si="6"/>
        <v/>
      </c>
      <c r="I28" t="str">
        <f t="shared" si="8"/>
        <v/>
      </c>
      <c r="K28" t="str">
        <f t="shared" si="9"/>
        <v/>
      </c>
      <c r="L28" t="str">
        <f t="shared" si="10"/>
        <v/>
      </c>
    </row>
    <row r="29" spans="1:12">
      <c r="A29" s="1"/>
      <c r="D29" s="3"/>
      <c r="E29" t="str">
        <f t="shared" si="7"/>
        <v/>
      </c>
      <c r="F29" s="17" t="str">
        <f t="shared" si="5"/>
        <v/>
      </c>
      <c r="G29" s="10" t="str">
        <f t="shared" si="4"/>
        <v/>
      </c>
      <c r="H29" s="2" t="str">
        <f t="shared" si="6"/>
        <v/>
      </c>
      <c r="I29" t="str">
        <f t="shared" si="8"/>
        <v/>
      </c>
      <c r="K29" t="str">
        <f t="shared" si="9"/>
        <v/>
      </c>
      <c r="L29" t="str">
        <f t="shared" si="10"/>
        <v/>
      </c>
    </row>
    <row r="30" spans="1:12">
      <c r="A30" s="1"/>
      <c r="D30" s="3"/>
      <c r="E30" t="str">
        <f t="shared" si="7"/>
        <v/>
      </c>
      <c r="F30" s="17" t="str">
        <f t="shared" si="5"/>
        <v/>
      </c>
      <c r="G30" s="10" t="str">
        <f t="shared" si="4"/>
        <v/>
      </c>
      <c r="H30" s="2" t="str">
        <f t="shared" si="6"/>
        <v/>
      </c>
      <c r="I30" t="str">
        <f t="shared" si="8"/>
        <v/>
      </c>
      <c r="K30" t="str">
        <f t="shared" si="9"/>
        <v/>
      </c>
      <c r="L30" t="str">
        <f t="shared" si="10"/>
        <v/>
      </c>
    </row>
    <row r="31" spans="1:12">
      <c r="A31" s="1"/>
      <c r="D31" s="3"/>
      <c r="E31" t="str">
        <f t="shared" si="7"/>
        <v/>
      </c>
      <c r="F31" s="17" t="str">
        <f t="shared" si="5"/>
        <v/>
      </c>
      <c r="G31" s="10" t="str">
        <f t="shared" si="4"/>
        <v/>
      </c>
      <c r="H31" s="2" t="str">
        <f t="shared" si="6"/>
        <v/>
      </c>
      <c r="I31" t="str">
        <f t="shared" si="8"/>
        <v/>
      </c>
      <c r="K31" t="str">
        <f t="shared" si="9"/>
        <v/>
      </c>
      <c r="L31" t="str">
        <f t="shared" si="10"/>
        <v/>
      </c>
    </row>
    <row r="32" spans="1:12">
      <c r="A32" s="1"/>
      <c r="D32" s="3"/>
      <c r="E32" t="str">
        <f t="shared" si="7"/>
        <v/>
      </c>
      <c r="F32" s="17" t="str">
        <f t="shared" si="5"/>
        <v/>
      </c>
      <c r="G32" s="10" t="str">
        <f t="shared" si="4"/>
        <v/>
      </c>
      <c r="H32" s="2" t="str">
        <f t="shared" si="6"/>
        <v/>
      </c>
      <c r="I32" t="str">
        <f t="shared" si="8"/>
        <v/>
      </c>
      <c r="K32" t="str">
        <f t="shared" si="9"/>
        <v/>
      </c>
      <c r="L32" t="str">
        <f t="shared" si="10"/>
        <v/>
      </c>
    </row>
    <row r="33" spans="1:12">
      <c r="A33" s="1"/>
      <c r="D33" s="3"/>
      <c r="E33" t="str">
        <f t="shared" si="7"/>
        <v/>
      </c>
      <c r="F33" s="17" t="str">
        <f t="shared" si="5"/>
        <v/>
      </c>
      <c r="G33" s="10" t="str">
        <f t="shared" si="4"/>
        <v/>
      </c>
      <c r="H33" s="2" t="str">
        <f t="shared" si="6"/>
        <v/>
      </c>
      <c r="I33" t="str">
        <f t="shared" si="8"/>
        <v/>
      </c>
      <c r="K33" t="str">
        <f t="shared" si="9"/>
        <v/>
      </c>
      <c r="L33" t="str">
        <f t="shared" si="10"/>
        <v/>
      </c>
    </row>
    <row r="34" spans="1:12">
      <c r="A34" s="1"/>
      <c r="D34" s="3"/>
      <c r="E34" t="str">
        <f t="shared" si="7"/>
        <v/>
      </c>
      <c r="F34" s="17" t="str">
        <f t="shared" si="5"/>
        <v/>
      </c>
      <c r="G34" s="10" t="str">
        <f t="shared" si="4"/>
        <v/>
      </c>
      <c r="H34" s="2" t="str">
        <f t="shared" si="6"/>
        <v/>
      </c>
      <c r="I34" t="str">
        <f t="shared" si="8"/>
        <v/>
      </c>
      <c r="K34" t="str">
        <f t="shared" si="9"/>
        <v/>
      </c>
      <c r="L34" t="str">
        <f t="shared" si="10"/>
        <v/>
      </c>
    </row>
    <row r="35" spans="1:12">
      <c r="A35" s="1"/>
      <c r="D35" s="3"/>
      <c r="E35" t="str">
        <f t="shared" si="7"/>
        <v/>
      </c>
      <c r="F35" s="17" t="str">
        <f t="shared" si="5"/>
        <v/>
      </c>
      <c r="G35" s="10" t="str">
        <f t="shared" si="4"/>
        <v/>
      </c>
      <c r="H35" s="2" t="str">
        <f t="shared" si="6"/>
        <v/>
      </c>
      <c r="I35" t="str">
        <f t="shared" si="8"/>
        <v/>
      </c>
      <c r="K35" t="str">
        <f t="shared" si="9"/>
        <v/>
      </c>
      <c r="L35" t="str">
        <f t="shared" si="10"/>
        <v/>
      </c>
    </row>
    <row r="36" spans="1:12">
      <c r="A36" s="1"/>
      <c r="D36" s="3"/>
      <c r="E36" t="str">
        <f t="shared" si="7"/>
        <v/>
      </c>
      <c r="F36" s="17" t="str">
        <f t="shared" si="5"/>
        <v/>
      </c>
      <c r="G36" s="10" t="str">
        <f t="shared" si="4"/>
        <v/>
      </c>
      <c r="H36" s="2" t="str">
        <f t="shared" si="6"/>
        <v/>
      </c>
      <c r="I36" t="str">
        <f t="shared" si="8"/>
        <v/>
      </c>
      <c r="K36" t="str">
        <f t="shared" si="9"/>
        <v/>
      </c>
      <c r="L36" t="str">
        <f t="shared" si="10"/>
        <v/>
      </c>
    </row>
    <row r="37" spans="1:12">
      <c r="A37" s="1"/>
      <c r="D37" s="3"/>
      <c r="E37" t="str">
        <f t="shared" ref="E37:E51" si="11">IF(D37="","",(VLOOKUP(D37,CFOCodes,2,FALSE)))</f>
        <v/>
      </c>
      <c r="F37" s="17" t="str">
        <f t="shared" ref="F37:F66" si="12">IF(D37="","",0)</f>
        <v/>
      </c>
      <c r="G37" s="10" t="str">
        <f t="shared" ref="G37:G66" si="13">IF(D37="","",$G$7)</f>
        <v/>
      </c>
      <c r="H37" s="2" t="str">
        <f t="shared" ref="H37:H66" si="14">IF(D37="","",F37/G37)</f>
        <v/>
      </c>
      <c r="I37" t="str">
        <f t="shared" ref="I37:I51" si="15">IF(D37="","",(VLOOKUP(D37,CFOCodes,3,FALSE)))</f>
        <v/>
      </c>
      <c r="K37" t="str">
        <f t="shared" ref="K37:K51" si="16">IF(D37="","",(VLOOKUP(D37,CFOCodes,4,FALSE)))</f>
        <v/>
      </c>
      <c r="L37" t="str">
        <f t="shared" ref="L37:L51" si="17">IF(D37="","",(VLOOKUP(D37,CFOCodes,5,FALSE)))</f>
        <v/>
      </c>
    </row>
    <row r="38" spans="1:12">
      <c r="A38" s="1"/>
      <c r="D38" s="3"/>
      <c r="E38" t="str">
        <f t="shared" si="11"/>
        <v/>
      </c>
      <c r="F38" s="17" t="str">
        <f t="shared" si="12"/>
        <v/>
      </c>
      <c r="G38" s="10" t="str">
        <f t="shared" si="13"/>
        <v/>
      </c>
      <c r="H38" s="2" t="str">
        <f t="shared" si="14"/>
        <v/>
      </c>
      <c r="I38" t="str">
        <f t="shared" si="15"/>
        <v/>
      </c>
      <c r="K38" t="str">
        <f t="shared" si="16"/>
        <v/>
      </c>
      <c r="L38" t="str">
        <f t="shared" si="17"/>
        <v/>
      </c>
    </row>
    <row r="39" spans="1:12">
      <c r="A39" s="1"/>
      <c r="D39" s="3"/>
      <c r="E39" t="str">
        <f t="shared" si="11"/>
        <v/>
      </c>
      <c r="F39" s="17" t="str">
        <f t="shared" si="12"/>
        <v/>
      </c>
      <c r="G39" s="10" t="str">
        <f t="shared" si="13"/>
        <v/>
      </c>
      <c r="H39" s="2" t="str">
        <f t="shared" si="14"/>
        <v/>
      </c>
      <c r="I39" t="str">
        <f t="shared" si="15"/>
        <v/>
      </c>
      <c r="K39" t="str">
        <f t="shared" si="16"/>
        <v/>
      </c>
      <c r="L39" t="str">
        <f t="shared" si="17"/>
        <v/>
      </c>
    </row>
    <row r="40" spans="1:12">
      <c r="A40" s="1"/>
      <c r="D40" s="3"/>
      <c r="E40" t="str">
        <f t="shared" si="11"/>
        <v/>
      </c>
      <c r="F40" s="17" t="str">
        <f t="shared" si="12"/>
        <v/>
      </c>
      <c r="G40" s="10" t="str">
        <f t="shared" si="13"/>
        <v/>
      </c>
      <c r="H40" s="2" t="str">
        <f t="shared" si="14"/>
        <v/>
      </c>
      <c r="I40" t="str">
        <f t="shared" si="15"/>
        <v/>
      </c>
      <c r="K40" t="str">
        <f t="shared" si="16"/>
        <v/>
      </c>
      <c r="L40" t="str">
        <f t="shared" si="17"/>
        <v/>
      </c>
    </row>
    <row r="41" spans="1:12">
      <c r="A41" s="1"/>
      <c r="D41" s="3"/>
      <c r="E41" t="str">
        <f t="shared" si="11"/>
        <v/>
      </c>
      <c r="F41" s="17" t="str">
        <f t="shared" si="12"/>
        <v/>
      </c>
      <c r="G41" s="10" t="str">
        <f t="shared" si="13"/>
        <v/>
      </c>
      <c r="H41" s="2" t="str">
        <f t="shared" si="14"/>
        <v/>
      </c>
      <c r="I41" t="str">
        <f t="shared" si="15"/>
        <v/>
      </c>
      <c r="K41" t="str">
        <f t="shared" si="16"/>
        <v/>
      </c>
      <c r="L41" t="str">
        <f t="shared" si="17"/>
        <v/>
      </c>
    </row>
    <row r="42" spans="1:12">
      <c r="A42" s="1"/>
      <c r="D42" s="3"/>
      <c r="E42" t="str">
        <f t="shared" si="11"/>
        <v/>
      </c>
      <c r="F42" s="17" t="str">
        <f t="shared" si="12"/>
        <v/>
      </c>
      <c r="G42" s="10" t="str">
        <f t="shared" si="13"/>
        <v/>
      </c>
      <c r="H42" s="2" t="str">
        <f t="shared" si="14"/>
        <v/>
      </c>
      <c r="I42" t="str">
        <f t="shared" si="15"/>
        <v/>
      </c>
      <c r="K42" t="str">
        <f t="shared" si="16"/>
        <v/>
      </c>
      <c r="L42" t="str">
        <f t="shared" si="17"/>
        <v/>
      </c>
    </row>
    <row r="43" spans="1:12">
      <c r="A43" s="1"/>
      <c r="D43" s="3"/>
      <c r="E43" t="str">
        <f t="shared" si="11"/>
        <v/>
      </c>
      <c r="F43" s="17" t="str">
        <f t="shared" si="12"/>
        <v/>
      </c>
      <c r="G43" s="10" t="str">
        <f t="shared" si="13"/>
        <v/>
      </c>
      <c r="H43" s="2" t="str">
        <f t="shared" si="14"/>
        <v/>
      </c>
      <c r="I43" t="str">
        <f t="shared" si="15"/>
        <v/>
      </c>
      <c r="K43" t="str">
        <f t="shared" si="16"/>
        <v/>
      </c>
      <c r="L43" t="str">
        <f t="shared" si="17"/>
        <v/>
      </c>
    </row>
    <row r="44" spans="1:12">
      <c r="A44" s="1"/>
      <c r="D44" s="3"/>
      <c r="E44" t="str">
        <f t="shared" si="11"/>
        <v/>
      </c>
      <c r="F44" s="17" t="str">
        <f t="shared" si="12"/>
        <v/>
      </c>
      <c r="G44" s="10" t="str">
        <f t="shared" si="13"/>
        <v/>
      </c>
      <c r="H44" s="2" t="str">
        <f t="shared" si="14"/>
        <v/>
      </c>
      <c r="I44" t="str">
        <f t="shared" si="15"/>
        <v/>
      </c>
      <c r="K44" t="str">
        <f t="shared" si="16"/>
        <v/>
      </c>
      <c r="L44" t="str">
        <f t="shared" si="17"/>
        <v/>
      </c>
    </row>
    <row r="45" spans="1:12">
      <c r="A45" s="1"/>
      <c r="D45" s="3"/>
      <c r="E45" t="str">
        <f t="shared" si="11"/>
        <v/>
      </c>
      <c r="F45" s="17" t="str">
        <f t="shared" si="12"/>
        <v/>
      </c>
      <c r="G45" s="10" t="str">
        <f t="shared" si="13"/>
        <v/>
      </c>
      <c r="H45" s="2" t="str">
        <f t="shared" si="14"/>
        <v/>
      </c>
      <c r="I45" t="str">
        <f t="shared" si="15"/>
        <v/>
      </c>
      <c r="K45" t="str">
        <f t="shared" si="16"/>
        <v/>
      </c>
      <c r="L45" t="str">
        <f t="shared" si="17"/>
        <v/>
      </c>
    </row>
    <row r="46" spans="1:12">
      <c r="A46" s="1"/>
      <c r="D46" s="3"/>
      <c r="E46" t="str">
        <f t="shared" si="11"/>
        <v/>
      </c>
      <c r="F46" s="17" t="str">
        <f t="shared" si="12"/>
        <v/>
      </c>
      <c r="G46" s="10" t="str">
        <f t="shared" si="13"/>
        <v/>
      </c>
      <c r="H46" s="2" t="str">
        <f t="shared" si="14"/>
        <v/>
      </c>
      <c r="I46" t="str">
        <f t="shared" si="15"/>
        <v/>
      </c>
      <c r="K46" t="str">
        <f t="shared" si="16"/>
        <v/>
      </c>
      <c r="L46" t="str">
        <f t="shared" si="17"/>
        <v/>
      </c>
    </row>
    <row r="47" spans="1:12">
      <c r="A47" s="1"/>
      <c r="D47" s="3"/>
      <c r="E47" t="str">
        <f t="shared" si="11"/>
        <v/>
      </c>
      <c r="F47" s="17" t="str">
        <f t="shared" si="12"/>
        <v/>
      </c>
      <c r="G47" s="10" t="str">
        <f t="shared" si="13"/>
        <v/>
      </c>
      <c r="H47" s="2" t="str">
        <f t="shared" si="14"/>
        <v/>
      </c>
      <c r="I47" t="str">
        <f t="shared" si="15"/>
        <v/>
      </c>
      <c r="K47" t="str">
        <f t="shared" si="16"/>
        <v/>
      </c>
      <c r="L47" t="str">
        <f t="shared" si="17"/>
        <v/>
      </c>
    </row>
    <row r="48" spans="1:12">
      <c r="A48" s="1"/>
      <c r="D48" s="3"/>
      <c r="E48" t="str">
        <f t="shared" si="11"/>
        <v/>
      </c>
      <c r="F48" s="17" t="str">
        <f t="shared" si="12"/>
        <v/>
      </c>
      <c r="G48" s="10" t="str">
        <f t="shared" si="13"/>
        <v/>
      </c>
      <c r="H48" s="2" t="str">
        <f t="shared" si="14"/>
        <v/>
      </c>
      <c r="I48" t="str">
        <f t="shared" si="15"/>
        <v/>
      </c>
      <c r="K48" t="str">
        <f t="shared" si="16"/>
        <v/>
      </c>
      <c r="L48" t="str">
        <f t="shared" si="17"/>
        <v/>
      </c>
    </row>
    <row r="49" spans="1:12">
      <c r="A49" s="1"/>
      <c r="D49" s="3"/>
      <c r="E49" t="str">
        <f t="shared" si="11"/>
        <v/>
      </c>
      <c r="F49" s="17" t="str">
        <f t="shared" si="12"/>
        <v/>
      </c>
      <c r="G49" s="10" t="str">
        <f t="shared" si="13"/>
        <v/>
      </c>
      <c r="H49" s="2" t="str">
        <f t="shared" si="14"/>
        <v/>
      </c>
      <c r="I49" t="str">
        <f t="shared" si="15"/>
        <v/>
      </c>
      <c r="K49" t="str">
        <f t="shared" si="16"/>
        <v/>
      </c>
      <c r="L49" t="str">
        <f t="shared" si="17"/>
        <v/>
      </c>
    </row>
    <row r="50" spans="1:12">
      <c r="A50" s="1"/>
      <c r="D50" s="3"/>
      <c r="E50" t="str">
        <f t="shared" si="11"/>
        <v/>
      </c>
      <c r="F50" s="17" t="str">
        <f t="shared" si="12"/>
        <v/>
      </c>
      <c r="G50" s="10" t="str">
        <f t="shared" si="13"/>
        <v/>
      </c>
      <c r="H50" s="2" t="str">
        <f t="shared" si="14"/>
        <v/>
      </c>
      <c r="I50" t="str">
        <f t="shared" si="15"/>
        <v/>
      </c>
      <c r="K50" t="str">
        <f t="shared" si="16"/>
        <v/>
      </c>
      <c r="L50" t="str">
        <f t="shared" si="17"/>
        <v/>
      </c>
    </row>
    <row r="51" spans="1:12">
      <c r="A51" s="1"/>
      <c r="D51" s="3"/>
      <c r="E51" t="str">
        <f t="shared" si="11"/>
        <v/>
      </c>
      <c r="F51" s="17" t="str">
        <f t="shared" si="12"/>
        <v/>
      </c>
      <c r="G51" s="10" t="str">
        <f t="shared" si="13"/>
        <v/>
      </c>
      <c r="H51" s="2" t="str">
        <f t="shared" si="14"/>
        <v/>
      </c>
      <c r="I51" t="str">
        <f t="shared" si="15"/>
        <v/>
      </c>
      <c r="K51" t="str">
        <f t="shared" si="16"/>
        <v/>
      </c>
      <c r="L51" t="str">
        <f t="shared" si="17"/>
        <v/>
      </c>
    </row>
    <row r="52" spans="1:12">
      <c r="A52" s="1"/>
      <c r="D52" s="3"/>
      <c r="E52" t="str">
        <f t="shared" ref="E52:E66" si="18">IF(D52="","",(VLOOKUP(D52,CFOCodes,2,FALSE)))</f>
        <v/>
      </c>
      <c r="F52" s="17" t="str">
        <f t="shared" si="12"/>
        <v/>
      </c>
      <c r="G52" s="10" t="str">
        <f t="shared" si="13"/>
        <v/>
      </c>
      <c r="H52" s="2" t="str">
        <f t="shared" si="14"/>
        <v/>
      </c>
      <c r="I52" t="str">
        <f t="shared" ref="I52:I66" si="19">IF(D52="","",(VLOOKUP(D52,CFOCodes,3,FALSE)))</f>
        <v/>
      </c>
      <c r="K52" t="str">
        <f t="shared" ref="K52:K66" si="20">IF(D52="","",(VLOOKUP(D52,CFOCodes,4,FALSE)))</f>
        <v/>
      </c>
      <c r="L52" t="str">
        <f t="shared" ref="L52:L66" si="21">IF(D52="","",(VLOOKUP(D52,CFOCodes,5,FALSE)))</f>
        <v/>
      </c>
    </row>
    <row r="53" spans="1:12">
      <c r="A53" s="1"/>
      <c r="D53" s="3"/>
      <c r="E53" t="str">
        <f t="shared" si="18"/>
        <v/>
      </c>
      <c r="F53" s="17" t="str">
        <f t="shared" si="12"/>
        <v/>
      </c>
      <c r="G53" s="10" t="str">
        <f t="shared" si="13"/>
        <v/>
      </c>
      <c r="H53" s="2" t="str">
        <f t="shared" si="14"/>
        <v/>
      </c>
      <c r="I53" t="str">
        <f t="shared" si="19"/>
        <v/>
      </c>
      <c r="K53" t="str">
        <f t="shared" si="20"/>
        <v/>
      </c>
      <c r="L53" t="str">
        <f t="shared" si="21"/>
        <v/>
      </c>
    </row>
    <row r="54" spans="1:12">
      <c r="A54" s="1"/>
      <c r="D54" s="3"/>
      <c r="E54" t="str">
        <f t="shared" si="18"/>
        <v/>
      </c>
      <c r="F54" s="17" t="str">
        <f t="shared" si="12"/>
        <v/>
      </c>
      <c r="G54" s="10" t="str">
        <f t="shared" si="13"/>
        <v/>
      </c>
      <c r="H54" s="2" t="str">
        <f t="shared" si="14"/>
        <v/>
      </c>
      <c r="I54" t="str">
        <f t="shared" si="19"/>
        <v/>
      </c>
      <c r="K54" t="str">
        <f t="shared" si="20"/>
        <v/>
      </c>
      <c r="L54" t="str">
        <f t="shared" si="21"/>
        <v/>
      </c>
    </row>
    <row r="55" spans="1:12">
      <c r="A55" s="1"/>
      <c r="D55" s="3"/>
      <c r="E55" t="str">
        <f t="shared" si="18"/>
        <v/>
      </c>
      <c r="F55" s="17" t="str">
        <f t="shared" si="12"/>
        <v/>
      </c>
      <c r="G55" s="10" t="str">
        <f t="shared" si="13"/>
        <v/>
      </c>
      <c r="H55" s="2" t="str">
        <f t="shared" si="14"/>
        <v/>
      </c>
      <c r="I55" t="str">
        <f t="shared" si="19"/>
        <v/>
      </c>
      <c r="K55" t="str">
        <f t="shared" si="20"/>
        <v/>
      </c>
      <c r="L55" t="str">
        <f t="shared" si="21"/>
        <v/>
      </c>
    </row>
    <row r="56" spans="1:12">
      <c r="A56" s="1"/>
      <c r="D56" s="3"/>
      <c r="E56" t="str">
        <f t="shared" si="18"/>
        <v/>
      </c>
      <c r="F56" s="17" t="str">
        <f t="shared" si="12"/>
        <v/>
      </c>
      <c r="G56" s="10" t="str">
        <f t="shared" si="13"/>
        <v/>
      </c>
      <c r="H56" s="2" t="str">
        <f t="shared" si="14"/>
        <v/>
      </c>
      <c r="I56" t="str">
        <f t="shared" si="19"/>
        <v/>
      </c>
      <c r="K56" t="str">
        <f t="shared" si="20"/>
        <v/>
      </c>
      <c r="L56" t="str">
        <f t="shared" si="21"/>
        <v/>
      </c>
    </row>
    <row r="57" spans="1:12">
      <c r="A57" s="1"/>
      <c r="D57" s="3"/>
      <c r="E57" t="str">
        <f t="shared" si="18"/>
        <v/>
      </c>
      <c r="F57" s="17" t="str">
        <f t="shared" si="12"/>
        <v/>
      </c>
      <c r="G57" s="10" t="str">
        <f t="shared" si="13"/>
        <v/>
      </c>
      <c r="H57" s="2" t="str">
        <f t="shared" si="14"/>
        <v/>
      </c>
      <c r="I57" t="str">
        <f t="shared" si="19"/>
        <v/>
      </c>
      <c r="K57" t="str">
        <f t="shared" si="20"/>
        <v/>
      </c>
      <c r="L57" t="str">
        <f t="shared" si="21"/>
        <v/>
      </c>
    </row>
    <row r="58" spans="1:12">
      <c r="A58" s="1"/>
      <c r="D58" s="3"/>
      <c r="E58" t="str">
        <f t="shared" si="18"/>
        <v/>
      </c>
      <c r="F58" s="17" t="str">
        <f t="shared" si="12"/>
        <v/>
      </c>
      <c r="G58" s="10" t="str">
        <f t="shared" si="13"/>
        <v/>
      </c>
      <c r="H58" s="2" t="str">
        <f t="shared" si="14"/>
        <v/>
      </c>
      <c r="I58" t="str">
        <f t="shared" si="19"/>
        <v/>
      </c>
      <c r="K58" t="str">
        <f t="shared" si="20"/>
        <v/>
      </c>
      <c r="L58" t="str">
        <f t="shared" si="21"/>
        <v/>
      </c>
    </row>
    <row r="59" spans="1:12">
      <c r="A59" s="1"/>
      <c r="D59" s="3"/>
      <c r="E59" t="str">
        <f t="shared" si="18"/>
        <v/>
      </c>
      <c r="F59" s="17" t="str">
        <f t="shared" si="12"/>
        <v/>
      </c>
      <c r="G59" s="10" t="str">
        <f t="shared" si="13"/>
        <v/>
      </c>
      <c r="H59" s="2" t="str">
        <f t="shared" si="14"/>
        <v/>
      </c>
      <c r="I59" t="str">
        <f t="shared" si="19"/>
        <v/>
      </c>
      <c r="K59" t="str">
        <f t="shared" si="20"/>
        <v/>
      </c>
      <c r="L59" t="str">
        <f t="shared" si="21"/>
        <v/>
      </c>
    </row>
    <row r="60" spans="1:12">
      <c r="A60" s="1"/>
      <c r="D60" s="3"/>
      <c r="E60" t="str">
        <f t="shared" si="18"/>
        <v/>
      </c>
      <c r="F60" s="17" t="str">
        <f t="shared" si="12"/>
        <v/>
      </c>
      <c r="G60" s="10" t="str">
        <f t="shared" si="13"/>
        <v/>
      </c>
      <c r="H60" s="2" t="str">
        <f t="shared" si="14"/>
        <v/>
      </c>
      <c r="I60" t="str">
        <f t="shared" si="19"/>
        <v/>
      </c>
      <c r="K60" t="str">
        <f t="shared" si="20"/>
        <v/>
      </c>
      <c r="L60" t="str">
        <f t="shared" si="21"/>
        <v/>
      </c>
    </row>
    <row r="61" spans="1:12">
      <c r="A61" s="1"/>
      <c r="D61" s="3"/>
      <c r="E61" t="str">
        <f t="shared" si="18"/>
        <v/>
      </c>
      <c r="F61" s="17" t="str">
        <f t="shared" si="12"/>
        <v/>
      </c>
      <c r="G61" s="10" t="str">
        <f t="shared" si="13"/>
        <v/>
      </c>
      <c r="H61" s="2" t="str">
        <f t="shared" si="14"/>
        <v/>
      </c>
      <c r="I61" t="str">
        <f t="shared" si="19"/>
        <v/>
      </c>
      <c r="K61" t="str">
        <f t="shared" si="20"/>
        <v/>
      </c>
      <c r="L61" t="str">
        <f t="shared" si="21"/>
        <v/>
      </c>
    </row>
    <row r="62" spans="1:12">
      <c r="A62" s="1"/>
      <c r="D62" s="3"/>
      <c r="E62" t="str">
        <f t="shared" si="18"/>
        <v/>
      </c>
      <c r="F62" s="17" t="str">
        <f t="shared" si="12"/>
        <v/>
      </c>
      <c r="G62" s="10" t="str">
        <f t="shared" si="13"/>
        <v/>
      </c>
      <c r="H62" s="2" t="str">
        <f t="shared" si="14"/>
        <v/>
      </c>
      <c r="I62" t="str">
        <f t="shared" si="19"/>
        <v/>
      </c>
      <c r="K62" t="str">
        <f t="shared" si="20"/>
        <v/>
      </c>
      <c r="L62" t="str">
        <f t="shared" si="21"/>
        <v/>
      </c>
    </row>
    <row r="63" spans="1:12">
      <c r="A63" s="1"/>
      <c r="D63" s="3"/>
      <c r="E63" t="str">
        <f t="shared" si="18"/>
        <v/>
      </c>
      <c r="F63" s="17" t="str">
        <f t="shared" si="12"/>
        <v/>
      </c>
      <c r="G63" s="10" t="str">
        <f t="shared" si="13"/>
        <v/>
      </c>
      <c r="H63" s="2" t="str">
        <f t="shared" si="14"/>
        <v/>
      </c>
      <c r="I63" t="str">
        <f t="shared" si="19"/>
        <v/>
      </c>
      <c r="K63" t="str">
        <f t="shared" si="20"/>
        <v/>
      </c>
      <c r="L63" t="str">
        <f t="shared" si="21"/>
        <v/>
      </c>
    </row>
    <row r="64" spans="1:12">
      <c r="A64" s="1"/>
      <c r="D64" s="3"/>
      <c r="E64" t="str">
        <f t="shared" si="18"/>
        <v/>
      </c>
      <c r="F64" s="17" t="str">
        <f t="shared" si="12"/>
        <v/>
      </c>
      <c r="G64" s="10" t="str">
        <f t="shared" si="13"/>
        <v/>
      </c>
      <c r="H64" s="2" t="str">
        <f t="shared" si="14"/>
        <v/>
      </c>
      <c r="I64" t="str">
        <f t="shared" si="19"/>
        <v/>
      </c>
      <c r="K64" t="str">
        <f t="shared" si="20"/>
        <v/>
      </c>
      <c r="L64" t="str">
        <f t="shared" si="21"/>
        <v/>
      </c>
    </row>
    <row r="65" spans="1:12">
      <c r="A65" s="1"/>
      <c r="D65" s="3"/>
      <c r="E65" t="str">
        <f t="shared" si="18"/>
        <v/>
      </c>
      <c r="F65" s="17" t="str">
        <f t="shared" si="12"/>
        <v/>
      </c>
      <c r="G65" s="10" t="str">
        <f t="shared" si="13"/>
        <v/>
      </c>
      <c r="H65" s="2" t="str">
        <f t="shared" si="14"/>
        <v/>
      </c>
      <c r="I65" t="str">
        <f t="shared" si="19"/>
        <v/>
      </c>
      <c r="K65" t="str">
        <f t="shared" si="20"/>
        <v/>
      </c>
      <c r="L65" t="str">
        <f t="shared" si="21"/>
        <v/>
      </c>
    </row>
    <row r="66" spans="1:12">
      <c r="A66" s="1"/>
      <c r="D66" s="3"/>
      <c r="E66" t="str">
        <f t="shared" si="18"/>
        <v/>
      </c>
      <c r="F66" s="17" t="str">
        <f t="shared" si="12"/>
        <v/>
      </c>
      <c r="G66" s="10" t="str">
        <f t="shared" si="13"/>
        <v/>
      </c>
      <c r="H66" s="2" t="str">
        <f t="shared" si="14"/>
        <v/>
      </c>
      <c r="I66" t="str">
        <f t="shared" si="19"/>
        <v/>
      </c>
      <c r="K66" t="str">
        <f t="shared" si="20"/>
        <v/>
      </c>
      <c r="L66" t="str">
        <f t="shared" si="21"/>
        <v/>
      </c>
    </row>
    <row r="67" spans="1:12" s="4" customFormat="1" ht="20.45">
      <c r="A67" s="11"/>
      <c r="D67" s="4" t="s">
        <v>23</v>
      </c>
      <c r="F67" s="18">
        <f>SUM(F8:F66)</f>
        <v>38500</v>
      </c>
      <c r="H67" s="5">
        <f>SUM(H8:H66)</f>
        <v>1835.0810295519543</v>
      </c>
    </row>
    <row r="68" spans="1:12">
      <c r="A68" s="1"/>
    </row>
    <row r="69" spans="1:12">
      <c r="A69" s="1"/>
    </row>
    <row r="70" spans="1:12">
      <c r="A70" s="1"/>
    </row>
    <row r="71" spans="1:12">
      <c r="A71" s="1"/>
    </row>
    <row r="72" spans="1:12">
      <c r="A72" s="1"/>
    </row>
    <row r="73" spans="1:12">
      <c r="A73" s="1"/>
    </row>
    <row r="74" spans="1:12">
      <c r="A74" s="1"/>
    </row>
    <row r="75" spans="1:12">
      <c r="A75" s="1"/>
    </row>
    <row r="76" spans="1:12">
      <c r="A76" s="1"/>
    </row>
    <row r="77" spans="1:12">
      <c r="A77" s="1"/>
    </row>
    <row r="78" spans="1:12">
      <c r="A78" s="1"/>
    </row>
    <row r="79" spans="1:12">
      <c r="A79" s="1"/>
    </row>
    <row r="80" spans="1:12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</sheetData>
  <sheetProtection formatCells="0" formatColumns="0" formatRows="0" deleteRows="0" sort="0" autoFilter="0"/>
  <mergeCells count="19">
    <mergeCell ref="F6:F7"/>
    <mergeCell ref="L6:L7"/>
    <mergeCell ref="A1:L2"/>
    <mergeCell ref="A3:D3"/>
    <mergeCell ref="J3:L3"/>
    <mergeCell ref="J6:J7"/>
    <mergeCell ref="H6:H7"/>
    <mergeCell ref="I6:I7"/>
    <mergeCell ref="K6:K7"/>
    <mergeCell ref="A6:A7"/>
    <mergeCell ref="C6:C7"/>
    <mergeCell ref="D6:D7"/>
    <mergeCell ref="B6:B7"/>
    <mergeCell ref="E6:E7"/>
    <mergeCell ref="E3:F3"/>
    <mergeCell ref="A4:B4"/>
    <mergeCell ref="D5:F5"/>
    <mergeCell ref="D4:F4"/>
    <mergeCell ref="G3:I3"/>
  </mergeCells>
  <dataValidations count="1">
    <dataValidation type="list" allowBlank="1" showInputMessage="1" showErrorMessage="1" sqref="D8:D66" xr:uid="{00000000-0002-0000-0000-000000000000}">
      <formula1>Budget</formula1>
    </dataValidation>
  </dataValidations>
  <pageMargins left="0.7" right="0.7" top="0.75" bottom="0.75" header="0.3" footer="0.3"/>
  <pageSetup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52"/>
  <sheetViews>
    <sheetView zoomScale="111" zoomScaleNormal="55" workbookViewId="0">
      <selection activeCell="A23" sqref="A23"/>
    </sheetView>
  </sheetViews>
  <sheetFormatPr defaultRowHeight="14.45"/>
  <cols>
    <col min="1" max="1" width="84.140625" bestFit="1" customWidth="1"/>
    <col min="2" max="2" width="11.85546875" customWidth="1"/>
    <col min="3" max="3" width="10.85546875" customWidth="1"/>
    <col min="4" max="4" width="12.85546875" customWidth="1"/>
    <col min="5" max="5" width="12.5703125" bestFit="1" customWidth="1"/>
  </cols>
  <sheetData>
    <row r="1" spans="1:5">
      <c r="A1" s="7" t="s">
        <v>24</v>
      </c>
      <c r="B1" s="7" t="s">
        <v>8</v>
      </c>
      <c r="C1" s="7" t="s">
        <v>12</v>
      </c>
      <c r="D1" s="7" t="s">
        <v>25</v>
      </c>
      <c r="E1" s="7" t="s">
        <v>26</v>
      </c>
    </row>
    <row r="2" spans="1:5" s="6" customFormat="1" ht="12.95">
      <c r="A2" s="44" t="s">
        <v>27</v>
      </c>
      <c r="B2" s="44" t="s">
        <v>28</v>
      </c>
      <c r="C2" s="45">
        <v>7370</v>
      </c>
      <c r="D2" s="46" t="s">
        <v>29</v>
      </c>
      <c r="E2" s="46" t="s">
        <v>30</v>
      </c>
    </row>
    <row r="3" spans="1:5" s="6" customFormat="1" ht="12.95">
      <c r="A3" s="44" t="s">
        <v>19</v>
      </c>
      <c r="B3" s="44" t="s">
        <v>28</v>
      </c>
      <c r="C3" s="45">
        <v>7370</v>
      </c>
      <c r="D3" s="46" t="s">
        <v>29</v>
      </c>
      <c r="E3" s="46" t="s">
        <v>31</v>
      </c>
    </row>
    <row r="4" spans="1:5" s="6" customFormat="1" ht="12.95">
      <c r="A4" s="44" t="s">
        <v>32</v>
      </c>
      <c r="B4" s="44" t="s">
        <v>28</v>
      </c>
      <c r="C4" s="45">
        <v>7370</v>
      </c>
      <c r="D4" s="46" t="s">
        <v>29</v>
      </c>
      <c r="E4" s="46" t="s">
        <v>33</v>
      </c>
    </row>
    <row r="5" spans="1:5" s="6" customFormat="1" ht="12.95">
      <c r="A5" s="44" t="s">
        <v>34</v>
      </c>
      <c r="B5" s="44" t="s">
        <v>28</v>
      </c>
      <c r="C5" s="45">
        <v>7370</v>
      </c>
      <c r="D5" s="46" t="s">
        <v>29</v>
      </c>
      <c r="E5" s="46" t="s">
        <v>35</v>
      </c>
    </row>
    <row r="6" spans="1:5" s="6" customFormat="1" ht="12.95">
      <c r="A6" s="44" t="s">
        <v>36</v>
      </c>
      <c r="B6" s="44" t="s">
        <v>28</v>
      </c>
      <c r="C6" s="45">
        <v>7370</v>
      </c>
      <c r="D6" s="46" t="s">
        <v>29</v>
      </c>
      <c r="E6" s="46" t="s">
        <v>37</v>
      </c>
    </row>
    <row r="7" spans="1:5" s="6" customFormat="1" ht="12.95">
      <c r="A7" s="44" t="s">
        <v>38</v>
      </c>
      <c r="B7" s="44" t="s">
        <v>28</v>
      </c>
      <c r="C7" s="45">
        <v>7370</v>
      </c>
      <c r="D7" s="46" t="s">
        <v>29</v>
      </c>
      <c r="E7" s="46" t="s">
        <v>39</v>
      </c>
    </row>
    <row r="8" spans="1:5" s="6" customFormat="1" ht="12.95">
      <c r="A8" s="44" t="s">
        <v>40</v>
      </c>
      <c r="B8" s="44" t="s">
        <v>28</v>
      </c>
      <c r="C8" s="45">
        <v>7370</v>
      </c>
      <c r="D8" s="46" t="s">
        <v>29</v>
      </c>
      <c r="E8" s="46" t="s">
        <v>41</v>
      </c>
    </row>
    <row r="9" spans="1:5" s="6" customFormat="1" ht="12.95">
      <c r="A9" s="44" t="s">
        <v>42</v>
      </c>
      <c r="B9" s="44" t="s">
        <v>28</v>
      </c>
      <c r="C9" s="45">
        <v>7370</v>
      </c>
      <c r="D9" s="46" t="s">
        <v>29</v>
      </c>
      <c r="E9" s="46" t="s">
        <v>43</v>
      </c>
    </row>
    <row r="10" spans="1:5" s="6" customFormat="1" ht="12.95">
      <c r="A10" s="44" t="s">
        <v>44</v>
      </c>
      <c r="B10" s="44" t="s">
        <v>28</v>
      </c>
      <c r="C10" s="45">
        <v>7370</v>
      </c>
      <c r="D10" s="46" t="s">
        <v>29</v>
      </c>
      <c r="E10" s="46" t="s">
        <v>45</v>
      </c>
    </row>
    <row r="11" spans="1:5" s="6" customFormat="1" ht="12.95">
      <c r="A11" s="44" t="s">
        <v>46</v>
      </c>
      <c r="B11" s="44" t="s">
        <v>28</v>
      </c>
      <c r="C11" s="45">
        <v>7370</v>
      </c>
      <c r="D11" s="46" t="s">
        <v>29</v>
      </c>
      <c r="E11" s="46" t="s">
        <v>47</v>
      </c>
    </row>
    <row r="12" spans="1:5" s="6" customFormat="1" ht="12.95">
      <c r="A12" s="44" t="s">
        <v>48</v>
      </c>
      <c r="B12" s="44" t="s">
        <v>28</v>
      </c>
      <c r="C12" s="45">
        <v>7370</v>
      </c>
      <c r="D12" s="46" t="s">
        <v>29</v>
      </c>
      <c r="E12" s="46" t="s">
        <v>49</v>
      </c>
    </row>
    <row r="13" spans="1:5" s="6" customFormat="1" ht="12.95">
      <c r="A13" s="44" t="s">
        <v>50</v>
      </c>
      <c r="B13" s="44" t="s">
        <v>28</v>
      </c>
      <c r="C13" s="45">
        <v>7370</v>
      </c>
      <c r="D13" s="46" t="s">
        <v>29</v>
      </c>
      <c r="E13" s="46" t="s">
        <v>51</v>
      </c>
    </row>
    <row r="14" spans="1:5" s="6" customFormat="1" ht="12.95">
      <c r="A14" s="44" t="s">
        <v>52</v>
      </c>
      <c r="B14" s="44" t="s">
        <v>28</v>
      </c>
      <c r="C14" s="45">
        <v>7370</v>
      </c>
      <c r="D14" s="46" t="s">
        <v>29</v>
      </c>
      <c r="E14" s="44" t="s">
        <v>53</v>
      </c>
    </row>
    <row r="15" spans="1:5" s="6" customFormat="1" ht="12.95">
      <c r="A15" s="44" t="s">
        <v>54</v>
      </c>
      <c r="B15" s="44" t="s">
        <v>28</v>
      </c>
      <c r="C15" s="45">
        <v>7370</v>
      </c>
      <c r="D15" s="46" t="s">
        <v>29</v>
      </c>
      <c r="E15" s="44" t="s">
        <v>55</v>
      </c>
    </row>
    <row r="16" spans="1:5" s="6" customFormat="1" ht="12.95">
      <c r="A16" s="44" t="s">
        <v>56</v>
      </c>
      <c r="B16" s="44" t="s">
        <v>28</v>
      </c>
      <c r="C16" s="45">
        <v>7370</v>
      </c>
      <c r="D16" s="46" t="s">
        <v>29</v>
      </c>
      <c r="E16" s="44" t="s">
        <v>57</v>
      </c>
    </row>
    <row r="17" spans="1:5" s="6" customFormat="1" ht="12.95">
      <c r="A17" s="44" t="s">
        <v>58</v>
      </c>
      <c r="B17" s="44" t="s">
        <v>28</v>
      </c>
      <c r="C17" s="45">
        <v>7370</v>
      </c>
      <c r="D17" s="46" t="s">
        <v>29</v>
      </c>
      <c r="E17" s="44" t="s">
        <v>59</v>
      </c>
    </row>
    <row r="18" spans="1:5" s="6" customFormat="1" ht="12.95">
      <c r="A18" s="44" t="s">
        <v>60</v>
      </c>
      <c r="B18" s="44" t="s">
        <v>28</v>
      </c>
      <c r="C18" s="45">
        <v>7370</v>
      </c>
      <c r="D18" s="46" t="s">
        <v>29</v>
      </c>
      <c r="E18" s="44" t="s">
        <v>61</v>
      </c>
    </row>
    <row r="19" spans="1:5" s="6" customFormat="1" ht="12.95">
      <c r="A19" s="44" t="s">
        <v>62</v>
      </c>
      <c r="B19" s="44" t="s">
        <v>28</v>
      </c>
      <c r="C19" s="45">
        <v>7370</v>
      </c>
      <c r="D19" s="46" t="s">
        <v>29</v>
      </c>
      <c r="E19" s="44" t="s">
        <v>63</v>
      </c>
    </row>
    <row r="20" spans="1:5" s="6" customFormat="1" ht="12.95">
      <c r="A20" s="44" t="s">
        <v>64</v>
      </c>
      <c r="B20" s="44" t="s">
        <v>28</v>
      </c>
      <c r="C20" s="45">
        <v>7370</v>
      </c>
      <c r="D20" s="46" t="s">
        <v>29</v>
      </c>
      <c r="E20" s="44" t="s">
        <v>65</v>
      </c>
    </row>
    <row r="21" spans="1:5" s="6" customFormat="1" ht="12.95">
      <c r="A21" s="44" t="s">
        <v>66</v>
      </c>
      <c r="B21" s="44" t="s">
        <v>28</v>
      </c>
      <c r="C21" s="45">
        <v>7370</v>
      </c>
      <c r="D21" s="46" t="s">
        <v>29</v>
      </c>
      <c r="E21" s="44" t="s">
        <v>67</v>
      </c>
    </row>
    <row r="22" spans="1:5" s="6" customFormat="1" ht="12.95">
      <c r="A22" s="44" t="s">
        <v>68</v>
      </c>
      <c r="B22" s="44" t="s">
        <v>28</v>
      </c>
      <c r="C22" s="45">
        <v>7370</v>
      </c>
      <c r="D22" s="46" t="s">
        <v>29</v>
      </c>
      <c r="E22" s="44" t="s">
        <v>69</v>
      </c>
    </row>
    <row r="23" spans="1:5">
      <c r="A23" s="44" t="s">
        <v>70</v>
      </c>
      <c r="B23" s="44" t="s">
        <v>28</v>
      </c>
      <c r="C23" s="45">
        <v>7370</v>
      </c>
      <c r="D23" s="46" t="s">
        <v>29</v>
      </c>
      <c r="E23" s="44" t="s">
        <v>71</v>
      </c>
    </row>
    <row r="24" spans="1:5">
      <c r="A24" s="44" t="s">
        <v>17</v>
      </c>
      <c r="B24" s="44" t="s">
        <v>28</v>
      </c>
      <c r="C24" s="45">
        <v>7370</v>
      </c>
      <c r="D24" s="46" t="s">
        <v>29</v>
      </c>
      <c r="E24" s="44" t="s">
        <v>72</v>
      </c>
    </row>
    <row r="25" spans="1:5">
      <c r="A25" s="44" t="s">
        <v>73</v>
      </c>
      <c r="B25" s="44" t="s">
        <v>28</v>
      </c>
      <c r="C25" s="45">
        <v>7370</v>
      </c>
      <c r="D25" s="46" t="s">
        <v>29</v>
      </c>
      <c r="E25" s="44" t="s">
        <v>74</v>
      </c>
    </row>
    <row r="26" spans="1:5">
      <c r="A26" s="44" t="s">
        <v>75</v>
      </c>
      <c r="B26" s="44" t="s">
        <v>28</v>
      </c>
      <c r="C26" s="45">
        <v>7370</v>
      </c>
      <c r="D26" s="46" t="s">
        <v>29</v>
      </c>
      <c r="E26" s="44" t="s">
        <v>76</v>
      </c>
    </row>
    <row r="27" spans="1:5">
      <c r="A27" s="44" t="s">
        <v>77</v>
      </c>
      <c r="B27" s="44" t="s">
        <v>28</v>
      </c>
      <c r="C27" s="45">
        <v>7370</v>
      </c>
      <c r="D27" s="46" t="s">
        <v>29</v>
      </c>
      <c r="E27" s="44" t="s">
        <v>78</v>
      </c>
    </row>
    <row r="28" spans="1:5">
      <c r="A28" s="44" t="s">
        <v>21</v>
      </c>
      <c r="B28" s="44" t="s">
        <v>28</v>
      </c>
      <c r="C28" s="45">
        <v>7370</v>
      </c>
      <c r="D28" s="46" t="s">
        <v>29</v>
      </c>
      <c r="E28" s="44" t="s">
        <v>79</v>
      </c>
    </row>
    <row r="29" spans="1:5" s="6" customFormat="1" ht="12.95">
      <c r="A29" s="44" t="s">
        <v>80</v>
      </c>
      <c r="B29" s="44" t="s">
        <v>81</v>
      </c>
      <c r="C29" s="45">
        <v>7370</v>
      </c>
      <c r="D29" s="46" t="s">
        <v>29</v>
      </c>
      <c r="E29" s="46" t="s">
        <v>30</v>
      </c>
    </row>
    <row r="30" spans="1:5" s="6" customFormat="1" ht="12.95">
      <c r="A30" s="44" t="s">
        <v>82</v>
      </c>
      <c r="B30" s="44" t="s">
        <v>81</v>
      </c>
      <c r="C30" s="45">
        <v>7370</v>
      </c>
      <c r="D30" s="46" t="s">
        <v>29</v>
      </c>
      <c r="E30" s="46" t="s">
        <v>31</v>
      </c>
    </row>
    <row r="31" spans="1:5" s="6" customFormat="1" ht="12.95">
      <c r="A31" s="44" t="s">
        <v>83</v>
      </c>
      <c r="B31" s="44" t="s">
        <v>81</v>
      </c>
      <c r="C31" s="45">
        <v>7370</v>
      </c>
      <c r="D31" s="46" t="s">
        <v>29</v>
      </c>
      <c r="E31" s="46" t="s">
        <v>33</v>
      </c>
    </row>
    <row r="32" spans="1:5" s="6" customFormat="1" ht="12.95">
      <c r="A32" s="44" t="s">
        <v>84</v>
      </c>
      <c r="B32" s="44" t="s">
        <v>81</v>
      </c>
      <c r="C32" s="45">
        <v>7370</v>
      </c>
      <c r="D32" s="46" t="s">
        <v>29</v>
      </c>
      <c r="E32" s="46" t="s">
        <v>35</v>
      </c>
    </row>
    <row r="33" spans="1:5" s="6" customFormat="1" ht="12.95">
      <c r="A33" s="44" t="s">
        <v>85</v>
      </c>
      <c r="B33" s="44" t="s">
        <v>81</v>
      </c>
      <c r="C33" s="45">
        <v>7370</v>
      </c>
      <c r="D33" s="46" t="s">
        <v>29</v>
      </c>
      <c r="E33" s="46" t="s">
        <v>37</v>
      </c>
    </row>
    <row r="34" spans="1:5" s="6" customFormat="1" ht="12.95">
      <c r="A34" s="44" t="s">
        <v>86</v>
      </c>
      <c r="B34" s="44" t="s">
        <v>81</v>
      </c>
      <c r="C34" s="45">
        <v>7370</v>
      </c>
      <c r="D34" s="46" t="s">
        <v>29</v>
      </c>
      <c r="E34" s="46" t="s">
        <v>39</v>
      </c>
    </row>
    <row r="35" spans="1:5" s="6" customFormat="1" ht="12.95">
      <c r="A35" s="44" t="s">
        <v>87</v>
      </c>
      <c r="B35" s="44" t="s">
        <v>81</v>
      </c>
      <c r="C35" s="45">
        <v>7370</v>
      </c>
      <c r="D35" s="46" t="s">
        <v>29</v>
      </c>
      <c r="E35" s="46" t="s">
        <v>41</v>
      </c>
    </row>
    <row r="36" spans="1:5" s="6" customFormat="1" ht="12.95">
      <c r="A36" s="44" t="s">
        <v>88</v>
      </c>
      <c r="B36" s="44" t="s">
        <v>81</v>
      </c>
      <c r="C36" s="45">
        <v>7370</v>
      </c>
      <c r="D36" s="46" t="s">
        <v>29</v>
      </c>
      <c r="E36" s="46" t="s">
        <v>43</v>
      </c>
    </row>
    <row r="37" spans="1:5" s="6" customFormat="1" ht="12.95">
      <c r="A37" s="44" t="s">
        <v>89</v>
      </c>
      <c r="B37" s="44" t="s">
        <v>81</v>
      </c>
      <c r="C37" s="45">
        <v>7370</v>
      </c>
      <c r="D37" s="46" t="s">
        <v>29</v>
      </c>
      <c r="E37" s="46" t="s">
        <v>45</v>
      </c>
    </row>
    <row r="38" spans="1:5" s="6" customFormat="1" ht="12.95">
      <c r="A38" s="44" t="s">
        <v>90</v>
      </c>
      <c r="B38" s="44" t="s">
        <v>81</v>
      </c>
      <c r="C38" s="45">
        <v>7370</v>
      </c>
      <c r="D38" s="46" t="s">
        <v>29</v>
      </c>
      <c r="E38" s="46" t="s">
        <v>47</v>
      </c>
    </row>
    <row r="39" spans="1:5" s="6" customFormat="1" ht="12.95">
      <c r="A39" s="44" t="s">
        <v>91</v>
      </c>
      <c r="B39" s="44" t="s">
        <v>81</v>
      </c>
      <c r="C39" s="45">
        <v>7370</v>
      </c>
      <c r="D39" s="46" t="s">
        <v>29</v>
      </c>
      <c r="E39" s="46" t="s">
        <v>49</v>
      </c>
    </row>
    <row r="40" spans="1:5" s="6" customFormat="1" ht="12.95">
      <c r="A40" s="44" t="s">
        <v>92</v>
      </c>
      <c r="B40" s="44" t="s">
        <v>81</v>
      </c>
      <c r="C40" s="45">
        <v>7370</v>
      </c>
      <c r="D40" s="46" t="s">
        <v>29</v>
      </c>
      <c r="E40" s="46" t="s">
        <v>51</v>
      </c>
    </row>
    <row r="41" spans="1:5" s="6" customFormat="1" ht="12.95">
      <c r="A41" s="44" t="s">
        <v>93</v>
      </c>
      <c r="B41" s="44" t="s">
        <v>81</v>
      </c>
      <c r="C41" s="45">
        <v>7370</v>
      </c>
      <c r="D41" s="46" t="s">
        <v>29</v>
      </c>
      <c r="E41" s="44" t="s">
        <v>53</v>
      </c>
    </row>
    <row r="42" spans="1:5" s="6" customFormat="1" ht="12.95">
      <c r="A42" s="44" t="s">
        <v>94</v>
      </c>
      <c r="B42" s="44" t="s">
        <v>81</v>
      </c>
      <c r="C42" s="45">
        <v>7370</v>
      </c>
      <c r="D42" s="46" t="s">
        <v>29</v>
      </c>
      <c r="E42" s="44" t="s">
        <v>55</v>
      </c>
    </row>
    <row r="43" spans="1:5" s="6" customFormat="1" ht="12.95">
      <c r="A43" s="44" t="s">
        <v>95</v>
      </c>
      <c r="B43" s="44" t="s">
        <v>81</v>
      </c>
      <c r="C43" s="45">
        <v>7370</v>
      </c>
      <c r="D43" s="46" t="s">
        <v>29</v>
      </c>
      <c r="E43" s="44" t="s">
        <v>57</v>
      </c>
    </row>
    <row r="44" spans="1:5" s="6" customFormat="1" ht="12.95">
      <c r="A44" s="44" t="s">
        <v>96</v>
      </c>
      <c r="B44" s="44" t="s">
        <v>81</v>
      </c>
      <c r="C44" s="45">
        <v>7370</v>
      </c>
      <c r="D44" s="46" t="s">
        <v>29</v>
      </c>
      <c r="E44" s="44" t="s">
        <v>59</v>
      </c>
    </row>
    <row r="45" spans="1:5" s="6" customFormat="1" ht="12.95">
      <c r="A45" s="44" t="s">
        <v>97</v>
      </c>
      <c r="B45" s="44" t="s">
        <v>81</v>
      </c>
      <c r="C45" s="45">
        <v>7370</v>
      </c>
      <c r="D45" s="46" t="s">
        <v>29</v>
      </c>
      <c r="E45" s="44" t="s">
        <v>61</v>
      </c>
    </row>
    <row r="46" spans="1:5" s="6" customFormat="1" ht="12.95">
      <c r="A46" s="44" t="s">
        <v>98</v>
      </c>
      <c r="B46" s="44" t="s">
        <v>81</v>
      </c>
      <c r="C46" s="45">
        <v>7370</v>
      </c>
      <c r="D46" s="46" t="s">
        <v>29</v>
      </c>
      <c r="E46" s="44" t="s">
        <v>63</v>
      </c>
    </row>
    <row r="47" spans="1:5" s="6" customFormat="1" ht="12.95">
      <c r="A47" s="44" t="s">
        <v>99</v>
      </c>
      <c r="B47" s="44" t="s">
        <v>81</v>
      </c>
      <c r="C47" s="45">
        <v>7370</v>
      </c>
      <c r="D47" s="46" t="s">
        <v>29</v>
      </c>
      <c r="E47" s="44" t="s">
        <v>65</v>
      </c>
    </row>
    <row r="48" spans="1:5" s="6" customFormat="1" ht="12.95">
      <c r="A48" s="44" t="s">
        <v>100</v>
      </c>
      <c r="B48" s="44" t="s">
        <v>81</v>
      </c>
      <c r="C48" s="45">
        <v>7370</v>
      </c>
      <c r="D48" s="46" t="s">
        <v>29</v>
      </c>
      <c r="E48" s="44" t="s">
        <v>67</v>
      </c>
    </row>
    <row r="49" spans="1:5">
      <c r="A49" s="44" t="s">
        <v>101</v>
      </c>
      <c r="B49" s="44" t="s">
        <v>81</v>
      </c>
      <c r="C49" s="45">
        <v>7370</v>
      </c>
      <c r="D49" s="46" t="s">
        <v>29</v>
      </c>
      <c r="E49" s="44" t="s">
        <v>102</v>
      </c>
    </row>
    <row r="50" spans="1:5">
      <c r="A50" s="44" t="s">
        <v>103</v>
      </c>
      <c r="B50" s="44" t="s">
        <v>81</v>
      </c>
      <c r="C50" s="45">
        <v>7370</v>
      </c>
      <c r="D50" s="46" t="s">
        <v>29</v>
      </c>
      <c r="E50" s="44" t="s">
        <v>104</v>
      </c>
    </row>
    <row r="51" spans="1:5">
      <c r="A51" s="44" t="s">
        <v>105</v>
      </c>
      <c r="B51" s="44" t="s">
        <v>81</v>
      </c>
      <c r="C51" s="45">
        <v>7370</v>
      </c>
      <c r="D51" s="46" t="s">
        <v>29</v>
      </c>
      <c r="E51" s="44" t="s">
        <v>106</v>
      </c>
    </row>
    <row r="52" spans="1:5">
      <c r="A52" s="44" t="s">
        <v>107</v>
      </c>
      <c r="B52" s="44" t="s">
        <v>81</v>
      </c>
      <c r="C52" s="45">
        <v>7370</v>
      </c>
      <c r="D52" s="46" t="s">
        <v>29</v>
      </c>
      <c r="E52" s="44" t="s">
        <v>79</v>
      </c>
    </row>
  </sheetData>
  <sheetProtection sheet="1" objects="1" scenario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7A93BE-7DCE-44E1-B2DF-AE9AC2B871C8}"/>
</file>

<file path=customXml/itemProps2.xml><?xml version="1.0" encoding="utf-8"?>
<ds:datastoreItem xmlns:ds="http://schemas.openxmlformats.org/officeDocument/2006/customXml" ds:itemID="{A9931724-764A-437D-A76D-A9125C8A41B1}"/>
</file>

<file path=customXml/itemProps3.xml><?xml version="1.0" encoding="utf-8"?>
<ds:datastoreItem xmlns:ds="http://schemas.openxmlformats.org/officeDocument/2006/customXml" ds:itemID="{DEA62A86-9A86-4CD3-AE50-62E0B2D8A2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~Danielle~</dc:creator>
  <cp:keywords/>
  <dc:description/>
  <cp:lastModifiedBy>Román Alberto Rojas Hernández</cp:lastModifiedBy>
  <cp:revision/>
  <dcterms:created xsi:type="dcterms:W3CDTF">2016-01-06T16:54:57Z</dcterms:created>
  <dcterms:modified xsi:type="dcterms:W3CDTF">2021-11-30T22:42:25Z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3579200</vt:r8>
  </property>
</Properties>
</file>