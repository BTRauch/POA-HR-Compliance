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Travel Policy &amp; Per Diem Templates/Per Diem Templates/"/>
    </mc:Choice>
  </mc:AlternateContent>
  <xr:revisionPtr revIDLastSave="71" documentId="13_ncr:1_{2AEEEB82-C3B6-4D66-942A-86D62245E251}" xr6:coauthVersionLast="47" xr6:coauthVersionMax="47" xr10:uidLastSave="{09D8F0A9-19AB-41E4-BFFE-05D176764E7A}"/>
  <bookViews>
    <workbookView xWindow="-96" yWindow="-96" windowWidth="23232" windowHeight="12552" xr2:uid="{00000000-000D-0000-FFFF-FFFF00000000}"/>
  </bookViews>
  <sheets>
    <sheet name="Per Diem Report" sheetId="1" r:id="rId1"/>
    <sheet name="Codes" sheetId="9" r:id="rId2"/>
  </sheets>
  <definedNames>
    <definedName name="Account_Codes">Codes!$A$683:$A$716</definedName>
    <definedName name="ALGERIA">Codes!#REF!</definedName>
    <definedName name="ANTIGUA_AND_BARBUDA">Codes!$F$3:$F$4</definedName>
    <definedName name="_xlnm.Print_Area" localSheetId="0">'Per Diem Report'!$R$11:$S$25</definedName>
    <definedName name="ARGENTINA">Codes!$F$5:$F$8</definedName>
    <definedName name="BAHAMAS">Codes!$F$9:$F$13</definedName>
    <definedName name="BARBADOS">Codes!$F$14</definedName>
    <definedName name="BELIZE">Codes!$F$15:$F$22</definedName>
    <definedName name="BOLIVIA">Codes!$F$23:$F$28</definedName>
    <definedName name="BRAZIL">Codes!$F$29:$F$43</definedName>
    <definedName name="CANADA">Codes!$F$44:$F$70</definedName>
    <definedName name="CAYMAN_ISLANDS">Codes!$F$71</definedName>
    <definedName name="CHILE">Codes!$F$72:$F$73</definedName>
    <definedName name="COLOMBIA">Codes!$F$74:$F$87</definedName>
    <definedName name="COSTA_RICA">Codes!$F$88:$F$89</definedName>
    <definedName name="Country">Codes!$A$551:$A$594</definedName>
    <definedName name="CTYCodes">Codes!$A$656:$A$680</definedName>
    <definedName name="CUBA">Codes!$F$90:$F$97</definedName>
    <definedName name="Departments">Codes!$A$614:$A$635</definedName>
    <definedName name="DOMINICA">Codes!$F$98</definedName>
    <definedName name="DOMINICAN_REPUBLIC">Codes!$F$99:$F$105</definedName>
    <definedName name="ECUADOR">Codes!$F$106:$F$111</definedName>
    <definedName name="EL_SALVADOR">Codes!$F$112:$F$113</definedName>
    <definedName name="ExclusionPercent">Codes!$A$604:$B$611</definedName>
    <definedName name="Exclusions">Codes!$A$604:$A$611</definedName>
    <definedName name="FRANCE">Codes!$F$114</definedName>
    <definedName name="FRENCH_GUIANA">Codes!$F$115</definedName>
    <definedName name="Grants">Codes!$A$638:$A$653</definedName>
    <definedName name="GRENADA">Codes!$F$116</definedName>
    <definedName name="GUATEMALA">Codes!$F$117:$F$118</definedName>
    <definedName name="GUYANA">Codes!$F$119:$F$120</definedName>
    <definedName name="HAITI">Codes!$F$121:$F$126</definedName>
    <definedName name="HONDURAS">Codes!$F$127:$F$132</definedName>
    <definedName name="JAMAICA">Codes!$F$133:$F$135</definedName>
    <definedName name="MAURITANIA">Codes!$F$136:$F$139</definedName>
    <definedName name="MEXICO">Codes!$F$140:$F$181</definedName>
    <definedName name="MOROCCO">Codes!#REF!</definedName>
    <definedName name="NETHERLANDS">Codes!#REF!</definedName>
    <definedName name="NICARAGUA">Codes!$F$182:$F$185</definedName>
    <definedName name="NIGERIA">Codes!$F$186:$F$190</definedName>
    <definedName name="PANAMA">Codes!$F$191:$F$194</definedName>
    <definedName name="PARAGUAY">Codes!$F$195:$F$198</definedName>
    <definedName name="PerDiemRates">Codes!$F$3:$G$547</definedName>
    <definedName name="PERU">Codes!$F$199:$F$202</definedName>
    <definedName name="SAINT_KITTS_AND_NEVIS">Codes!$F$203</definedName>
    <definedName name="SAINT_VINCENT_AND_GRENADINES">Codes!$F$204</definedName>
    <definedName name="SAUDI_ARABIA">Codes!$F$205:$F$206</definedName>
    <definedName name="SENEGAL">Codes!$F$207:$F$209</definedName>
    <definedName name="SURINAME">Codes!$F$210:$F$211</definedName>
    <definedName name="TRINIDAD_AND_TOBAGO">Codes!$F$212:$F$214</definedName>
    <definedName name="TUNISIA">Codes!$F$215:$F$222</definedName>
    <definedName name="UNITED_ARAB_EMIRATES">Codes!$F$545:$F$547</definedName>
    <definedName name="UNITED_STATES">Codes!$F$238:$F$544</definedName>
    <definedName name="URUGUAY">Codes!$F$223:$F$226</definedName>
    <definedName name="VENEZUELA">Codes!$F$227:$F$236</definedName>
    <definedName name="VIRGIN_ISLANDS_BRITISH">Codes!$F$237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K11" i="1"/>
  <c r="O35" i="1"/>
  <c r="O11" i="1" l="1"/>
  <c r="P11" i="1" l="1"/>
  <c r="P36" i="1" l="1"/>
  <c r="P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tc={1F7C1C49-DD6D-42BF-B466-55967528F37E}</author>
  </authors>
  <commentList>
    <comment ref="C10" authorId="0" shapeId="0" xr:uid="{1F7C1C49-DD6D-42BF-B466-55967528F37E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diem type only applies on the first and last day of travel. Only select partial per diem on the first day of travel if leaving home/office after 6AM. Only select partial per diem on the last day of travel if returning to home/office before 7PM.</t>
      </text>
    </comment>
  </commentList>
</comments>
</file>

<file path=xl/sharedStrings.xml><?xml version="1.0" encoding="utf-8"?>
<sst xmlns="http://schemas.openxmlformats.org/spreadsheetml/2006/main" count="2380" uniqueCount="1280">
  <si>
    <t>Version 2026-07</t>
  </si>
  <si>
    <t>Per Diem Report</t>
  </si>
  <si>
    <t>Name:</t>
  </si>
  <si>
    <t>Dates</t>
  </si>
  <si>
    <t>Trip/Event</t>
  </si>
  <si>
    <t>Date</t>
  </si>
  <si>
    <t>Description of Expense</t>
  </si>
  <si>
    <t>Per Diem Type</t>
  </si>
  <si>
    <t>Country</t>
  </si>
  <si>
    <t>Region/State/City</t>
  </si>
  <si>
    <t>Department</t>
  </si>
  <si>
    <t>Grant</t>
  </si>
  <si>
    <t>Budget Activity</t>
  </si>
  <si>
    <t>Account Code</t>
  </si>
  <si>
    <t xml:space="preserve">USG Per Diem </t>
  </si>
  <si>
    <t>Partners Per Diem</t>
  </si>
  <si>
    <t>Rate (Based on Parital/Full Day)</t>
  </si>
  <si>
    <t>Exclusions</t>
  </si>
  <si>
    <t>Exclusion Percentage</t>
  </si>
  <si>
    <t>Amount USD$</t>
  </si>
  <si>
    <t xml:space="preserve">Comments </t>
  </si>
  <si>
    <t>Partial Per Diem</t>
  </si>
  <si>
    <t>NIGERIA</t>
  </si>
  <si>
    <t>[Other], NIGERIA</t>
  </si>
  <si>
    <t xml:space="preserve">None </t>
  </si>
  <si>
    <t>Total Expenses</t>
  </si>
  <si>
    <t>I certify that above charges, incurred by me, are correct and proper.</t>
  </si>
  <si>
    <t>Amount of Advance</t>
  </si>
  <si>
    <t>Total Due</t>
  </si>
  <si>
    <t>Submitted by:</t>
  </si>
  <si>
    <t>Signature</t>
  </si>
  <si>
    <t>Approved by:</t>
  </si>
  <si>
    <t>If using Replicon, no signature above is required</t>
  </si>
  <si>
    <t>Region/State</t>
  </si>
  <si>
    <t>City</t>
  </si>
  <si>
    <t xml:space="preserve">Meals &amp; Incidentals </t>
  </si>
  <si>
    <t>ANTIGUA_AND_BARBUDA</t>
  </si>
  <si>
    <t>[Other]</t>
  </si>
  <si>
    <t>N/A</t>
  </si>
  <si>
    <t>[Other], ANTIGUA_AND_BARBUDA</t>
  </si>
  <si>
    <t>Antigua_&amp;_Barbuda</t>
  </si>
  <si>
    <t>Antigua_&amp;_Barbuda, ANTIGUA_AND_BARBUDA</t>
  </si>
  <si>
    <t>ARGENTINA</t>
  </si>
  <si>
    <t>[Other], ARGENTINA</t>
  </si>
  <si>
    <t>Bariloche</t>
  </si>
  <si>
    <t>Bariloche, ARGENTINA</t>
  </si>
  <si>
    <t>Buenos_Aires</t>
  </si>
  <si>
    <t>Buenos_Aires, ARGENTINA</t>
  </si>
  <si>
    <t>Mendoza</t>
  </si>
  <si>
    <t>Mendoza, ARGENTINA</t>
  </si>
  <si>
    <t>BAHAMAS</t>
  </si>
  <si>
    <t>[Other], BAHAMAS</t>
  </si>
  <si>
    <t>Andros_Island</t>
  </si>
  <si>
    <t>Andros_Island, BAHAMAS</t>
  </si>
  <si>
    <t>Eleuthera_Island</t>
  </si>
  <si>
    <t>Eleuthera_Island, BAHAMAS</t>
  </si>
  <si>
    <t>Grand_Bahama_Island</t>
  </si>
  <si>
    <t>Grand_Bahama_Island, BAHAMAS</t>
  </si>
  <si>
    <t>Nassau</t>
  </si>
  <si>
    <t>Nassau, BAHAMAS</t>
  </si>
  <si>
    <t>BARBADOS</t>
  </si>
  <si>
    <t>Barbados</t>
  </si>
  <si>
    <t>Barbados, BARBADOS</t>
  </si>
  <si>
    <t>BELIZE</t>
  </si>
  <si>
    <t>[Other], BELIZE</t>
  </si>
  <si>
    <t>Belize City</t>
  </si>
  <si>
    <t>Belize City, BELIZE</t>
  </si>
  <si>
    <t>Belmopan</t>
  </si>
  <si>
    <t>Belmopan, BELIZE</t>
  </si>
  <si>
    <t>Caye Caulker</t>
  </si>
  <si>
    <t>Caye Caulker, BELIZE</t>
  </si>
  <si>
    <t>Hopkins</t>
  </si>
  <si>
    <t>Hopkins, BELIZE</t>
  </si>
  <si>
    <t>Placencia</t>
  </si>
  <si>
    <t>Placencia, BELIZE</t>
  </si>
  <si>
    <t>San Ignacio Town</t>
  </si>
  <si>
    <t>San Ignacio Town, BELIZE</t>
  </si>
  <si>
    <t>San Pedro</t>
  </si>
  <si>
    <t>San Pedro, BELIZE</t>
  </si>
  <si>
    <t>BOLIVIA</t>
  </si>
  <si>
    <t>[Other], BOLIVIA</t>
  </si>
  <si>
    <t>Cochabamba</t>
  </si>
  <si>
    <t>Cochabamba, BOLIVIA</t>
  </si>
  <si>
    <t>La_Paz</t>
  </si>
  <si>
    <t>La_Paz, BOLIVIA</t>
  </si>
  <si>
    <t>Potosi</t>
  </si>
  <si>
    <t>Potosi, BOLIVIA</t>
  </si>
  <si>
    <t>Santa_Cruz</t>
  </si>
  <si>
    <t>Santa_Cruz, BOLIVIA</t>
  </si>
  <si>
    <t>Tarija</t>
  </si>
  <si>
    <t>Tarija, BOLIVIA</t>
  </si>
  <si>
    <t>BRAZIL</t>
  </si>
  <si>
    <t>[Other], BRAZIL</t>
  </si>
  <si>
    <t>Belem</t>
  </si>
  <si>
    <t>Belem, BRAZIL</t>
  </si>
  <si>
    <t>Belo_Horizonte</t>
  </si>
  <si>
    <t>Belo_Horizonte, BRAZIL</t>
  </si>
  <si>
    <t>Brasilia</t>
  </si>
  <si>
    <t>Brasilia, BRAZIL</t>
  </si>
  <si>
    <t>Fortaleza</t>
  </si>
  <si>
    <t>Fortaleza, BRAZIL</t>
  </si>
  <si>
    <t>Foz_do_Iguacu</t>
  </si>
  <si>
    <t>Foz_do_Iguacu, BRAZIL</t>
  </si>
  <si>
    <t>Goiania</t>
  </si>
  <si>
    <t>Goiania, BRAZIL</t>
  </si>
  <si>
    <t>Manaus</t>
  </si>
  <si>
    <t>Manaus, BRAZIL</t>
  </si>
  <si>
    <t>Natal</t>
  </si>
  <si>
    <t>Natal, BRAZIL</t>
  </si>
  <si>
    <t>Porto_Alegre</t>
  </si>
  <si>
    <t>Porto_Alegre, BRAZIL</t>
  </si>
  <si>
    <t>Porto_Velho</t>
  </si>
  <si>
    <t>Porto_Velho, BRAZIL</t>
  </si>
  <si>
    <t>Recife_Pernambuco</t>
  </si>
  <si>
    <t>Recife_Pernambuco, BRAZIL</t>
  </si>
  <si>
    <t>Rio_de_Janeiro</t>
  </si>
  <si>
    <t>Rio_de_Janeiro, BRAZIL</t>
  </si>
  <si>
    <t>Salvador_da_Bahia</t>
  </si>
  <si>
    <t>Salvador_da_Bahia, BRAZIL</t>
  </si>
  <si>
    <t>Sao_Paulo</t>
  </si>
  <si>
    <t>Sao_Paulo, BRAZIL</t>
  </si>
  <si>
    <t>CANADA</t>
  </si>
  <si>
    <t>[Other], CANADA</t>
  </si>
  <si>
    <t>Calgary</t>
  </si>
  <si>
    <t>Calgary, CANADA</t>
  </si>
  <si>
    <t>Dartmouth</t>
  </si>
  <si>
    <t>Dartmouth, CANADA</t>
  </si>
  <si>
    <t>Edmonton</t>
  </si>
  <si>
    <t>Edmonton, CANADA</t>
  </si>
  <si>
    <t>Fredericton</t>
  </si>
  <si>
    <t>Fredericton, CANADA</t>
  </si>
  <si>
    <t>Gander, Newfoundland</t>
  </si>
  <si>
    <t>Gander, Newfoundland, CANADA</t>
  </si>
  <si>
    <t>Goose Bay</t>
  </si>
  <si>
    <t>Goose Bay, CANADA</t>
  </si>
  <si>
    <t>Halifax</t>
  </si>
  <si>
    <t>Halifax, CANADA</t>
  </si>
  <si>
    <t>Kelowna</t>
  </si>
  <si>
    <t>Kelowna, CANADA</t>
  </si>
  <si>
    <t>London, Ontario</t>
  </si>
  <si>
    <t>London, Ontario, CANADA</t>
  </si>
  <si>
    <t>Moncton</t>
  </si>
  <si>
    <t>Moncton, CANADA</t>
  </si>
  <si>
    <t>Montreal</t>
  </si>
  <si>
    <t>Montreal, CANADA</t>
  </si>
  <si>
    <t>Nanoose Bay</t>
  </si>
  <si>
    <t>Nanoose Bay, CANADA</t>
  </si>
  <si>
    <t>Niagara Falls, Ontario</t>
  </si>
  <si>
    <t>Niagara Falls, Ontario, CANADA</t>
  </si>
  <si>
    <t>Ottawa</t>
  </si>
  <si>
    <t>Ottawa, CANADA</t>
  </si>
  <si>
    <t>Prince Edward Island</t>
  </si>
  <si>
    <t>Prince Edward Island, CANADA</t>
  </si>
  <si>
    <t>Quebec</t>
  </si>
  <si>
    <t>Quebec, CANADA</t>
  </si>
  <si>
    <t>Richmond</t>
  </si>
  <si>
    <t>Richmond, CANADA</t>
  </si>
  <si>
    <t>Sidney</t>
  </si>
  <si>
    <t>Sidney, CANADA</t>
  </si>
  <si>
    <t>St. John's, Newfoundland</t>
  </si>
  <si>
    <t>St. John's, Newfoundland, CANADA</t>
  </si>
  <si>
    <t>Toronto</t>
  </si>
  <si>
    <t>Toronto, CANADA</t>
  </si>
  <si>
    <t>Vancouver</t>
  </si>
  <si>
    <t>Vancouver, CANADA</t>
  </si>
  <si>
    <t>Victoria</t>
  </si>
  <si>
    <t>Victoria, CANADA</t>
  </si>
  <si>
    <t>Whistler, BC</t>
  </si>
  <si>
    <t>Whistler, BC, CANADA</t>
  </si>
  <si>
    <t>Whitehorse, Yukon</t>
  </si>
  <si>
    <t>Whitehorse, Yukon, CANADA</t>
  </si>
  <si>
    <t>Winnipeg</t>
  </si>
  <si>
    <t>Winnipeg, CANADA</t>
  </si>
  <si>
    <t>Yellowknife</t>
  </si>
  <si>
    <t>Yellowknife, CANADA</t>
  </si>
  <si>
    <t>CAYMAN_ISLANDS</t>
  </si>
  <si>
    <t>Cayman_Islands</t>
  </si>
  <si>
    <t>Cayman_Islands, CAYMAN_ISLANDS</t>
  </si>
  <si>
    <t>CHILE</t>
  </si>
  <si>
    <t>[Other], CHILE</t>
  </si>
  <si>
    <t>Santiago</t>
  </si>
  <si>
    <t>Santiago, CHILE</t>
  </si>
  <si>
    <t>COLOMBIA</t>
  </si>
  <si>
    <t>[Other], COLOMBIA</t>
  </si>
  <si>
    <t>Barranquilla</t>
  </si>
  <si>
    <t>Barranquilla, COLOMBIA</t>
  </si>
  <si>
    <t>Bogota</t>
  </si>
  <si>
    <t>Bogota, COLOMBIA</t>
  </si>
  <si>
    <t>Bucaramanga</t>
  </si>
  <si>
    <t>Bucaramanga, COLOMBIA</t>
  </si>
  <si>
    <t>Buenaventura</t>
  </si>
  <si>
    <t>Buenaventura, COLOMBIA</t>
  </si>
  <si>
    <t>Cali</t>
  </si>
  <si>
    <t>Cali, COLOMBIA</t>
  </si>
  <si>
    <t>Cartagena</t>
  </si>
  <si>
    <t>Cartagena, COLOMBIA</t>
  </si>
  <si>
    <t>Cucuta</t>
  </si>
  <si>
    <t>Cucuta, COLOMBIA</t>
  </si>
  <si>
    <t>Medellin</t>
  </si>
  <si>
    <t>Medellin, COLOMBIA</t>
  </si>
  <si>
    <t>Pasto</t>
  </si>
  <si>
    <t>Pasto, COLOMBIA</t>
  </si>
  <si>
    <t>San Andres</t>
  </si>
  <si>
    <t>San Andres, COLOMBIA</t>
  </si>
  <si>
    <t>San Jose del Guaviare</t>
  </si>
  <si>
    <t>San Jose del Guaviare, COLOMBIA</t>
  </si>
  <si>
    <t>Santa Marta</t>
  </si>
  <si>
    <t>Santa Marta, COLOMBIA</t>
  </si>
  <si>
    <t>Tumaco</t>
  </si>
  <si>
    <t>Tumaco, COLOMBIA</t>
  </si>
  <si>
    <t>COSTA_RICA</t>
  </si>
  <si>
    <t>[Other], COSTA_RICA</t>
  </si>
  <si>
    <t>San_Jose</t>
  </si>
  <si>
    <t>San_Jose, COSTA_RICA</t>
  </si>
  <si>
    <t>CUBA</t>
  </si>
  <si>
    <t>[Other], CUBA</t>
  </si>
  <si>
    <t>Camaguey</t>
  </si>
  <si>
    <t>Camaguey, CUBA</t>
  </si>
  <si>
    <t>Guantanamo_Bay</t>
  </si>
  <si>
    <t>Guantanamo_Bay, CUBA</t>
  </si>
  <si>
    <t>Havana</t>
  </si>
  <si>
    <t>Havana, CUBA</t>
  </si>
  <si>
    <t>Holguin</t>
  </si>
  <si>
    <t>Holguin, CUBA</t>
  </si>
  <si>
    <t>Matanzas</t>
  </si>
  <si>
    <t>Matanzas, CUBA</t>
  </si>
  <si>
    <t>Santiago, CUBA</t>
  </si>
  <si>
    <t>Trinidad</t>
  </si>
  <si>
    <t>Trinidad, CUBA</t>
  </si>
  <si>
    <t>DOMINICA</t>
  </si>
  <si>
    <t>Dominica</t>
  </si>
  <si>
    <t>Dominica, DOMINICA</t>
  </si>
  <si>
    <t>DOMINICAN_REPUBLIC</t>
  </si>
  <si>
    <t>[Other], DOMINICAN_REPUBLIC</t>
  </si>
  <si>
    <t>Bavaro</t>
  </si>
  <si>
    <t>Bavaro, DOMINICAN_REPUBLIC</t>
  </si>
  <si>
    <t>La_Romana</t>
  </si>
  <si>
    <t>La_Romana, DOMINICAN_REPUBLIC</t>
  </si>
  <si>
    <t>Puerto_Plata</t>
  </si>
  <si>
    <t>Puerto_Plata, DOMINICAN_REPUBLIC</t>
  </si>
  <si>
    <t>Punta_Cana</t>
  </si>
  <si>
    <t>Punta_Cana, DOMINICAN_REPUBLIC</t>
  </si>
  <si>
    <t>Santo_Domingo</t>
  </si>
  <si>
    <t>Santo_Domingo, DOMINICAN_REPUBLIC</t>
  </si>
  <si>
    <t>Sosua</t>
  </si>
  <si>
    <t>Sosua, DOMINICAN_REPUBLIC</t>
  </si>
  <si>
    <t>ECUADOR</t>
  </si>
  <si>
    <t>[Other], ECUADOR</t>
  </si>
  <si>
    <t>Cuenca</t>
  </si>
  <si>
    <t>Cuenca, ECUADOR</t>
  </si>
  <si>
    <t>Galapagos_Islands</t>
  </si>
  <si>
    <t>Galapagos_Islands, ECUADOR</t>
  </si>
  <si>
    <t>Guayaquil</t>
  </si>
  <si>
    <t>Guayaquil, ECUADOR</t>
  </si>
  <si>
    <t>Manta</t>
  </si>
  <si>
    <t>Manta, ECUADOR</t>
  </si>
  <si>
    <t>Quito</t>
  </si>
  <si>
    <t>Quito, ECUADOR</t>
  </si>
  <si>
    <t>EL_SALVADOR</t>
  </si>
  <si>
    <t>[Other], EL_SALVADOR</t>
  </si>
  <si>
    <t>San_Salvador</t>
  </si>
  <si>
    <t>San_Salvador, EL_SALVADOR</t>
  </si>
  <si>
    <t>FRANCE</t>
  </si>
  <si>
    <t>Paris</t>
  </si>
  <si>
    <t>Paris_FRANCE</t>
  </si>
  <si>
    <t>FRENCH_GUIANA</t>
  </si>
  <si>
    <t>French_Guiana</t>
  </si>
  <si>
    <t>French_Guiana, FRENCH_GUIANA</t>
  </si>
  <si>
    <t>GRENADA</t>
  </si>
  <si>
    <t>Grenada</t>
  </si>
  <si>
    <t>Grenada, GRENADA</t>
  </si>
  <si>
    <t>GUATEMALA</t>
  </si>
  <si>
    <t>[Other], GUATEMALA</t>
  </si>
  <si>
    <t>Guatemala_City</t>
  </si>
  <si>
    <t>Guatemala_City, GUATEMALA</t>
  </si>
  <si>
    <t>GUYANA</t>
  </si>
  <si>
    <t>[Other], GUYANA</t>
  </si>
  <si>
    <t>Georgetown</t>
  </si>
  <si>
    <t>Georgetown, GUYANA</t>
  </si>
  <si>
    <t>HAITI</t>
  </si>
  <si>
    <t>[Other], HAITI</t>
  </si>
  <si>
    <t>Cap_Haitien</t>
  </si>
  <si>
    <t>Cap_Haitien, HAITI</t>
  </si>
  <si>
    <t>Jacmel</t>
  </si>
  <si>
    <t>Jacmel, HAITI</t>
  </si>
  <si>
    <t>Montrouis</t>
  </si>
  <si>
    <t>Montrouis, HAITI</t>
  </si>
  <si>
    <t>Petionville</t>
  </si>
  <si>
    <t>Petionville, HAITI</t>
  </si>
  <si>
    <t>Port_au_Prince</t>
  </si>
  <si>
    <t>Port_au_Prince, HAITI</t>
  </si>
  <si>
    <t>HONDURAS</t>
  </si>
  <si>
    <t>[Other], HONDURAS</t>
  </si>
  <si>
    <t>Bay_Islands</t>
  </si>
  <si>
    <t>Bay_Islands, HONDURAS</t>
  </si>
  <si>
    <t>La_Ceiba</t>
  </si>
  <si>
    <t>La_Ceiba, HONDURAS</t>
  </si>
  <si>
    <t>San_Pedro_Sula</t>
  </si>
  <si>
    <t>San_Pedro_Sula, HONDURAS</t>
  </si>
  <si>
    <t>Tegucigalpa</t>
  </si>
  <si>
    <t>Tegucigalpa, HONDURAS</t>
  </si>
  <si>
    <t>Tela</t>
  </si>
  <si>
    <t>Tela, HONDURAS</t>
  </si>
  <si>
    <t>JAMAICA</t>
  </si>
  <si>
    <t>[Other], JAMAICA</t>
  </si>
  <si>
    <t>Kingston</t>
  </si>
  <si>
    <t>Kingston, JAMAICA</t>
  </si>
  <si>
    <t>Montego_Bay</t>
  </si>
  <si>
    <t>Montego_Bay, JAMAICA</t>
  </si>
  <si>
    <t>MAURITANIA</t>
  </si>
  <si>
    <t>[Other], MAURITANIA</t>
  </si>
  <si>
    <t>Kaedi</t>
  </si>
  <si>
    <t>Kaedi, MAURITANIA</t>
  </si>
  <si>
    <t>Nouadhibou</t>
  </si>
  <si>
    <t>Nouadhibou, MAURITANIA</t>
  </si>
  <si>
    <t>Nouakchott</t>
  </si>
  <si>
    <t>Nouakchott, MAURITANIA</t>
  </si>
  <si>
    <t>MEXICO</t>
  </si>
  <si>
    <t>[Other], MEXICO</t>
  </si>
  <si>
    <t>Acapulco</t>
  </si>
  <si>
    <t>Acapulco, MEXICO</t>
  </si>
  <si>
    <t>Campeche</t>
  </si>
  <si>
    <t>Campeche, MEXICO</t>
  </si>
  <si>
    <t>Cancun</t>
  </si>
  <si>
    <t>Cancun, MEXICO</t>
  </si>
  <si>
    <t>Chihuahua</t>
  </si>
  <si>
    <t>Chihuahua, MEXICO</t>
  </si>
  <si>
    <t>Ciudad Juarez</t>
  </si>
  <si>
    <t>Ciudad Juarez, MEXICO</t>
  </si>
  <si>
    <t>Ciudad Victoria</t>
  </si>
  <si>
    <t>Ciudad Victoria, MEXICO</t>
  </si>
  <si>
    <t>Colima</t>
  </si>
  <si>
    <t>Colima, MEXICO</t>
  </si>
  <si>
    <t>Cozumel</t>
  </si>
  <si>
    <t>Cozumel, MEXICO</t>
  </si>
  <si>
    <t>Cuernavaca</t>
  </si>
  <si>
    <t>Cuernavaca, MEXICO</t>
  </si>
  <si>
    <t>Culiacan</t>
  </si>
  <si>
    <t>Culiacan, MEXICO</t>
  </si>
  <si>
    <t>Ensenada</t>
  </si>
  <si>
    <t>Ensenada, MEXICO</t>
  </si>
  <si>
    <t>Guadalajara</t>
  </si>
  <si>
    <t>Guadalajara, MEXICO</t>
  </si>
  <si>
    <t>Hermosillo</t>
  </si>
  <si>
    <t>Hermosillo, MEXICO</t>
  </si>
  <si>
    <t>Huatulco</t>
  </si>
  <si>
    <t>Huatulco, MEXICO</t>
  </si>
  <si>
    <t>Ixtapa Zihuatanejo</t>
  </si>
  <si>
    <t>Ixtapa Zihuatanejo, MEXICO</t>
  </si>
  <si>
    <t>La Paz</t>
  </si>
  <si>
    <t>La Paz, MEXICO</t>
  </si>
  <si>
    <t>Los Cabos (Cabo San Lucas and San Jose del Ca</t>
  </si>
  <si>
    <t>Los Cabos (Cabo San Lucas and San Jose del Ca, MEXICO</t>
  </si>
  <si>
    <t>Manzanillo</t>
  </si>
  <si>
    <t>Manzanillo, MEXICO</t>
  </si>
  <si>
    <t>Matamoros</t>
  </si>
  <si>
    <t>Matamoros, MEXICO</t>
  </si>
  <si>
    <t>Mazatlan</t>
  </si>
  <si>
    <t>Mazatlan, MEXICO</t>
  </si>
  <si>
    <t>Merida</t>
  </si>
  <si>
    <t>Merida, MEXICO</t>
  </si>
  <si>
    <t>Mexicali</t>
  </si>
  <si>
    <t>Mexicali, MEXICO</t>
  </si>
  <si>
    <t>Mexico City, D.F.</t>
  </si>
  <si>
    <t>Mexico City, D.F., MEXICO</t>
  </si>
  <si>
    <t>Monterrey</t>
  </si>
  <si>
    <t>Monterrey, MEXICO</t>
  </si>
  <si>
    <t>Morelia</t>
  </si>
  <si>
    <t>Morelia, MEXICO</t>
  </si>
  <si>
    <t>Nogales</t>
  </si>
  <si>
    <t>Nogales, MEXICO</t>
  </si>
  <si>
    <t>Nuevo Laredo</t>
  </si>
  <si>
    <t>Nuevo Laredo, MEXICO</t>
  </si>
  <si>
    <t>Oaxaca</t>
  </si>
  <si>
    <t>Oaxaca, MEXICO</t>
  </si>
  <si>
    <t>Playa del Carmen, Quintana Roo</t>
  </si>
  <si>
    <t>Playa del Carmen, Quintana Roo, MEXICO</t>
  </si>
  <si>
    <t>Puebla</t>
  </si>
  <si>
    <t>Puebla, MEXICO</t>
  </si>
  <si>
    <t>Puerto Penasco</t>
  </si>
  <si>
    <t>Puerto Penasco, MEXICO</t>
  </si>
  <si>
    <t>Puerto Vallarta</t>
  </si>
  <si>
    <t>Puerto Vallarta, MEXICO</t>
  </si>
  <si>
    <t>Queretaro</t>
  </si>
  <si>
    <t>Queretaro, MEXICO</t>
  </si>
  <si>
    <t>San Carlos</t>
  </si>
  <si>
    <t>San Carlos, MEXICO</t>
  </si>
  <si>
    <t>San Luis Potosi</t>
  </si>
  <si>
    <t>San Luis Potosi, MEXICO</t>
  </si>
  <si>
    <t>San Miguel de Allende</t>
  </si>
  <si>
    <t>San Miguel de Allende, MEXICO</t>
  </si>
  <si>
    <t>Tapachula</t>
  </si>
  <si>
    <t>Tapachula, MEXICO</t>
  </si>
  <si>
    <t>Tijuana</t>
  </si>
  <si>
    <t>Tijuana, MEXICO</t>
  </si>
  <si>
    <t>Valle del Bravo</t>
  </si>
  <si>
    <t>Valle del Bravo, MEXICO</t>
  </si>
  <si>
    <t>Veracruz</t>
  </si>
  <si>
    <t>Veracruz, MEXICO</t>
  </si>
  <si>
    <t>Zacatecas</t>
  </si>
  <si>
    <t>Zacatecas, MEXICO</t>
  </si>
  <si>
    <t>NICARAGUA</t>
  </si>
  <si>
    <t>[Other], NICARAGUA</t>
  </si>
  <si>
    <t>Corn_Island</t>
  </si>
  <si>
    <t>Corn_Island, NICARAGUA</t>
  </si>
  <si>
    <t>Managua</t>
  </si>
  <si>
    <t>Managua, NICARAGUA</t>
  </si>
  <si>
    <t>San_Juan_del_Sur</t>
  </si>
  <si>
    <t>San_Juan_del_Sur, NICARAGUA</t>
  </si>
  <si>
    <t>Abuja</t>
  </si>
  <si>
    <t>Abuja, NIGERIA</t>
  </si>
  <si>
    <t>Kaduna</t>
  </si>
  <si>
    <t>Kaduna, NIGERIA</t>
  </si>
  <si>
    <t>Lagos</t>
  </si>
  <si>
    <t>Lagos, NIGERIA</t>
  </si>
  <si>
    <t>Port Harcourt</t>
  </si>
  <si>
    <t>Port Harcourt, NIGERIA</t>
  </si>
  <si>
    <t>PANAMA</t>
  </si>
  <si>
    <t>[Other], PANAMA</t>
  </si>
  <si>
    <t>Colon</t>
  </si>
  <si>
    <t>Colon, PANAMA</t>
  </si>
  <si>
    <t>David_Chiriqui</t>
  </si>
  <si>
    <t>David_Chiriqui, PANAMA</t>
  </si>
  <si>
    <t>Panama_City</t>
  </si>
  <si>
    <t>Panama_City, PANAMA</t>
  </si>
  <si>
    <t>PARAGUAY</t>
  </si>
  <si>
    <t>[Other], PARAGUAY</t>
  </si>
  <si>
    <t>Asuncion</t>
  </si>
  <si>
    <t>Asuncion, PARAGUAY</t>
  </si>
  <si>
    <t>Ciudad_del_Este</t>
  </si>
  <si>
    <t>Ciudad_del_Este, PARAGUAY</t>
  </si>
  <si>
    <t>Pegro_Juan</t>
  </si>
  <si>
    <t>Pegro_Juan, PARAGUAY</t>
  </si>
  <si>
    <t>PERU</t>
  </si>
  <si>
    <t>[Other], PERU</t>
  </si>
  <si>
    <t>Cusco</t>
  </si>
  <si>
    <t>Cusco, PERU</t>
  </si>
  <si>
    <t>Lima</t>
  </si>
  <si>
    <t>Lima, PERU</t>
  </si>
  <si>
    <t>Paracas</t>
  </si>
  <si>
    <t>Paracas, PERU</t>
  </si>
  <si>
    <t>SAINT_KITTS_AND_NEVIS</t>
  </si>
  <si>
    <t>Saint_Kitts_and_Nevis</t>
  </si>
  <si>
    <t>Saint_Kitts_&amp;_Nevis, SAINT_KITTS_&amp;_NEVIS</t>
  </si>
  <si>
    <t>SAINT_VINCENT_AND_GRENADINES</t>
  </si>
  <si>
    <t>Saint_Vincent_and_Grenadines</t>
  </si>
  <si>
    <t>Saint_Vincent_&amp;_Grenadines, SAINT_VINCENT_&amp;_THE_GRENADINES</t>
  </si>
  <si>
    <t>SAUDI_ARABIA</t>
  </si>
  <si>
    <t>Riyadh</t>
  </si>
  <si>
    <t>Riyadh, SAUDI_ARABIA</t>
  </si>
  <si>
    <t>[Other], SAUDI_ARABIA</t>
  </si>
  <si>
    <t>SENEGAL</t>
  </si>
  <si>
    <t>Dakar</t>
  </si>
  <si>
    <t>Dakar, SENEGAL</t>
  </si>
  <si>
    <t>Mbour</t>
  </si>
  <si>
    <t>Mbour, SENEGAL</t>
  </si>
  <si>
    <t>[Other], SENEGAL</t>
  </si>
  <si>
    <t>SURINAME</t>
  </si>
  <si>
    <t>[Other], SURINAME</t>
  </si>
  <si>
    <t>Paramaribo</t>
  </si>
  <si>
    <t>Paramaribo, SURINAME</t>
  </si>
  <si>
    <t>TRINIDAD_AND_TOBAGO</t>
  </si>
  <si>
    <t>[Other], TRINIDAD_&amp;_TOBAGO</t>
  </si>
  <si>
    <t>Port_of_Spain</t>
  </si>
  <si>
    <t>Port_of_Spain, TRINIDAD_&amp;_TOBAGO</t>
  </si>
  <si>
    <t>Tobago</t>
  </si>
  <si>
    <t>Tobago, TRINIDAD_&amp;_TOBAGO</t>
  </si>
  <si>
    <t>TUNISIA</t>
  </si>
  <si>
    <t>[Other], TUNISIA</t>
  </si>
  <si>
    <t>Hammamet</t>
  </si>
  <si>
    <t>Hammamet, TUNISIA</t>
  </si>
  <si>
    <t>Jerba</t>
  </si>
  <si>
    <t>Jerba, TUNISIA</t>
  </si>
  <si>
    <t>Monastir</t>
  </si>
  <si>
    <t>Monastir, TUNISIA</t>
  </si>
  <si>
    <t>Sousse</t>
  </si>
  <si>
    <t>Sousse, TUNISIA</t>
  </si>
  <si>
    <t>Tabarka</t>
  </si>
  <si>
    <t>Tabarka, TUNISIA</t>
  </si>
  <si>
    <t>Tozeur</t>
  </si>
  <si>
    <t>Tozeur, TUNISIA</t>
  </si>
  <si>
    <t>Tunis</t>
  </si>
  <si>
    <t>Tunis, TUNISIA</t>
  </si>
  <si>
    <t>URUGUAY</t>
  </si>
  <si>
    <t>[Other], URUGUAY</t>
  </si>
  <si>
    <t>Colonia</t>
  </si>
  <si>
    <t>Colonia, URUGUAY</t>
  </si>
  <si>
    <t>Montevideo</t>
  </si>
  <si>
    <t>Montevideo, URUGUAY</t>
  </si>
  <si>
    <t>Punta_del_Este</t>
  </si>
  <si>
    <t>Punta_del_Este, URUGUAY</t>
  </si>
  <si>
    <t>VENEZUELA</t>
  </si>
  <si>
    <t>[Other], VENEZUELA</t>
  </si>
  <si>
    <t>Barquisimeto</t>
  </si>
  <si>
    <t>Barquisimeto, VENEZUELA</t>
  </si>
  <si>
    <t>Caracas</t>
  </si>
  <si>
    <t>Caracas, VENEZUELA</t>
  </si>
  <si>
    <t>Maracaibo</t>
  </si>
  <si>
    <t>Maracaibo, VENEZUELA</t>
  </si>
  <si>
    <t>Porlamar</t>
  </si>
  <si>
    <t>Porlamar, VENEZUELA</t>
  </si>
  <si>
    <t>Puerto_La_Cruz</t>
  </si>
  <si>
    <t>Puerto_La_Cruz, VENEZUELA</t>
  </si>
  <si>
    <t>Puerto_Ordaz</t>
  </si>
  <si>
    <t>Puerto_Ordaz, VENEZUELA</t>
  </si>
  <si>
    <t>Punto_Fijo</t>
  </si>
  <si>
    <t>Punto_Fijo, VENEZUELA</t>
  </si>
  <si>
    <t>San_Cristobal</t>
  </si>
  <si>
    <t>San_Cristobal, VENEZUELA</t>
  </si>
  <si>
    <t>Valencia</t>
  </si>
  <si>
    <t>Valencia, VENEZUELA</t>
  </si>
  <si>
    <t>VIRGIN_ISLANDS_BRITISH</t>
  </si>
  <si>
    <t>Virgin_Islands_British</t>
  </si>
  <si>
    <t>Virgin_Islands_British, VIRGIN_ISLANDS_BRITISH</t>
  </si>
  <si>
    <t>UNITED_STATES</t>
  </si>
  <si>
    <t>ALABAMA</t>
  </si>
  <si>
    <t>Birmingham</t>
  </si>
  <si>
    <t>ALABAMA, Birmingham</t>
  </si>
  <si>
    <t>Gulf Shores</t>
  </si>
  <si>
    <t>ALABAMA, Gulf Shores</t>
  </si>
  <si>
    <t>Huntsville</t>
  </si>
  <si>
    <t>ALABAMA, Huntsville</t>
  </si>
  <si>
    <t>Mobile</t>
  </si>
  <si>
    <t>ALABAMA, Mobile</t>
  </si>
  <si>
    <t>ARIZONA</t>
  </si>
  <si>
    <t>Hot Springs</t>
  </si>
  <si>
    <t>ARIZONA, Hot Springs</t>
  </si>
  <si>
    <t>Grand Canyon / Flagstaff</t>
  </si>
  <si>
    <t>ARIZONA, Grand Canyon / Flagstaff</t>
  </si>
  <si>
    <t>Kayenta</t>
  </si>
  <si>
    <t>ARIZONA, Kayenta</t>
  </si>
  <si>
    <t>Phoenix / Scottsdale</t>
  </si>
  <si>
    <t>ARIZONA, Phoenix / Scottsdale</t>
  </si>
  <si>
    <t>Sedona</t>
  </si>
  <si>
    <t>ARIZONA, Sedona</t>
  </si>
  <si>
    <t>Tucson</t>
  </si>
  <si>
    <t>ARIZONA, Tucson</t>
  </si>
  <si>
    <t>CALIFORNIA</t>
  </si>
  <si>
    <t>Antioch / Brentwood / Concord</t>
  </si>
  <si>
    <t>CALIFORNIA, Antioch / Brentwood / Concord</t>
  </si>
  <si>
    <t>Bakersfield / Ridgecrest</t>
  </si>
  <si>
    <t>CALIFORNIA, Bakersfield / Ridgecrest</t>
  </si>
  <si>
    <t>Barstow / Ontario / Victorville</t>
  </si>
  <si>
    <t>CALIFORNIA, Barstow / Ontario / Victorville</t>
  </si>
  <si>
    <t>Death Valley</t>
  </si>
  <si>
    <t>CALIFORNIA, Death Valley</t>
  </si>
  <si>
    <t>Eureka / Arcata / McKinleyville</t>
  </si>
  <si>
    <t>CALIFORNIA, Eureka / Arcata / McKinleyville</t>
  </si>
  <si>
    <t>Fresno</t>
  </si>
  <si>
    <t>CALIFORNIA, Fresno</t>
  </si>
  <si>
    <t>Los Angeles</t>
  </si>
  <si>
    <t>CALIFORNIA, Los Angeles</t>
  </si>
  <si>
    <t>Mammoth Lakes</t>
  </si>
  <si>
    <t>CALIFORNIA, Mammoth Lakes</t>
  </si>
  <si>
    <t>Mill Valley / San Rafael / Novato</t>
  </si>
  <si>
    <t>CALIFORNIA, Mill Valley / San Rafael / Novato</t>
  </si>
  <si>
    <t>Monterey</t>
  </si>
  <si>
    <t>CALIFORNIA, Monterey</t>
  </si>
  <si>
    <t>Napa</t>
  </si>
  <si>
    <t>CALIFORNIA, Napa</t>
  </si>
  <si>
    <t>Oakhurst</t>
  </si>
  <si>
    <t>CALIFORNIA, Oakhurst</t>
  </si>
  <si>
    <t>Oakland</t>
  </si>
  <si>
    <t>CALIFORNIA, Oakland</t>
  </si>
  <si>
    <t>Palm Springs</t>
  </si>
  <si>
    <t>CALIFORNIA, Palm Springs</t>
  </si>
  <si>
    <t>Point Arena / Gualala</t>
  </si>
  <si>
    <t>CALIFORNIA, Point Arena / Gualala</t>
  </si>
  <si>
    <t>Sacramento</t>
  </si>
  <si>
    <t>CALIFORNIA, Sacramento</t>
  </si>
  <si>
    <t>San Diego</t>
  </si>
  <si>
    <t>CALIFORNIA, San Diego</t>
  </si>
  <si>
    <t>San Francisco</t>
  </si>
  <si>
    <t>CALIFORNIA, San Francisco</t>
  </si>
  <si>
    <t>San Luis Obispo</t>
  </si>
  <si>
    <t>CALIFORNIA, San Luis Obispo</t>
  </si>
  <si>
    <t>San Mateo / Foster City / Belmont</t>
  </si>
  <si>
    <t>CALIFORNIA, San Mateo / Foster City / Belmont</t>
  </si>
  <si>
    <t>Santa Barbara</t>
  </si>
  <si>
    <t>CALIFORNIA, Santa Barbara</t>
  </si>
  <si>
    <t>Santa Cruz</t>
  </si>
  <si>
    <t>CALIFORNIA, Santa Cruz</t>
  </si>
  <si>
    <t xml:space="preserve">Santa Monica </t>
  </si>
  <si>
    <t xml:space="preserve">CALIFORNIA, Santa Monica </t>
  </si>
  <si>
    <t>Santa Rosa</t>
  </si>
  <si>
    <t>CALIFORNIA, Santa Rosa</t>
  </si>
  <si>
    <t>South Lake Tahoe</t>
  </si>
  <si>
    <t>CALIFORNIA, South Lake Tahoe</t>
  </si>
  <si>
    <t xml:space="preserve">Stockton </t>
  </si>
  <si>
    <t xml:space="preserve">CALIFORNIA, Stockton </t>
  </si>
  <si>
    <t>Sunnyvale / Palo Alto / San Jose</t>
  </si>
  <si>
    <t>CALIFORNIA, Sunnyvale / Palo Alto / San Jose</t>
  </si>
  <si>
    <t>Tahoe City</t>
  </si>
  <si>
    <t>CALIFORNIA, Tahoe City</t>
  </si>
  <si>
    <t>Truckee</t>
  </si>
  <si>
    <t>CALIFORNIA, Truckee</t>
  </si>
  <si>
    <t>Visalia</t>
  </si>
  <si>
    <t>CALIFORNIA, Visalia</t>
  </si>
  <si>
    <t>West Sacramento / Davis</t>
  </si>
  <si>
    <t>CALIFORNIA, West Sacramento / Davis</t>
  </si>
  <si>
    <t>Yosemite National Park</t>
  </si>
  <si>
    <t>CALIFORNIA, Yosemite National Park</t>
  </si>
  <si>
    <t>COLORADO</t>
  </si>
  <si>
    <t>Aspen</t>
  </si>
  <si>
    <t>COLORADO, Aspen</t>
  </si>
  <si>
    <t>Boulder / Broomfield</t>
  </si>
  <si>
    <t>COLORADO, Boulder / Broomfield</t>
  </si>
  <si>
    <t>Colorado Springs</t>
  </si>
  <si>
    <t>COLORADO, Colorado Springs</t>
  </si>
  <si>
    <t>Cortez</t>
  </si>
  <si>
    <t>COLORADO, Cortez</t>
  </si>
  <si>
    <t>Crested Butte / Gunnison</t>
  </si>
  <si>
    <t>COLORADO, Crested Butte / Gunnison</t>
  </si>
  <si>
    <t>Denver / Aurora</t>
  </si>
  <si>
    <t>COLORADO, Denver / Aurora</t>
  </si>
  <si>
    <t xml:space="preserve">Douglas </t>
  </si>
  <si>
    <t xml:space="preserve">COLORADO, Douglas </t>
  </si>
  <si>
    <t>Durango</t>
  </si>
  <si>
    <t>COLORADO, Durango</t>
  </si>
  <si>
    <t>Fort Collins / Loveland</t>
  </si>
  <si>
    <t>COLORADO, Fort Collins / Loveland</t>
  </si>
  <si>
    <t>Grand Lake</t>
  </si>
  <si>
    <t>COLORADO, Grand Lake</t>
  </si>
  <si>
    <t>Montrose</t>
  </si>
  <si>
    <t>COLORADO, Montrose</t>
  </si>
  <si>
    <t>Silverthorne / Breckenridge</t>
  </si>
  <si>
    <t>COLORADO, Silverthorne / Breckenridge</t>
  </si>
  <si>
    <t>Steamboat Springs</t>
  </si>
  <si>
    <t>COLORADO, Steamboat Springs</t>
  </si>
  <si>
    <t>Telluride</t>
  </si>
  <si>
    <t>COLORADO, Telluride</t>
  </si>
  <si>
    <t>Vail</t>
  </si>
  <si>
    <t>COLORADO, Vail</t>
  </si>
  <si>
    <t>CONNECTICUT</t>
  </si>
  <si>
    <t>Bridgeport / Danbury</t>
  </si>
  <si>
    <t>CONNECTICUT, Bridgeport / Danbury</t>
  </si>
  <si>
    <t>Hartford</t>
  </si>
  <si>
    <t>CONNECTICUT, Hartford</t>
  </si>
  <si>
    <t>New Haven</t>
  </si>
  <si>
    <t>CONNECTICUT, New Haven</t>
  </si>
  <si>
    <t>New London / Groton</t>
  </si>
  <si>
    <t>CONNECTICUT, New London / Groton</t>
  </si>
  <si>
    <t>DISTRICT OF COLUMBIA</t>
  </si>
  <si>
    <t>District of Columbia</t>
  </si>
  <si>
    <t>DISTRICT OF COLUMBIA, District of Columbia</t>
  </si>
  <si>
    <t>DELAWARE</t>
  </si>
  <si>
    <t>Lewes</t>
  </si>
  <si>
    <t>DELAWARE, Lewes</t>
  </si>
  <si>
    <t>Wilmington</t>
  </si>
  <si>
    <t>DELAWARE, Wilmington</t>
  </si>
  <si>
    <t>FLORIDA</t>
  </si>
  <si>
    <t>Boca Raton / Delray Beach / Jupiter</t>
  </si>
  <si>
    <t>FLORIDA, Boca Raton / Delray Beach / Jupiter</t>
  </si>
  <si>
    <t>Bradenton</t>
  </si>
  <si>
    <t>FLORIDA, Bradenton</t>
  </si>
  <si>
    <t>Cocoa Beach</t>
  </si>
  <si>
    <t>FLORIDA, Cocoa Beach</t>
  </si>
  <si>
    <t>Daytona Beach</t>
  </si>
  <si>
    <t>FLORIDA, Daytona Beach</t>
  </si>
  <si>
    <t>Fort Lauderdale</t>
  </si>
  <si>
    <t>FLORIDA, Fort Lauderdale</t>
  </si>
  <si>
    <t>Fort Myers</t>
  </si>
  <si>
    <t>FLORIDA, Fort Myers</t>
  </si>
  <si>
    <t>Fort Walton Beach / De Funiak Springs</t>
  </si>
  <si>
    <t>FLORIDA, Fort Walton Beach / De Funiak Springs</t>
  </si>
  <si>
    <t>Gulf Breeze</t>
  </si>
  <si>
    <t>FLORIDA, Gulf Breeze</t>
  </si>
  <si>
    <t>Key West</t>
  </si>
  <si>
    <t>FLORIDA, Key West</t>
  </si>
  <si>
    <t>Miami</t>
  </si>
  <si>
    <t>FLORIDA, Miami</t>
  </si>
  <si>
    <t>Naples</t>
  </si>
  <si>
    <t>FLORIDA, Naples</t>
  </si>
  <si>
    <t>Orlando</t>
  </si>
  <si>
    <t>FLORIDA, Orlando</t>
  </si>
  <si>
    <t>Panama City</t>
  </si>
  <si>
    <t>FLORIDA, Panama City</t>
  </si>
  <si>
    <t xml:space="preserve">Pensacola </t>
  </si>
  <si>
    <t xml:space="preserve">FLORIDA, Pensacola </t>
  </si>
  <si>
    <t>Punta Gorda</t>
  </si>
  <si>
    <t>FLORIDA, Punta Gorda</t>
  </si>
  <si>
    <t>Sarasota</t>
  </si>
  <si>
    <t>FLORIDA, Sarasota</t>
  </si>
  <si>
    <t>Sebring</t>
  </si>
  <si>
    <t>FLORIDA, Sebring</t>
  </si>
  <si>
    <t>St. Augustine</t>
  </si>
  <si>
    <t>FLORIDA, St. Augustine</t>
  </si>
  <si>
    <t>Stuart</t>
  </si>
  <si>
    <t>FLORIDA, Stuart</t>
  </si>
  <si>
    <t>Tallahassee</t>
  </si>
  <si>
    <t>FLORIDA, Tallahassee</t>
  </si>
  <si>
    <t>Tampa / St. Petersburg</t>
  </si>
  <si>
    <t>FLORIDA, Tampa / St. Petersburg</t>
  </si>
  <si>
    <t>Vero Beach</t>
  </si>
  <si>
    <t>FLORIDA, Vero Beach</t>
  </si>
  <si>
    <t>GEORGIA</t>
  </si>
  <si>
    <t>Athens</t>
  </si>
  <si>
    <t>GEORGIA, Athens</t>
  </si>
  <si>
    <t>Atlanta</t>
  </si>
  <si>
    <t>GEORGIA, Atlanta</t>
  </si>
  <si>
    <t>Augusta</t>
  </si>
  <si>
    <t>GEORGIA, Augusta</t>
  </si>
  <si>
    <t>Jekyll Island / Brunswick</t>
  </si>
  <si>
    <t>GEORGIA, Jekyll Island / Brunswick</t>
  </si>
  <si>
    <t>Marietta</t>
  </si>
  <si>
    <t>GEORGIA, Marietta</t>
  </si>
  <si>
    <t>Savannah</t>
  </si>
  <si>
    <t>GEORGIA, Savannah</t>
  </si>
  <si>
    <t>IOWA</t>
  </si>
  <si>
    <t>Dallas</t>
  </si>
  <si>
    <t>IOWA, Dallas</t>
  </si>
  <si>
    <t>Des Moines</t>
  </si>
  <si>
    <t>IOWA, Des Moines</t>
  </si>
  <si>
    <t>Boise</t>
  </si>
  <si>
    <t>IDAHO, Boise</t>
  </si>
  <si>
    <t>IDAHO</t>
  </si>
  <si>
    <t>Coeur d'Alene</t>
  </si>
  <si>
    <t>IDAHO, Coeur d'Alene</t>
  </si>
  <si>
    <t>Sun Valley / Ketchum</t>
  </si>
  <si>
    <t>IDAHO, Sun Valley / Ketchum</t>
  </si>
  <si>
    <t>ILLINOIS</t>
  </si>
  <si>
    <t>Bolingbrook / Romeoville / Lemont</t>
  </si>
  <si>
    <t>ILLINOIS, Bolingbrook / Romeoville / Lemont</t>
  </si>
  <si>
    <t>Chicago</t>
  </si>
  <si>
    <t>ILLINOIS, Chicago</t>
  </si>
  <si>
    <t>East St. Louis / O'Fallon / Fairview Heights</t>
  </si>
  <si>
    <t>ILLINOIS, East St. Louis / O'Fallon / Fairview Heights</t>
  </si>
  <si>
    <t>Oak Brook Terrace</t>
  </si>
  <si>
    <t>ILLINOIS, Oak Brook Terrace</t>
  </si>
  <si>
    <t>INDIANA</t>
  </si>
  <si>
    <t xml:space="preserve">Bloomington </t>
  </si>
  <si>
    <t xml:space="preserve">INDIANA, Bloomington </t>
  </si>
  <si>
    <t>Indianapolis / Carmel</t>
  </si>
  <si>
    <t>INDIANA, Indianapolis / Carmel</t>
  </si>
  <si>
    <t>Lafayette / West Lafayette</t>
  </si>
  <si>
    <t>INDIANA, Lafayette / West Lafayette</t>
  </si>
  <si>
    <t>KANSAS</t>
  </si>
  <si>
    <t>Kansas City / Overland Park</t>
  </si>
  <si>
    <t>KANSAS, Kansas City / Overland Park</t>
  </si>
  <si>
    <t>KENTUCKY</t>
  </si>
  <si>
    <t>Boone</t>
  </si>
  <si>
    <t>KENTUCKY, Boone</t>
  </si>
  <si>
    <t>Kenton</t>
  </si>
  <si>
    <t>KENTUCKY, Kenton</t>
  </si>
  <si>
    <t>Lexington</t>
  </si>
  <si>
    <t>KENTUCKY, Lexington</t>
  </si>
  <si>
    <t>Louisville</t>
  </si>
  <si>
    <t>KENTUCKY, Louisville</t>
  </si>
  <si>
    <t>LOUSIANA</t>
  </si>
  <si>
    <t>Alexandria / Leesville / Natchitoches</t>
  </si>
  <si>
    <t>LOUSIANA, Alexandria / Leesville / Natchitoches</t>
  </si>
  <si>
    <t>New Orleans</t>
  </si>
  <si>
    <t>LOUSIANA, New Orleans</t>
  </si>
  <si>
    <t>MASSACHUSETTS</t>
  </si>
  <si>
    <t>Andover</t>
  </si>
  <si>
    <t>MASSACHUSETTS, Andover</t>
  </si>
  <si>
    <t>Boston / Cambridge</t>
  </si>
  <si>
    <t>MASSACHUSETTS, Boston / Cambridge</t>
  </si>
  <si>
    <t>Burlington / Woburn</t>
  </si>
  <si>
    <t>MASSACHUSETTS, Burlington / Woburn</t>
  </si>
  <si>
    <t>Falmouth</t>
  </si>
  <si>
    <t>MASSACHUSETTS, Falmouth</t>
  </si>
  <si>
    <t>Hyannis</t>
  </si>
  <si>
    <t>MASSACHUSETTS, Hyannis</t>
  </si>
  <si>
    <t>Martha's Vineyard</t>
  </si>
  <si>
    <t>MASSACHUSETTS, Martha's Vineyard</t>
  </si>
  <si>
    <t>Nantucket</t>
  </si>
  <si>
    <t>MASSACHUSETTS, Nantucket</t>
  </si>
  <si>
    <t>Northampton</t>
  </si>
  <si>
    <t>MASSACHUSETTS, Northampton</t>
  </si>
  <si>
    <t>Pittsfield</t>
  </si>
  <si>
    <t>MASSACHUSETTS, Pittsfield</t>
  </si>
  <si>
    <t>Plymouth / Taunton / New Bedford</t>
  </si>
  <si>
    <t>MASSACHUSETTS, Plymouth / Taunton / New Bedford</t>
  </si>
  <si>
    <t>Quincy</t>
  </si>
  <si>
    <t>MASSACHUSETTS, Quincy</t>
  </si>
  <si>
    <t>Springfield</t>
  </si>
  <si>
    <t>MASSACHUSETTS, Springfield</t>
  </si>
  <si>
    <t>Worcester</t>
  </si>
  <si>
    <t>MASSACHUSETTS, Worcester</t>
  </si>
  <si>
    <t>MARYLAND</t>
  </si>
  <si>
    <t>Aberdeen / Bel Air / Belcamp</t>
  </si>
  <si>
    <t>MARYLAND, Aberdeen / Bel Air / Belcamp</t>
  </si>
  <si>
    <t>Annapolis</t>
  </si>
  <si>
    <t>MARYLAND, Annapolis</t>
  </si>
  <si>
    <t>Baltimore City</t>
  </si>
  <si>
    <t>MARYLAND, Baltimore City</t>
  </si>
  <si>
    <t>Cambridge / St. Michaels</t>
  </si>
  <si>
    <t>MARYLAND, Cambridge / St. Michaels</t>
  </si>
  <si>
    <t>Centreville</t>
  </si>
  <si>
    <t>MARYLAND, Centreville</t>
  </si>
  <si>
    <t>Columbia</t>
  </si>
  <si>
    <t>MARYLAND, Columbia</t>
  </si>
  <si>
    <t>Ocean City</t>
  </si>
  <si>
    <t>MARYLAND, Ocean City</t>
  </si>
  <si>
    <t>MAINE</t>
  </si>
  <si>
    <t>Bar Harbor / Rockport</t>
  </si>
  <si>
    <t>MAINE, Bar Harbor / Rockport</t>
  </si>
  <si>
    <t>Kennebunk / Kittery / Sanford</t>
  </si>
  <si>
    <t>MAINE, Kennebunk / Kittery / Sanford</t>
  </si>
  <si>
    <t>Portland</t>
  </si>
  <si>
    <t>MAINE, Portland</t>
  </si>
  <si>
    <t>MICHIGAN</t>
  </si>
  <si>
    <t>Ann Arbor</t>
  </si>
  <si>
    <t>MICHIGAN, Ann Arbor</t>
  </si>
  <si>
    <t>Detroit</t>
  </si>
  <si>
    <t>MICHIGAN, Detroit</t>
  </si>
  <si>
    <t>Grand Rapids</t>
  </si>
  <si>
    <t>MICHIGAN, Grand Rapids</t>
  </si>
  <si>
    <t>Holland</t>
  </si>
  <si>
    <t>MICHIGAN, Holland</t>
  </si>
  <si>
    <t>Mackinac Island</t>
  </si>
  <si>
    <t>MICHIGAN, Mackinac Island</t>
  </si>
  <si>
    <t>Midland</t>
  </si>
  <si>
    <t>MICHIGAN, Midland</t>
  </si>
  <si>
    <t>Muskegon</t>
  </si>
  <si>
    <t>MICHIGAN, Muskegon</t>
  </si>
  <si>
    <t>Petoskey</t>
  </si>
  <si>
    <t>MICHIGAN, Petoskey</t>
  </si>
  <si>
    <t xml:space="preserve">Pontiac / Auburn Hills </t>
  </si>
  <si>
    <t xml:space="preserve">MICHIGAN, Pontiac / Auburn Hills </t>
  </si>
  <si>
    <t>South Haven</t>
  </si>
  <si>
    <t>MICHIGAN, South Haven</t>
  </si>
  <si>
    <t>Traverse City</t>
  </si>
  <si>
    <t>MICHIGAN, Traverse City</t>
  </si>
  <si>
    <t>MINNESOTA</t>
  </si>
  <si>
    <t>Duluth</t>
  </si>
  <si>
    <t>MINNESOTA, Duluth</t>
  </si>
  <si>
    <t>Minneapolis / St. Paul</t>
  </si>
  <si>
    <t>MINNESOTA, Minneapolis / St. Paul</t>
  </si>
  <si>
    <t>Rochester</t>
  </si>
  <si>
    <t>MINNESOTA, Rochester</t>
  </si>
  <si>
    <t>MISSOURI</t>
  </si>
  <si>
    <t>Kansas City</t>
  </si>
  <si>
    <t>MISSOURI, Kansas City</t>
  </si>
  <si>
    <t>St. Louis</t>
  </si>
  <si>
    <t>MISSOURI, St. Louis</t>
  </si>
  <si>
    <t>MISSISSIPPI</t>
  </si>
  <si>
    <t>Oxford</t>
  </si>
  <si>
    <t>MISSISSIPPI, Oxford</t>
  </si>
  <si>
    <t>Southaven</t>
  </si>
  <si>
    <t>MISSISSIPPI, Southaven</t>
  </si>
  <si>
    <t xml:space="preserve">Starkville </t>
  </si>
  <si>
    <t xml:space="preserve">MISSISSIPPI, Starkville </t>
  </si>
  <si>
    <t>MONTANA</t>
  </si>
  <si>
    <t>Big Sky / West Yellowstone</t>
  </si>
  <si>
    <t>MONTANA, Big Sky / West Yellowstone</t>
  </si>
  <si>
    <t>Helena</t>
  </si>
  <si>
    <t>MONTANA, Helena</t>
  </si>
  <si>
    <t>Missoula</t>
  </si>
  <si>
    <t>MONTANA, Missoula</t>
  </si>
  <si>
    <t>Kalispell/Whitefish</t>
  </si>
  <si>
    <t>MONTANA, Kalispell/Whitefish</t>
  </si>
  <si>
    <t>NORTH_CAROLINA</t>
  </si>
  <si>
    <t xml:space="preserve">Asheville </t>
  </si>
  <si>
    <t xml:space="preserve">NORTH_CAROLINA, Asheville </t>
  </si>
  <si>
    <t>Atlantic Beach / Morehead City</t>
  </si>
  <si>
    <t>NORTH_CAROLINA, Atlantic Beach / Morehead City</t>
  </si>
  <si>
    <t>Chapel Hill</t>
  </si>
  <si>
    <t>NORTH_CAROLINA, Chapel Hill</t>
  </si>
  <si>
    <t>Charlotte</t>
  </si>
  <si>
    <t>NORTH_CAROLINA, Charlotte</t>
  </si>
  <si>
    <t>Durham</t>
  </si>
  <si>
    <t>NORTH_CAROLINA, Durham</t>
  </si>
  <si>
    <t>Fayetteville</t>
  </si>
  <si>
    <t>NORTH_CAROLINA, Fayetteville</t>
  </si>
  <si>
    <t>Greensboro</t>
  </si>
  <si>
    <t>NORTH_CAROLINA, Greensboro</t>
  </si>
  <si>
    <t>Kill Devil Hills</t>
  </si>
  <si>
    <t>NORTH_CAROLINA, Kill Devil Hills</t>
  </si>
  <si>
    <t>Raleigh</t>
  </si>
  <si>
    <t>NORTH_CAROLINA, Raleigh</t>
  </si>
  <si>
    <t>NORTH_CAROLINA, Wilmington</t>
  </si>
  <si>
    <t>NEBRASKA</t>
  </si>
  <si>
    <t>Omaha</t>
  </si>
  <si>
    <t>NEBRASKA, Omaha</t>
  </si>
  <si>
    <t>NEW_HAMSHIRE</t>
  </si>
  <si>
    <t>Concord</t>
  </si>
  <si>
    <t>NEW_HAMPSHIRE, Concord</t>
  </si>
  <si>
    <t>Conway</t>
  </si>
  <si>
    <t>NEW_HAMPSHIRE, Conway</t>
  </si>
  <si>
    <t>NEW_HAMPSHIRE, Durham</t>
  </si>
  <si>
    <t>Laconia</t>
  </si>
  <si>
    <t>NEW_HAMPSHIRE, Laconia</t>
  </si>
  <si>
    <t>Lebanon / Lincoln / West Lebanon</t>
  </si>
  <si>
    <t>NEW_HAMPSHIRE, Lebanon / Lincoln / West Lebanon</t>
  </si>
  <si>
    <t>Manchester</t>
  </si>
  <si>
    <t>NEW_HAMPSHIRE, Manchester</t>
  </si>
  <si>
    <t>Portsmouth</t>
  </si>
  <si>
    <t>NEW_HAMPSHIRE, Portsmouth</t>
  </si>
  <si>
    <t>NEW_JERSEY</t>
  </si>
  <si>
    <t>Cherry Hill / Moorestown</t>
  </si>
  <si>
    <t>NEW_JERSEY, Cherry Hill / Moorestown</t>
  </si>
  <si>
    <t>Eatontown / Freehold</t>
  </si>
  <si>
    <t>NEW_JERSEY, Eatontown / Freehold</t>
  </si>
  <si>
    <t>Edison / Piscataway</t>
  </si>
  <si>
    <t>NEW_JERSEY, Edison / Piscataway</t>
  </si>
  <si>
    <t>Flemington</t>
  </si>
  <si>
    <t>NEW_JERSEY, Flemington</t>
  </si>
  <si>
    <t>Newark</t>
  </si>
  <si>
    <t>NEW_JERSEY, Newark</t>
  </si>
  <si>
    <t>Parsippany</t>
  </si>
  <si>
    <t>NEW_JERSEY, Parsippany</t>
  </si>
  <si>
    <t>Princeton / Trenton</t>
  </si>
  <si>
    <t>NEW_JERSEY, Princeton / Trenton</t>
  </si>
  <si>
    <t>Somerset</t>
  </si>
  <si>
    <t>NEW_JERSEY, Somerset</t>
  </si>
  <si>
    <t>Springfield / Cranford / New Providence</t>
  </si>
  <si>
    <t>NEW_JERSEY, Springfield / Cranford / New Providence</t>
  </si>
  <si>
    <t>Toms River</t>
  </si>
  <si>
    <t>NEW_JERSEY, Toms River</t>
  </si>
  <si>
    <t>NEW_MEXICO</t>
  </si>
  <si>
    <t>Albuquerque</t>
  </si>
  <si>
    <t>NEW_MEXICO, Albuquerque</t>
  </si>
  <si>
    <t>Carlsbad</t>
  </si>
  <si>
    <t>NEW_MEXICO, Carlsbad</t>
  </si>
  <si>
    <t>Santa Fe</t>
  </si>
  <si>
    <t>NEW_MEXICO, Santa Fe</t>
  </si>
  <si>
    <t>Taos</t>
  </si>
  <si>
    <t>NEW_MEXICO, Taos</t>
  </si>
  <si>
    <t>NEVADA</t>
  </si>
  <si>
    <t>Incline Village / Reno / Sparks</t>
  </si>
  <si>
    <t>NEVADA, Incline Village / Reno / Sparks</t>
  </si>
  <si>
    <t>Las Vegas</t>
  </si>
  <si>
    <t>NEVADA, Las Vegas</t>
  </si>
  <si>
    <t>NEW_YORK</t>
  </si>
  <si>
    <t>Albany</t>
  </si>
  <si>
    <t>NEW_YORK, Albany</t>
  </si>
  <si>
    <t>Binghamton</t>
  </si>
  <si>
    <t>NEW_YORK, Binghamton</t>
  </si>
  <si>
    <t>Buffalo</t>
  </si>
  <si>
    <t>NEW_YORK, Buffalo</t>
  </si>
  <si>
    <t>Floral Park / Garden City / Great Neck</t>
  </si>
  <si>
    <t>NEW_YORK, Floral Park / Garden City / Great Neck</t>
  </si>
  <si>
    <t>Glens Falls</t>
  </si>
  <si>
    <t>NEW_YORK, Glens Falls</t>
  </si>
  <si>
    <t>Ithaca</t>
  </si>
  <si>
    <t>NEW_YORK, Ithaca</t>
  </si>
  <si>
    <t>NEW_YORK, Kingston</t>
  </si>
  <si>
    <t>Lake Placid</t>
  </si>
  <si>
    <t>NEW_YORK, Lake Placid</t>
  </si>
  <si>
    <t>New York City</t>
  </si>
  <si>
    <t>NEW_YORK, New York City</t>
  </si>
  <si>
    <t>Niagara Falls</t>
  </si>
  <si>
    <t>NEW_YORK, Niagara Falls</t>
  </si>
  <si>
    <t>Nyack / Palisades</t>
  </si>
  <si>
    <t>NEW_YORK, Nyack / Palisades</t>
  </si>
  <si>
    <t>Poughkeepsie</t>
  </si>
  <si>
    <t>NEW_YORK, Poughkeepsie</t>
  </si>
  <si>
    <t>Riverhead / Ronkonkoma / Melville</t>
  </si>
  <si>
    <t>NEW_YORK, Riverhead / Ronkonkoma / Melville</t>
  </si>
  <si>
    <t>NEW_YORK, Rochester</t>
  </si>
  <si>
    <t>Saratoga Springs / Schenectady</t>
  </si>
  <si>
    <t>NEW_YORK, Saratoga Springs / Schenectady</t>
  </si>
  <si>
    <t>Syracuse / Oswego</t>
  </si>
  <si>
    <t>NEW_YORK, Syracuse / Oswego</t>
  </si>
  <si>
    <t>Tarrytown / White Plains / New Rochelle</t>
  </si>
  <si>
    <t>NEW_YORK, Tarrytown / White Plains / New Rochelle</t>
  </si>
  <si>
    <t xml:space="preserve">Troy </t>
  </si>
  <si>
    <t xml:space="preserve">NEW_YORK, Troy </t>
  </si>
  <si>
    <t>West Point</t>
  </si>
  <si>
    <t>NEW_YORK, West Point</t>
  </si>
  <si>
    <t>OHIO</t>
  </si>
  <si>
    <t>Cincinnati</t>
  </si>
  <si>
    <t>OHIO, Cincinnati</t>
  </si>
  <si>
    <t>Cleveland</t>
  </si>
  <si>
    <t>OHIO, Cleveland</t>
  </si>
  <si>
    <t>Columbus</t>
  </si>
  <si>
    <t>OHIO, Columbus</t>
  </si>
  <si>
    <t>Dayton / Fairborn</t>
  </si>
  <si>
    <t>OHIO, Dayton / Fairborn</t>
  </si>
  <si>
    <t>Hamilton</t>
  </si>
  <si>
    <t>OHIO, Hamilton</t>
  </si>
  <si>
    <t>Sandusky</t>
  </si>
  <si>
    <t>OHIO, Sandusky</t>
  </si>
  <si>
    <t>OKLAHOMA</t>
  </si>
  <si>
    <t>Oklahoma City</t>
  </si>
  <si>
    <t>OKLAHOMA, Oklahoma City</t>
  </si>
  <si>
    <t>OREGON</t>
  </si>
  <si>
    <t>Beaverton</t>
  </si>
  <si>
    <t>OREGON, Beaverton</t>
  </si>
  <si>
    <t>Bend</t>
  </si>
  <si>
    <t>OREGON, Bend</t>
  </si>
  <si>
    <t>Clackamas</t>
  </si>
  <si>
    <t>OREGON, Clackamas</t>
  </si>
  <si>
    <t>Eugene / Florence</t>
  </si>
  <si>
    <t>OREGON, Eugene / Florence</t>
  </si>
  <si>
    <t>Lincoln City</t>
  </si>
  <si>
    <t>OREGON, Lincoln City</t>
  </si>
  <si>
    <t>OREGON, Portland</t>
  </si>
  <si>
    <t>Seaside</t>
  </si>
  <si>
    <t>OREGON, Seaside</t>
  </si>
  <si>
    <t>PENNSYLVANIA</t>
  </si>
  <si>
    <t>Allentown / Easton / Bethlehem</t>
  </si>
  <si>
    <t>PENNSYLVANIA, Allentown / Easton / Bethlehem</t>
  </si>
  <si>
    <t>Bucks</t>
  </si>
  <si>
    <t>PENNSYLVANIA, Bucks</t>
  </si>
  <si>
    <t>Chester / Radnor / Essington</t>
  </si>
  <si>
    <t>PENNSYLVANIA, Chester / Radnor / Essington</t>
  </si>
  <si>
    <t>Gettysburg</t>
  </si>
  <si>
    <t>PENNSYLVANIA, Gettysburg</t>
  </si>
  <si>
    <t>Harrisburg</t>
  </si>
  <si>
    <t>PENNSYLVANIA, Harrisburg</t>
  </si>
  <si>
    <t>Hershey</t>
  </si>
  <si>
    <t>PENNSYLVANIA, Hershey</t>
  </si>
  <si>
    <t>Lancaster</t>
  </si>
  <si>
    <t>PENNSYLVANIA, Lancaster</t>
  </si>
  <si>
    <t>Malvern / Frazer / Berwyn</t>
  </si>
  <si>
    <t>PENNSYLVANIA, Malvern / Frazer / Berwyn</t>
  </si>
  <si>
    <t>Montgomery</t>
  </si>
  <si>
    <t>PENNSYLVANIA, Montgomery</t>
  </si>
  <si>
    <t>Philadelphia</t>
  </si>
  <si>
    <t>PENNSYLVANIA, Philadelphia</t>
  </si>
  <si>
    <t>Pittsburgh</t>
  </si>
  <si>
    <t>PENNSYLVANIA, Pittsburgh</t>
  </si>
  <si>
    <t>Reading</t>
  </si>
  <si>
    <t>PENNSYLVANIA, Reading</t>
  </si>
  <si>
    <t xml:space="preserve">State College </t>
  </si>
  <si>
    <t xml:space="preserve">PENNSYLVANIA, State College </t>
  </si>
  <si>
    <t>RHODE_ISLAND</t>
  </si>
  <si>
    <t>Jamestown / Middletown / Newport</t>
  </si>
  <si>
    <t>RHODE_ISLAND, Jamestown / Middletown / Newport</t>
  </si>
  <si>
    <t>Providence / Bristol</t>
  </si>
  <si>
    <t>RHODE_ISLAND, Providence / Bristol</t>
  </si>
  <si>
    <t>SOUTH_CAROLINA</t>
  </si>
  <si>
    <t>Charleston</t>
  </si>
  <si>
    <t>SOUTH_CAROLINA, Charleston</t>
  </si>
  <si>
    <t>SOUTH_CAROLINA, Columbia</t>
  </si>
  <si>
    <t>Hilton Head</t>
  </si>
  <si>
    <t>SOUTH_CAROLINA, Hilton Head</t>
  </si>
  <si>
    <t>Myrtle Beach</t>
  </si>
  <si>
    <t>SOUTH_CAROLINA, Myrtle Beach</t>
  </si>
  <si>
    <t>SOUTH_DAKOTA</t>
  </si>
  <si>
    <t xml:space="preserve">Deadwood / Spearfish </t>
  </si>
  <si>
    <t xml:space="preserve">SOUTH_DAKOTA, Deadwood / Spearfish </t>
  </si>
  <si>
    <t>SOUTH_DAKOTA, Hot Springs</t>
  </si>
  <si>
    <t>Rapid City</t>
  </si>
  <si>
    <t>SOUTH_DAKOTA, Rapid City</t>
  </si>
  <si>
    <t>TENNESSEE</t>
  </si>
  <si>
    <t>Brentwood / Franklin</t>
  </si>
  <si>
    <t>TENNESSEE, Brentwood / Franklin</t>
  </si>
  <si>
    <t xml:space="preserve">Chattanooga </t>
  </si>
  <si>
    <t xml:space="preserve">TENNESSEE, Chattanooga </t>
  </si>
  <si>
    <t>Knoxville</t>
  </si>
  <si>
    <t>TENNESSEE, Knoxville</t>
  </si>
  <si>
    <t>Memphis</t>
  </si>
  <si>
    <t>TENNESSEE, Memphis</t>
  </si>
  <si>
    <t>Nashville</t>
  </si>
  <si>
    <t>TENNESSEE, Nashville</t>
  </si>
  <si>
    <t>TEXAS</t>
  </si>
  <si>
    <t>Arlington / Fort Worth / Grapevine</t>
  </si>
  <si>
    <t>TEXAS, Arlington / Fort Worth / Grapevine</t>
  </si>
  <si>
    <t>Austin</t>
  </si>
  <si>
    <t>TEXAS, Austin</t>
  </si>
  <si>
    <t>Big Spring</t>
  </si>
  <si>
    <t>TEXAS, Big Spring</t>
  </si>
  <si>
    <t>TEXAS, Dallas</t>
  </si>
  <si>
    <t>Galveston</t>
  </si>
  <si>
    <t>TEXAS, Galveston</t>
  </si>
  <si>
    <t>Houston (L.B. Johnson Space Center)</t>
  </si>
  <si>
    <t>TEXAS, Houston (L.B. Johnson Space Center)</t>
  </si>
  <si>
    <t>Midland / Odessa</t>
  </si>
  <si>
    <t>TEXAS, Midland / Odessa</t>
  </si>
  <si>
    <t>Pecos</t>
  </si>
  <si>
    <t>TEXAS, Pecos</t>
  </si>
  <si>
    <t>Plano</t>
  </si>
  <si>
    <t>TEXAS, Plano</t>
  </si>
  <si>
    <t>San Antonio</t>
  </si>
  <si>
    <t>TEXAS, San Antonio</t>
  </si>
  <si>
    <t>South Padre Island</t>
  </si>
  <si>
    <t>TEXAS, South Padre Island</t>
  </si>
  <si>
    <t>UTAH</t>
  </si>
  <si>
    <t>Moab</t>
  </si>
  <si>
    <t>UTAH, Moab</t>
  </si>
  <si>
    <t>Park City</t>
  </si>
  <si>
    <t>UTAH, Park City</t>
  </si>
  <si>
    <t>Provo</t>
  </si>
  <si>
    <t>UTAH, Provo</t>
  </si>
  <si>
    <t>Salt Lake City</t>
  </si>
  <si>
    <t>UTAH, Salt Lake City</t>
  </si>
  <si>
    <t>VIRGINIA</t>
  </si>
  <si>
    <t>Blacksburg</t>
  </si>
  <si>
    <t>VIRGINIA, Blacksburg</t>
  </si>
  <si>
    <t>Charlottesville</t>
  </si>
  <si>
    <t>VIRGINIA, Charlottesville</t>
  </si>
  <si>
    <t>Loudoun</t>
  </si>
  <si>
    <t>VIRGINIA, Loudoun</t>
  </si>
  <si>
    <t>Lynchburg</t>
  </si>
  <si>
    <t>VIRGINIA, Lynchburg</t>
  </si>
  <si>
    <t>VIRGINIA, Richmond</t>
  </si>
  <si>
    <t>Roanoke</t>
  </si>
  <si>
    <t>VIRGINIA, Roanoke</t>
  </si>
  <si>
    <t>Virginia Beach</t>
  </si>
  <si>
    <t>VIRGINIA, Virginia Beach</t>
  </si>
  <si>
    <t>Wallops Island</t>
  </si>
  <si>
    <t>VIRGINIA, Wallops Island</t>
  </si>
  <si>
    <t>Williamsburg / York</t>
  </si>
  <si>
    <t>VIRGINIA, Williamsburg / York</t>
  </si>
  <si>
    <t>VERMONT</t>
  </si>
  <si>
    <t>Burlington</t>
  </si>
  <si>
    <t>VERMONT, Burlington</t>
  </si>
  <si>
    <t>VERMONT, Manchester</t>
  </si>
  <si>
    <t>Montpelier</t>
  </si>
  <si>
    <t>VERMONT, Montpelier</t>
  </si>
  <si>
    <t xml:space="preserve">Stowe </t>
  </si>
  <si>
    <t xml:space="preserve">VERMONT, Stowe </t>
  </si>
  <si>
    <t>White River Junction</t>
  </si>
  <si>
    <t>VERMONT, White River Junction</t>
  </si>
  <si>
    <t>WASHINGTON</t>
  </si>
  <si>
    <t>Everett / Lynnwood</t>
  </si>
  <si>
    <t>WASHINGTON, Everett / Lynnwood</t>
  </si>
  <si>
    <t>Ocean Shores</t>
  </si>
  <si>
    <t>WASHINGTON, Ocean Shores</t>
  </si>
  <si>
    <t>Olympia / Tumwater</t>
  </si>
  <si>
    <t>WASHINGTON, Olympia / Tumwater</t>
  </si>
  <si>
    <t>Port Angeles / Port Townsend</t>
  </si>
  <si>
    <t>WASHINGTON, Port Angeles / Port Townsend</t>
  </si>
  <si>
    <t>Richland / Pasco</t>
  </si>
  <si>
    <t>WASHINGTON, Richland / Pasco</t>
  </si>
  <si>
    <t>Seattle</t>
  </si>
  <si>
    <t>WASHINGTON, Seattle</t>
  </si>
  <si>
    <t>Spokane</t>
  </si>
  <si>
    <t>WASHINGTON, Spokane</t>
  </si>
  <si>
    <t>Tacoma</t>
  </si>
  <si>
    <t>WASHINGTON, Tacoma</t>
  </si>
  <si>
    <t>WASHINGTON, Vancouver</t>
  </si>
  <si>
    <t>WISCONSIN</t>
  </si>
  <si>
    <t>Madison</t>
  </si>
  <si>
    <t>WISCONSIN, Madison</t>
  </si>
  <si>
    <t>Milwaukee</t>
  </si>
  <si>
    <t>WISCONSIN, Milwaukee</t>
  </si>
  <si>
    <t>Sturgeon Bay</t>
  </si>
  <si>
    <t>WISCONSIN, Sturgeon Bay</t>
  </si>
  <si>
    <t>WEST_VIRGINIA</t>
  </si>
  <si>
    <t>Charles Town</t>
  </si>
  <si>
    <t>WEST_VIRGINIA, Charles Town</t>
  </si>
  <si>
    <t>WEST_VIRGINIA, Charleston</t>
  </si>
  <si>
    <t>WYOMING</t>
  </si>
  <si>
    <t>Cody</t>
  </si>
  <si>
    <t>WYOMING, Cody</t>
  </si>
  <si>
    <t>Jackson / Pinedale</t>
  </si>
  <si>
    <t>WYOMING, Jackson / Pinedale</t>
  </si>
  <si>
    <t>HAWAII</t>
  </si>
  <si>
    <t>Hilo</t>
  </si>
  <si>
    <t>HAWAII, Hilo</t>
  </si>
  <si>
    <t>Honolulu</t>
  </si>
  <si>
    <t>HAWAII, Honolulu</t>
  </si>
  <si>
    <t>Isle of Hawaii</t>
  </si>
  <si>
    <t>HAWAII, Isle of Hawaii</t>
  </si>
  <si>
    <t>Isle of Kauai</t>
  </si>
  <si>
    <t>HAWAII, Isle of Kauai</t>
  </si>
  <si>
    <t>Isle of Maui</t>
  </si>
  <si>
    <t>HAWAII, Isle of Maui</t>
  </si>
  <si>
    <t>Isle of Oahu</t>
  </si>
  <si>
    <t>HAWAII, Isle of Oahu</t>
  </si>
  <si>
    <t>Other</t>
  </si>
  <si>
    <t>HAWAII, Other</t>
  </si>
  <si>
    <t>ALASKA</t>
  </si>
  <si>
    <t>Anchorage</t>
  </si>
  <si>
    <t>ALASKA, Anchorage</t>
  </si>
  <si>
    <t>Fairbanks</t>
  </si>
  <si>
    <t>ALASKA, Fairbanks</t>
  </si>
  <si>
    <t>ALASKA, Other</t>
  </si>
  <si>
    <t>ALL OTHER</t>
  </si>
  <si>
    <t>ALL OTHER AREAS, Other</t>
  </si>
  <si>
    <t>UNITED_ARAB_EMIRATES</t>
  </si>
  <si>
    <t>Abu Dhabi</t>
  </si>
  <si>
    <t>Abu Dhabi, UNITED_ARAB_EMIRATES</t>
  </si>
  <si>
    <t>Dubai</t>
  </si>
  <si>
    <t>Dubai, UNITED_ARAB_EMIRATES</t>
  </si>
  <si>
    <t>[Other], UNITED_ARAB_EMIRATES</t>
  </si>
  <si>
    <t>Countries</t>
  </si>
  <si>
    <t>Full Per Diem</t>
  </si>
  <si>
    <t>Breakfast</t>
  </si>
  <si>
    <t>Breakfast &amp; Lunch</t>
  </si>
  <si>
    <t>Breakfast &amp; Dinner</t>
  </si>
  <si>
    <t>Breakfast, Lunch &amp; Dinner</t>
  </si>
  <si>
    <t>Lunch</t>
  </si>
  <si>
    <t>Lunch &amp; Dinner</t>
  </si>
  <si>
    <t>Dinner</t>
  </si>
  <si>
    <t>Departments</t>
  </si>
  <si>
    <t>10150 - Organization Advancement</t>
  </si>
  <si>
    <t>10192 - Resource Development</t>
  </si>
  <si>
    <t>10194 - Presidents Office</t>
  </si>
  <si>
    <t>10196 - Public-Private Partnerships</t>
  </si>
  <si>
    <t>10197 - Board of Directors</t>
  </si>
  <si>
    <t>10200 - Finance &amp; Administration</t>
  </si>
  <si>
    <t>10210 - Human Resources</t>
  </si>
  <si>
    <t>10220 - Operational</t>
  </si>
  <si>
    <t>10300 - Marketing &amp; Communications</t>
  </si>
  <si>
    <t>10400 - Community &amp; Volunteer Engagement</t>
  </si>
  <si>
    <t>10600 - Monitoring and Evaluation Dept</t>
  </si>
  <si>
    <t>10700 - Procurement &amp; Compliance Dept</t>
  </si>
  <si>
    <t>12100 - Colombia Office</t>
  </si>
  <si>
    <t>18100 - Fundraising</t>
  </si>
  <si>
    <t>20200 - Combating Child Labor</t>
  </si>
  <si>
    <t>20300 - Education &amp; Culture - CPU</t>
  </si>
  <si>
    <t>30100 - Farmer to Farmer</t>
  </si>
  <si>
    <t>30200 - Health and Nutrition</t>
  </si>
  <si>
    <t>40100 - 100K Strong</t>
  </si>
  <si>
    <t>40200 - Climate Change Fellows</t>
  </si>
  <si>
    <t>40300 - Education and Culture</t>
  </si>
  <si>
    <t>40500 - Youth Ambassadors</t>
  </si>
  <si>
    <t>Grants</t>
  </si>
  <si>
    <t>99999 - Admin</t>
  </si>
  <si>
    <t>DOL428 - Leveling the Field for American Workers in U.S.-Mexico Trade</t>
  </si>
  <si>
    <t>DOS452 - Mexico United 2026</t>
  </si>
  <si>
    <t>DOS453 - Mexico Migration Messaging</t>
  </si>
  <si>
    <t>DOS454 - Paraguay TIP - Nangareko Hagua</t>
  </si>
  <si>
    <t>USDA602 - USDA Food for Progress Nigeria</t>
  </si>
  <si>
    <t>USDA602CS - USDA Food for Progress Nigeria - Cost Share</t>
  </si>
  <si>
    <t>USDA801 - USDA McGovern Dole Honduras</t>
  </si>
  <si>
    <t>USDA801CS - USDA McGovern Dole Honduras - Cost Share</t>
  </si>
  <si>
    <t>DOS2004 - 100,000 Strong in the Americas 2023-2026</t>
  </si>
  <si>
    <t>DOS2004CS - DOS2004 DOS/WHA 100K - Cost share</t>
  </si>
  <si>
    <t xml:space="preserve">DOS265 - 100K American Embassy Guatemala  </t>
  </si>
  <si>
    <t>DOS266 - 100K American Embassy Brazil</t>
  </si>
  <si>
    <t>DOS268 - 100K Embassy DR FY2024</t>
  </si>
  <si>
    <t>DOS288 - Education &amp; Culture 2024</t>
  </si>
  <si>
    <t>DOS289 - Education &amp; Culture 2025</t>
  </si>
  <si>
    <t>BOL - Bolivia</t>
  </si>
  <si>
    <t>BRA - Brazil</t>
  </si>
  <si>
    <t>BRB - Barbados</t>
  </si>
  <si>
    <t>COL - Colombia</t>
  </si>
  <si>
    <t>COL1 - Colombia Head Office</t>
  </si>
  <si>
    <t>COL2 - Colombia Other (including field offices)</t>
  </si>
  <si>
    <t>CRI - Costa Rica</t>
  </si>
  <si>
    <t>DOM - Dominican Republic</t>
  </si>
  <si>
    <t>ECU - Ecuador</t>
  </si>
  <si>
    <t>GTM - Guatemala</t>
  </si>
  <si>
    <t>GUY - Guyana</t>
  </si>
  <si>
    <t>HND - Honduras</t>
  </si>
  <si>
    <t>HTI - Haiti</t>
  </si>
  <si>
    <t>JAM - Jamaica</t>
  </si>
  <si>
    <t>MEX - Mexico</t>
  </si>
  <si>
    <t>MAU - Mauritania</t>
  </si>
  <si>
    <t>NIC - Nicaragua</t>
  </si>
  <si>
    <t>NGA - Nigeria</t>
  </si>
  <si>
    <t>PAN - Panama</t>
  </si>
  <si>
    <t>PER - Peru</t>
  </si>
  <si>
    <t>PRY - Paraguay</t>
  </si>
  <si>
    <t>TUN - Tunisia</t>
  </si>
  <si>
    <t>URY - Uruguay</t>
  </si>
  <si>
    <t>USA - Home Office</t>
  </si>
  <si>
    <t>VEN - Venezuela</t>
  </si>
  <si>
    <t>Account Codes</t>
  </si>
  <si>
    <t xml:space="preserve">50206 - Home of Record Trip (Employee and Family) </t>
  </si>
  <si>
    <t>80402 - Media</t>
  </si>
  <si>
    <t>81000 - Consulting</t>
  </si>
  <si>
    <t>81010 - Professional Fees (In country legal, evaluations)</t>
  </si>
  <si>
    <t>81015 - Stipends &amp; Honoraria</t>
  </si>
  <si>
    <t>81021 - Translation</t>
  </si>
  <si>
    <t>81025 - IT Services</t>
  </si>
  <si>
    <t>81030 - Payroll Services</t>
  </si>
  <si>
    <t>81031 - Temporary Services</t>
  </si>
  <si>
    <t>81035 - Website</t>
  </si>
  <si>
    <t>82030 - Telephone &amp; Internet &amp; Communications</t>
  </si>
  <si>
    <t>82100 - Audit</t>
  </si>
  <si>
    <t>82105 - Accounting &amp; Tax</t>
  </si>
  <si>
    <t>82350 - Postage &amp; Shipping</t>
  </si>
  <si>
    <t>82401 - Office Supplies</t>
  </si>
  <si>
    <t>82420 - Program Supplies</t>
  </si>
  <si>
    <t>85105 - Equipment Maintenance</t>
  </si>
  <si>
    <t>85180 - Rent &amp; Utilities</t>
  </si>
  <si>
    <t>85200 - Equipment greater than $5000</t>
  </si>
  <si>
    <t>85201 - Equipment Lease</t>
  </si>
  <si>
    <t>85300 - Printing &amp; Publications</t>
  </si>
  <si>
    <t>86000 - Local Travel</t>
  </si>
  <si>
    <t>86030 - Travel - Lodging</t>
  </si>
  <si>
    <t>86040 - Travel - Airfare</t>
  </si>
  <si>
    <t>86050 - Travel - Related Expenses</t>
  </si>
  <si>
    <t>86110 - Security</t>
  </si>
  <si>
    <t>87000 - Trainings, Seminars, Workshops &amp; Events</t>
  </si>
  <si>
    <t>87010 - Meeting Expenses</t>
  </si>
  <si>
    <t>87200 - VAT Tax</t>
  </si>
  <si>
    <t>89400 - Dues,  Licenses &amp; Subscriptions</t>
  </si>
  <si>
    <t>89500 - Insurance</t>
  </si>
  <si>
    <t>90400 - Unallowable Program Costs</t>
  </si>
  <si>
    <t>90450 - Program Advertising</t>
  </si>
  <si>
    <t>90900 - Bank Fees &amp; Service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</si>
</sst>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6" fillId="0" borderId="0" xfId="0" applyFont="1"/>
    <xf numFmtId="0" fontId="5" fillId="0" borderId="0" xfId="0" applyFont="1"/>
    <xf numFmtId="0" fontId="5" fillId="0" borderId="2" xfId="0" applyFont="1" applyBorder="1"/>
    <xf numFmtId="0" fontId="3" fillId="0" borderId="0" xfId="0" applyFont="1"/>
    <xf numFmtId="0" fontId="3" fillId="0" borderId="2" xfId="0" applyFont="1" applyBorder="1"/>
    <xf numFmtId="0" fontId="6" fillId="0" borderId="0" xfId="0" applyFont="1" applyAlignment="1">
      <alignment horizontal="left"/>
    </xf>
    <xf numFmtId="44" fontId="6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44" fontId="0" fillId="0" borderId="1" xfId="1" applyFont="1" applyBorder="1"/>
    <xf numFmtId="44" fontId="6" fillId="0" borderId="3" xfId="1" applyFont="1" applyBorder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44" fontId="0" fillId="0" borderId="1" xfId="1" applyFont="1" applyBorder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left"/>
    </xf>
    <xf numFmtId="44" fontId="0" fillId="0" borderId="0" xfId="0" applyNumberFormat="1" applyAlignment="1">
      <alignment horizontal="left"/>
    </xf>
    <xf numFmtId="9" fontId="0" fillId="0" borderId="0" xfId="2" applyFont="1" applyAlignment="1">
      <alignment horizontal="left"/>
    </xf>
    <xf numFmtId="0" fontId="7" fillId="0" borderId="0" xfId="0" applyFont="1" applyAlignment="1">
      <alignment horizontal="left" wrapText="1"/>
    </xf>
    <xf numFmtId="9" fontId="3" fillId="0" borderId="1" xfId="2" applyFont="1" applyBorder="1" applyAlignment="1">
      <alignment horizontal="center"/>
    </xf>
    <xf numFmtId="9" fontId="0" fillId="0" borderId="0" xfId="2" applyFont="1" applyAlignment="1"/>
    <xf numFmtId="9" fontId="6" fillId="0" borderId="0" xfId="2" applyFont="1" applyFill="1" applyBorder="1" applyAlignment="1"/>
    <xf numFmtId="9" fontId="0" fillId="0" borderId="0" xfId="2" applyFont="1" applyBorder="1" applyAlignment="1"/>
    <xf numFmtId="9" fontId="9" fillId="0" borderId="0" xfId="2" applyFont="1" applyBorder="1" applyAlignment="1">
      <alignment horizontal="right"/>
    </xf>
    <xf numFmtId="9" fontId="6" fillId="0" borderId="0" xfId="2" applyFont="1" applyBorder="1" applyAlignment="1">
      <alignment horizontal="left"/>
    </xf>
    <xf numFmtId="9" fontId="5" fillId="0" borderId="0" xfId="2" applyFont="1"/>
    <xf numFmtId="0" fontId="3" fillId="0" borderId="1" xfId="0" applyFont="1" applyBorder="1" applyAlignment="1">
      <alignment horizontal="center"/>
    </xf>
    <xf numFmtId="14" fontId="8" fillId="0" borderId="0" xfId="0" applyNumberFormat="1" applyFont="1" applyAlignment="1">
      <alignment horizontal="right"/>
    </xf>
    <xf numFmtId="44" fontId="0" fillId="0" borderId="0" xfId="0" applyNumberFormat="1"/>
    <xf numFmtId="44" fontId="2" fillId="0" borderId="0" xfId="1" applyFont="1" applyFill="1"/>
    <xf numFmtId="14" fontId="3" fillId="0" borderId="1" xfId="0" applyNumberFormat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39" fontId="3" fillId="0" borderId="5" xfId="1" applyNumberFormat="1" applyFont="1" applyBorder="1" applyAlignment="1">
      <alignment horizontal="right"/>
    </xf>
    <xf numFmtId="9" fontId="3" fillId="0" borderId="5" xfId="2" applyFont="1" applyBorder="1" applyAlignment="1">
      <alignment horizontal="right"/>
    </xf>
    <xf numFmtId="44" fontId="3" fillId="0" borderId="0" xfId="1" applyFont="1" applyBorder="1" applyAlignment="1">
      <alignment horizontal="right"/>
    </xf>
    <xf numFmtId="9" fontId="3" fillId="0" borderId="0" xfId="2" applyFont="1" applyBorder="1" applyAlignment="1">
      <alignment horizontal="right"/>
    </xf>
    <xf numFmtId="44" fontId="3" fillId="0" borderId="4" xfId="1" applyFont="1" applyBorder="1"/>
    <xf numFmtId="9" fontId="4" fillId="0" borderId="0" xfId="2" applyFont="1" applyBorder="1" applyAlignment="1"/>
    <xf numFmtId="0" fontId="3" fillId="0" borderId="0" xfId="0" applyFont="1" applyAlignment="1">
      <alignment horizontal="left" vertical="top"/>
    </xf>
    <xf numFmtId="44" fontId="12" fillId="0" borderId="0" xfId="1" applyFont="1" applyFill="1" applyAlignment="1">
      <alignment wrapText="1"/>
    </xf>
    <xf numFmtId="0" fontId="13" fillId="0" borderId="0" xfId="0" applyFont="1"/>
    <xf numFmtId="15" fontId="3" fillId="0" borderId="1" xfId="0" applyNumberFormat="1" applyFont="1" applyBorder="1" applyAlignment="1">
      <alignment horizontal="center"/>
    </xf>
    <xf numFmtId="0" fontId="14" fillId="0" borderId="0" xfId="0" applyFont="1"/>
    <xf numFmtId="44" fontId="1" fillId="0" borderId="0" xfId="1" applyFont="1" applyFill="1"/>
    <xf numFmtId="0" fontId="8" fillId="2" borderId="1" xfId="0" applyFont="1" applyFill="1" applyBorder="1" applyAlignment="1">
      <alignment horizontal="center" wrapText="1"/>
    </xf>
    <xf numFmtId="44" fontId="8" fillId="2" borderId="1" xfId="1" applyFont="1" applyFill="1" applyBorder="1" applyAlignment="1">
      <alignment horizontal="center" wrapText="1"/>
    </xf>
    <xf numFmtId="9" fontId="8" fillId="2" borderId="1" xfId="2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49" fontId="3" fillId="0" borderId="2" xfId="0" applyNumberFormat="1" applyFont="1" applyBorder="1" applyAlignment="1"/>
    <xf numFmtId="49" fontId="3" fillId="0" borderId="6" xfId="0" applyNumberFormat="1" applyFont="1" applyBorder="1" applyAlignme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77390</xdr:rowOff>
    </xdr:from>
    <xdr:to>
      <xdr:col>2</xdr:col>
      <xdr:colOff>460852</xdr:colOff>
      <xdr:row>3</xdr:row>
      <xdr:rowOff>54530</xdr:rowOff>
    </xdr:to>
    <xdr:pic>
      <xdr:nvPicPr>
        <xdr:cNvPr id="1062" name="Picture 1" descr="POA_English Slogan BLACK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77390"/>
          <a:ext cx="3186113" cy="453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7CB88049-1ED5-441B-81F0-11DBF2AE2665}" userId="Danielle Mart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3-10-04T02:20:47.22" personId="{7CB88049-1ED5-441B-81F0-11DBF2AE2665}" id="{1F7C1C49-DD6D-42BF-B466-55967528F37E}">
    <text>Per diem type only applies on the first and last day of travel. Only select partial per diem on the first day of travel if leaving home/office after 6AM. Only select partial per diem on the last day of travel if returning to home/office before 7PM.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7"/>
  <sheetViews>
    <sheetView tabSelected="1" topLeftCell="D6" zoomScale="81" zoomScaleNormal="90" workbookViewId="0">
      <selection activeCell="I15" sqref="I15"/>
    </sheetView>
  </sheetViews>
  <sheetFormatPr defaultColWidth="8.7109375" defaultRowHeight="12.4"/>
  <cols>
    <col min="1" max="1" width="12.42578125" customWidth="1"/>
    <col min="2" max="2" width="27.42578125" bestFit="1" customWidth="1"/>
    <col min="3" max="3" width="14.28515625" bestFit="1" customWidth="1"/>
    <col min="4" max="4" width="16" bestFit="1" customWidth="1"/>
    <col min="5" max="5" width="39.42578125" bestFit="1" customWidth="1"/>
    <col min="6" max="6" width="24.42578125" style="2" customWidth="1"/>
    <col min="7" max="7" width="14.28515625" style="2" customWidth="1"/>
    <col min="8" max="8" width="9.42578125" style="2" customWidth="1"/>
    <col min="9" max="9" width="19" style="2" customWidth="1"/>
    <col min="10" max="10" width="6.7109375" style="2" customWidth="1"/>
    <col min="11" max="11" width="9.7109375" customWidth="1"/>
    <col min="12" max="12" width="9.42578125" customWidth="1"/>
    <col min="13" max="13" width="11.85546875" bestFit="1" customWidth="1"/>
    <col min="14" max="14" width="22.7109375" customWidth="1"/>
    <col min="15" max="15" width="13.28515625" style="27" hidden="1" customWidth="1"/>
    <col min="16" max="16" width="11.7109375" customWidth="1"/>
    <col min="17" max="17" width="15.7109375" customWidth="1"/>
  </cols>
  <sheetData>
    <row r="1" spans="1:17">
      <c r="F1"/>
      <c r="G1"/>
      <c r="H1"/>
      <c r="I1"/>
      <c r="J1"/>
      <c r="O1" s="22"/>
    </row>
    <row r="2" spans="1:17">
      <c r="F2"/>
      <c r="I2"/>
      <c r="J2"/>
      <c r="O2" s="22"/>
    </row>
    <row r="3" spans="1:17">
      <c r="F3"/>
      <c r="I3"/>
      <c r="J3"/>
      <c r="O3" s="22"/>
    </row>
    <row r="4" spans="1:17">
      <c r="F4"/>
      <c r="G4"/>
      <c r="H4"/>
      <c r="I4"/>
      <c r="J4"/>
      <c r="O4" s="22"/>
    </row>
    <row r="5" spans="1:17" ht="15.75" customHeight="1">
      <c r="A5" s="45" t="s">
        <v>0</v>
      </c>
      <c r="B5" s="52" t="s">
        <v>1</v>
      </c>
      <c r="C5" s="52"/>
      <c r="D5" s="52"/>
      <c r="E5" s="52"/>
      <c r="F5" s="52"/>
      <c r="G5" s="1"/>
      <c r="H5" s="1"/>
      <c r="I5" s="1"/>
      <c r="J5" s="1"/>
      <c r="K5" s="1"/>
      <c r="L5" s="1"/>
      <c r="M5" s="1"/>
      <c r="O5" s="23"/>
    </row>
    <row r="6" spans="1:17">
      <c r="A6" s="29"/>
      <c r="B6" s="8" t="s">
        <v>2</v>
      </c>
      <c r="C6" s="53"/>
      <c r="D6" s="53"/>
      <c r="E6" s="53"/>
      <c r="F6" s="53"/>
      <c r="G6"/>
      <c r="I6"/>
      <c r="J6"/>
      <c r="O6" s="24"/>
    </row>
    <row r="7" spans="1:17">
      <c r="A7" s="8"/>
      <c r="B7" s="8" t="s">
        <v>3</v>
      </c>
      <c r="C7" s="54"/>
      <c r="D7" s="54"/>
      <c r="E7" s="54"/>
      <c r="F7" s="54"/>
      <c r="G7"/>
      <c r="I7"/>
      <c r="J7"/>
      <c r="O7" s="24"/>
    </row>
    <row r="8" spans="1:17">
      <c r="A8" s="8"/>
      <c r="B8" s="8" t="s">
        <v>4</v>
      </c>
      <c r="C8" s="54"/>
      <c r="D8" s="54"/>
      <c r="E8" s="54"/>
      <c r="F8" s="54"/>
      <c r="G8"/>
      <c r="H8"/>
      <c r="I8"/>
      <c r="J8"/>
      <c r="O8" s="24"/>
    </row>
    <row r="10" spans="1:17" s="20" customFormat="1" ht="30.75" customHeight="1">
      <c r="A10" s="49" t="s">
        <v>5</v>
      </c>
      <c r="B10" s="49" t="s">
        <v>6</v>
      </c>
      <c r="C10" s="49" t="s">
        <v>7</v>
      </c>
      <c r="D10" s="49" t="s">
        <v>8</v>
      </c>
      <c r="E10" s="49" t="s">
        <v>9</v>
      </c>
      <c r="F10" s="49" t="s">
        <v>10</v>
      </c>
      <c r="G10" s="49" t="s">
        <v>11</v>
      </c>
      <c r="H10" s="49" t="s">
        <v>12</v>
      </c>
      <c r="I10" s="49" t="s">
        <v>13</v>
      </c>
      <c r="J10" s="49" t="s">
        <v>8</v>
      </c>
      <c r="K10" s="49" t="s">
        <v>14</v>
      </c>
      <c r="L10" s="49" t="s">
        <v>15</v>
      </c>
      <c r="M10" s="50" t="s">
        <v>16</v>
      </c>
      <c r="N10" s="50" t="s">
        <v>17</v>
      </c>
      <c r="O10" s="51" t="s">
        <v>18</v>
      </c>
      <c r="P10" s="50" t="s">
        <v>19</v>
      </c>
      <c r="Q10" s="49" t="s">
        <v>20</v>
      </c>
    </row>
    <row r="11" spans="1:17">
      <c r="A11" s="46"/>
      <c r="B11" s="32"/>
      <c r="C11" s="28" t="s">
        <v>21</v>
      </c>
      <c r="D11" s="28" t="s">
        <v>22</v>
      </c>
      <c r="E11" s="28" t="s">
        <v>23</v>
      </c>
      <c r="F11" s="35"/>
      <c r="G11" s="35"/>
      <c r="H11" s="35"/>
      <c r="I11" s="35"/>
      <c r="J11" s="35"/>
      <c r="K11" s="33">
        <f t="shared" ref="K11:K35" si="0">IF(E11="", "", VLOOKUP(E11,PerDiemRates,2,FALSE))</f>
        <v>131</v>
      </c>
      <c r="L11" s="33">
        <f>IF(E11="", "", K11*0.7)</f>
        <v>91.699999999999989</v>
      </c>
      <c r="M11" s="33">
        <f>IF(E11="", "", IF(C11="Full Per Diem",(K11*0.7),(K11*0.525)))</f>
        <v>68.775000000000006</v>
      </c>
      <c r="N11" s="21" t="s">
        <v>24</v>
      </c>
      <c r="O11" s="21">
        <f t="shared" ref="O11:O34" si="1">IF(E11="","",(VLOOKUP(N11,ExclusionPercent,2,FALSE)))</f>
        <v>0</v>
      </c>
      <c r="P11" s="14">
        <f t="shared" ref="P11:P35" si="2">ROUND(IF(E11="", 0, M11*(1-O11)), 2)</f>
        <v>68.78</v>
      </c>
      <c r="Q11" s="28"/>
    </row>
    <row r="12" spans="1:17">
      <c r="A12" s="46"/>
      <c r="B12" s="32"/>
      <c r="C12" s="28"/>
      <c r="D12" s="28"/>
      <c r="E12" s="28"/>
      <c r="F12" s="35"/>
      <c r="G12" s="35"/>
      <c r="H12" s="35"/>
      <c r="I12" s="35"/>
      <c r="J12" s="35"/>
      <c r="K12" s="33" t="str">
        <f t="shared" si="0"/>
        <v/>
      </c>
      <c r="L12" s="33" t="str">
        <f t="shared" ref="L12:L35" si="3">IF(E12="", "", K12*0.7)</f>
        <v/>
      </c>
      <c r="M12" s="33" t="str">
        <f t="shared" ref="M12:M35" si="4">IF(E12="", "", IF(C12="Full Per Diem",(K12*0.7),(K12*0.525)))</f>
        <v/>
      </c>
      <c r="N12" s="21"/>
      <c r="O12" s="21" t="str">
        <f t="shared" si="1"/>
        <v/>
      </c>
      <c r="P12" s="14">
        <f t="shared" si="2"/>
        <v>0</v>
      </c>
      <c r="Q12" s="28"/>
    </row>
    <row r="13" spans="1:17">
      <c r="A13" s="46"/>
      <c r="B13" s="32"/>
      <c r="C13" s="28"/>
      <c r="D13" s="28"/>
      <c r="E13" s="28"/>
      <c r="F13" s="35"/>
      <c r="G13" s="35"/>
      <c r="H13" s="35"/>
      <c r="I13" s="35"/>
      <c r="J13" s="35"/>
      <c r="K13" s="33" t="str">
        <f t="shared" si="0"/>
        <v/>
      </c>
      <c r="L13" s="33" t="str">
        <f t="shared" si="3"/>
        <v/>
      </c>
      <c r="M13" s="33" t="str">
        <f t="shared" si="4"/>
        <v/>
      </c>
      <c r="N13" s="21"/>
      <c r="O13" s="21" t="str">
        <f t="shared" si="1"/>
        <v/>
      </c>
      <c r="P13" s="14">
        <f t="shared" si="2"/>
        <v>0</v>
      </c>
      <c r="Q13" s="28"/>
    </row>
    <row r="14" spans="1:17">
      <c r="A14" s="46"/>
      <c r="B14" s="32"/>
      <c r="C14" s="28"/>
      <c r="D14" s="28"/>
      <c r="E14" s="28"/>
      <c r="F14" s="35"/>
      <c r="G14" s="35"/>
      <c r="H14" s="35"/>
      <c r="I14" s="35"/>
      <c r="J14" s="35"/>
      <c r="K14" s="33" t="str">
        <f t="shared" si="0"/>
        <v/>
      </c>
      <c r="L14" s="33" t="str">
        <f t="shared" si="3"/>
        <v/>
      </c>
      <c r="M14" s="33" t="str">
        <f t="shared" si="4"/>
        <v/>
      </c>
      <c r="N14" s="21"/>
      <c r="O14" s="21" t="str">
        <f t="shared" si="1"/>
        <v/>
      </c>
      <c r="P14" s="14">
        <f t="shared" si="2"/>
        <v>0</v>
      </c>
      <c r="Q14" s="28"/>
    </row>
    <row r="15" spans="1:17">
      <c r="A15" s="46"/>
      <c r="B15" s="32"/>
      <c r="C15" s="28"/>
      <c r="D15" s="28"/>
      <c r="E15" s="28"/>
      <c r="F15" s="35"/>
      <c r="G15" s="35"/>
      <c r="H15" s="35"/>
      <c r="I15" s="35"/>
      <c r="J15" s="35"/>
      <c r="K15" s="33" t="str">
        <f t="shared" si="0"/>
        <v/>
      </c>
      <c r="L15" s="33" t="str">
        <f t="shared" si="3"/>
        <v/>
      </c>
      <c r="M15" s="33" t="str">
        <f t="shared" si="4"/>
        <v/>
      </c>
      <c r="N15" s="21"/>
      <c r="O15" s="21" t="str">
        <f t="shared" si="1"/>
        <v/>
      </c>
      <c r="P15" s="14">
        <f t="shared" si="2"/>
        <v>0</v>
      </c>
      <c r="Q15" s="28"/>
    </row>
    <row r="16" spans="1:17">
      <c r="A16" s="46"/>
      <c r="B16" s="32"/>
      <c r="C16" s="28"/>
      <c r="D16" s="28"/>
      <c r="E16" s="28"/>
      <c r="F16" s="35"/>
      <c r="G16" s="35"/>
      <c r="H16" s="35"/>
      <c r="I16" s="35"/>
      <c r="J16" s="35"/>
      <c r="K16" s="33" t="str">
        <f t="shared" si="0"/>
        <v/>
      </c>
      <c r="L16" s="33" t="str">
        <f t="shared" si="3"/>
        <v/>
      </c>
      <c r="M16" s="33" t="str">
        <f t="shared" si="4"/>
        <v/>
      </c>
      <c r="N16" s="21"/>
      <c r="O16" s="21" t="str">
        <f t="shared" si="1"/>
        <v/>
      </c>
      <c r="P16" s="14">
        <f t="shared" si="2"/>
        <v>0</v>
      </c>
      <c r="Q16" s="28"/>
    </row>
    <row r="17" spans="1:17">
      <c r="A17" s="46"/>
      <c r="B17" s="32"/>
      <c r="C17" s="28"/>
      <c r="D17" s="28"/>
      <c r="E17" s="28"/>
      <c r="F17" s="35"/>
      <c r="G17" s="35"/>
      <c r="H17" s="35"/>
      <c r="I17" s="35"/>
      <c r="J17" s="35"/>
      <c r="K17" s="33" t="str">
        <f t="shared" si="0"/>
        <v/>
      </c>
      <c r="L17" s="33" t="str">
        <f t="shared" si="3"/>
        <v/>
      </c>
      <c r="M17" s="33" t="str">
        <f t="shared" si="4"/>
        <v/>
      </c>
      <c r="N17" s="21"/>
      <c r="O17" s="21" t="str">
        <f t="shared" si="1"/>
        <v/>
      </c>
      <c r="P17" s="14">
        <f t="shared" si="2"/>
        <v>0</v>
      </c>
      <c r="Q17" s="28"/>
    </row>
    <row r="18" spans="1:17">
      <c r="A18" s="46"/>
      <c r="B18" s="32"/>
      <c r="C18" s="28"/>
      <c r="D18" s="28"/>
      <c r="E18" s="28"/>
      <c r="F18" s="35"/>
      <c r="G18" s="35"/>
      <c r="H18" s="35"/>
      <c r="I18" s="35"/>
      <c r="J18" s="35"/>
      <c r="K18" s="33" t="str">
        <f t="shared" si="0"/>
        <v/>
      </c>
      <c r="L18" s="33" t="str">
        <f t="shared" si="3"/>
        <v/>
      </c>
      <c r="M18" s="33" t="str">
        <f t="shared" si="4"/>
        <v/>
      </c>
      <c r="N18" s="21"/>
      <c r="O18" s="21" t="str">
        <f t="shared" si="1"/>
        <v/>
      </c>
      <c r="P18" s="14">
        <f t="shared" si="2"/>
        <v>0</v>
      </c>
      <c r="Q18" s="28"/>
    </row>
    <row r="19" spans="1:17">
      <c r="A19" s="46"/>
      <c r="B19" s="32"/>
      <c r="C19" s="28"/>
      <c r="D19" s="28"/>
      <c r="E19" s="28"/>
      <c r="F19" s="35"/>
      <c r="G19" s="35"/>
      <c r="H19" s="35"/>
      <c r="I19" s="35"/>
      <c r="J19" s="35"/>
      <c r="K19" s="33" t="str">
        <f t="shared" si="0"/>
        <v/>
      </c>
      <c r="L19" s="33" t="str">
        <f t="shared" si="3"/>
        <v/>
      </c>
      <c r="M19" s="33" t="str">
        <f t="shared" si="4"/>
        <v/>
      </c>
      <c r="N19" s="21"/>
      <c r="O19" s="21" t="str">
        <f t="shared" si="1"/>
        <v/>
      </c>
      <c r="P19" s="14">
        <f t="shared" si="2"/>
        <v>0</v>
      </c>
      <c r="Q19" s="28"/>
    </row>
    <row r="20" spans="1:17">
      <c r="A20" s="46"/>
      <c r="B20" s="32"/>
      <c r="C20" s="28"/>
      <c r="D20" s="28"/>
      <c r="E20" s="28"/>
      <c r="F20" s="35"/>
      <c r="G20" s="35"/>
      <c r="H20" s="35"/>
      <c r="I20" s="35"/>
      <c r="J20" s="35"/>
      <c r="K20" s="33" t="str">
        <f t="shared" si="0"/>
        <v/>
      </c>
      <c r="L20" s="33" t="str">
        <f t="shared" si="3"/>
        <v/>
      </c>
      <c r="M20" s="33" t="str">
        <f t="shared" si="4"/>
        <v/>
      </c>
      <c r="N20" s="21"/>
      <c r="O20" s="21" t="str">
        <f t="shared" si="1"/>
        <v/>
      </c>
      <c r="P20" s="14">
        <f t="shared" si="2"/>
        <v>0</v>
      </c>
      <c r="Q20" s="28"/>
    </row>
    <row r="21" spans="1:17">
      <c r="A21" s="32"/>
      <c r="B21" s="32"/>
      <c r="C21" s="28"/>
      <c r="D21" s="28"/>
      <c r="E21" s="28"/>
      <c r="F21" s="35"/>
      <c r="G21" s="35"/>
      <c r="H21" s="35"/>
      <c r="I21" s="35"/>
      <c r="J21" s="35"/>
      <c r="K21" s="33" t="str">
        <f t="shared" si="0"/>
        <v/>
      </c>
      <c r="L21" s="33" t="str">
        <f t="shared" si="3"/>
        <v/>
      </c>
      <c r="M21" s="33" t="str">
        <f t="shared" si="4"/>
        <v/>
      </c>
      <c r="N21" s="21"/>
      <c r="O21" s="21" t="str">
        <f t="shared" si="1"/>
        <v/>
      </c>
      <c r="P21" s="14">
        <f t="shared" si="2"/>
        <v>0</v>
      </c>
      <c r="Q21" s="28"/>
    </row>
    <row r="22" spans="1:17">
      <c r="A22" s="32"/>
      <c r="B22" s="32"/>
      <c r="C22" s="28"/>
      <c r="D22" s="28"/>
      <c r="E22" s="28"/>
      <c r="F22" s="35"/>
      <c r="G22" s="35"/>
      <c r="H22" s="35"/>
      <c r="I22" s="35"/>
      <c r="J22" s="35"/>
      <c r="K22" s="33" t="str">
        <f t="shared" si="0"/>
        <v/>
      </c>
      <c r="L22" s="33" t="str">
        <f t="shared" si="3"/>
        <v/>
      </c>
      <c r="M22" s="33" t="str">
        <f t="shared" si="4"/>
        <v/>
      </c>
      <c r="N22" s="21"/>
      <c r="O22" s="21" t="str">
        <f t="shared" si="1"/>
        <v/>
      </c>
      <c r="P22" s="14">
        <f t="shared" si="2"/>
        <v>0</v>
      </c>
      <c r="Q22" s="28"/>
    </row>
    <row r="23" spans="1:17">
      <c r="A23" s="32"/>
      <c r="B23" s="32"/>
      <c r="C23" s="28"/>
      <c r="D23" s="28"/>
      <c r="E23" s="28"/>
      <c r="F23" s="35"/>
      <c r="G23" s="35"/>
      <c r="H23" s="35"/>
      <c r="I23" s="35"/>
      <c r="J23" s="35"/>
      <c r="K23" s="33" t="str">
        <f t="shared" si="0"/>
        <v/>
      </c>
      <c r="L23" s="33" t="str">
        <f t="shared" si="3"/>
        <v/>
      </c>
      <c r="M23" s="33" t="str">
        <f t="shared" si="4"/>
        <v/>
      </c>
      <c r="N23" s="21"/>
      <c r="O23" s="21" t="str">
        <f t="shared" si="1"/>
        <v/>
      </c>
      <c r="P23" s="14">
        <f t="shared" si="2"/>
        <v>0</v>
      </c>
      <c r="Q23" s="28"/>
    </row>
    <row r="24" spans="1:17">
      <c r="A24" s="32"/>
      <c r="B24" s="32"/>
      <c r="C24" s="28"/>
      <c r="D24" s="28"/>
      <c r="E24" s="28"/>
      <c r="F24" s="35"/>
      <c r="G24" s="35"/>
      <c r="H24" s="35"/>
      <c r="I24" s="35"/>
      <c r="J24" s="35"/>
      <c r="K24" s="33" t="str">
        <f t="shared" si="0"/>
        <v/>
      </c>
      <c r="L24" s="33" t="str">
        <f t="shared" si="3"/>
        <v/>
      </c>
      <c r="M24" s="33" t="str">
        <f t="shared" si="4"/>
        <v/>
      </c>
      <c r="N24" s="21"/>
      <c r="O24" s="21" t="str">
        <f t="shared" si="1"/>
        <v/>
      </c>
      <c r="P24" s="14">
        <f t="shared" si="2"/>
        <v>0</v>
      </c>
      <c r="Q24" s="28"/>
    </row>
    <row r="25" spans="1:17">
      <c r="A25" s="32"/>
      <c r="B25" s="32"/>
      <c r="C25" s="28"/>
      <c r="D25" s="28"/>
      <c r="E25" s="28"/>
      <c r="F25" s="35"/>
      <c r="G25" s="35"/>
      <c r="H25" s="35"/>
      <c r="I25" s="35"/>
      <c r="J25" s="35"/>
      <c r="K25" s="33" t="str">
        <f t="shared" si="0"/>
        <v/>
      </c>
      <c r="L25" s="33" t="str">
        <f t="shared" si="3"/>
        <v/>
      </c>
      <c r="M25" s="33" t="str">
        <f t="shared" si="4"/>
        <v/>
      </c>
      <c r="N25" s="21"/>
      <c r="O25" s="21" t="str">
        <f t="shared" si="1"/>
        <v/>
      </c>
      <c r="P25" s="14">
        <f t="shared" si="2"/>
        <v>0</v>
      </c>
      <c r="Q25" s="28"/>
    </row>
    <row r="26" spans="1:17">
      <c r="A26" s="32"/>
      <c r="B26" s="32"/>
      <c r="C26" s="28"/>
      <c r="D26" s="28"/>
      <c r="E26" s="28"/>
      <c r="F26" s="35"/>
      <c r="G26" s="35"/>
      <c r="H26" s="35"/>
      <c r="I26" s="35"/>
      <c r="J26" s="35"/>
      <c r="K26" s="33" t="str">
        <f t="shared" si="0"/>
        <v/>
      </c>
      <c r="L26" s="33" t="str">
        <f t="shared" si="3"/>
        <v/>
      </c>
      <c r="M26" s="33" t="str">
        <f t="shared" si="4"/>
        <v/>
      </c>
      <c r="N26" s="21"/>
      <c r="O26" s="21" t="str">
        <f t="shared" si="1"/>
        <v/>
      </c>
      <c r="P26" s="14">
        <f t="shared" si="2"/>
        <v>0</v>
      </c>
      <c r="Q26" s="28"/>
    </row>
    <row r="27" spans="1:17">
      <c r="A27" s="32"/>
      <c r="B27" s="32"/>
      <c r="C27" s="28"/>
      <c r="D27" s="28"/>
      <c r="E27" s="28"/>
      <c r="F27" s="35"/>
      <c r="G27" s="35"/>
      <c r="H27" s="35"/>
      <c r="I27" s="35"/>
      <c r="J27" s="35"/>
      <c r="K27" s="33" t="str">
        <f t="shared" si="0"/>
        <v/>
      </c>
      <c r="L27" s="33" t="str">
        <f t="shared" si="3"/>
        <v/>
      </c>
      <c r="M27" s="33" t="str">
        <f t="shared" si="4"/>
        <v/>
      </c>
      <c r="N27" s="21"/>
      <c r="O27" s="21" t="str">
        <f t="shared" si="1"/>
        <v/>
      </c>
      <c r="P27" s="14">
        <f t="shared" si="2"/>
        <v>0</v>
      </c>
      <c r="Q27" s="28"/>
    </row>
    <row r="28" spans="1:17">
      <c r="A28" s="32"/>
      <c r="B28" s="32"/>
      <c r="C28" s="28"/>
      <c r="D28" s="28"/>
      <c r="E28" s="28"/>
      <c r="F28" s="35"/>
      <c r="G28" s="35"/>
      <c r="H28" s="35"/>
      <c r="I28" s="35"/>
      <c r="J28" s="35"/>
      <c r="K28" s="33" t="str">
        <f t="shared" si="0"/>
        <v/>
      </c>
      <c r="L28" s="33" t="str">
        <f t="shared" si="3"/>
        <v/>
      </c>
      <c r="M28" s="33" t="str">
        <f t="shared" si="4"/>
        <v/>
      </c>
      <c r="N28" s="21"/>
      <c r="O28" s="21" t="str">
        <f t="shared" si="1"/>
        <v/>
      </c>
      <c r="P28" s="14">
        <f t="shared" si="2"/>
        <v>0</v>
      </c>
      <c r="Q28" s="28"/>
    </row>
    <row r="29" spans="1:17">
      <c r="A29" s="32"/>
      <c r="B29" s="32"/>
      <c r="C29" s="28"/>
      <c r="D29" s="28"/>
      <c r="E29" s="28"/>
      <c r="F29" s="35"/>
      <c r="G29" s="35"/>
      <c r="H29" s="35"/>
      <c r="I29" s="35"/>
      <c r="J29" s="35"/>
      <c r="K29" s="33" t="str">
        <f t="shared" si="0"/>
        <v/>
      </c>
      <c r="L29" s="33" t="str">
        <f t="shared" si="3"/>
        <v/>
      </c>
      <c r="M29" s="33" t="str">
        <f t="shared" si="4"/>
        <v/>
      </c>
      <c r="N29" s="21"/>
      <c r="O29" s="21" t="str">
        <f t="shared" si="1"/>
        <v/>
      </c>
      <c r="P29" s="14">
        <f t="shared" si="2"/>
        <v>0</v>
      </c>
      <c r="Q29" s="28"/>
    </row>
    <row r="30" spans="1:17">
      <c r="A30" s="32"/>
      <c r="B30" s="32"/>
      <c r="C30" s="28"/>
      <c r="D30" s="28"/>
      <c r="E30" s="28"/>
      <c r="F30" s="35"/>
      <c r="G30" s="35"/>
      <c r="H30" s="35"/>
      <c r="I30" s="35"/>
      <c r="J30" s="35"/>
      <c r="K30" s="33" t="str">
        <f t="shared" si="0"/>
        <v/>
      </c>
      <c r="L30" s="33" t="str">
        <f t="shared" si="3"/>
        <v/>
      </c>
      <c r="M30" s="33" t="str">
        <f t="shared" si="4"/>
        <v/>
      </c>
      <c r="N30" s="21"/>
      <c r="O30" s="21" t="str">
        <f t="shared" si="1"/>
        <v/>
      </c>
      <c r="P30" s="14">
        <f t="shared" si="2"/>
        <v>0</v>
      </c>
      <c r="Q30" s="28"/>
    </row>
    <row r="31" spans="1:17">
      <c r="A31" s="32"/>
      <c r="B31" s="32"/>
      <c r="C31" s="28"/>
      <c r="D31" s="28"/>
      <c r="E31" s="28"/>
      <c r="F31" s="35"/>
      <c r="G31" s="35"/>
      <c r="H31" s="35"/>
      <c r="I31" s="35"/>
      <c r="J31" s="35"/>
      <c r="K31" s="33" t="str">
        <f t="shared" si="0"/>
        <v/>
      </c>
      <c r="L31" s="33" t="str">
        <f t="shared" si="3"/>
        <v/>
      </c>
      <c r="M31" s="33" t="str">
        <f t="shared" si="4"/>
        <v/>
      </c>
      <c r="N31" s="21"/>
      <c r="O31" s="21" t="str">
        <f t="shared" si="1"/>
        <v/>
      </c>
      <c r="P31" s="14">
        <f t="shared" si="2"/>
        <v>0</v>
      </c>
      <c r="Q31" s="28"/>
    </row>
    <row r="32" spans="1:17">
      <c r="A32" s="34"/>
      <c r="B32" s="34"/>
      <c r="C32" s="28"/>
      <c r="D32" s="28"/>
      <c r="E32" s="28"/>
      <c r="F32" s="35"/>
      <c r="G32" s="35"/>
      <c r="H32" s="35"/>
      <c r="I32" s="35"/>
      <c r="J32" s="35"/>
      <c r="K32" s="33" t="str">
        <f t="shared" si="0"/>
        <v/>
      </c>
      <c r="L32" s="33" t="str">
        <f t="shared" si="3"/>
        <v/>
      </c>
      <c r="M32" s="33" t="str">
        <f t="shared" si="4"/>
        <v/>
      </c>
      <c r="N32" s="21"/>
      <c r="O32" s="21" t="str">
        <f t="shared" si="1"/>
        <v/>
      </c>
      <c r="P32" s="14">
        <f t="shared" si="2"/>
        <v>0</v>
      </c>
      <c r="Q32" s="28"/>
    </row>
    <row r="33" spans="1:17">
      <c r="A33" s="34"/>
      <c r="B33" s="34"/>
      <c r="C33" s="28"/>
      <c r="D33" s="28"/>
      <c r="E33" s="28"/>
      <c r="F33" s="35"/>
      <c r="G33" s="35"/>
      <c r="H33" s="35"/>
      <c r="I33" s="35"/>
      <c r="J33" s="35"/>
      <c r="K33" s="33" t="str">
        <f t="shared" si="0"/>
        <v/>
      </c>
      <c r="L33" s="33" t="str">
        <f t="shared" si="3"/>
        <v/>
      </c>
      <c r="M33" s="33" t="str">
        <f t="shared" si="4"/>
        <v/>
      </c>
      <c r="N33" s="21"/>
      <c r="O33" s="21" t="str">
        <f t="shared" si="1"/>
        <v/>
      </c>
      <c r="P33" s="14">
        <f t="shared" si="2"/>
        <v>0</v>
      </c>
      <c r="Q33" s="28"/>
    </row>
    <row r="34" spans="1:17">
      <c r="A34" s="34"/>
      <c r="B34" s="34"/>
      <c r="C34" s="28"/>
      <c r="D34" s="28"/>
      <c r="E34" s="28"/>
      <c r="F34" s="35"/>
      <c r="G34" s="35"/>
      <c r="H34" s="35"/>
      <c r="I34" s="35"/>
      <c r="J34" s="35"/>
      <c r="K34" s="33" t="str">
        <f t="shared" si="0"/>
        <v/>
      </c>
      <c r="L34" s="33" t="str">
        <f t="shared" si="3"/>
        <v/>
      </c>
      <c r="M34" s="33" t="str">
        <f t="shared" si="4"/>
        <v/>
      </c>
      <c r="N34" s="21"/>
      <c r="O34" s="21" t="str">
        <f t="shared" si="1"/>
        <v/>
      </c>
      <c r="P34" s="14">
        <f t="shared" si="2"/>
        <v>0</v>
      </c>
      <c r="Q34" s="28"/>
    </row>
    <row r="35" spans="1:17">
      <c r="A35" s="34"/>
      <c r="B35" s="34"/>
      <c r="C35" s="28"/>
      <c r="D35" s="28"/>
      <c r="E35" s="28"/>
      <c r="F35" s="35"/>
      <c r="G35" s="35"/>
      <c r="H35" s="35"/>
      <c r="I35" s="35"/>
      <c r="J35" s="35"/>
      <c r="K35" s="33" t="str">
        <f t="shared" si="0"/>
        <v/>
      </c>
      <c r="L35" s="33" t="str">
        <f t="shared" si="3"/>
        <v/>
      </c>
      <c r="M35" s="33" t="str">
        <f t="shared" si="4"/>
        <v/>
      </c>
      <c r="N35" s="21"/>
      <c r="O35" s="21" t="str">
        <f t="shared" ref="O35" si="5">IF(E35="","",(VLOOKUP(N35,ExclusionPercent,2,FALSE)))</f>
        <v/>
      </c>
      <c r="P35" s="14">
        <f t="shared" si="2"/>
        <v>0</v>
      </c>
      <c r="Q35" s="28"/>
    </row>
    <row r="36" spans="1:17">
      <c r="A36" s="36"/>
      <c r="B36" s="36"/>
      <c r="C36" s="17"/>
      <c r="D36" s="17"/>
      <c r="E36" s="17"/>
      <c r="F36" s="17"/>
      <c r="G36" s="17"/>
      <c r="H36" s="17"/>
      <c r="I36" s="17"/>
      <c r="J36" s="17"/>
      <c r="K36" s="37"/>
      <c r="L36" s="37"/>
      <c r="M36" s="37"/>
      <c r="N36" s="37" t="s">
        <v>25</v>
      </c>
      <c r="O36" s="38"/>
      <c r="P36" s="9">
        <f>SUM(P11:P35)</f>
        <v>68.78</v>
      </c>
    </row>
    <row r="37" spans="1:17" ht="12.6" thickBot="1">
      <c r="A37" s="36"/>
      <c r="B37" s="4" t="s">
        <v>26</v>
      </c>
      <c r="C37" s="17"/>
      <c r="D37" s="17"/>
      <c r="E37" s="17"/>
      <c r="F37" s="17"/>
      <c r="G37" s="17"/>
      <c r="H37" s="17"/>
      <c r="I37" s="17"/>
      <c r="J37" s="17"/>
      <c r="K37" s="39"/>
      <c r="L37" s="39"/>
      <c r="M37" s="39"/>
      <c r="N37" s="39" t="s">
        <v>27</v>
      </c>
      <c r="O37" s="40"/>
      <c r="P37" s="41">
        <v>0</v>
      </c>
    </row>
    <row r="38" spans="1:17" ht="12.6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5"/>
      <c r="L38" s="15"/>
      <c r="M38" s="15"/>
      <c r="N38" s="15" t="s">
        <v>28</v>
      </c>
      <c r="O38" s="25"/>
      <c r="P38" s="10">
        <f>P36-P37</f>
        <v>68.78</v>
      </c>
    </row>
    <row r="39" spans="1:17">
      <c r="A39" s="4"/>
      <c r="B39" s="4"/>
      <c r="C39" s="4"/>
      <c r="D39" s="4"/>
      <c r="E39" s="4"/>
      <c r="F39" s="4"/>
      <c r="G39" s="4"/>
      <c r="H39" s="6"/>
      <c r="I39" s="6"/>
      <c r="J39" s="6"/>
      <c r="K39" s="7"/>
      <c r="L39" s="7"/>
      <c r="M39" s="7"/>
      <c r="O39" s="26"/>
    </row>
    <row r="40" spans="1:17" ht="12.75" customHeight="1">
      <c r="A40" s="1"/>
      <c r="B40" s="1" t="s">
        <v>29</v>
      </c>
      <c r="C40" s="5"/>
      <c r="D40" s="5"/>
      <c r="E40" s="5"/>
      <c r="F40" s="3"/>
      <c r="G40" s="5"/>
      <c r="I40" s="6"/>
      <c r="J40" s="6"/>
      <c r="K40" s="6"/>
      <c r="L40" s="6"/>
      <c r="M40" s="6"/>
      <c r="O40" s="42"/>
    </row>
    <row r="41" spans="1:17">
      <c r="A41" s="1"/>
      <c r="B41" s="1"/>
      <c r="C41" s="4" t="s">
        <v>30</v>
      </c>
      <c r="D41" s="4"/>
      <c r="E41" s="4"/>
      <c r="G41" s="4" t="s">
        <v>5</v>
      </c>
      <c r="I41" s="6"/>
      <c r="J41" s="6"/>
      <c r="K41" s="6"/>
      <c r="L41" s="6"/>
      <c r="M41" s="6"/>
    </row>
    <row r="42" spans="1:17">
      <c r="A42" s="1"/>
      <c r="B42" s="1"/>
      <c r="C42" s="4"/>
      <c r="D42" s="4"/>
      <c r="E42" s="4"/>
      <c r="G42" s="4"/>
      <c r="I42" s="6"/>
      <c r="J42" s="6"/>
      <c r="K42" s="6"/>
      <c r="L42" s="6"/>
      <c r="M42" s="6"/>
    </row>
    <row r="43" spans="1:17">
      <c r="A43" s="1"/>
      <c r="B43" s="1"/>
      <c r="C43" s="4"/>
      <c r="D43" s="4"/>
      <c r="E43" s="4"/>
      <c r="G43" s="4"/>
      <c r="I43" s="6"/>
      <c r="J43" s="6"/>
      <c r="K43" s="6"/>
      <c r="L43" s="6"/>
      <c r="M43" s="6"/>
    </row>
    <row r="44" spans="1:17">
      <c r="A44" s="1"/>
      <c r="B44" s="1" t="s">
        <v>31</v>
      </c>
      <c r="C44" s="5"/>
      <c r="D44" s="5"/>
      <c r="E44" s="5"/>
      <c r="F44" s="3"/>
      <c r="G44" s="5"/>
      <c r="I44" s="6"/>
      <c r="J44" s="6"/>
      <c r="K44" s="6"/>
      <c r="L44" s="6"/>
      <c r="M44" s="6"/>
    </row>
    <row r="45" spans="1:17" ht="12.75">
      <c r="A45" s="4"/>
      <c r="B45" s="4"/>
      <c r="C45" s="4" t="s">
        <v>30</v>
      </c>
      <c r="D45" s="4"/>
      <c r="E45" s="4"/>
      <c r="G45" s="4" t="s">
        <v>5</v>
      </c>
      <c r="I45" s="6"/>
      <c r="J45" s="6"/>
      <c r="K45" s="6"/>
      <c r="L45" s="6"/>
      <c r="M45" s="6"/>
    </row>
    <row r="46" spans="1:17">
      <c r="I46" s="6"/>
      <c r="J46" s="6"/>
      <c r="K46" s="6"/>
      <c r="L46" s="6"/>
      <c r="M46" s="6"/>
    </row>
    <row r="47" spans="1:17" ht="12.6">
      <c r="A47" s="47" t="s">
        <v>32</v>
      </c>
      <c r="I47" s="6"/>
      <c r="J47" s="6"/>
      <c r="K47" s="6"/>
      <c r="L47" s="6"/>
      <c r="M47" s="6"/>
    </row>
  </sheetData>
  <mergeCells count="4">
    <mergeCell ref="B5:F5"/>
    <mergeCell ref="C7:F7"/>
    <mergeCell ref="C6:F6"/>
    <mergeCell ref="C8:F8"/>
  </mergeCells>
  <phoneticPr fontId="4" type="noConversion"/>
  <dataValidations count="7">
    <dataValidation type="list" allowBlank="1" showInputMessage="1" showErrorMessage="1" sqref="D11:D35" xr:uid="{00000000-0002-0000-0000-000000000000}">
      <formula1>Country</formula1>
    </dataValidation>
    <dataValidation type="list" allowBlank="1" showInputMessage="1" showErrorMessage="1" sqref="E11:E35" xr:uid="{00000000-0002-0000-0000-000001000000}">
      <formula1>INDIRECT(D11)</formula1>
    </dataValidation>
    <dataValidation type="list" allowBlank="1" showInputMessage="1" showErrorMessage="1" promptTitle="Day Type" sqref="N11:N35" xr:uid="{00000000-0002-0000-0000-000002000000}">
      <formula1>Exclusions</formula1>
    </dataValidation>
    <dataValidation type="list" allowBlank="1" showInputMessage="1" showErrorMessage="1" sqref="F11:F35" xr:uid="{CB0060D8-D7EB-429B-ACFB-745B345C29E9}">
      <formula1>Departments</formula1>
    </dataValidation>
    <dataValidation type="list" allowBlank="1" showInputMessage="1" showErrorMessage="1" sqref="G11:G35" xr:uid="{82F938C4-8EBC-4C71-A440-70ACEB2AB323}">
      <formula1>Grants</formula1>
    </dataValidation>
    <dataValidation type="list" allowBlank="1" showInputMessage="1" showErrorMessage="1" sqref="J11:J35" xr:uid="{D380FD56-E9F9-4498-AEE5-25DEFCB624E4}">
      <formula1>CTYCodes</formula1>
    </dataValidation>
    <dataValidation type="list" allowBlank="1" showInputMessage="1" showErrorMessage="1" sqref="I11:I35" xr:uid="{E05A116E-B5F6-42CA-B357-F629809B3987}">
      <formula1>Account_Codes</formula1>
    </dataValidation>
  </dataValidations>
  <pageMargins left="0.7" right="0.7" top="0.75" bottom="0.75" header="0.3" footer="0.3"/>
  <pageSetup orientation="landscape" r:id="rId1"/>
  <headerFooter alignWithMargins="0">
    <oddHeader>&amp;A</oddHeader>
    <oddFooter>&amp;LForm Version: 2019-02&amp;CPage &amp;P of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D9F8E6-2CF8-41FD-BEAF-55D684DF2911}">
          <x14:formula1>
            <xm:f>Codes!$A$600:$A$601</xm:f>
          </x14:formula1>
          <xm:sqref>C11:C35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6"/>
  <sheetViews>
    <sheetView topLeftCell="D78" zoomScale="81" zoomScaleNormal="85" workbookViewId="0">
      <selection activeCell="G88" sqref="G88"/>
    </sheetView>
  </sheetViews>
  <sheetFormatPr defaultColWidth="8.7109375" defaultRowHeight="14.45"/>
  <cols>
    <col min="1" max="1" width="34.7109375" style="13" bestFit="1" customWidth="1"/>
    <col min="2" max="2" width="40" style="13" bestFit="1" customWidth="1"/>
    <col min="3" max="3" width="31.42578125" bestFit="1" customWidth="1"/>
    <col min="4" max="4" width="27.140625" customWidth="1"/>
    <col min="5" max="5" width="34.85546875" customWidth="1"/>
    <col min="6" max="6" width="55.28515625" bestFit="1" customWidth="1"/>
    <col min="7" max="7" width="12.28515625" style="31" customWidth="1"/>
  </cols>
  <sheetData>
    <row r="1" spans="1:10" ht="30.6">
      <c r="A1" s="11"/>
      <c r="B1" s="12"/>
      <c r="C1" s="16" t="s">
        <v>8</v>
      </c>
      <c r="D1" s="16" t="s">
        <v>33</v>
      </c>
      <c r="E1" s="16" t="s">
        <v>34</v>
      </c>
      <c r="F1" s="16" t="s">
        <v>9</v>
      </c>
      <c r="G1" s="44" t="s">
        <v>35</v>
      </c>
    </row>
    <row r="2" spans="1:10">
      <c r="A2"/>
      <c r="B2" s="43"/>
      <c r="G2" s="48"/>
    </row>
    <row r="3" spans="1:10">
      <c r="A3"/>
      <c r="B3" s="43"/>
      <c r="C3" t="s">
        <v>36</v>
      </c>
      <c r="D3" t="s">
        <v>37</v>
      </c>
      <c r="E3" t="s">
        <v>38</v>
      </c>
      <c r="F3" t="s">
        <v>39</v>
      </c>
      <c r="G3" s="48">
        <v>18</v>
      </c>
      <c r="I3" s="17"/>
      <c r="J3" s="19"/>
    </row>
    <row r="4" spans="1:10">
      <c r="A4"/>
      <c r="B4" s="43"/>
      <c r="C4" t="s">
        <v>36</v>
      </c>
      <c r="D4" t="s">
        <v>40</v>
      </c>
      <c r="E4" t="s">
        <v>38</v>
      </c>
      <c r="F4" t="s">
        <v>41</v>
      </c>
      <c r="G4" s="48">
        <v>125</v>
      </c>
      <c r="I4" s="17"/>
      <c r="J4" s="19"/>
    </row>
    <row r="5" spans="1:10">
      <c r="A5"/>
      <c r="B5" s="43"/>
      <c r="C5" t="s">
        <v>42</v>
      </c>
      <c r="D5" t="s">
        <v>37</v>
      </c>
      <c r="E5" t="s">
        <v>38</v>
      </c>
      <c r="F5" t="s">
        <v>43</v>
      </c>
      <c r="G5" s="48">
        <v>120</v>
      </c>
      <c r="I5" s="17"/>
      <c r="J5" s="19"/>
    </row>
    <row r="6" spans="1:10">
      <c r="A6"/>
      <c r="B6" s="43"/>
      <c r="C6" t="s">
        <v>42</v>
      </c>
      <c r="D6" t="s">
        <v>44</v>
      </c>
      <c r="E6" t="s">
        <v>38</v>
      </c>
      <c r="F6" t="s">
        <v>45</v>
      </c>
      <c r="G6" s="48">
        <v>132</v>
      </c>
      <c r="I6" s="17"/>
      <c r="J6" s="19"/>
    </row>
    <row r="7" spans="1:10">
      <c r="A7"/>
      <c r="B7" s="43"/>
      <c r="C7" t="s">
        <v>42</v>
      </c>
      <c r="D7" t="s">
        <v>46</v>
      </c>
      <c r="E7" t="s">
        <v>38</v>
      </c>
      <c r="F7" t="s">
        <v>47</v>
      </c>
      <c r="G7" s="48">
        <v>126</v>
      </c>
      <c r="I7" s="17"/>
      <c r="J7" s="19"/>
    </row>
    <row r="8" spans="1:10">
      <c r="A8"/>
      <c r="B8" s="43"/>
      <c r="C8" t="s">
        <v>42</v>
      </c>
      <c r="D8" t="s">
        <v>48</v>
      </c>
      <c r="E8" t="s">
        <v>38</v>
      </c>
      <c r="F8" t="s">
        <v>49</v>
      </c>
      <c r="G8" s="48">
        <v>119</v>
      </c>
      <c r="I8" s="17"/>
      <c r="J8" s="19"/>
    </row>
    <row r="9" spans="1:10">
      <c r="A9"/>
      <c r="B9" s="43"/>
      <c r="C9" t="s">
        <v>50</v>
      </c>
      <c r="D9" t="s">
        <v>37</v>
      </c>
      <c r="E9" t="s">
        <v>38</v>
      </c>
      <c r="F9" t="s">
        <v>51</v>
      </c>
      <c r="G9" s="48">
        <v>132</v>
      </c>
      <c r="I9" s="17"/>
      <c r="J9" s="19"/>
    </row>
    <row r="10" spans="1:10">
      <c r="A10"/>
      <c r="B10" s="43"/>
      <c r="C10" t="s">
        <v>50</v>
      </c>
      <c r="D10" t="s">
        <v>52</v>
      </c>
      <c r="E10" t="s">
        <v>38</v>
      </c>
      <c r="F10" t="s">
        <v>53</v>
      </c>
      <c r="G10" s="48">
        <v>107</v>
      </c>
    </row>
    <row r="11" spans="1:10">
      <c r="A11"/>
      <c r="B11" s="43"/>
      <c r="C11" t="s">
        <v>50</v>
      </c>
      <c r="D11" t="s">
        <v>54</v>
      </c>
      <c r="E11" t="s">
        <v>38</v>
      </c>
      <c r="F11" t="s">
        <v>55</v>
      </c>
      <c r="G11" s="48">
        <v>143</v>
      </c>
    </row>
    <row r="12" spans="1:10">
      <c r="A12"/>
      <c r="B12" s="43"/>
      <c r="C12" t="s">
        <v>50</v>
      </c>
      <c r="D12" t="s">
        <v>56</v>
      </c>
      <c r="E12" t="s">
        <v>38</v>
      </c>
      <c r="F12" t="s">
        <v>57</v>
      </c>
      <c r="G12" s="48">
        <v>126</v>
      </c>
    </row>
    <row r="13" spans="1:10">
      <c r="A13"/>
      <c r="B13" s="43"/>
      <c r="C13" t="s">
        <v>50</v>
      </c>
      <c r="D13" t="s">
        <v>58</v>
      </c>
      <c r="E13" t="s">
        <v>38</v>
      </c>
      <c r="F13" t="s">
        <v>59</v>
      </c>
      <c r="G13" s="48">
        <v>181</v>
      </c>
    </row>
    <row r="14" spans="1:10">
      <c r="A14"/>
      <c r="B14" s="43"/>
      <c r="C14" t="s">
        <v>60</v>
      </c>
      <c r="D14" t="s">
        <v>61</v>
      </c>
      <c r="E14" t="s">
        <v>38</v>
      </c>
      <c r="F14" t="s">
        <v>62</v>
      </c>
      <c r="G14" s="48">
        <v>167</v>
      </c>
    </row>
    <row r="15" spans="1:10">
      <c r="A15"/>
      <c r="B15" s="43"/>
      <c r="C15" t="s">
        <v>63</v>
      </c>
      <c r="D15" t="s">
        <v>37</v>
      </c>
      <c r="E15" t="s">
        <v>38</v>
      </c>
      <c r="F15" t="s">
        <v>64</v>
      </c>
      <c r="G15" s="48">
        <v>101</v>
      </c>
    </row>
    <row r="16" spans="1:10">
      <c r="A16"/>
      <c r="B16" s="43"/>
      <c r="C16" t="s">
        <v>63</v>
      </c>
      <c r="D16" t="s">
        <v>65</v>
      </c>
      <c r="E16" t="s">
        <v>38</v>
      </c>
      <c r="F16" t="s">
        <v>66</v>
      </c>
      <c r="G16" s="48">
        <v>139</v>
      </c>
    </row>
    <row r="17" spans="1:7">
      <c r="A17"/>
      <c r="B17" s="43"/>
      <c r="C17" t="s">
        <v>63</v>
      </c>
      <c r="D17" t="s">
        <v>67</v>
      </c>
      <c r="E17" t="s">
        <v>38</v>
      </c>
      <c r="F17" t="s">
        <v>68</v>
      </c>
      <c r="G17" s="48">
        <v>91</v>
      </c>
    </row>
    <row r="18" spans="1:7">
      <c r="A18"/>
      <c r="B18" s="43"/>
      <c r="C18" t="s">
        <v>63</v>
      </c>
      <c r="D18" t="s">
        <v>69</v>
      </c>
      <c r="E18" t="s">
        <v>38</v>
      </c>
      <c r="F18" t="s">
        <v>70</v>
      </c>
      <c r="G18" s="48">
        <v>115</v>
      </c>
    </row>
    <row r="19" spans="1:7">
      <c r="A19"/>
      <c r="B19" s="43"/>
      <c r="C19" t="s">
        <v>63</v>
      </c>
      <c r="D19" t="s">
        <v>71</v>
      </c>
      <c r="E19" t="s">
        <v>38</v>
      </c>
      <c r="F19" t="s">
        <v>72</v>
      </c>
      <c r="G19" s="48">
        <v>133</v>
      </c>
    </row>
    <row r="20" spans="1:7">
      <c r="A20"/>
      <c r="B20" s="43"/>
      <c r="C20" t="s">
        <v>63</v>
      </c>
      <c r="D20" t="s">
        <v>73</v>
      </c>
      <c r="E20" t="s">
        <v>38</v>
      </c>
      <c r="F20" t="s">
        <v>74</v>
      </c>
      <c r="G20" s="48">
        <v>144</v>
      </c>
    </row>
    <row r="21" spans="1:7">
      <c r="A21"/>
      <c r="B21" s="43"/>
      <c r="C21" t="s">
        <v>63</v>
      </c>
      <c r="D21" t="s">
        <v>75</v>
      </c>
      <c r="E21" t="s">
        <v>38</v>
      </c>
      <c r="F21" t="s">
        <v>76</v>
      </c>
      <c r="G21" s="48">
        <v>112</v>
      </c>
    </row>
    <row r="22" spans="1:7">
      <c r="A22"/>
      <c r="B22" s="43"/>
      <c r="C22" t="s">
        <v>63</v>
      </c>
      <c r="D22" t="s">
        <v>77</v>
      </c>
      <c r="E22" t="s">
        <v>38</v>
      </c>
      <c r="F22" t="s">
        <v>78</v>
      </c>
      <c r="G22" s="48">
        <v>127</v>
      </c>
    </row>
    <row r="23" spans="1:7">
      <c r="A23"/>
      <c r="B23" s="43"/>
      <c r="C23" t="s">
        <v>79</v>
      </c>
      <c r="D23" t="s">
        <v>37</v>
      </c>
      <c r="E23" t="s">
        <v>38</v>
      </c>
      <c r="F23" t="s">
        <v>80</v>
      </c>
      <c r="G23" s="48">
        <v>64</v>
      </c>
    </row>
    <row r="24" spans="1:7">
      <c r="A24"/>
      <c r="B24" s="43"/>
      <c r="C24" t="s">
        <v>79</v>
      </c>
      <c r="D24" t="s">
        <v>81</v>
      </c>
      <c r="E24" t="s">
        <v>38</v>
      </c>
      <c r="F24" t="s">
        <v>82</v>
      </c>
      <c r="G24" s="48">
        <v>76</v>
      </c>
    </row>
    <row r="25" spans="1:7">
      <c r="A25"/>
      <c r="B25" s="43"/>
      <c r="C25" t="s">
        <v>79</v>
      </c>
      <c r="D25" t="s">
        <v>83</v>
      </c>
      <c r="E25" t="s">
        <v>38</v>
      </c>
      <c r="F25" t="s">
        <v>84</v>
      </c>
      <c r="G25" s="48">
        <v>94</v>
      </c>
    </row>
    <row r="26" spans="1:7">
      <c r="A26"/>
      <c r="B26" s="43"/>
      <c r="C26" t="s">
        <v>79</v>
      </c>
      <c r="D26" t="s">
        <v>85</v>
      </c>
      <c r="E26" t="s">
        <v>38</v>
      </c>
      <c r="F26" t="s">
        <v>86</v>
      </c>
      <c r="G26" s="48">
        <v>70</v>
      </c>
    </row>
    <row r="27" spans="1:7">
      <c r="A27"/>
      <c r="B27" s="43"/>
      <c r="C27" t="s">
        <v>79</v>
      </c>
      <c r="D27" t="s">
        <v>87</v>
      </c>
      <c r="E27" t="s">
        <v>38</v>
      </c>
      <c r="F27" t="s">
        <v>88</v>
      </c>
      <c r="G27" s="48">
        <v>91</v>
      </c>
    </row>
    <row r="28" spans="1:7">
      <c r="A28"/>
      <c r="C28" t="s">
        <v>79</v>
      </c>
      <c r="D28" t="s">
        <v>89</v>
      </c>
      <c r="E28" t="s">
        <v>38</v>
      </c>
      <c r="F28" t="s">
        <v>90</v>
      </c>
      <c r="G28" s="48">
        <v>81</v>
      </c>
    </row>
    <row r="29" spans="1:7">
      <c r="A29"/>
      <c r="C29" t="s">
        <v>91</v>
      </c>
      <c r="D29" t="s">
        <v>37</v>
      </c>
      <c r="E29" t="s">
        <v>38</v>
      </c>
      <c r="F29" t="s">
        <v>92</v>
      </c>
      <c r="G29" s="48">
        <v>116</v>
      </c>
    </row>
    <row r="30" spans="1:7">
      <c r="A30"/>
      <c r="C30" t="s">
        <v>91</v>
      </c>
      <c r="D30" t="s">
        <v>93</v>
      </c>
      <c r="E30" t="s">
        <v>38</v>
      </c>
      <c r="F30" t="s">
        <v>94</v>
      </c>
      <c r="G30" s="48">
        <v>117</v>
      </c>
    </row>
    <row r="31" spans="1:7">
      <c r="A31"/>
      <c r="C31" t="s">
        <v>91</v>
      </c>
      <c r="D31" t="s">
        <v>95</v>
      </c>
      <c r="E31" t="s">
        <v>38</v>
      </c>
      <c r="F31" t="s">
        <v>96</v>
      </c>
      <c r="G31" s="48">
        <v>109</v>
      </c>
    </row>
    <row r="32" spans="1:7">
      <c r="A32"/>
      <c r="C32" t="s">
        <v>91</v>
      </c>
      <c r="D32" t="s">
        <v>97</v>
      </c>
      <c r="E32" t="s">
        <v>38</v>
      </c>
      <c r="F32" t="s">
        <v>98</v>
      </c>
      <c r="G32" s="48">
        <v>129</v>
      </c>
    </row>
    <row r="33" spans="1:7">
      <c r="A33"/>
      <c r="C33" t="s">
        <v>91</v>
      </c>
      <c r="D33" t="s">
        <v>99</v>
      </c>
      <c r="E33" t="s">
        <v>38</v>
      </c>
      <c r="F33" t="s">
        <v>100</v>
      </c>
      <c r="G33" s="48">
        <v>123</v>
      </c>
    </row>
    <row r="34" spans="1:7">
      <c r="A34" s="4"/>
      <c r="C34" t="s">
        <v>91</v>
      </c>
      <c r="D34" t="s">
        <v>101</v>
      </c>
      <c r="E34" t="s">
        <v>38</v>
      </c>
      <c r="F34" t="s">
        <v>102</v>
      </c>
      <c r="G34" s="48">
        <v>83</v>
      </c>
    </row>
    <row r="35" spans="1:7">
      <c r="A35" s="4"/>
      <c r="C35" t="s">
        <v>91</v>
      </c>
      <c r="D35" t="s">
        <v>103</v>
      </c>
      <c r="E35" t="s">
        <v>38</v>
      </c>
      <c r="F35" t="s">
        <v>104</v>
      </c>
      <c r="G35" s="48">
        <v>131</v>
      </c>
    </row>
    <row r="36" spans="1:7">
      <c r="A36"/>
      <c r="C36" t="s">
        <v>91</v>
      </c>
      <c r="D36" t="s">
        <v>105</v>
      </c>
      <c r="E36" t="s">
        <v>38</v>
      </c>
      <c r="F36" t="s">
        <v>106</v>
      </c>
      <c r="G36" s="48">
        <v>144</v>
      </c>
    </row>
    <row r="37" spans="1:7">
      <c r="A37" s="4"/>
      <c r="C37" t="s">
        <v>91</v>
      </c>
      <c r="D37" t="s">
        <v>107</v>
      </c>
      <c r="E37" t="s">
        <v>38</v>
      </c>
      <c r="F37" t="s">
        <v>108</v>
      </c>
      <c r="G37" s="48">
        <v>109</v>
      </c>
    </row>
    <row r="38" spans="1:7">
      <c r="A38"/>
      <c r="C38" t="s">
        <v>91</v>
      </c>
      <c r="D38" t="s">
        <v>109</v>
      </c>
      <c r="E38" t="s">
        <v>38</v>
      </c>
      <c r="F38" t="s">
        <v>110</v>
      </c>
      <c r="G38" s="48">
        <v>111</v>
      </c>
    </row>
    <row r="39" spans="1:7">
      <c r="A39"/>
      <c r="C39" t="s">
        <v>91</v>
      </c>
      <c r="D39" t="s">
        <v>111</v>
      </c>
      <c r="E39" t="s">
        <v>38</v>
      </c>
      <c r="F39" t="s">
        <v>112</v>
      </c>
      <c r="G39" s="48">
        <v>37</v>
      </c>
    </row>
    <row r="40" spans="1:7">
      <c r="A40"/>
      <c r="C40" t="s">
        <v>91</v>
      </c>
      <c r="D40" t="s">
        <v>113</v>
      </c>
      <c r="E40" t="s">
        <v>38</v>
      </c>
      <c r="F40" t="s">
        <v>114</v>
      </c>
      <c r="G40" s="48">
        <v>112</v>
      </c>
    </row>
    <row r="41" spans="1:7">
      <c r="A41"/>
      <c r="C41" t="s">
        <v>91</v>
      </c>
      <c r="D41" t="s">
        <v>115</v>
      </c>
      <c r="E41" t="s">
        <v>38</v>
      </c>
      <c r="F41" t="s">
        <v>116</v>
      </c>
      <c r="G41" s="48">
        <v>129</v>
      </c>
    </row>
    <row r="42" spans="1:7">
      <c r="C42" t="s">
        <v>91</v>
      </c>
      <c r="D42" t="s">
        <v>117</v>
      </c>
      <c r="E42" t="s">
        <v>38</v>
      </c>
      <c r="F42" t="s">
        <v>118</v>
      </c>
      <c r="G42" s="48">
        <v>126</v>
      </c>
    </row>
    <row r="43" spans="1:7">
      <c r="A43" s="6"/>
      <c r="C43" t="s">
        <v>91</v>
      </c>
      <c r="D43" t="s">
        <v>119</v>
      </c>
      <c r="E43" t="s">
        <v>38</v>
      </c>
      <c r="F43" t="s">
        <v>120</v>
      </c>
      <c r="G43" s="48">
        <v>140</v>
      </c>
    </row>
    <row r="44" spans="1:7">
      <c r="A44" s="6"/>
      <c r="C44" t="s">
        <v>121</v>
      </c>
      <c r="D44" t="s">
        <v>37</v>
      </c>
      <c r="E44" t="s">
        <v>38</v>
      </c>
      <c r="F44" t="s">
        <v>122</v>
      </c>
      <c r="G44" s="48">
        <v>120</v>
      </c>
    </row>
    <row r="45" spans="1:7">
      <c r="A45" s="6"/>
      <c r="C45" t="s">
        <v>121</v>
      </c>
      <c r="D45" t="s">
        <v>123</v>
      </c>
      <c r="E45" t="s">
        <v>38</v>
      </c>
      <c r="F45" t="s">
        <v>124</v>
      </c>
      <c r="G45" s="48">
        <v>169</v>
      </c>
    </row>
    <row r="46" spans="1:7">
      <c r="A46" s="6"/>
      <c r="C46" t="s">
        <v>121</v>
      </c>
      <c r="D46" t="s">
        <v>125</v>
      </c>
      <c r="E46" t="s">
        <v>38</v>
      </c>
      <c r="F46" t="s">
        <v>126</v>
      </c>
      <c r="G46" s="48">
        <v>146</v>
      </c>
    </row>
    <row r="47" spans="1:7">
      <c r="A47" s="6"/>
      <c r="C47" t="s">
        <v>121</v>
      </c>
      <c r="D47" t="s">
        <v>127</v>
      </c>
      <c r="E47" t="s">
        <v>38</v>
      </c>
      <c r="F47" t="s">
        <v>128</v>
      </c>
      <c r="G47" s="48">
        <v>133</v>
      </c>
    </row>
    <row r="48" spans="1:7">
      <c r="A48" s="6"/>
      <c r="C48" t="s">
        <v>121</v>
      </c>
      <c r="D48" t="s">
        <v>129</v>
      </c>
      <c r="E48" t="s">
        <v>38</v>
      </c>
      <c r="F48" t="s">
        <v>130</v>
      </c>
      <c r="G48" s="48">
        <v>110</v>
      </c>
    </row>
    <row r="49" spans="1:7">
      <c r="A49" s="6"/>
      <c r="C49" t="s">
        <v>121</v>
      </c>
      <c r="D49" t="s">
        <v>131</v>
      </c>
      <c r="E49" t="s">
        <v>38</v>
      </c>
      <c r="F49" t="s">
        <v>132</v>
      </c>
      <c r="G49" s="48">
        <v>132</v>
      </c>
    </row>
    <row r="50" spans="1:7">
      <c r="A50" s="6"/>
      <c r="C50" t="s">
        <v>121</v>
      </c>
      <c r="D50" t="s">
        <v>133</v>
      </c>
      <c r="E50" t="s">
        <v>38</v>
      </c>
      <c r="F50" t="s">
        <v>134</v>
      </c>
      <c r="G50" s="48">
        <v>106</v>
      </c>
    </row>
    <row r="51" spans="1:7">
      <c r="A51" s="6"/>
      <c r="C51" t="s">
        <v>121</v>
      </c>
      <c r="D51" t="s">
        <v>135</v>
      </c>
      <c r="E51" t="s">
        <v>38</v>
      </c>
      <c r="F51" t="s">
        <v>136</v>
      </c>
      <c r="G51" s="48">
        <v>146</v>
      </c>
    </row>
    <row r="52" spans="1:7">
      <c r="A52" s="6"/>
      <c r="C52" t="s">
        <v>121</v>
      </c>
      <c r="D52" t="s">
        <v>137</v>
      </c>
      <c r="E52" t="s">
        <v>38</v>
      </c>
      <c r="F52" t="s">
        <v>138</v>
      </c>
      <c r="G52" s="48">
        <v>122</v>
      </c>
    </row>
    <row r="53" spans="1:7">
      <c r="A53" s="6"/>
      <c r="C53" t="s">
        <v>121</v>
      </c>
      <c r="D53" t="s">
        <v>139</v>
      </c>
      <c r="E53" t="s">
        <v>38</v>
      </c>
      <c r="F53" t="s">
        <v>140</v>
      </c>
      <c r="G53" s="48">
        <v>121</v>
      </c>
    </row>
    <row r="54" spans="1:7">
      <c r="A54" s="6"/>
      <c r="C54" t="s">
        <v>121</v>
      </c>
      <c r="D54" t="s">
        <v>141</v>
      </c>
      <c r="E54" t="s">
        <v>38</v>
      </c>
      <c r="F54" t="s">
        <v>142</v>
      </c>
      <c r="G54" s="48">
        <v>108</v>
      </c>
    </row>
    <row r="55" spans="1:7">
      <c r="A55" s="6"/>
      <c r="C55" t="s">
        <v>121</v>
      </c>
      <c r="D55" t="s">
        <v>143</v>
      </c>
      <c r="E55" t="s">
        <v>38</v>
      </c>
      <c r="F55" t="s">
        <v>144</v>
      </c>
      <c r="G55" s="48">
        <v>154</v>
      </c>
    </row>
    <row r="56" spans="1:7">
      <c r="A56" s="6"/>
      <c r="C56" t="s">
        <v>121</v>
      </c>
      <c r="D56" t="s">
        <v>145</v>
      </c>
      <c r="E56" t="s">
        <v>38</v>
      </c>
      <c r="F56" t="s">
        <v>146</v>
      </c>
      <c r="G56" s="48">
        <v>90</v>
      </c>
    </row>
    <row r="57" spans="1:7">
      <c r="A57" s="6"/>
      <c r="C57" t="s">
        <v>121</v>
      </c>
      <c r="D57" t="s">
        <v>147</v>
      </c>
      <c r="E57" t="s">
        <v>38</v>
      </c>
      <c r="F57" t="s">
        <v>148</v>
      </c>
      <c r="G57" s="48">
        <v>129</v>
      </c>
    </row>
    <row r="58" spans="1:7">
      <c r="A58" s="6"/>
      <c r="C58" t="s">
        <v>121</v>
      </c>
      <c r="D58" t="s">
        <v>149</v>
      </c>
      <c r="E58" t="s">
        <v>38</v>
      </c>
      <c r="F58" t="s">
        <v>150</v>
      </c>
      <c r="G58" s="48">
        <v>128</v>
      </c>
    </row>
    <row r="59" spans="1:7">
      <c r="A59" s="6"/>
      <c r="C59" t="s">
        <v>121</v>
      </c>
      <c r="D59" t="s">
        <v>151</v>
      </c>
      <c r="E59" t="s">
        <v>38</v>
      </c>
      <c r="F59" t="s">
        <v>152</v>
      </c>
      <c r="G59" s="48">
        <v>121</v>
      </c>
    </row>
    <row r="60" spans="1:7">
      <c r="A60" s="6"/>
      <c r="C60" t="s">
        <v>121</v>
      </c>
      <c r="D60" t="s">
        <v>153</v>
      </c>
      <c r="E60" t="s">
        <v>38</v>
      </c>
      <c r="F60" t="s">
        <v>154</v>
      </c>
      <c r="G60" s="48">
        <v>144</v>
      </c>
    </row>
    <row r="61" spans="1:7">
      <c r="A61" s="6"/>
      <c r="C61" t="s">
        <v>121</v>
      </c>
      <c r="D61" t="s">
        <v>155</v>
      </c>
      <c r="E61" t="s">
        <v>38</v>
      </c>
      <c r="F61" t="s">
        <v>156</v>
      </c>
      <c r="G61" s="48">
        <v>117</v>
      </c>
    </row>
    <row r="62" spans="1:7">
      <c r="A62" s="6"/>
      <c r="C62" t="s">
        <v>121</v>
      </c>
      <c r="D62" t="s">
        <v>157</v>
      </c>
      <c r="E62" t="s">
        <v>38</v>
      </c>
      <c r="F62" t="s">
        <v>158</v>
      </c>
      <c r="G62" s="48">
        <v>97</v>
      </c>
    </row>
    <row r="63" spans="1:7">
      <c r="A63" s="6"/>
      <c r="C63" t="s">
        <v>121</v>
      </c>
      <c r="D63" t="s">
        <v>159</v>
      </c>
      <c r="E63" t="s">
        <v>38</v>
      </c>
      <c r="F63" t="s">
        <v>160</v>
      </c>
      <c r="G63" s="48">
        <v>153</v>
      </c>
    </row>
    <row r="64" spans="1:7">
      <c r="A64" s="6"/>
      <c r="C64" t="s">
        <v>121</v>
      </c>
      <c r="D64" t="s">
        <v>161</v>
      </c>
      <c r="E64" t="s">
        <v>38</v>
      </c>
      <c r="F64" t="s">
        <v>162</v>
      </c>
      <c r="G64" s="48">
        <v>141</v>
      </c>
    </row>
    <row r="65" spans="1:7">
      <c r="A65" s="6"/>
      <c r="C65" t="s">
        <v>121</v>
      </c>
      <c r="D65" t="s">
        <v>163</v>
      </c>
      <c r="E65" t="s">
        <v>38</v>
      </c>
      <c r="F65" t="s">
        <v>164</v>
      </c>
      <c r="G65" s="48">
        <v>150</v>
      </c>
    </row>
    <row r="66" spans="1:7">
      <c r="A66" s="6"/>
      <c r="C66" t="s">
        <v>121</v>
      </c>
      <c r="D66" t="s">
        <v>165</v>
      </c>
      <c r="E66" t="s">
        <v>38</v>
      </c>
      <c r="F66" t="s">
        <v>166</v>
      </c>
      <c r="G66" s="48">
        <v>126</v>
      </c>
    </row>
    <row r="67" spans="1:7">
      <c r="A67" s="6"/>
      <c r="C67" t="s">
        <v>121</v>
      </c>
      <c r="D67" t="s">
        <v>167</v>
      </c>
      <c r="E67" t="s">
        <v>38</v>
      </c>
      <c r="F67" t="s">
        <v>168</v>
      </c>
      <c r="G67" s="48">
        <v>115</v>
      </c>
    </row>
    <row r="68" spans="1:7">
      <c r="A68" s="6"/>
      <c r="C68" t="s">
        <v>121</v>
      </c>
      <c r="D68" t="s">
        <v>169</v>
      </c>
      <c r="E68" t="s">
        <v>38</v>
      </c>
      <c r="F68" t="s">
        <v>170</v>
      </c>
      <c r="G68" s="48">
        <v>93</v>
      </c>
    </row>
    <row r="69" spans="1:7">
      <c r="A69" s="6"/>
      <c r="C69" t="s">
        <v>121</v>
      </c>
      <c r="D69" t="s">
        <v>171</v>
      </c>
      <c r="E69" t="s">
        <v>38</v>
      </c>
      <c r="F69" t="s">
        <v>172</v>
      </c>
      <c r="G69" s="48">
        <v>142</v>
      </c>
    </row>
    <row r="70" spans="1:7">
      <c r="A70" s="6"/>
      <c r="C70" t="s">
        <v>121</v>
      </c>
      <c r="D70" t="s">
        <v>173</v>
      </c>
      <c r="E70" t="s">
        <v>38</v>
      </c>
      <c r="F70" t="s">
        <v>174</v>
      </c>
      <c r="G70" s="48">
        <v>93</v>
      </c>
    </row>
    <row r="71" spans="1:7">
      <c r="A71" s="6"/>
      <c r="C71" t="s">
        <v>175</v>
      </c>
      <c r="D71" t="s">
        <v>176</v>
      </c>
      <c r="E71" t="s">
        <v>38</v>
      </c>
      <c r="F71" t="s">
        <v>177</v>
      </c>
      <c r="G71" s="48">
        <v>147</v>
      </c>
    </row>
    <row r="72" spans="1:7">
      <c r="A72" s="17"/>
      <c r="B72" s="19"/>
      <c r="C72" t="s">
        <v>178</v>
      </c>
      <c r="D72" t="s">
        <v>37</v>
      </c>
      <c r="E72" t="s">
        <v>38</v>
      </c>
      <c r="F72" t="s">
        <v>179</v>
      </c>
      <c r="G72" s="48">
        <v>108</v>
      </c>
    </row>
    <row r="73" spans="1:7">
      <c r="A73" s="17"/>
      <c r="B73" s="19"/>
      <c r="C73" t="s">
        <v>178</v>
      </c>
      <c r="D73" t="s">
        <v>180</v>
      </c>
      <c r="E73" t="s">
        <v>38</v>
      </c>
      <c r="F73" t="s">
        <v>181</v>
      </c>
      <c r="G73" s="48">
        <v>113</v>
      </c>
    </row>
    <row r="74" spans="1:7">
      <c r="A74" s="17"/>
      <c r="B74" s="19"/>
      <c r="C74" t="s">
        <v>182</v>
      </c>
      <c r="D74" t="s">
        <v>37</v>
      </c>
      <c r="E74" t="s">
        <v>38</v>
      </c>
      <c r="F74" t="s">
        <v>183</v>
      </c>
      <c r="G74" s="48">
        <v>94</v>
      </c>
    </row>
    <row r="75" spans="1:7">
      <c r="A75" s="17"/>
      <c r="B75" s="19"/>
      <c r="C75" t="s">
        <v>182</v>
      </c>
      <c r="D75" t="s">
        <v>184</v>
      </c>
      <c r="E75" t="s">
        <v>38</v>
      </c>
      <c r="F75" t="s">
        <v>185</v>
      </c>
      <c r="G75" s="48">
        <v>126</v>
      </c>
    </row>
    <row r="76" spans="1:7">
      <c r="A76" s="17"/>
      <c r="B76" s="19"/>
      <c r="C76" t="s">
        <v>182</v>
      </c>
      <c r="D76" t="s">
        <v>186</v>
      </c>
      <c r="E76" t="s">
        <v>38</v>
      </c>
      <c r="F76" t="s">
        <v>187</v>
      </c>
      <c r="G76" s="48">
        <v>180</v>
      </c>
    </row>
    <row r="77" spans="1:7">
      <c r="A77" s="17"/>
      <c r="B77" s="19"/>
      <c r="C77" t="s">
        <v>182</v>
      </c>
      <c r="D77" t="s">
        <v>188</v>
      </c>
      <c r="E77" t="s">
        <v>38</v>
      </c>
      <c r="F77" t="s">
        <v>189</v>
      </c>
      <c r="G77" s="48">
        <v>151</v>
      </c>
    </row>
    <row r="78" spans="1:7">
      <c r="A78" s="17"/>
      <c r="B78" s="19"/>
      <c r="C78" t="s">
        <v>182</v>
      </c>
      <c r="D78" t="s">
        <v>190</v>
      </c>
      <c r="E78" t="s">
        <v>38</v>
      </c>
      <c r="F78" t="s">
        <v>191</v>
      </c>
      <c r="G78" s="48">
        <v>104</v>
      </c>
    </row>
    <row r="79" spans="1:7">
      <c r="A79" s="17"/>
      <c r="B79" s="19"/>
      <c r="C79" t="s">
        <v>182</v>
      </c>
      <c r="D79" t="s">
        <v>192</v>
      </c>
      <c r="E79" t="s">
        <v>38</v>
      </c>
      <c r="F79" t="s">
        <v>193</v>
      </c>
      <c r="G79" s="48">
        <v>138</v>
      </c>
    </row>
    <row r="80" spans="1:7">
      <c r="A80" s="17"/>
      <c r="B80" s="19"/>
      <c r="C80" t="s">
        <v>182</v>
      </c>
      <c r="D80" t="s">
        <v>194</v>
      </c>
      <c r="E80" t="s">
        <v>38</v>
      </c>
      <c r="F80" t="s">
        <v>195</v>
      </c>
      <c r="G80" s="48">
        <v>176</v>
      </c>
    </row>
    <row r="81" spans="1:7">
      <c r="A81" s="17"/>
      <c r="B81" s="19"/>
      <c r="C81" t="s">
        <v>182</v>
      </c>
      <c r="D81" t="s">
        <v>196</v>
      </c>
      <c r="E81" t="s">
        <v>38</v>
      </c>
      <c r="F81" t="s">
        <v>197</v>
      </c>
      <c r="G81" s="48">
        <v>111</v>
      </c>
    </row>
    <row r="82" spans="1:7">
      <c r="A82" s="17"/>
      <c r="B82" s="19"/>
      <c r="C82" t="s">
        <v>182</v>
      </c>
      <c r="D82" t="s">
        <v>198</v>
      </c>
      <c r="E82" t="s">
        <v>38</v>
      </c>
      <c r="F82" t="s">
        <v>199</v>
      </c>
      <c r="G82" s="48">
        <v>153</v>
      </c>
    </row>
    <row r="83" spans="1:7">
      <c r="A83" s="17"/>
      <c r="B83" s="19"/>
      <c r="C83" t="s">
        <v>182</v>
      </c>
      <c r="D83" t="s">
        <v>200</v>
      </c>
      <c r="E83" t="s">
        <v>38</v>
      </c>
      <c r="F83" t="s">
        <v>201</v>
      </c>
      <c r="G83" s="48">
        <v>95</v>
      </c>
    </row>
    <row r="84" spans="1:7">
      <c r="A84" s="17"/>
      <c r="B84" s="19"/>
      <c r="C84" t="s">
        <v>182</v>
      </c>
      <c r="D84" t="s">
        <v>202</v>
      </c>
      <c r="E84" t="s">
        <v>38</v>
      </c>
      <c r="F84" t="s">
        <v>203</v>
      </c>
      <c r="G84" s="48">
        <v>71</v>
      </c>
    </row>
    <row r="85" spans="1:7">
      <c r="A85" s="17"/>
      <c r="B85" s="19"/>
      <c r="C85" t="s">
        <v>182</v>
      </c>
      <c r="D85" t="s">
        <v>204</v>
      </c>
      <c r="E85" t="s">
        <v>38</v>
      </c>
      <c r="F85" t="s">
        <v>205</v>
      </c>
      <c r="G85" s="48">
        <v>94</v>
      </c>
    </row>
    <row r="86" spans="1:7">
      <c r="A86" s="17"/>
      <c r="B86" s="19"/>
      <c r="C86" t="s">
        <v>182</v>
      </c>
      <c r="D86" t="s">
        <v>206</v>
      </c>
      <c r="E86" t="s">
        <v>38</v>
      </c>
      <c r="F86" t="s">
        <v>207</v>
      </c>
      <c r="G86" s="48">
        <v>140</v>
      </c>
    </row>
    <row r="87" spans="1:7">
      <c r="A87" s="17"/>
      <c r="B87" s="19"/>
      <c r="C87" t="s">
        <v>182</v>
      </c>
      <c r="D87" t="s">
        <v>208</v>
      </c>
      <c r="E87" t="s">
        <v>38</v>
      </c>
      <c r="F87" t="s">
        <v>209</v>
      </c>
      <c r="G87" s="48">
        <v>95</v>
      </c>
    </row>
    <row r="88" spans="1:7">
      <c r="A88" s="17"/>
      <c r="B88" s="19"/>
      <c r="C88" t="s">
        <v>210</v>
      </c>
      <c r="D88" t="s">
        <v>37</v>
      </c>
      <c r="E88" t="s">
        <v>38</v>
      </c>
      <c r="F88" t="s">
        <v>211</v>
      </c>
      <c r="G88" s="48">
        <v>153</v>
      </c>
    </row>
    <row r="89" spans="1:7">
      <c r="A89" s="17"/>
      <c r="B89" s="19"/>
      <c r="C89" t="s">
        <v>210</v>
      </c>
      <c r="D89" t="s">
        <v>212</v>
      </c>
      <c r="E89" t="s">
        <v>38</v>
      </c>
      <c r="F89" t="s">
        <v>213</v>
      </c>
      <c r="G89" s="48">
        <v>153</v>
      </c>
    </row>
    <row r="90" spans="1:7">
      <c r="A90" s="17"/>
      <c r="B90" s="19"/>
      <c r="C90" t="s">
        <v>214</v>
      </c>
      <c r="D90" t="s">
        <v>37</v>
      </c>
      <c r="E90" t="s">
        <v>38</v>
      </c>
      <c r="F90" t="s">
        <v>215</v>
      </c>
      <c r="G90" s="48">
        <v>49</v>
      </c>
    </row>
    <row r="91" spans="1:7">
      <c r="A91" s="17"/>
      <c r="B91" s="19"/>
      <c r="C91" t="s">
        <v>214</v>
      </c>
      <c r="D91" t="s">
        <v>216</v>
      </c>
      <c r="E91" t="s">
        <v>38</v>
      </c>
      <c r="F91" t="s">
        <v>217</v>
      </c>
      <c r="G91" s="48">
        <v>64</v>
      </c>
    </row>
    <row r="92" spans="1:7">
      <c r="C92" t="s">
        <v>214</v>
      </c>
      <c r="D92" t="s">
        <v>218</v>
      </c>
      <c r="E92" t="s">
        <v>38</v>
      </c>
      <c r="F92" t="s">
        <v>219</v>
      </c>
      <c r="G92" s="48">
        <v>52</v>
      </c>
    </row>
    <row r="93" spans="1:7">
      <c r="C93" t="s">
        <v>214</v>
      </c>
      <c r="D93" t="s">
        <v>220</v>
      </c>
      <c r="E93" t="s">
        <v>38</v>
      </c>
      <c r="F93" t="s">
        <v>221</v>
      </c>
      <c r="G93" s="48">
        <v>118</v>
      </c>
    </row>
    <row r="94" spans="1:7">
      <c r="C94" t="s">
        <v>214</v>
      </c>
      <c r="D94" t="s">
        <v>222</v>
      </c>
      <c r="E94" t="s">
        <v>38</v>
      </c>
      <c r="F94" t="s">
        <v>223</v>
      </c>
      <c r="G94" s="48">
        <v>49</v>
      </c>
    </row>
    <row r="95" spans="1:7">
      <c r="C95" t="s">
        <v>214</v>
      </c>
      <c r="D95" t="s">
        <v>224</v>
      </c>
      <c r="E95" t="s">
        <v>38</v>
      </c>
      <c r="F95" t="s">
        <v>225</v>
      </c>
      <c r="G95" s="48">
        <v>47</v>
      </c>
    </row>
    <row r="96" spans="1:7">
      <c r="C96" t="s">
        <v>214</v>
      </c>
      <c r="D96" t="s">
        <v>180</v>
      </c>
      <c r="E96" t="s">
        <v>38</v>
      </c>
      <c r="F96" t="s">
        <v>226</v>
      </c>
      <c r="G96" s="48">
        <v>60</v>
      </c>
    </row>
    <row r="97" spans="3:7">
      <c r="C97" t="s">
        <v>214</v>
      </c>
      <c r="D97" t="s">
        <v>227</v>
      </c>
      <c r="E97" t="s">
        <v>38</v>
      </c>
      <c r="F97" t="s">
        <v>228</v>
      </c>
      <c r="G97" s="48">
        <v>63</v>
      </c>
    </row>
    <row r="98" spans="3:7">
      <c r="C98" t="s">
        <v>229</v>
      </c>
      <c r="D98" t="s">
        <v>230</v>
      </c>
      <c r="E98" t="s">
        <v>38</v>
      </c>
      <c r="F98" t="s">
        <v>231</v>
      </c>
      <c r="G98" s="48">
        <v>135</v>
      </c>
    </row>
    <row r="99" spans="3:7">
      <c r="C99" t="s">
        <v>232</v>
      </c>
      <c r="D99" t="s">
        <v>37</v>
      </c>
      <c r="E99" t="s">
        <v>38</v>
      </c>
      <c r="F99" t="s">
        <v>233</v>
      </c>
      <c r="G99" s="48">
        <v>92</v>
      </c>
    </row>
    <row r="100" spans="3:7">
      <c r="C100" t="s">
        <v>232</v>
      </c>
      <c r="D100" t="s">
        <v>234</v>
      </c>
      <c r="E100" t="s">
        <v>38</v>
      </c>
      <c r="F100" t="s">
        <v>235</v>
      </c>
      <c r="G100" s="48">
        <v>103</v>
      </c>
    </row>
    <row r="101" spans="3:7">
      <c r="C101" t="s">
        <v>232</v>
      </c>
      <c r="D101" t="s">
        <v>236</v>
      </c>
      <c r="E101" t="s">
        <v>38</v>
      </c>
      <c r="F101" t="s">
        <v>237</v>
      </c>
      <c r="G101" s="48">
        <v>83</v>
      </c>
    </row>
    <row r="102" spans="3:7">
      <c r="C102" t="s">
        <v>232</v>
      </c>
      <c r="D102" t="s">
        <v>238</v>
      </c>
      <c r="E102" t="s">
        <v>38</v>
      </c>
      <c r="F102" t="s">
        <v>239</v>
      </c>
      <c r="G102" s="48">
        <v>46</v>
      </c>
    </row>
    <row r="103" spans="3:7">
      <c r="C103" t="s">
        <v>232</v>
      </c>
      <c r="D103" t="s">
        <v>240</v>
      </c>
      <c r="E103" t="s">
        <v>38</v>
      </c>
      <c r="F103" t="s">
        <v>241</v>
      </c>
      <c r="G103" s="48">
        <v>65</v>
      </c>
    </row>
    <row r="104" spans="3:7">
      <c r="C104" t="s">
        <v>232</v>
      </c>
      <c r="D104" t="s">
        <v>242</v>
      </c>
      <c r="E104" t="s">
        <v>38</v>
      </c>
      <c r="F104" t="s">
        <v>243</v>
      </c>
      <c r="G104" s="48">
        <v>102</v>
      </c>
    </row>
    <row r="105" spans="3:7">
      <c r="C105" t="s">
        <v>232</v>
      </c>
      <c r="D105" t="s">
        <v>244</v>
      </c>
      <c r="E105" t="s">
        <v>38</v>
      </c>
      <c r="F105" t="s">
        <v>245</v>
      </c>
      <c r="G105" s="48">
        <v>63</v>
      </c>
    </row>
    <row r="106" spans="3:7">
      <c r="C106" t="s">
        <v>246</v>
      </c>
      <c r="D106" t="s">
        <v>37</v>
      </c>
      <c r="E106" t="s">
        <v>38</v>
      </c>
      <c r="F106" t="s">
        <v>247</v>
      </c>
      <c r="G106" s="48">
        <v>97</v>
      </c>
    </row>
    <row r="107" spans="3:7">
      <c r="C107" t="s">
        <v>246</v>
      </c>
      <c r="D107" t="s">
        <v>248</v>
      </c>
      <c r="E107" t="s">
        <v>38</v>
      </c>
      <c r="F107" t="s">
        <v>249</v>
      </c>
      <c r="G107" s="48">
        <v>97</v>
      </c>
    </row>
    <row r="108" spans="3:7">
      <c r="C108" t="s">
        <v>246</v>
      </c>
      <c r="D108" t="s">
        <v>250</v>
      </c>
      <c r="E108" t="s">
        <v>38</v>
      </c>
      <c r="F108" t="s">
        <v>251</v>
      </c>
      <c r="G108" s="48">
        <v>158</v>
      </c>
    </row>
    <row r="109" spans="3:7">
      <c r="C109" t="s">
        <v>246</v>
      </c>
      <c r="D109" t="s">
        <v>252</v>
      </c>
      <c r="E109" t="s">
        <v>38</v>
      </c>
      <c r="F109" t="s">
        <v>253</v>
      </c>
      <c r="G109" s="48">
        <v>139</v>
      </c>
    </row>
    <row r="110" spans="3:7">
      <c r="C110" t="s">
        <v>246</v>
      </c>
      <c r="D110" t="s">
        <v>254</v>
      </c>
      <c r="E110" t="s">
        <v>38</v>
      </c>
      <c r="F110" t="s">
        <v>255</v>
      </c>
      <c r="G110" s="48">
        <v>89</v>
      </c>
    </row>
    <row r="111" spans="3:7">
      <c r="C111" t="s">
        <v>246</v>
      </c>
      <c r="D111" t="s">
        <v>256</v>
      </c>
      <c r="E111" t="s">
        <v>38</v>
      </c>
      <c r="F111" t="s">
        <v>257</v>
      </c>
      <c r="G111" s="48">
        <v>105</v>
      </c>
    </row>
    <row r="112" spans="3:7">
      <c r="C112" t="s">
        <v>258</v>
      </c>
      <c r="D112" t="s">
        <v>37</v>
      </c>
      <c r="E112" t="s">
        <v>38</v>
      </c>
      <c r="F112" t="s">
        <v>259</v>
      </c>
      <c r="G112" s="48">
        <v>57</v>
      </c>
    </row>
    <row r="113" spans="3:7">
      <c r="C113" t="s">
        <v>258</v>
      </c>
      <c r="D113" t="s">
        <v>260</v>
      </c>
      <c r="E113" t="s">
        <v>38</v>
      </c>
      <c r="F113" t="s">
        <v>261</v>
      </c>
      <c r="G113" s="48">
        <v>91</v>
      </c>
    </row>
    <row r="114" spans="3:7">
      <c r="C114" t="s">
        <v>262</v>
      </c>
      <c r="D114" t="s">
        <v>263</v>
      </c>
      <c r="E114" t="s">
        <v>38</v>
      </c>
      <c r="F114" t="s">
        <v>264</v>
      </c>
      <c r="G114" s="48">
        <v>173</v>
      </c>
    </row>
    <row r="115" spans="3:7">
      <c r="C115" t="s">
        <v>265</v>
      </c>
      <c r="D115" t="s">
        <v>266</v>
      </c>
      <c r="E115" t="s">
        <v>38</v>
      </c>
      <c r="F115" t="s">
        <v>267</v>
      </c>
      <c r="G115" s="48">
        <v>94</v>
      </c>
    </row>
    <row r="116" spans="3:7">
      <c r="C116" t="s">
        <v>268</v>
      </c>
      <c r="D116" t="s">
        <v>269</v>
      </c>
      <c r="E116" t="s">
        <v>38</v>
      </c>
      <c r="F116" t="s">
        <v>270</v>
      </c>
      <c r="G116" s="48">
        <v>114</v>
      </c>
    </row>
    <row r="117" spans="3:7">
      <c r="C117" t="s">
        <v>271</v>
      </c>
      <c r="D117" t="s">
        <v>37</v>
      </c>
      <c r="E117" t="s">
        <v>38</v>
      </c>
      <c r="F117" t="s">
        <v>272</v>
      </c>
      <c r="G117" s="48">
        <v>76</v>
      </c>
    </row>
    <row r="118" spans="3:7">
      <c r="C118" t="s">
        <v>271</v>
      </c>
      <c r="D118" t="s">
        <v>273</v>
      </c>
      <c r="E118" t="s">
        <v>38</v>
      </c>
      <c r="F118" t="s">
        <v>274</v>
      </c>
      <c r="G118" s="48">
        <v>96</v>
      </c>
    </row>
    <row r="119" spans="3:7">
      <c r="C119" t="s">
        <v>275</v>
      </c>
      <c r="D119" t="s">
        <v>37</v>
      </c>
      <c r="E119" t="s">
        <v>38</v>
      </c>
      <c r="F119" t="s">
        <v>276</v>
      </c>
      <c r="G119" s="48">
        <v>141</v>
      </c>
    </row>
    <row r="120" spans="3:7">
      <c r="C120" t="s">
        <v>275</v>
      </c>
      <c r="D120" t="s">
        <v>277</v>
      </c>
      <c r="E120" t="s">
        <v>38</v>
      </c>
      <c r="F120" t="s">
        <v>278</v>
      </c>
      <c r="G120" s="48">
        <v>141</v>
      </c>
    </row>
    <row r="121" spans="3:7">
      <c r="C121" t="s">
        <v>279</v>
      </c>
      <c r="D121" t="s">
        <v>37</v>
      </c>
      <c r="E121" t="s">
        <v>38</v>
      </c>
      <c r="F121" t="s">
        <v>280</v>
      </c>
      <c r="G121" s="48">
        <v>40</v>
      </c>
    </row>
    <row r="122" spans="3:7">
      <c r="C122" t="s">
        <v>279</v>
      </c>
      <c r="D122" t="s">
        <v>281</v>
      </c>
      <c r="E122" t="s">
        <v>38</v>
      </c>
      <c r="F122" t="s">
        <v>282</v>
      </c>
      <c r="G122" s="48">
        <v>91</v>
      </c>
    </row>
    <row r="123" spans="3:7">
      <c r="C123" t="s">
        <v>279</v>
      </c>
      <c r="D123" t="s">
        <v>283</v>
      </c>
      <c r="E123" t="s">
        <v>38</v>
      </c>
      <c r="F123" t="s">
        <v>284</v>
      </c>
      <c r="G123" s="48">
        <v>75</v>
      </c>
    </row>
    <row r="124" spans="3:7">
      <c r="C124" t="s">
        <v>279</v>
      </c>
      <c r="D124" t="s">
        <v>285</v>
      </c>
      <c r="E124" t="s">
        <v>38</v>
      </c>
      <c r="F124" t="s">
        <v>286</v>
      </c>
      <c r="G124" s="48">
        <v>106</v>
      </c>
    </row>
    <row r="125" spans="3:7">
      <c r="C125" t="s">
        <v>279</v>
      </c>
      <c r="D125" t="s">
        <v>287</v>
      </c>
      <c r="E125" t="s">
        <v>38</v>
      </c>
      <c r="F125" t="s">
        <v>288</v>
      </c>
      <c r="G125" s="48">
        <v>111</v>
      </c>
    </row>
    <row r="126" spans="3:7">
      <c r="C126" t="s">
        <v>279</v>
      </c>
      <c r="D126" t="s">
        <v>289</v>
      </c>
      <c r="E126" t="s">
        <v>38</v>
      </c>
      <c r="F126" t="s">
        <v>290</v>
      </c>
      <c r="G126" s="48">
        <v>98</v>
      </c>
    </row>
    <row r="127" spans="3:7">
      <c r="C127" t="s">
        <v>291</v>
      </c>
      <c r="D127" t="s">
        <v>37</v>
      </c>
      <c r="E127" t="s">
        <v>38</v>
      </c>
      <c r="F127" t="s">
        <v>292</v>
      </c>
      <c r="G127" s="48">
        <v>80</v>
      </c>
    </row>
    <row r="128" spans="3:7">
      <c r="C128" t="s">
        <v>291</v>
      </c>
      <c r="D128" t="s">
        <v>293</v>
      </c>
      <c r="E128" t="s">
        <v>38</v>
      </c>
      <c r="F128" t="s">
        <v>294</v>
      </c>
      <c r="G128" s="48">
        <v>99</v>
      </c>
    </row>
    <row r="129" spans="3:7">
      <c r="C129" t="s">
        <v>291</v>
      </c>
      <c r="D129" t="s">
        <v>295</v>
      </c>
      <c r="E129" t="s">
        <v>38</v>
      </c>
      <c r="F129" t="s">
        <v>296</v>
      </c>
      <c r="G129" s="48">
        <v>85</v>
      </c>
    </row>
    <row r="130" spans="3:7">
      <c r="C130" t="s">
        <v>291</v>
      </c>
      <c r="D130" t="s">
        <v>297</v>
      </c>
      <c r="E130" t="s">
        <v>38</v>
      </c>
      <c r="F130" t="s">
        <v>298</v>
      </c>
      <c r="G130" s="48">
        <v>98</v>
      </c>
    </row>
    <row r="131" spans="3:7">
      <c r="C131" t="s">
        <v>291</v>
      </c>
      <c r="D131" t="s">
        <v>299</v>
      </c>
      <c r="E131" t="s">
        <v>38</v>
      </c>
      <c r="F131" t="s">
        <v>300</v>
      </c>
      <c r="G131" s="48">
        <v>85</v>
      </c>
    </row>
    <row r="132" spans="3:7">
      <c r="C132" t="s">
        <v>291</v>
      </c>
      <c r="D132" t="s">
        <v>301</v>
      </c>
      <c r="E132" t="s">
        <v>38</v>
      </c>
      <c r="F132" t="s">
        <v>302</v>
      </c>
      <c r="G132" s="48">
        <v>86</v>
      </c>
    </row>
    <row r="133" spans="3:7">
      <c r="C133" t="s">
        <v>303</v>
      </c>
      <c r="D133" t="s">
        <v>37</v>
      </c>
      <c r="E133" t="s">
        <v>38</v>
      </c>
      <c r="F133" t="s">
        <v>304</v>
      </c>
      <c r="G133" s="48">
        <v>99</v>
      </c>
    </row>
    <row r="134" spans="3:7">
      <c r="C134" t="s">
        <v>303</v>
      </c>
      <c r="D134" t="s">
        <v>305</v>
      </c>
      <c r="E134" t="s">
        <v>38</v>
      </c>
      <c r="F134" t="s">
        <v>306</v>
      </c>
      <c r="G134" s="48">
        <v>99</v>
      </c>
    </row>
    <row r="135" spans="3:7">
      <c r="C135" t="s">
        <v>303</v>
      </c>
      <c r="D135" t="s">
        <v>307</v>
      </c>
      <c r="E135" t="s">
        <v>38</v>
      </c>
      <c r="F135" t="s">
        <v>308</v>
      </c>
      <c r="G135" s="48">
        <v>86</v>
      </c>
    </row>
    <row r="136" spans="3:7">
      <c r="C136" t="s">
        <v>309</v>
      </c>
      <c r="D136" t="s">
        <v>37</v>
      </c>
      <c r="E136" t="s">
        <v>38</v>
      </c>
      <c r="F136" t="s">
        <v>310</v>
      </c>
      <c r="G136" s="48">
        <v>35</v>
      </c>
    </row>
    <row r="137" spans="3:7">
      <c r="C137" t="s">
        <v>309</v>
      </c>
      <c r="D137" t="s">
        <v>311</v>
      </c>
      <c r="E137" t="s">
        <v>38</v>
      </c>
      <c r="F137" t="s">
        <v>312</v>
      </c>
      <c r="G137" s="48">
        <v>33</v>
      </c>
    </row>
    <row r="138" spans="3:7">
      <c r="C138" t="s">
        <v>309</v>
      </c>
      <c r="D138" t="s">
        <v>313</v>
      </c>
      <c r="E138" t="s">
        <v>38</v>
      </c>
      <c r="F138" t="s">
        <v>314</v>
      </c>
      <c r="G138" s="48">
        <v>56</v>
      </c>
    </row>
    <row r="139" spans="3:7">
      <c r="C139" t="s">
        <v>309</v>
      </c>
      <c r="D139" t="s">
        <v>315</v>
      </c>
      <c r="E139" t="s">
        <v>38</v>
      </c>
      <c r="F139" t="s">
        <v>316</v>
      </c>
      <c r="G139" s="48">
        <v>69</v>
      </c>
    </row>
    <row r="140" spans="3:7">
      <c r="C140" t="s">
        <v>317</v>
      </c>
      <c r="D140" t="s">
        <v>37</v>
      </c>
      <c r="E140" t="s">
        <v>38</v>
      </c>
      <c r="F140" t="s">
        <v>318</v>
      </c>
      <c r="G140" s="48">
        <v>120</v>
      </c>
    </row>
    <row r="141" spans="3:7">
      <c r="C141" t="s">
        <v>317</v>
      </c>
      <c r="D141" t="s">
        <v>319</v>
      </c>
      <c r="E141" t="s">
        <v>38</v>
      </c>
      <c r="F141" t="s">
        <v>320</v>
      </c>
      <c r="G141" s="48">
        <v>153</v>
      </c>
    </row>
    <row r="142" spans="3:7">
      <c r="C142" t="s">
        <v>317</v>
      </c>
      <c r="D142" t="s">
        <v>321</v>
      </c>
      <c r="E142" t="s">
        <v>38</v>
      </c>
      <c r="F142" t="s">
        <v>322</v>
      </c>
      <c r="G142" s="48">
        <v>80</v>
      </c>
    </row>
    <row r="143" spans="3:7">
      <c r="C143" t="s">
        <v>317</v>
      </c>
      <c r="D143" t="s">
        <v>323</v>
      </c>
      <c r="E143" t="s">
        <v>38</v>
      </c>
      <c r="F143" t="s">
        <v>324</v>
      </c>
      <c r="G143" s="48">
        <v>135</v>
      </c>
    </row>
    <row r="144" spans="3:7">
      <c r="C144" t="s">
        <v>317</v>
      </c>
      <c r="D144" t="s">
        <v>325</v>
      </c>
      <c r="E144" t="s">
        <v>38</v>
      </c>
      <c r="F144" t="s">
        <v>326</v>
      </c>
      <c r="G144" s="48">
        <v>96</v>
      </c>
    </row>
    <row r="145" spans="3:7">
      <c r="C145" t="s">
        <v>317</v>
      </c>
      <c r="D145" t="s">
        <v>327</v>
      </c>
      <c r="E145" t="s">
        <v>38</v>
      </c>
      <c r="F145" t="s">
        <v>328</v>
      </c>
      <c r="G145" s="48">
        <v>95</v>
      </c>
    </row>
    <row r="146" spans="3:7">
      <c r="C146" t="s">
        <v>317</v>
      </c>
      <c r="D146" t="s">
        <v>329</v>
      </c>
      <c r="E146" t="s">
        <v>38</v>
      </c>
      <c r="F146" t="s">
        <v>330</v>
      </c>
      <c r="G146" s="48">
        <v>55</v>
      </c>
    </row>
    <row r="147" spans="3:7">
      <c r="C147" t="s">
        <v>317</v>
      </c>
      <c r="D147" t="s">
        <v>331</v>
      </c>
      <c r="E147" t="s">
        <v>38</v>
      </c>
      <c r="F147" t="s">
        <v>332</v>
      </c>
      <c r="G147" s="48">
        <v>76</v>
      </c>
    </row>
    <row r="148" spans="3:7">
      <c r="C148" t="s">
        <v>317</v>
      </c>
      <c r="D148" t="s">
        <v>333</v>
      </c>
      <c r="E148" t="s">
        <v>38</v>
      </c>
      <c r="F148" t="s">
        <v>334</v>
      </c>
      <c r="G148" s="48">
        <v>109</v>
      </c>
    </row>
    <row r="149" spans="3:7">
      <c r="C149" t="s">
        <v>317</v>
      </c>
      <c r="D149" t="s">
        <v>335</v>
      </c>
      <c r="E149" t="s">
        <v>38</v>
      </c>
      <c r="F149" t="s">
        <v>336</v>
      </c>
      <c r="G149" s="48">
        <v>112</v>
      </c>
    </row>
    <row r="150" spans="3:7">
      <c r="C150" t="s">
        <v>317</v>
      </c>
      <c r="D150" t="s">
        <v>337</v>
      </c>
      <c r="E150" t="s">
        <v>38</v>
      </c>
      <c r="F150" t="s">
        <v>338</v>
      </c>
      <c r="G150" s="48">
        <v>130</v>
      </c>
    </row>
    <row r="151" spans="3:7">
      <c r="C151" t="s">
        <v>317</v>
      </c>
      <c r="D151" t="s">
        <v>339</v>
      </c>
      <c r="E151" t="s">
        <v>38</v>
      </c>
      <c r="F151" t="s">
        <v>340</v>
      </c>
      <c r="G151" s="48">
        <v>123</v>
      </c>
    </row>
    <row r="152" spans="3:7">
      <c r="C152" t="s">
        <v>317</v>
      </c>
      <c r="D152" t="s">
        <v>341</v>
      </c>
      <c r="E152" t="s">
        <v>38</v>
      </c>
      <c r="F152" t="s">
        <v>342</v>
      </c>
      <c r="G152" s="48">
        <v>131</v>
      </c>
    </row>
    <row r="153" spans="3:7">
      <c r="C153" t="s">
        <v>317</v>
      </c>
      <c r="D153" t="s">
        <v>343</v>
      </c>
      <c r="E153" t="s">
        <v>38</v>
      </c>
      <c r="F153" t="s">
        <v>344</v>
      </c>
      <c r="G153" s="48">
        <v>128</v>
      </c>
    </row>
    <row r="154" spans="3:7">
      <c r="C154" t="s">
        <v>317</v>
      </c>
      <c r="D154" t="s">
        <v>345</v>
      </c>
      <c r="E154" t="s">
        <v>38</v>
      </c>
      <c r="F154" t="s">
        <v>346</v>
      </c>
      <c r="G154" s="48">
        <v>113</v>
      </c>
    </row>
    <row r="155" spans="3:7">
      <c r="C155" t="s">
        <v>317</v>
      </c>
      <c r="D155" t="s">
        <v>347</v>
      </c>
      <c r="E155" t="s">
        <v>38</v>
      </c>
      <c r="F155" t="s">
        <v>348</v>
      </c>
      <c r="G155" s="48">
        <v>127</v>
      </c>
    </row>
    <row r="156" spans="3:7">
      <c r="C156" t="s">
        <v>317</v>
      </c>
      <c r="D156" t="s">
        <v>349</v>
      </c>
      <c r="E156" t="s">
        <v>38</v>
      </c>
      <c r="F156" t="s">
        <v>350</v>
      </c>
      <c r="G156" s="48">
        <v>93</v>
      </c>
    </row>
    <row r="157" spans="3:7">
      <c r="C157" t="s">
        <v>317</v>
      </c>
      <c r="D157" t="s">
        <v>351</v>
      </c>
      <c r="E157" t="s">
        <v>38</v>
      </c>
      <c r="F157" t="s">
        <v>352</v>
      </c>
      <c r="G157" s="48">
        <v>112</v>
      </c>
    </row>
    <row r="158" spans="3:7">
      <c r="C158" t="s">
        <v>317</v>
      </c>
      <c r="D158" t="s">
        <v>353</v>
      </c>
      <c r="E158" t="s">
        <v>38</v>
      </c>
      <c r="F158" t="s">
        <v>354</v>
      </c>
      <c r="G158" s="48">
        <v>114</v>
      </c>
    </row>
    <row r="159" spans="3:7">
      <c r="C159" t="s">
        <v>317</v>
      </c>
      <c r="D159" t="s">
        <v>355</v>
      </c>
      <c r="E159" t="s">
        <v>38</v>
      </c>
      <c r="F159" t="s">
        <v>356</v>
      </c>
      <c r="G159" s="48">
        <v>94</v>
      </c>
    </row>
    <row r="160" spans="3:7">
      <c r="C160" t="s">
        <v>317</v>
      </c>
      <c r="D160" t="s">
        <v>357</v>
      </c>
      <c r="E160" t="s">
        <v>38</v>
      </c>
      <c r="F160" t="s">
        <v>358</v>
      </c>
      <c r="G160" s="48">
        <v>133</v>
      </c>
    </row>
    <row r="161" spans="3:7">
      <c r="C161" t="s">
        <v>317</v>
      </c>
      <c r="D161" t="s">
        <v>359</v>
      </c>
      <c r="E161" t="s">
        <v>38</v>
      </c>
      <c r="F161" t="s">
        <v>360</v>
      </c>
      <c r="G161" s="48">
        <v>115</v>
      </c>
    </row>
    <row r="162" spans="3:7">
      <c r="C162" t="s">
        <v>317</v>
      </c>
      <c r="D162" t="s">
        <v>361</v>
      </c>
      <c r="E162" t="s">
        <v>38</v>
      </c>
      <c r="F162" t="s">
        <v>362</v>
      </c>
      <c r="G162" s="48">
        <v>116</v>
      </c>
    </row>
    <row r="163" spans="3:7">
      <c r="C163" t="s">
        <v>317</v>
      </c>
      <c r="D163" t="s">
        <v>363</v>
      </c>
      <c r="E163" t="s">
        <v>38</v>
      </c>
      <c r="F163" t="s">
        <v>364</v>
      </c>
      <c r="G163" s="48">
        <v>136</v>
      </c>
    </row>
    <row r="164" spans="3:7">
      <c r="C164" t="s">
        <v>317</v>
      </c>
      <c r="D164" t="s">
        <v>365</v>
      </c>
      <c r="E164" t="s">
        <v>38</v>
      </c>
      <c r="F164" t="s">
        <v>366</v>
      </c>
      <c r="G164" s="48">
        <v>158</v>
      </c>
    </row>
    <row r="165" spans="3:7">
      <c r="C165" t="s">
        <v>317</v>
      </c>
      <c r="D165" t="s">
        <v>367</v>
      </c>
      <c r="E165" t="s">
        <v>38</v>
      </c>
      <c r="F165" t="s">
        <v>368</v>
      </c>
      <c r="G165" s="48">
        <v>107</v>
      </c>
    </row>
    <row r="166" spans="3:7">
      <c r="C166" t="s">
        <v>317</v>
      </c>
      <c r="D166" t="s">
        <v>369</v>
      </c>
      <c r="E166" t="s">
        <v>38</v>
      </c>
      <c r="F166" t="s">
        <v>370</v>
      </c>
      <c r="G166" s="48">
        <v>96</v>
      </c>
    </row>
    <row r="167" spans="3:7">
      <c r="C167" t="s">
        <v>317</v>
      </c>
      <c r="D167" t="s">
        <v>371</v>
      </c>
      <c r="E167" t="s">
        <v>38</v>
      </c>
      <c r="F167" t="s">
        <v>372</v>
      </c>
      <c r="G167" s="48">
        <v>104</v>
      </c>
    </row>
    <row r="168" spans="3:7">
      <c r="C168" t="s">
        <v>317</v>
      </c>
      <c r="D168" t="s">
        <v>373</v>
      </c>
      <c r="E168" t="s">
        <v>38</v>
      </c>
      <c r="F168" t="s">
        <v>374</v>
      </c>
      <c r="G168" s="48">
        <v>107</v>
      </c>
    </row>
    <row r="169" spans="3:7">
      <c r="C169" t="s">
        <v>317</v>
      </c>
      <c r="D169" t="s">
        <v>375</v>
      </c>
      <c r="E169" t="s">
        <v>38</v>
      </c>
      <c r="F169" t="s">
        <v>376</v>
      </c>
      <c r="G169" s="48">
        <v>98</v>
      </c>
    </row>
    <row r="170" spans="3:7">
      <c r="C170" t="s">
        <v>317</v>
      </c>
      <c r="D170" t="s">
        <v>377</v>
      </c>
      <c r="E170" t="s">
        <v>38</v>
      </c>
      <c r="F170" t="s">
        <v>378</v>
      </c>
      <c r="G170" s="48">
        <v>98</v>
      </c>
    </row>
    <row r="171" spans="3:7">
      <c r="C171" t="s">
        <v>317</v>
      </c>
      <c r="D171" t="s">
        <v>379</v>
      </c>
      <c r="E171" t="s">
        <v>38</v>
      </c>
      <c r="F171" t="s">
        <v>380</v>
      </c>
      <c r="G171" s="48">
        <v>121</v>
      </c>
    </row>
    <row r="172" spans="3:7">
      <c r="C172" t="s">
        <v>317</v>
      </c>
      <c r="D172" t="s">
        <v>381</v>
      </c>
      <c r="E172" t="s">
        <v>38</v>
      </c>
      <c r="F172" t="s">
        <v>382</v>
      </c>
      <c r="G172" s="48">
        <v>134</v>
      </c>
    </row>
    <row r="173" spans="3:7">
      <c r="C173" t="s">
        <v>317</v>
      </c>
      <c r="D173" t="s">
        <v>383</v>
      </c>
      <c r="E173" t="s">
        <v>38</v>
      </c>
      <c r="F173" t="s">
        <v>384</v>
      </c>
      <c r="G173" s="48">
        <v>133</v>
      </c>
    </row>
    <row r="174" spans="3:7">
      <c r="C174" t="s">
        <v>317</v>
      </c>
      <c r="D174" t="s">
        <v>385</v>
      </c>
      <c r="E174" t="s">
        <v>38</v>
      </c>
      <c r="F174" t="s">
        <v>386</v>
      </c>
      <c r="G174" s="48">
        <v>100</v>
      </c>
    </row>
    <row r="175" spans="3:7">
      <c r="C175" t="s">
        <v>317</v>
      </c>
      <c r="D175" t="s">
        <v>387</v>
      </c>
      <c r="E175" t="s">
        <v>38</v>
      </c>
      <c r="F175" t="s">
        <v>388</v>
      </c>
      <c r="G175" s="48">
        <v>105</v>
      </c>
    </row>
    <row r="176" spans="3:7">
      <c r="C176" t="s">
        <v>317</v>
      </c>
      <c r="D176" t="s">
        <v>389</v>
      </c>
      <c r="E176" t="s">
        <v>38</v>
      </c>
      <c r="F176" t="s">
        <v>390</v>
      </c>
      <c r="G176" s="48">
        <v>133</v>
      </c>
    </row>
    <row r="177" spans="3:7">
      <c r="C177" t="s">
        <v>317</v>
      </c>
      <c r="D177" t="s">
        <v>391</v>
      </c>
      <c r="E177" t="s">
        <v>38</v>
      </c>
      <c r="F177" t="s">
        <v>392</v>
      </c>
      <c r="G177" s="48">
        <v>77</v>
      </c>
    </row>
    <row r="178" spans="3:7">
      <c r="C178" t="s">
        <v>317</v>
      </c>
      <c r="D178" t="s">
        <v>393</v>
      </c>
      <c r="E178" t="s">
        <v>38</v>
      </c>
      <c r="F178" t="s">
        <v>394</v>
      </c>
      <c r="G178" s="48">
        <v>110</v>
      </c>
    </row>
    <row r="179" spans="3:7">
      <c r="C179" t="s">
        <v>317</v>
      </c>
      <c r="D179" t="s">
        <v>395</v>
      </c>
      <c r="E179" t="s">
        <v>38</v>
      </c>
      <c r="F179" t="s">
        <v>396</v>
      </c>
      <c r="G179" s="48">
        <v>106</v>
      </c>
    </row>
    <row r="180" spans="3:7">
      <c r="C180" t="s">
        <v>317</v>
      </c>
      <c r="D180" t="s">
        <v>397</v>
      </c>
      <c r="E180" t="s">
        <v>38</v>
      </c>
      <c r="F180" t="s">
        <v>398</v>
      </c>
      <c r="G180" s="48">
        <v>103</v>
      </c>
    </row>
    <row r="181" spans="3:7">
      <c r="C181" t="s">
        <v>317</v>
      </c>
      <c r="D181" t="s">
        <v>399</v>
      </c>
      <c r="E181" t="s">
        <v>38</v>
      </c>
      <c r="F181" t="s">
        <v>400</v>
      </c>
      <c r="G181" s="48">
        <v>94</v>
      </c>
    </row>
    <row r="182" spans="3:7">
      <c r="C182" t="s">
        <v>401</v>
      </c>
      <c r="D182" t="s">
        <v>37</v>
      </c>
      <c r="E182" t="s">
        <v>38</v>
      </c>
      <c r="F182" t="s">
        <v>402</v>
      </c>
      <c r="G182" s="48">
        <v>55</v>
      </c>
    </row>
    <row r="183" spans="3:7">
      <c r="C183" t="s">
        <v>401</v>
      </c>
      <c r="D183" t="s">
        <v>403</v>
      </c>
      <c r="E183" t="s">
        <v>38</v>
      </c>
      <c r="F183" t="s">
        <v>404</v>
      </c>
      <c r="G183" s="48">
        <v>65</v>
      </c>
    </row>
    <row r="184" spans="3:7">
      <c r="C184" t="s">
        <v>401</v>
      </c>
      <c r="D184" t="s">
        <v>405</v>
      </c>
      <c r="E184" t="s">
        <v>38</v>
      </c>
      <c r="F184" t="s">
        <v>406</v>
      </c>
      <c r="G184" s="48">
        <v>94</v>
      </c>
    </row>
    <row r="185" spans="3:7">
      <c r="C185" t="s">
        <v>401</v>
      </c>
      <c r="D185" t="s">
        <v>407</v>
      </c>
      <c r="E185" t="s">
        <v>38</v>
      </c>
      <c r="F185" t="s">
        <v>408</v>
      </c>
      <c r="G185" s="48">
        <v>70</v>
      </c>
    </row>
    <row r="186" spans="3:7">
      <c r="C186" t="s">
        <v>22</v>
      </c>
      <c r="D186" t="s">
        <v>37</v>
      </c>
      <c r="E186" t="s">
        <v>38</v>
      </c>
      <c r="F186" t="s">
        <v>23</v>
      </c>
      <c r="G186" s="48">
        <v>131</v>
      </c>
    </row>
    <row r="187" spans="3:7">
      <c r="C187" t="s">
        <v>22</v>
      </c>
      <c r="D187" t="s">
        <v>409</v>
      </c>
      <c r="E187" t="s">
        <v>38</v>
      </c>
      <c r="F187" t="s">
        <v>410</v>
      </c>
      <c r="G187" s="48">
        <v>119</v>
      </c>
    </row>
    <row r="188" spans="3:7">
      <c r="C188" t="s">
        <v>22</v>
      </c>
      <c r="D188" t="s">
        <v>411</v>
      </c>
      <c r="E188" t="s">
        <v>38</v>
      </c>
      <c r="F188" t="s">
        <v>412</v>
      </c>
      <c r="G188" s="48">
        <v>113</v>
      </c>
    </row>
    <row r="189" spans="3:7">
      <c r="C189" t="s">
        <v>22</v>
      </c>
      <c r="D189" t="s">
        <v>413</v>
      </c>
      <c r="E189" t="s">
        <v>38</v>
      </c>
      <c r="F189" t="s">
        <v>414</v>
      </c>
      <c r="G189" s="48">
        <v>145</v>
      </c>
    </row>
    <row r="190" spans="3:7">
      <c r="C190" t="s">
        <v>22</v>
      </c>
      <c r="D190" t="s">
        <v>415</v>
      </c>
      <c r="E190" t="s">
        <v>38</v>
      </c>
      <c r="F190" t="s">
        <v>416</v>
      </c>
      <c r="G190" s="48">
        <v>131</v>
      </c>
    </row>
    <row r="191" spans="3:7">
      <c r="C191" t="s">
        <v>417</v>
      </c>
      <c r="D191" t="s">
        <v>37</v>
      </c>
      <c r="E191" t="s">
        <v>38</v>
      </c>
      <c r="F191" t="s">
        <v>418</v>
      </c>
      <c r="G191" s="48">
        <v>58</v>
      </c>
    </row>
    <row r="192" spans="3:7">
      <c r="C192" t="s">
        <v>417</v>
      </c>
      <c r="D192" t="s">
        <v>419</v>
      </c>
      <c r="E192" t="s">
        <v>38</v>
      </c>
      <c r="F192" t="s">
        <v>420</v>
      </c>
      <c r="G192" s="48">
        <v>87</v>
      </c>
    </row>
    <row r="193" spans="3:7">
      <c r="C193" t="s">
        <v>417</v>
      </c>
      <c r="D193" t="s">
        <v>421</v>
      </c>
      <c r="E193" t="s">
        <v>38</v>
      </c>
      <c r="F193" t="s">
        <v>422</v>
      </c>
      <c r="G193" s="48">
        <v>81</v>
      </c>
    </row>
    <row r="194" spans="3:7">
      <c r="C194" t="s">
        <v>417</v>
      </c>
      <c r="D194" t="s">
        <v>423</v>
      </c>
      <c r="E194" t="s">
        <v>38</v>
      </c>
      <c r="F194" t="s">
        <v>424</v>
      </c>
      <c r="G194" s="48">
        <v>99</v>
      </c>
    </row>
    <row r="195" spans="3:7">
      <c r="C195" t="s">
        <v>425</v>
      </c>
      <c r="D195" t="s">
        <v>37</v>
      </c>
      <c r="E195" t="s">
        <v>38</v>
      </c>
      <c r="F195" t="s">
        <v>426</v>
      </c>
      <c r="G195" s="48">
        <v>60</v>
      </c>
    </row>
    <row r="196" spans="3:7">
      <c r="C196" t="s">
        <v>425</v>
      </c>
      <c r="D196" t="s">
        <v>427</v>
      </c>
      <c r="E196" t="s">
        <v>38</v>
      </c>
      <c r="F196" t="s">
        <v>428</v>
      </c>
      <c r="G196" s="48">
        <v>102</v>
      </c>
    </row>
    <row r="197" spans="3:7">
      <c r="C197" t="s">
        <v>425</v>
      </c>
      <c r="D197" t="s">
        <v>429</v>
      </c>
      <c r="E197" t="s">
        <v>38</v>
      </c>
      <c r="F197" t="s">
        <v>430</v>
      </c>
      <c r="G197" s="48">
        <v>85</v>
      </c>
    </row>
    <row r="198" spans="3:7">
      <c r="C198" t="s">
        <v>425</v>
      </c>
      <c r="D198" t="s">
        <v>431</v>
      </c>
      <c r="E198" t="s">
        <v>38</v>
      </c>
      <c r="F198" t="s">
        <v>432</v>
      </c>
      <c r="G198" s="48">
        <v>76</v>
      </c>
    </row>
    <row r="199" spans="3:7">
      <c r="C199" t="s">
        <v>433</v>
      </c>
      <c r="D199" t="s">
        <v>37</v>
      </c>
      <c r="E199" t="s">
        <v>38</v>
      </c>
      <c r="F199" t="s">
        <v>434</v>
      </c>
      <c r="G199" s="48">
        <v>95</v>
      </c>
    </row>
    <row r="200" spans="3:7">
      <c r="C200" t="s">
        <v>433</v>
      </c>
      <c r="D200" t="s">
        <v>435</v>
      </c>
      <c r="E200" t="s">
        <v>38</v>
      </c>
      <c r="F200" t="s">
        <v>436</v>
      </c>
      <c r="G200" s="48">
        <v>118</v>
      </c>
    </row>
    <row r="201" spans="3:7">
      <c r="C201" t="s">
        <v>433</v>
      </c>
      <c r="D201" t="s">
        <v>437</v>
      </c>
      <c r="E201" t="s">
        <v>38</v>
      </c>
      <c r="F201" t="s">
        <v>438</v>
      </c>
      <c r="G201" s="48">
        <v>103</v>
      </c>
    </row>
    <row r="202" spans="3:7">
      <c r="C202" t="s">
        <v>433</v>
      </c>
      <c r="D202" t="s">
        <v>439</v>
      </c>
      <c r="E202" t="s">
        <v>38</v>
      </c>
      <c r="F202" t="s">
        <v>440</v>
      </c>
      <c r="G202" s="48">
        <v>112</v>
      </c>
    </row>
    <row r="203" spans="3:7">
      <c r="C203" s="4" t="s">
        <v>441</v>
      </c>
      <c r="D203" s="4" t="s">
        <v>442</v>
      </c>
      <c r="E203" t="s">
        <v>38</v>
      </c>
      <c r="F203" t="s">
        <v>443</v>
      </c>
      <c r="G203" s="48">
        <v>138</v>
      </c>
    </row>
    <row r="204" spans="3:7">
      <c r="C204" s="4" t="s">
        <v>444</v>
      </c>
      <c r="D204" s="4" t="s">
        <v>445</v>
      </c>
      <c r="E204" t="s">
        <v>38</v>
      </c>
      <c r="F204" t="s">
        <v>446</v>
      </c>
      <c r="G204" s="48">
        <v>110</v>
      </c>
    </row>
    <row r="205" spans="3:7">
      <c r="C205" s="4" t="s">
        <v>447</v>
      </c>
      <c r="D205" s="4" t="s">
        <v>448</v>
      </c>
      <c r="E205" s="4" t="s">
        <v>38</v>
      </c>
      <c r="F205" s="4" t="s">
        <v>449</v>
      </c>
      <c r="G205" s="48">
        <v>178</v>
      </c>
    </row>
    <row r="206" spans="3:7">
      <c r="C206" s="4" t="s">
        <v>447</v>
      </c>
      <c r="D206" t="s">
        <v>37</v>
      </c>
      <c r="E206" s="4" t="s">
        <v>38</v>
      </c>
      <c r="F206" s="4" t="s">
        <v>450</v>
      </c>
      <c r="G206" s="48">
        <v>155</v>
      </c>
    </row>
    <row r="207" spans="3:7">
      <c r="C207" s="4" t="s">
        <v>451</v>
      </c>
      <c r="D207" s="4" t="s">
        <v>452</v>
      </c>
      <c r="E207" t="s">
        <v>38</v>
      </c>
      <c r="F207" t="s">
        <v>453</v>
      </c>
      <c r="G207" s="48">
        <v>161</v>
      </c>
    </row>
    <row r="208" spans="3:7">
      <c r="C208" s="4" t="s">
        <v>451</v>
      </c>
      <c r="D208" s="4" t="s">
        <v>454</v>
      </c>
      <c r="E208" t="s">
        <v>38</v>
      </c>
      <c r="F208" t="s">
        <v>455</v>
      </c>
      <c r="G208" s="48">
        <v>106</v>
      </c>
    </row>
    <row r="209" spans="3:7">
      <c r="C209" s="4" t="s">
        <v>451</v>
      </c>
      <c r="D209" t="s">
        <v>37</v>
      </c>
      <c r="E209" t="s">
        <v>38</v>
      </c>
      <c r="F209" t="s">
        <v>456</v>
      </c>
      <c r="G209" s="48">
        <v>111</v>
      </c>
    </row>
    <row r="210" spans="3:7">
      <c r="C210" t="s">
        <v>457</v>
      </c>
      <c r="D210" t="s">
        <v>37</v>
      </c>
      <c r="E210" t="s">
        <v>38</v>
      </c>
      <c r="F210" t="s">
        <v>458</v>
      </c>
      <c r="G210" s="48">
        <v>111</v>
      </c>
    </row>
    <row r="211" spans="3:7">
      <c r="C211" t="s">
        <v>457</v>
      </c>
      <c r="D211" t="s">
        <v>459</v>
      </c>
      <c r="E211" t="s">
        <v>38</v>
      </c>
      <c r="F211" t="s">
        <v>460</v>
      </c>
      <c r="G211" s="48">
        <v>111</v>
      </c>
    </row>
    <row r="212" spans="3:7">
      <c r="C212" s="4" t="s">
        <v>461</v>
      </c>
      <c r="D212" t="s">
        <v>37</v>
      </c>
      <c r="E212" t="s">
        <v>38</v>
      </c>
      <c r="F212" t="s">
        <v>462</v>
      </c>
      <c r="G212" s="48">
        <v>193</v>
      </c>
    </row>
    <row r="213" spans="3:7">
      <c r="C213" s="4" t="s">
        <v>461</v>
      </c>
      <c r="D213" t="s">
        <v>463</v>
      </c>
      <c r="E213" t="s">
        <v>38</v>
      </c>
      <c r="F213" t="s">
        <v>464</v>
      </c>
      <c r="G213" s="48">
        <v>193</v>
      </c>
    </row>
    <row r="214" spans="3:7">
      <c r="C214" s="4" t="s">
        <v>461</v>
      </c>
      <c r="D214" t="s">
        <v>465</v>
      </c>
      <c r="E214" t="s">
        <v>38</v>
      </c>
      <c r="F214" t="s">
        <v>466</v>
      </c>
      <c r="G214" s="48">
        <v>109</v>
      </c>
    </row>
    <row r="215" spans="3:7">
      <c r="C215" s="4" t="s">
        <v>467</v>
      </c>
      <c r="D215" t="s">
        <v>37</v>
      </c>
      <c r="E215" t="s">
        <v>38</v>
      </c>
      <c r="F215" t="s">
        <v>468</v>
      </c>
      <c r="G215" s="48">
        <v>94</v>
      </c>
    </row>
    <row r="216" spans="3:7">
      <c r="C216" s="4" t="s">
        <v>467</v>
      </c>
      <c r="D216" t="s">
        <v>469</v>
      </c>
      <c r="E216" t="s">
        <v>38</v>
      </c>
      <c r="F216" t="s">
        <v>470</v>
      </c>
      <c r="G216" s="48">
        <v>94</v>
      </c>
    </row>
    <row r="217" spans="3:7">
      <c r="C217" s="4" t="s">
        <v>467</v>
      </c>
      <c r="D217" t="s">
        <v>471</v>
      </c>
      <c r="E217" t="s">
        <v>38</v>
      </c>
      <c r="F217" t="s">
        <v>472</v>
      </c>
      <c r="G217" s="48">
        <v>89</v>
      </c>
    </row>
    <row r="218" spans="3:7">
      <c r="C218" s="4" t="s">
        <v>467</v>
      </c>
      <c r="D218" t="s">
        <v>473</v>
      </c>
      <c r="E218" t="s">
        <v>38</v>
      </c>
      <c r="F218" t="s">
        <v>474</v>
      </c>
      <c r="G218" s="48">
        <v>94</v>
      </c>
    </row>
    <row r="219" spans="3:7">
      <c r="C219" s="4" t="s">
        <v>467</v>
      </c>
      <c r="D219" t="s">
        <v>475</v>
      </c>
      <c r="E219" t="s">
        <v>38</v>
      </c>
      <c r="F219" t="s">
        <v>476</v>
      </c>
      <c r="G219" s="48">
        <v>110</v>
      </c>
    </row>
    <row r="220" spans="3:7">
      <c r="C220" s="4" t="s">
        <v>467</v>
      </c>
      <c r="D220" t="s">
        <v>477</v>
      </c>
      <c r="E220" t="s">
        <v>38</v>
      </c>
      <c r="F220" t="s">
        <v>478</v>
      </c>
      <c r="G220" s="48">
        <v>131</v>
      </c>
    </row>
    <row r="221" spans="3:7">
      <c r="C221" s="4" t="s">
        <v>467</v>
      </c>
      <c r="D221" t="s">
        <v>479</v>
      </c>
      <c r="E221" t="s">
        <v>38</v>
      </c>
      <c r="F221" t="s">
        <v>480</v>
      </c>
      <c r="G221" s="48">
        <v>98</v>
      </c>
    </row>
    <row r="222" spans="3:7">
      <c r="C222" s="4" t="s">
        <v>467</v>
      </c>
      <c r="D222" t="s">
        <v>481</v>
      </c>
      <c r="E222" t="s">
        <v>38</v>
      </c>
      <c r="F222" t="s">
        <v>482</v>
      </c>
      <c r="G222" s="48">
        <v>118</v>
      </c>
    </row>
    <row r="223" spans="3:7">
      <c r="C223" t="s">
        <v>483</v>
      </c>
      <c r="D223" t="s">
        <v>37</v>
      </c>
      <c r="E223" t="s">
        <v>38</v>
      </c>
      <c r="F223" t="s">
        <v>484</v>
      </c>
      <c r="G223" s="48">
        <v>126</v>
      </c>
    </row>
    <row r="224" spans="3:7">
      <c r="C224" t="s">
        <v>483</v>
      </c>
      <c r="D224" t="s">
        <v>485</v>
      </c>
      <c r="E224" t="s">
        <v>38</v>
      </c>
      <c r="F224" t="s">
        <v>486</v>
      </c>
      <c r="G224" s="48">
        <v>127</v>
      </c>
    </row>
    <row r="225" spans="3:9">
      <c r="C225" t="s">
        <v>483</v>
      </c>
      <c r="D225" t="s">
        <v>487</v>
      </c>
      <c r="E225" t="s">
        <v>38</v>
      </c>
      <c r="F225" t="s">
        <v>488</v>
      </c>
      <c r="G225" s="48">
        <v>126</v>
      </c>
    </row>
    <row r="226" spans="3:9">
      <c r="C226" t="s">
        <v>483</v>
      </c>
      <c r="D226" t="s">
        <v>489</v>
      </c>
      <c r="E226" t="s">
        <v>38</v>
      </c>
      <c r="F226" t="s">
        <v>490</v>
      </c>
      <c r="G226" s="48">
        <v>155</v>
      </c>
    </row>
    <row r="227" spans="3:9">
      <c r="C227" t="s">
        <v>491</v>
      </c>
      <c r="D227" t="s">
        <v>37</v>
      </c>
      <c r="E227" t="s">
        <v>38</v>
      </c>
      <c r="F227" t="s">
        <v>492</v>
      </c>
      <c r="G227" s="48">
        <v>206</v>
      </c>
    </row>
    <row r="228" spans="3:9">
      <c r="C228" t="s">
        <v>491</v>
      </c>
      <c r="D228" t="s">
        <v>493</v>
      </c>
      <c r="E228" t="s">
        <v>38</v>
      </c>
      <c r="F228" t="s">
        <v>494</v>
      </c>
      <c r="G228" s="48">
        <v>299</v>
      </c>
    </row>
    <row r="229" spans="3:9">
      <c r="C229" t="s">
        <v>491</v>
      </c>
      <c r="D229" t="s">
        <v>495</v>
      </c>
      <c r="E229" t="s">
        <v>38</v>
      </c>
      <c r="F229" t="s">
        <v>496</v>
      </c>
      <c r="G229" s="48">
        <v>158</v>
      </c>
    </row>
    <row r="230" spans="3:9">
      <c r="C230" t="s">
        <v>491</v>
      </c>
      <c r="D230" t="s">
        <v>497</v>
      </c>
      <c r="E230" t="s">
        <v>38</v>
      </c>
      <c r="F230" t="s">
        <v>498</v>
      </c>
      <c r="G230" s="48">
        <v>287</v>
      </c>
    </row>
    <row r="231" spans="3:9">
      <c r="C231" t="s">
        <v>491</v>
      </c>
      <c r="D231" t="s">
        <v>499</v>
      </c>
      <c r="E231" t="s">
        <v>38</v>
      </c>
      <c r="F231" t="s">
        <v>500</v>
      </c>
      <c r="G231" s="48">
        <v>281</v>
      </c>
    </row>
    <row r="232" spans="3:9">
      <c r="C232" t="s">
        <v>491</v>
      </c>
      <c r="D232" t="s">
        <v>501</v>
      </c>
      <c r="E232" t="s">
        <v>38</v>
      </c>
      <c r="F232" t="s">
        <v>502</v>
      </c>
      <c r="G232" s="48">
        <v>206</v>
      </c>
    </row>
    <row r="233" spans="3:9">
      <c r="C233" t="s">
        <v>491</v>
      </c>
      <c r="D233" t="s">
        <v>503</v>
      </c>
      <c r="E233" t="s">
        <v>38</v>
      </c>
      <c r="F233" t="s">
        <v>504</v>
      </c>
      <c r="G233" s="48">
        <v>214</v>
      </c>
    </row>
    <row r="234" spans="3:9">
      <c r="C234" t="s">
        <v>491</v>
      </c>
      <c r="D234" t="s">
        <v>505</v>
      </c>
      <c r="E234" t="s">
        <v>38</v>
      </c>
      <c r="F234" t="s">
        <v>506</v>
      </c>
      <c r="G234" s="48">
        <v>231</v>
      </c>
    </row>
    <row r="235" spans="3:9">
      <c r="C235" t="s">
        <v>491</v>
      </c>
      <c r="D235" t="s">
        <v>507</v>
      </c>
      <c r="E235" t="s">
        <v>38</v>
      </c>
      <c r="F235" t="s">
        <v>508</v>
      </c>
      <c r="G235" s="48">
        <v>268</v>
      </c>
    </row>
    <row r="236" spans="3:9">
      <c r="C236" t="s">
        <v>491</v>
      </c>
      <c r="D236" t="s">
        <v>509</v>
      </c>
      <c r="E236" t="s">
        <v>38</v>
      </c>
      <c r="F236" t="s">
        <v>510</v>
      </c>
      <c r="G236" s="48">
        <v>256</v>
      </c>
    </row>
    <row r="237" spans="3:9">
      <c r="C237" t="s">
        <v>511</v>
      </c>
      <c r="D237" t="s">
        <v>512</v>
      </c>
      <c r="E237" t="s">
        <v>38</v>
      </c>
      <c r="F237" t="s">
        <v>513</v>
      </c>
      <c r="G237" s="48">
        <v>100</v>
      </c>
    </row>
    <row r="238" spans="3:9">
      <c r="C238" t="s">
        <v>514</v>
      </c>
      <c r="D238" t="s">
        <v>515</v>
      </c>
      <c r="E238" t="s">
        <v>516</v>
      </c>
      <c r="F238" t="s">
        <v>517</v>
      </c>
      <c r="G238" s="48">
        <v>80</v>
      </c>
      <c r="I238" s="30"/>
    </row>
    <row r="239" spans="3:9">
      <c r="C239" t="s">
        <v>514</v>
      </c>
      <c r="D239" t="s">
        <v>515</v>
      </c>
      <c r="E239" t="s">
        <v>518</v>
      </c>
      <c r="F239" t="s">
        <v>519</v>
      </c>
      <c r="G239" s="48">
        <v>74</v>
      </c>
      <c r="I239" s="30"/>
    </row>
    <row r="240" spans="3:9">
      <c r="C240" t="s">
        <v>514</v>
      </c>
      <c r="D240" t="s">
        <v>515</v>
      </c>
      <c r="E240" s="4" t="s">
        <v>520</v>
      </c>
      <c r="F240" s="4" t="s">
        <v>521</v>
      </c>
      <c r="G240" s="48">
        <v>74</v>
      </c>
      <c r="I240" s="30"/>
    </row>
    <row r="241" spans="3:9">
      <c r="C241" t="s">
        <v>514</v>
      </c>
      <c r="D241" t="s">
        <v>515</v>
      </c>
      <c r="E241" t="s">
        <v>522</v>
      </c>
      <c r="F241" t="s">
        <v>523</v>
      </c>
      <c r="G241" s="48">
        <v>74</v>
      </c>
      <c r="I241" s="30"/>
    </row>
    <row r="242" spans="3:9">
      <c r="C242" t="s">
        <v>514</v>
      </c>
      <c r="D242" t="s">
        <v>524</v>
      </c>
      <c r="E242" t="s">
        <v>525</v>
      </c>
      <c r="F242" t="s">
        <v>526</v>
      </c>
      <c r="G242" s="48">
        <v>68</v>
      </c>
      <c r="I242" s="30"/>
    </row>
    <row r="243" spans="3:9">
      <c r="C243" t="s">
        <v>514</v>
      </c>
      <c r="D243" t="s">
        <v>524</v>
      </c>
      <c r="E243" t="s">
        <v>527</v>
      </c>
      <c r="F243" t="s">
        <v>528</v>
      </c>
      <c r="G243" s="48">
        <v>80</v>
      </c>
      <c r="I243" s="30"/>
    </row>
    <row r="244" spans="3:9">
      <c r="C244" t="s">
        <v>514</v>
      </c>
      <c r="D244" t="s">
        <v>524</v>
      </c>
      <c r="E244" t="s">
        <v>529</v>
      </c>
      <c r="F244" t="s">
        <v>530</v>
      </c>
      <c r="G244" s="48">
        <v>74</v>
      </c>
      <c r="I244" s="30"/>
    </row>
    <row r="245" spans="3:9">
      <c r="C245" t="s">
        <v>514</v>
      </c>
      <c r="D245" t="s">
        <v>524</v>
      </c>
      <c r="E245" t="s">
        <v>531</v>
      </c>
      <c r="F245" t="s">
        <v>532</v>
      </c>
      <c r="G245" s="48">
        <v>86</v>
      </c>
      <c r="I245" s="30"/>
    </row>
    <row r="246" spans="3:9">
      <c r="C246" t="s">
        <v>514</v>
      </c>
      <c r="D246" t="s">
        <v>524</v>
      </c>
      <c r="E246" t="s">
        <v>533</v>
      </c>
      <c r="F246" t="s">
        <v>534</v>
      </c>
      <c r="G246" s="48">
        <v>92</v>
      </c>
      <c r="I246" s="30"/>
    </row>
    <row r="247" spans="3:9">
      <c r="C247" t="s">
        <v>514</v>
      </c>
      <c r="D247" t="s">
        <v>524</v>
      </c>
      <c r="E247" t="s">
        <v>535</v>
      </c>
      <c r="F247" t="s">
        <v>536</v>
      </c>
      <c r="G247" s="48">
        <v>80</v>
      </c>
      <c r="I247" s="30"/>
    </row>
    <row r="248" spans="3:9">
      <c r="C248" t="s">
        <v>514</v>
      </c>
      <c r="D248" t="s">
        <v>537</v>
      </c>
      <c r="E248" t="s">
        <v>538</v>
      </c>
      <c r="F248" t="s">
        <v>539</v>
      </c>
      <c r="G248" s="48">
        <v>86</v>
      </c>
      <c r="I248" s="30"/>
    </row>
    <row r="249" spans="3:9">
      <c r="C249" t="s">
        <v>514</v>
      </c>
      <c r="D249" t="s">
        <v>537</v>
      </c>
      <c r="E249" t="s">
        <v>540</v>
      </c>
      <c r="F249" t="s">
        <v>541</v>
      </c>
      <c r="G249" s="48">
        <v>74</v>
      </c>
      <c r="I249" s="30"/>
    </row>
    <row r="250" spans="3:9">
      <c r="C250" t="s">
        <v>514</v>
      </c>
      <c r="D250" t="s">
        <v>537</v>
      </c>
      <c r="E250" t="s">
        <v>542</v>
      </c>
      <c r="F250" t="s">
        <v>543</v>
      </c>
      <c r="G250" s="48">
        <v>86</v>
      </c>
      <c r="I250" s="30"/>
    </row>
    <row r="251" spans="3:9">
      <c r="C251" t="s">
        <v>514</v>
      </c>
      <c r="D251" t="s">
        <v>537</v>
      </c>
      <c r="E251" t="s">
        <v>544</v>
      </c>
      <c r="F251" t="s">
        <v>545</v>
      </c>
      <c r="G251" s="48">
        <v>80</v>
      </c>
      <c r="I251" s="30"/>
    </row>
    <row r="252" spans="3:9">
      <c r="C252" t="s">
        <v>514</v>
      </c>
      <c r="D252" t="s">
        <v>537</v>
      </c>
      <c r="E252" t="s">
        <v>546</v>
      </c>
      <c r="F252" t="s">
        <v>547</v>
      </c>
      <c r="G252" s="48">
        <v>86</v>
      </c>
      <c r="I252" s="30"/>
    </row>
    <row r="253" spans="3:9">
      <c r="C253" t="s">
        <v>514</v>
      </c>
      <c r="D253" t="s">
        <v>537</v>
      </c>
      <c r="E253" t="s">
        <v>548</v>
      </c>
      <c r="F253" t="s">
        <v>549</v>
      </c>
      <c r="G253" s="48">
        <v>86</v>
      </c>
      <c r="I253" s="30"/>
    </row>
    <row r="254" spans="3:9">
      <c r="C254" t="s">
        <v>514</v>
      </c>
      <c r="D254" t="s">
        <v>537</v>
      </c>
      <c r="E254" t="s">
        <v>550</v>
      </c>
      <c r="F254" t="s">
        <v>551</v>
      </c>
      <c r="G254" s="48">
        <v>86</v>
      </c>
      <c r="I254" s="30"/>
    </row>
    <row r="255" spans="3:9">
      <c r="C255" t="s">
        <v>514</v>
      </c>
      <c r="D255" t="s">
        <v>537</v>
      </c>
      <c r="E255" t="s">
        <v>552</v>
      </c>
      <c r="F255" t="s">
        <v>553</v>
      </c>
      <c r="G255" s="48">
        <v>86</v>
      </c>
      <c r="I255" s="30"/>
    </row>
    <row r="256" spans="3:9">
      <c r="C256" t="s">
        <v>514</v>
      </c>
      <c r="D256" t="s">
        <v>537</v>
      </c>
      <c r="E256" t="s">
        <v>554</v>
      </c>
      <c r="F256" t="s">
        <v>555</v>
      </c>
      <c r="G256" s="48">
        <v>92</v>
      </c>
      <c r="I256" s="30"/>
    </row>
    <row r="257" spans="3:9">
      <c r="C257" t="s">
        <v>514</v>
      </c>
      <c r="D257" t="s">
        <v>537</v>
      </c>
      <c r="E257" t="s">
        <v>556</v>
      </c>
      <c r="F257" t="s">
        <v>557</v>
      </c>
      <c r="G257" s="48">
        <v>92</v>
      </c>
      <c r="I257" s="30"/>
    </row>
    <row r="258" spans="3:9">
      <c r="C258" t="s">
        <v>514</v>
      </c>
      <c r="D258" t="s">
        <v>537</v>
      </c>
      <c r="E258" t="s">
        <v>558</v>
      </c>
      <c r="F258" t="s">
        <v>559</v>
      </c>
      <c r="G258" s="48">
        <v>92</v>
      </c>
      <c r="I258" s="30"/>
    </row>
    <row r="259" spans="3:9">
      <c r="C259" t="s">
        <v>514</v>
      </c>
      <c r="D259" t="s">
        <v>537</v>
      </c>
      <c r="E259" t="s">
        <v>560</v>
      </c>
      <c r="F259" t="s">
        <v>561</v>
      </c>
      <c r="G259" s="48">
        <v>80</v>
      </c>
      <c r="I259" s="30"/>
    </row>
    <row r="260" spans="3:9">
      <c r="C260" t="s">
        <v>514</v>
      </c>
      <c r="D260" t="s">
        <v>537</v>
      </c>
      <c r="E260" t="s">
        <v>562</v>
      </c>
      <c r="F260" t="s">
        <v>563</v>
      </c>
      <c r="G260" s="48">
        <v>92</v>
      </c>
      <c r="I260" s="30"/>
    </row>
    <row r="261" spans="3:9">
      <c r="C261" t="s">
        <v>514</v>
      </c>
      <c r="D261" t="s">
        <v>537</v>
      </c>
      <c r="E261" t="s">
        <v>564</v>
      </c>
      <c r="F261" t="s">
        <v>565</v>
      </c>
      <c r="G261" s="48">
        <v>86</v>
      </c>
      <c r="I261" s="30"/>
    </row>
    <row r="262" spans="3:9">
      <c r="C262" t="s">
        <v>514</v>
      </c>
      <c r="D262" t="s">
        <v>537</v>
      </c>
      <c r="E262" t="s">
        <v>566</v>
      </c>
      <c r="F262" t="s">
        <v>567</v>
      </c>
      <c r="G262" s="48">
        <v>86</v>
      </c>
      <c r="I262" s="30"/>
    </row>
    <row r="263" spans="3:9">
      <c r="C263" t="s">
        <v>514</v>
      </c>
      <c r="D263" t="s">
        <v>537</v>
      </c>
      <c r="E263" t="s">
        <v>568</v>
      </c>
      <c r="F263" t="s">
        <v>569</v>
      </c>
      <c r="G263" s="48">
        <v>86</v>
      </c>
      <c r="I263" s="30"/>
    </row>
    <row r="264" spans="3:9">
      <c r="C264" t="s">
        <v>514</v>
      </c>
      <c r="D264" t="s">
        <v>537</v>
      </c>
      <c r="E264" s="4" t="s">
        <v>570</v>
      </c>
      <c r="F264" t="s">
        <v>571</v>
      </c>
      <c r="G264" s="48">
        <v>86</v>
      </c>
      <c r="I264" s="30"/>
    </row>
    <row r="265" spans="3:9">
      <c r="C265" t="s">
        <v>514</v>
      </c>
      <c r="D265" t="s">
        <v>537</v>
      </c>
      <c r="E265" t="s">
        <v>572</v>
      </c>
      <c r="F265" t="s">
        <v>573</v>
      </c>
      <c r="G265" s="48">
        <v>92</v>
      </c>
      <c r="I265" s="30"/>
    </row>
    <row r="266" spans="3:9">
      <c r="C266" t="s">
        <v>514</v>
      </c>
      <c r="D266" t="s">
        <v>537</v>
      </c>
      <c r="E266" t="s">
        <v>574</v>
      </c>
      <c r="F266" t="s">
        <v>575</v>
      </c>
      <c r="G266" s="48">
        <v>86</v>
      </c>
      <c r="I266" s="30"/>
    </row>
    <row r="267" spans="3:9">
      <c r="C267" t="s">
        <v>514</v>
      </c>
      <c r="D267" t="s">
        <v>537</v>
      </c>
      <c r="E267" t="s">
        <v>576</v>
      </c>
      <c r="F267" t="s">
        <v>577</v>
      </c>
      <c r="G267" s="48">
        <v>86</v>
      </c>
      <c r="I267" s="30"/>
    </row>
    <row r="268" spans="3:9">
      <c r="C268" t="s">
        <v>514</v>
      </c>
      <c r="D268" t="s">
        <v>537</v>
      </c>
      <c r="E268" t="s">
        <v>578</v>
      </c>
      <c r="F268" t="s">
        <v>579</v>
      </c>
      <c r="G268" s="48">
        <v>92</v>
      </c>
      <c r="I268" s="30"/>
    </row>
    <row r="269" spans="3:9">
      <c r="C269" t="s">
        <v>514</v>
      </c>
      <c r="D269" t="s">
        <v>537</v>
      </c>
      <c r="E269" t="s">
        <v>580</v>
      </c>
      <c r="F269" t="s">
        <v>581</v>
      </c>
      <c r="G269" s="48">
        <v>86</v>
      </c>
      <c r="I269" s="30"/>
    </row>
    <row r="270" spans="3:9">
      <c r="C270" t="s">
        <v>514</v>
      </c>
      <c r="D270" t="s">
        <v>537</v>
      </c>
      <c r="E270" t="s">
        <v>582</v>
      </c>
      <c r="F270" t="s">
        <v>583</v>
      </c>
      <c r="G270" s="48">
        <v>92</v>
      </c>
      <c r="I270" s="30"/>
    </row>
    <row r="271" spans="3:9">
      <c r="C271" t="s">
        <v>514</v>
      </c>
      <c r="D271" t="s">
        <v>537</v>
      </c>
      <c r="E271" t="s">
        <v>584</v>
      </c>
      <c r="F271" t="s">
        <v>585</v>
      </c>
      <c r="G271" s="48">
        <v>86</v>
      </c>
      <c r="I271" s="30"/>
    </row>
    <row r="272" spans="3:9">
      <c r="C272" t="s">
        <v>514</v>
      </c>
      <c r="D272" t="s">
        <v>537</v>
      </c>
      <c r="E272" t="s">
        <v>586</v>
      </c>
      <c r="F272" t="s">
        <v>587</v>
      </c>
      <c r="G272" s="48">
        <v>86</v>
      </c>
      <c r="I272" s="30"/>
    </row>
    <row r="273" spans="3:9">
      <c r="C273" t="s">
        <v>514</v>
      </c>
      <c r="D273" t="s">
        <v>537</v>
      </c>
      <c r="E273" t="s">
        <v>588</v>
      </c>
      <c r="F273" t="s">
        <v>589</v>
      </c>
      <c r="G273" s="48">
        <v>74</v>
      </c>
      <c r="I273" s="30"/>
    </row>
    <row r="274" spans="3:9">
      <c r="C274" t="s">
        <v>514</v>
      </c>
      <c r="D274" t="s">
        <v>537</v>
      </c>
      <c r="E274" t="s">
        <v>590</v>
      </c>
      <c r="F274" t="s">
        <v>591</v>
      </c>
      <c r="G274" s="48">
        <v>92</v>
      </c>
      <c r="I274" s="30"/>
    </row>
    <row r="275" spans="3:9">
      <c r="C275" t="s">
        <v>514</v>
      </c>
      <c r="D275" t="s">
        <v>537</v>
      </c>
      <c r="E275" t="s">
        <v>592</v>
      </c>
      <c r="F275" t="s">
        <v>593</v>
      </c>
      <c r="G275" s="48">
        <v>86</v>
      </c>
      <c r="I275" s="30"/>
    </row>
    <row r="276" spans="3:9">
      <c r="C276" t="s">
        <v>514</v>
      </c>
      <c r="D276" t="s">
        <v>537</v>
      </c>
      <c r="E276" t="s">
        <v>594</v>
      </c>
      <c r="F276" t="s">
        <v>595</v>
      </c>
      <c r="G276" s="48">
        <v>86</v>
      </c>
      <c r="I276" s="30"/>
    </row>
    <row r="277" spans="3:9">
      <c r="C277" t="s">
        <v>514</v>
      </c>
      <c r="D277" t="s">
        <v>537</v>
      </c>
      <c r="E277" t="s">
        <v>596</v>
      </c>
      <c r="F277" t="s">
        <v>597</v>
      </c>
      <c r="G277" s="48">
        <v>80</v>
      </c>
      <c r="I277" s="30"/>
    </row>
    <row r="278" spans="3:9">
      <c r="C278" t="s">
        <v>514</v>
      </c>
      <c r="D278" t="s">
        <v>537</v>
      </c>
      <c r="E278" t="s">
        <v>598</v>
      </c>
      <c r="F278" t="s">
        <v>599</v>
      </c>
      <c r="G278" s="48">
        <v>80</v>
      </c>
      <c r="I278" s="30"/>
    </row>
    <row r="279" spans="3:9">
      <c r="C279" t="s">
        <v>514</v>
      </c>
      <c r="D279" t="s">
        <v>537</v>
      </c>
      <c r="E279" t="s">
        <v>600</v>
      </c>
      <c r="F279" t="s">
        <v>601</v>
      </c>
      <c r="G279" s="48">
        <v>86</v>
      </c>
      <c r="I279" s="30"/>
    </row>
    <row r="280" spans="3:9">
      <c r="C280" t="s">
        <v>514</v>
      </c>
      <c r="D280" t="s">
        <v>602</v>
      </c>
      <c r="E280" t="s">
        <v>603</v>
      </c>
      <c r="F280" t="s">
        <v>604</v>
      </c>
      <c r="G280" s="48">
        <v>92</v>
      </c>
      <c r="I280" s="30"/>
    </row>
    <row r="281" spans="3:9">
      <c r="C281" t="s">
        <v>514</v>
      </c>
      <c r="D281" t="s">
        <v>602</v>
      </c>
      <c r="E281" t="s">
        <v>605</v>
      </c>
      <c r="F281" t="s">
        <v>606</v>
      </c>
      <c r="G281" s="48">
        <v>80</v>
      </c>
      <c r="I281" s="30"/>
    </row>
    <row r="282" spans="3:9">
      <c r="C282" t="s">
        <v>514</v>
      </c>
      <c r="D282" t="s">
        <v>602</v>
      </c>
      <c r="E282" t="s">
        <v>607</v>
      </c>
      <c r="F282" t="s">
        <v>608</v>
      </c>
      <c r="G282" s="48">
        <v>86</v>
      </c>
      <c r="I282" s="30"/>
    </row>
    <row r="283" spans="3:9">
      <c r="C283" t="s">
        <v>514</v>
      </c>
      <c r="D283" t="s">
        <v>602</v>
      </c>
      <c r="E283" t="s">
        <v>609</v>
      </c>
      <c r="F283" t="s">
        <v>610</v>
      </c>
      <c r="G283" s="48">
        <v>74</v>
      </c>
      <c r="I283" s="30"/>
    </row>
    <row r="284" spans="3:9">
      <c r="C284" t="s">
        <v>514</v>
      </c>
      <c r="D284" t="s">
        <v>602</v>
      </c>
      <c r="E284" t="s">
        <v>611</v>
      </c>
      <c r="F284" t="s">
        <v>612</v>
      </c>
      <c r="G284" s="48">
        <v>86</v>
      </c>
      <c r="I284" s="30"/>
    </row>
    <row r="285" spans="3:9">
      <c r="C285" t="s">
        <v>514</v>
      </c>
      <c r="D285" t="s">
        <v>602</v>
      </c>
      <c r="E285" t="s">
        <v>613</v>
      </c>
      <c r="F285" t="s">
        <v>614</v>
      </c>
      <c r="G285" s="48">
        <v>92</v>
      </c>
      <c r="I285" s="30"/>
    </row>
    <row r="286" spans="3:9">
      <c r="C286" t="s">
        <v>514</v>
      </c>
      <c r="D286" t="s">
        <v>602</v>
      </c>
      <c r="E286" t="s">
        <v>615</v>
      </c>
      <c r="F286" t="s">
        <v>616</v>
      </c>
      <c r="G286" s="48">
        <v>80</v>
      </c>
      <c r="I286" s="30"/>
    </row>
    <row r="287" spans="3:9">
      <c r="C287" t="s">
        <v>514</v>
      </c>
      <c r="D287" t="s">
        <v>602</v>
      </c>
      <c r="E287" t="s">
        <v>617</v>
      </c>
      <c r="F287" t="s">
        <v>618</v>
      </c>
      <c r="G287" s="48">
        <v>80</v>
      </c>
      <c r="I287" s="30"/>
    </row>
    <row r="288" spans="3:9">
      <c r="C288" t="s">
        <v>514</v>
      </c>
      <c r="D288" t="s">
        <v>602</v>
      </c>
      <c r="E288" t="s">
        <v>619</v>
      </c>
      <c r="F288" t="s">
        <v>620</v>
      </c>
      <c r="G288" s="48">
        <v>80</v>
      </c>
      <c r="I288" s="30"/>
    </row>
    <row r="289" spans="3:9">
      <c r="C289" t="s">
        <v>514</v>
      </c>
      <c r="D289" t="s">
        <v>602</v>
      </c>
      <c r="E289" t="s">
        <v>621</v>
      </c>
      <c r="F289" t="s">
        <v>622</v>
      </c>
      <c r="G289" s="48">
        <v>86</v>
      </c>
      <c r="I289" s="30"/>
    </row>
    <row r="290" spans="3:9">
      <c r="C290" t="s">
        <v>514</v>
      </c>
      <c r="D290" t="s">
        <v>602</v>
      </c>
      <c r="E290" t="s">
        <v>623</v>
      </c>
      <c r="F290" t="s">
        <v>624</v>
      </c>
      <c r="G290" s="48">
        <v>74</v>
      </c>
      <c r="I290" s="30"/>
    </row>
    <row r="291" spans="3:9">
      <c r="C291" t="s">
        <v>514</v>
      </c>
      <c r="D291" t="s">
        <v>602</v>
      </c>
      <c r="E291" t="s">
        <v>625</v>
      </c>
      <c r="F291" t="s">
        <v>626</v>
      </c>
      <c r="G291" s="48">
        <v>92</v>
      </c>
      <c r="I291" s="30"/>
    </row>
    <row r="292" spans="3:9">
      <c r="C292" t="s">
        <v>514</v>
      </c>
      <c r="D292" t="s">
        <v>602</v>
      </c>
      <c r="E292" t="s">
        <v>627</v>
      </c>
      <c r="F292" t="s">
        <v>628</v>
      </c>
      <c r="G292" s="48">
        <v>92</v>
      </c>
      <c r="I292" s="30"/>
    </row>
    <row r="293" spans="3:9">
      <c r="C293" t="s">
        <v>514</v>
      </c>
      <c r="D293" t="s">
        <v>602</v>
      </c>
      <c r="E293" t="s">
        <v>629</v>
      </c>
      <c r="F293" t="s">
        <v>630</v>
      </c>
      <c r="G293" s="48">
        <v>92</v>
      </c>
      <c r="I293" s="30"/>
    </row>
    <row r="294" spans="3:9">
      <c r="C294" t="s">
        <v>514</v>
      </c>
      <c r="D294" t="s">
        <v>602</v>
      </c>
      <c r="E294" t="s">
        <v>631</v>
      </c>
      <c r="F294" t="s">
        <v>632</v>
      </c>
      <c r="G294" s="48">
        <v>92</v>
      </c>
      <c r="I294" s="30"/>
    </row>
    <row r="295" spans="3:9">
      <c r="C295" t="s">
        <v>514</v>
      </c>
      <c r="D295" t="s">
        <v>633</v>
      </c>
      <c r="E295" t="s">
        <v>634</v>
      </c>
      <c r="F295" t="s">
        <v>635</v>
      </c>
      <c r="G295" s="48">
        <v>86</v>
      </c>
      <c r="I295" s="30"/>
    </row>
    <row r="296" spans="3:9">
      <c r="C296" t="s">
        <v>514</v>
      </c>
      <c r="D296" t="s">
        <v>633</v>
      </c>
      <c r="E296" t="s">
        <v>636</v>
      </c>
      <c r="F296" t="s">
        <v>637</v>
      </c>
      <c r="G296" s="48">
        <v>80</v>
      </c>
      <c r="I296" s="30"/>
    </row>
    <row r="297" spans="3:9">
      <c r="C297" t="s">
        <v>514</v>
      </c>
      <c r="D297" t="s">
        <v>633</v>
      </c>
      <c r="E297" t="s">
        <v>638</v>
      </c>
      <c r="F297" t="s">
        <v>639</v>
      </c>
      <c r="G297" s="48">
        <v>80</v>
      </c>
      <c r="I297" s="30"/>
    </row>
    <row r="298" spans="3:9">
      <c r="C298" t="s">
        <v>514</v>
      </c>
      <c r="D298" t="s">
        <v>633</v>
      </c>
      <c r="E298" t="s">
        <v>640</v>
      </c>
      <c r="F298" t="s">
        <v>641</v>
      </c>
      <c r="G298" s="48">
        <v>86</v>
      </c>
      <c r="I298" s="30"/>
    </row>
    <row r="299" spans="3:9">
      <c r="C299" t="s">
        <v>514</v>
      </c>
      <c r="D299" t="s">
        <v>642</v>
      </c>
      <c r="E299" t="s">
        <v>643</v>
      </c>
      <c r="F299" t="s">
        <v>644</v>
      </c>
      <c r="G299" s="48">
        <v>92</v>
      </c>
      <c r="I299" s="30"/>
    </row>
    <row r="300" spans="3:9">
      <c r="C300" t="s">
        <v>514</v>
      </c>
      <c r="D300" t="s">
        <v>645</v>
      </c>
      <c r="E300" t="s">
        <v>646</v>
      </c>
      <c r="F300" t="s">
        <v>647</v>
      </c>
      <c r="G300" s="48">
        <v>74</v>
      </c>
      <c r="I300" s="30"/>
    </row>
    <row r="301" spans="3:9">
      <c r="C301" t="s">
        <v>514</v>
      </c>
      <c r="D301" t="s">
        <v>645</v>
      </c>
      <c r="E301" t="s">
        <v>648</v>
      </c>
      <c r="F301" t="s">
        <v>649</v>
      </c>
      <c r="G301" s="48">
        <v>74</v>
      </c>
      <c r="I301" s="30"/>
    </row>
    <row r="302" spans="3:9">
      <c r="C302" t="s">
        <v>514</v>
      </c>
      <c r="D302" t="s">
        <v>650</v>
      </c>
      <c r="E302" t="s">
        <v>651</v>
      </c>
      <c r="F302" t="s">
        <v>652</v>
      </c>
      <c r="G302" s="48">
        <v>86</v>
      </c>
      <c r="I302" s="30"/>
    </row>
    <row r="303" spans="3:9">
      <c r="C303" t="s">
        <v>514</v>
      </c>
      <c r="D303" t="s">
        <v>650</v>
      </c>
      <c r="E303" t="s">
        <v>653</v>
      </c>
      <c r="F303" t="s">
        <v>654</v>
      </c>
      <c r="G303" s="48">
        <v>80</v>
      </c>
      <c r="I303" s="30"/>
    </row>
    <row r="304" spans="3:9">
      <c r="C304" t="s">
        <v>514</v>
      </c>
      <c r="D304" t="s">
        <v>650</v>
      </c>
      <c r="E304" t="s">
        <v>655</v>
      </c>
      <c r="F304" t="s">
        <v>656</v>
      </c>
      <c r="G304" s="48">
        <v>74</v>
      </c>
      <c r="I304" s="30"/>
    </row>
    <row r="305" spans="3:9">
      <c r="C305" t="s">
        <v>514</v>
      </c>
      <c r="D305" t="s">
        <v>650</v>
      </c>
      <c r="E305" t="s">
        <v>657</v>
      </c>
      <c r="F305" t="s">
        <v>658</v>
      </c>
      <c r="G305" s="48">
        <v>80</v>
      </c>
      <c r="I305" s="30"/>
    </row>
    <row r="306" spans="3:9">
      <c r="C306" t="s">
        <v>514</v>
      </c>
      <c r="D306" t="s">
        <v>650</v>
      </c>
      <c r="E306" t="s">
        <v>659</v>
      </c>
      <c r="F306" t="s">
        <v>660</v>
      </c>
      <c r="G306" s="48">
        <v>86</v>
      </c>
      <c r="I306" s="30"/>
    </row>
    <row r="307" spans="3:9">
      <c r="C307" t="s">
        <v>514</v>
      </c>
      <c r="D307" t="s">
        <v>650</v>
      </c>
      <c r="E307" t="s">
        <v>661</v>
      </c>
      <c r="F307" t="s">
        <v>662</v>
      </c>
      <c r="G307" s="48">
        <v>80</v>
      </c>
      <c r="I307" s="30"/>
    </row>
    <row r="308" spans="3:9">
      <c r="C308" t="s">
        <v>514</v>
      </c>
      <c r="D308" t="s">
        <v>650</v>
      </c>
      <c r="E308" t="s">
        <v>663</v>
      </c>
      <c r="F308" t="s">
        <v>664</v>
      </c>
      <c r="G308" s="48">
        <v>86</v>
      </c>
      <c r="I308" s="30"/>
    </row>
    <row r="309" spans="3:9">
      <c r="C309" t="s">
        <v>514</v>
      </c>
      <c r="D309" t="s">
        <v>650</v>
      </c>
      <c r="E309" t="s">
        <v>665</v>
      </c>
      <c r="F309" t="s">
        <v>666</v>
      </c>
      <c r="G309" s="48">
        <v>74</v>
      </c>
      <c r="I309" s="30"/>
    </row>
    <row r="310" spans="3:9">
      <c r="C310" t="s">
        <v>514</v>
      </c>
      <c r="D310" t="s">
        <v>650</v>
      </c>
      <c r="E310" t="s">
        <v>667</v>
      </c>
      <c r="F310" t="s">
        <v>668</v>
      </c>
      <c r="G310" s="48">
        <v>86</v>
      </c>
      <c r="I310" s="30"/>
    </row>
    <row r="311" spans="3:9">
      <c r="C311" t="s">
        <v>514</v>
      </c>
      <c r="D311" t="s">
        <v>650</v>
      </c>
      <c r="E311" t="s">
        <v>669</v>
      </c>
      <c r="F311" t="s">
        <v>670</v>
      </c>
      <c r="G311" s="48">
        <v>92</v>
      </c>
      <c r="I311" s="30"/>
    </row>
    <row r="312" spans="3:9">
      <c r="C312" t="s">
        <v>514</v>
      </c>
      <c r="D312" t="s">
        <v>650</v>
      </c>
      <c r="E312" t="s">
        <v>671</v>
      </c>
      <c r="F312" t="s">
        <v>672</v>
      </c>
      <c r="G312" s="48">
        <v>80</v>
      </c>
      <c r="I312" s="30"/>
    </row>
    <row r="313" spans="3:9">
      <c r="C313" t="s">
        <v>514</v>
      </c>
      <c r="D313" t="s">
        <v>650</v>
      </c>
      <c r="E313" t="s">
        <v>673</v>
      </c>
      <c r="F313" t="s">
        <v>674</v>
      </c>
      <c r="G313" s="48">
        <v>80</v>
      </c>
      <c r="I313" s="30"/>
    </row>
    <row r="314" spans="3:9">
      <c r="C314" t="s">
        <v>514</v>
      </c>
      <c r="D314" t="s">
        <v>650</v>
      </c>
      <c r="E314" t="s">
        <v>675</v>
      </c>
      <c r="F314" t="s">
        <v>676</v>
      </c>
      <c r="G314" s="48">
        <v>80</v>
      </c>
      <c r="I314" s="30"/>
    </row>
    <row r="315" spans="3:9">
      <c r="C315" t="s">
        <v>514</v>
      </c>
      <c r="D315" t="s">
        <v>650</v>
      </c>
      <c r="E315" t="s">
        <v>677</v>
      </c>
      <c r="F315" t="s">
        <v>678</v>
      </c>
      <c r="G315" s="48">
        <v>74</v>
      </c>
      <c r="I315" s="30"/>
    </row>
    <row r="316" spans="3:9">
      <c r="C316" t="s">
        <v>514</v>
      </c>
      <c r="D316" t="s">
        <v>650</v>
      </c>
      <c r="E316" t="s">
        <v>679</v>
      </c>
      <c r="F316" t="s">
        <v>680</v>
      </c>
      <c r="G316" s="48">
        <v>74</v>
      </c>
      <c r="I316" s="30"/>
    </row>
    <row r="317" spans="3:9">
      <c r="C317" t="s">
        <v>514</v>
      </c>
      <c r="D317" t="s">
        <v>650</v>
      </c>
      <c r="E317" t="s">
        <v>681</v>
      </c>
      <c r="F317" t="s">
        <v>682</v>
      </c>
      <c r="G317" s="48">
        <v>86</v>
      </c>
      <c r="I317" s="30"/>
    </row>
    <row r="318" spans="3:9">
      <c r="C318" t="s">
        <v>514</v>
      </c>
      <c r="D318" t="s">
        <v>650</v>
      </c>
      <c r="E318" t="s">
        <v>683</v>
      </c>
      <c r="F318" t="s">
        <v>684</v>
      </c>
      <c r="G318" s="48">
        <v>74</v>
      </c>
      <c r="I318" s="30"/>
    </row>
    <row r="319" spans="3:9">
      <c r="C319" t="s">
        <v>514</v>
      </c>
      <c r="D319" t="s">
        <v>650</v>
      </c>
      <c r="E319" t="s">
        <v>685</v>
      </c>
      <c r="F319" t="s">
        <v>686</v>
      </c>
      <c r="G319" s="48">
        <v>80</v>
      </c>
      <c r="I319" s="30"/>
    </row>
    <row r="320" spans="3:9">
      <c r="C320" t="s">
        <v>514</v>
      </c>
      <c r="D320" t="s">
        <v>650</v>
      </c>
      <c r="E320" t="s">
        <v>687</v>
      </c>
      <c r="F320" t="s">
        <v>688</v>
      </c>
      <c r="G320" s="48">
        <v>80</v>
      </c>
      <c r="I320" s="30"/>
    </row>
    <row r="321" spans="3:9">
      <c r="C321" t="s">
        <v>514</v>
      </c>
      <c r="D321" t="s">
        <v>650</v>
      </c>
      <c r="E321" t="s">
        <v>689</v>
      </c>
      <c r="F321" t="s">
        <v>690</v>
      </c>
      <c r="G321" s="48">
        <v>80</v>
      </c>
      <c r="I321" s="30"/>
    </row>
    <row r="322" spans="3:9">
      <c r="C322" t="s">
        <v>514</v>
      </c>
      <c r="D322" t="s">
        <v>650</v>
      </c>
      <c r="E322" t="s">
        <v>691</v>
      </c>
      <c r="F322" t="s">
        <v>692</v>
      </c>
      <c r="G322" s="48">
        <v>80</v>
      </c>
      <c r="I322" s="30"/>
    </row>
    <row r="323" spans="3:9">
      <c r="C323" t="s">
        <v>514</v>
      </c>
      <c r="D323" t="s">
        <v>650</v>
      </c>
      <c r="E323" t="s">
        <v>693</v>
      </c>
      <c r="F323" t="s">
        <v>694</v>
      </c>
      <c r="G323" s="48">
        <v>74</v>
      </c>
      <c r="I323" s="30"/>
    </row>
    <row r="324" spans="3:9">
      <c r="C324" t="s">
        <v>514</v>
      </c>
      <c r="D324" t="s">
        <v>695</v>
      </c>
      <c r="E324" t="s">
        <v>696</v>
      </c>
      <c r="F324" t="s">
        <v>697</v>
      </c>
      <c r="G324" s="48">
        <v>74</v>
      </c>
      <c r="I324" s="30"/>
    </row>
    <row r="325" spans="3:9">
      <c r="C325" t="s">
        <v>514</v>
      </c>
      <c r="D325" t="s">
        <v>695</v>
      </c>
      <c r="E325" t="s">
        <v>698</v>
      </c>
      <c r="F325" t="s">
        <v>699</v>
      </c>
      <c r="G325" s="48">
        <v>86</v>
      </c>
      <c r="I325" s="30"/>
    </row>
    <row r="326" spans="3:9">
      <c r="C326" t="s">
        <v>514</v>
      </c>
      <c r="D326" t="s">
        <v>695</v>
      </c>
      <c r="E326" t="s">
        <v>700</v>
      </c>
      <c r="F326" t="s">
        <v>701</v>
      </c>
      <c r="G326" s="48">
        <v>74</v>
      </c>
      <c r="I326" s="30"/>
    </row>
    <row r="327" spans="3:9">
      <c r="C327" t="s">
        <v>514</v>
      </c>
      <c r="D327" t="s">
        <v>695</v>
      </c>
      <c r="E327" t="s">
        <v>702</v>
      </c>
      <c r="F327" t="s">
        <v>703</v>
      </c>
      <c r="G327" s="48">
        <v>86</v>
      </c>
      <c r="I327" s="30"/>
    </row>
    <row r="328" spans="3:9">
      <c r="C328" t="s">
        <v>514</v>
      </c>
      <c r="D328" t="s">
        <v>695</v>
      </c>
      <c r="E328" t="s">
        <v>704</v>
      </c>
      <c r="F328" t="s">
        <v>705</v>
      </c>
      <c r="G328" s="48">
        <v>74</v>
      </c>
      <c r="I328" s="30"/>
    </row>
    <row r="329" spans="3:9">
      <c r="C329" t="s">
        <v>514</v>
      </c>
      <c r="D329" t="s">
        <v>695</v>
      </c>
      <c r="E329" t="s">
        <v>706</v>
      </c>
      <c r="F329" t="s">
        <v>707</v>
      </c>
      <c r="G329" s="48">
        <v>80</v>
      </c>
      <c r="I329" s="30"/>
    </row>
    <row r="330" spans="3:9">
      <c r="C330" t="s">
        <v>514</v>
      </c>
      <c r="D330" t="s">
        <v>708</v>
      </c>
      <c r="E330" t="s">
        <v>709</v>
      </c>
      <c r="F330" t="s">
        <v>710</v>
      </c>
      <c r="G330" s="48">
        <v>80</v>
      </c>
      <c r="I330" s="30"/>
    </row>
    <row r="331" spans="3:9">
      <c r="C331" t="s">
        <v>514</v>
      </c>
      <c r="D331" t="s">
        <v>708</v>
      </c>
      <c r="E331" t="s">
        <v>711</v>
      </c>
      <c r="F331" t="s">
        <v>712</v>
      </c>
      <c r="G331" s="48">
        <v>80</v>
      </c>
      <c r="I331" s="30"/>
    </row>
    <row r="332" spans="3:9">
      <c r="C332" t="s">
        <v>514</v>
      </c>
      <c r="D332" t="s">
        <v>708</v>
      </c>
      <c r="E332" t="s">
        <v>713</v>
      </c>
      <c r="F332" t="s">
        <v>714</v>
      </c>
      <c r="G332" s="48">
        <v>86</v>
      </c>
      <c r="I332" s="30"/>
    </row>
    <row r="333" spans="3:9">
      <c r="C333" t="s">
        <v>514</v>
      </c>
      <c r="D333" t="s">
        <v>715</v>
      </c>
      <c r="E333" t="s">
        <v>716</v>
      </c>
      <c r="F333" t="s">
        <v>717</v>
      </c>
      <c r="G333" s="48">
        <v>74</v>
      </c>
      <c r="I333" s="30"/>
    </row>
    <row r="334" spans="3:9">
      <c r="C334" t="s">
        <v>514</v>
      </c>
      <c r="D334" t="s">
        <v>715</v>
      </c>
      <c r="E334" t="s">
        <v>718</v>
      </c>
      <c r="F334" t="s">
        <v>719</v>
      </c>
      <c r="G334" s="48">
        <v>80</v>
      </c>
      <c r="I334" s="30"/>
    </row>
    <row r="335" spans="3:9">
      <c r="C335" t="s">
        <v>514</v>
      </c>
      <c r="D335" t="s">
        <v>720</v>
      </c>
      <c r="E335" t="s">
        <v>721</v>
      </c>
      <c r="F335" t="s">
        <v>722</v>
      </c>
      <c r="G335" s="48">
        <v>74</v>
      </c>
      <c r="I335" s="30"/>
    </row>
    <row r="336" spans="3:9">
      <c r="C336" t="s">
        <v>514</v>
      </c>
      <c r="D336" t="s">
        <v>720</v>
      </c>
      <c r="E336" t="s">
        <v>723</v>
      </c>
      <c r="F336" t="s">
        <v>724</v>
      </c>
      <c r="G336" s="48">
        <v>92</v>
      </c>
      <c r="I336" s="30"/>
    </row>
    <row r="337" spans="3:9">
      <c r="C337" t="s">
        <v>514</v>
      </c>
      <c r="D337" t="s">
        <v>720</v>
      </c>
      <c r="E337" t="s">
        <v>725</v>
      </c>
      <c r="F337" t="s">
        <v>726</v>
      </c>
      <c r="G337" s="48">
        <v>86</v>
      </c>
      <c r="I337" s="30"/>
    </row>
    <row r="338" spans="3:9">
      <c r="C338" t="s">
        <v>514</v>
      </c>
      <c r="D338" t="s">
        <v>720</v>
      </c>
      <c r="E338" t="s">
        <v>727</v>
      </c>
      <c r="F338" t="s">
        <v>728</v>
      </c>
      <c r="G338" s="48">
        <v>80</v>
      </c>
      <c r="I338" s="30"/>
    </row>
    <row r="339" spans="3:9">
      <c r="C339" t="s">
        <v>514</v>
      </c>
      <c r="D339" t="s">
        <v>729</v>
      </c>
      <c r="E339" t="s">
        <v>730</v>
      </c>
      <c r="F339" t="s">
        <v>731</v>
      </c>
      <c r="G339" s="48">
        <v>74</v>
      </c>
      <c r="I339" s="30"/>
    </row>
    <row r="340" spans="3:9">
      <c r="C340" t="s">
        <v>514</v>
      </c>
      <c r="D340" t="s">
        <v>729</v>
      </c>
      <c r="E340" t="s">
        <v>732</v>
      </c>
      <c r="F340" t="s">
        <v>733</v>
      </c>
      <c r="G340" s="48">
        <v>80</v>
      </c>
      <c r="I340" s="30"/>
    </row>
    <row r="341" spans="3:9">
      <c r="C341" t="s">
        <v>514</v>
      </c>
      <c r="D341" t="s">
        <v>729</v>
      </c>
      <c r="E341" t="s">
        <v>734</v>
      </c>
      <c r="F341" t="s">
        <v>735</v>
      </c>
      <c r="G341" s="48">
        <v>74</v>
      </c>
      <c r="I341" s="30"/>
    </row>
    <row r="342" spans="3:9">
      <c r="C342" t="s">
        <v>514</v>
      </c>
      <c r="D342" t="s">
        <v>736</v>
      </c>
      <c r="E342" t="s">
        <v>737</v>
      </c>
      <c r="F342" t="s">
        <v>738</v>
      </c>
      <c r="G342" s="48">
        <v>80</v>
      </c>
      <c r="I342" s="30"/>
    </row>
    <row r="343" spans="3:9">
      <c r="C343" t="s">
        <v>514</v>
      </c>
      <c r="D343" t="s">
        <v>739</v>
      </c>
      <c r="E343" t="s">
        <v>740</v>
      </c>
      <c r="F343" t="s">
        <v>741</v>
      </c>
      <c r="G343" s="48">
        <v>68</v>
      </c>
      <c r="I343" s="30"/>
    </row>
    <row r="344" spans="3:9">
      <c r="C344" t="s">
        <v>514</v>
      </c>
      <c r="D344" t="s">
        <v>739</v>
      </c>
      <c r="E344" t="s">
        <v>742</v>
      </c>
      <c r="F344" t="s">
        <v>743</v>
      </c>
      <c r="G344" s="48">
        <v>86</v>
      </c>
      <c r="I344" s="30"/>
    </row>
    <row r="345" spans="3:9">
      <c r="C345" t="s">
        <v>514</v>
      </c>
      <c r="D345" t="s">
        <v>739</v>
      </c>
      <c r="E345" t="s">
        <v>744</v>
      </c>
      <c r="F345" t="s">
        <v>745</v>
      </c>
      <c r="G345" s="48">
        <v>80</v>
      </c>
      <c r="I345" s="30"/>
    </row>
    <row r="346" spans="3:9">
      <c r="C346" t="s">
        <v>514</v>
      </c>
      <c r="D346" t="s">
        <v>739</v>
      </c>
      <c r="E346" t="s">
        <v>746</v>
      </c>
      <c r="F346" t="s">
        <v>747</v>
      </c>
      <c r="G346" s="48">
        <v>80</v>
      </c>
      <c r="I346" s="30"/>
    </row>
    <row r="347" spans="3:9">
      <c r="C347" t="s">
        <v>514</v>
      </c>
      <c r="D347" t="s">
        <v>748</v>
      </c>
      <c r="E347" t="s">
        <v>749</v>
      </c>
      <c r="F347" t="s">
        <v>750</v>
      </c>
      <c r="G347" s="48">
        <v>68</v>
      </c>
      <c r="I347" s="30"/>
    </row>
    <row r="348" spans="3:9">
      <c r="C348" t="s">
        <v>514</v>
      </c>
      <c r="D348" t="s">
        <v>748</v>
      </c>
      <c r="E348" t="s">
        <v>751</v>
      </c>
      <c r="F348" t="s">
        <v>752</v>
      </c>
      <c r="G348" s="48">
        <v>80</v>
      </c>
      <c r="I348" s="30"/>
    </row>
    <row r="349" spans="3:9">
      <c r="C349" t="s">
        <v>514</v>
      </c>
      <c r="D349" t="s">
        <v>753</v>
      </c>
      <c r="E349" t="s">
        <v>754</v>
      </c>
      <c r="F349" t="s">
        <v>755</v>
      </c>
      <c r="G349" s="48">
        <v>80</v>
      </c>
      <c r="I349" s="30"/>
    </row>
    <row r="350" spans="3:9">
      <c r="C350" t="s">
        <v>514</v>
      </c>
      <c r="D350" t="s">
        <v>753</v>
      </c>
      <c r="E350" t="s">
        <v>756</v>
      </c>
      <c r="F350" t="s">
        <v>757</v>
      </c>
      <c r="G350" s="48">
        <v>92</v>
      </c>
      <c r="I350" s="30"/>
    </row>
    <row r="351" spans="3:9">
      <c r="C351" t="s">
        <v>514</v>
      </c>
      <c r="D351" t="s">
        <v>753</v>
      </c>
      <c r="E351" t="s">
        <v>758</v>
      </c>
      <c r="F351" t="s">
        <v>759</v>
      </c>
      <c r="G351" s="48">
        <v>86</v>
      </c>
      <c r="I351" s="30"/>
    </row>
    <row r="352" spans="3:9">
      <c r="C352" t="s">
        <v>514</v>
      </c>
      <c r="D352" t="s">
        <v>753</v>
      </c>
      <c r="E352" t="s">
        <v>760</v>
      </c>
      <c r="F352" t="s">
        <v>761</v>
      </c>
      <c r="G352" s="48">
        <v>86</v>
      </c>
      <c r="I352" s="30"/>
    </row>
    <row r="353" spans="3:9">
      <c r="C353" t="s">
        <v>514</v>
      </c>
      <c r="D353" t="s">
        <v>753</v>
      </c>
      <c r="E353" t="s">
        <v>762</v>
      </c>
      <c r="F353" t="s">
        <v>763</v>
      </c>
      <c r="G353" s="48">
        <v>92</v>
      </c>
      <c r="I353" s="30"/>
    </row>
    <row r="354" spans="3:9">
      <c r="C354" t="s">
        <v>514</v>
      </c>
      <c r="D354" t="s">
        <v>753</v>
      </c>
      <c r="E354" t="s">
        <v>764</v>
      </c>
      <c r="F354" t="s">
        <v>765</v>
      </c>
      <c r="G354" s="48">
        <v>92</v>
      </c>
      <c r="I354" s="30"/>
    </row>
    <row r="355" spans="3:9">
      <c r="C355" t="s">
        <v>514</v>
      </c>
      <c r="D355" t="s">
        <v>753</v>
      </c>
      <c r="E355" t="s">
        <v>766</v>
      </c>
      <c r="F355" t="s">
        <v>767</v>
      </c>
      <c r="G355" s="48">
        <v>92</v>
      </c>
      <c r="I355" s="30"/>
    </row>
    <row r="356" spans="3:9">
      <c r="C356" t="s">
        <v>514</v>
      </c>
      <c r="D356" t="s">
        <v>753</v>
      </c>
      <c r="E356" t="s">
        <v>768</v>
      </c>
      <c r="F356" t="s">
        <v>769</v>
      </c>
      <c r="G356" s="48">
        <v>80</v>
      </c>
      <c r="I356" s="30"/>
    </row>
    <row r="357" spans="3:9">
      <c r="C357" t="s">
        <v>514</v>
      </c>
      <c r="D357" t="s">
        <v>753</v>
      </c>
      <c r="E357" t="s">
        <v>770</v>
      </c>
      <c r="F357" t="s">
        <v>771</v>
      </c>
      <c r="G357" s="48">
        <v>86</v>
      </c>
      <c r="I357" s="30"/>
    </row>
    <row r="358" spans="3:9">
      <c r="C358" t="s">
        <v>514</v>
      </c>
      <c r="D358" t="s">
        <v>753</v>
      </c>
      <c r="E358" t="s">
        <v>772</v>
      </c>
      <c r="F358" t="s">
        <v>773</v>
      </c>
      <c r="G358" s="48">
        <v>80</v>
      </c>
      <c r="I358" s="30"/>
    </row>
    <row r="359" spans="3:9">
      <c r="C359" t="s">
        <v>514</v>
      </c>
      <c r="D359" t="s">
        <v>753</v>
      </c>
      <c r="E359" t="s">
        <v>774</v>
      </c>
      <c r="F359" t="s">
        <v>775</v>
      </c>
      <c r="G359" s="48">
        <v>80</v>
      </c>
      <c r="I359" s="30"/>
    </row>
    <row r="360" spans="3:9">
      <c r="C360" t="s">
        <v>514</v>
      </c>
      <c r="D360" t="s">
        <v>753</v>
      </c>
      <c r="E360" t="s">
        <v>776</v>
      </c>
      <c r="F360" t="s">
        <v>777</v>
      </c>
      <c r="G360" s="48">
        <v>74</v>
      </c>
      <c r="I360" s="30"/>
    </row>
    <row r="361" spans="3:9">
      <c r="C361" t="s">
        <v>514</v>
      </c>
      <c r="D361" t="s">
        <v>753</v>
      </c>
      <c r="E361" t="s">
        <v>778</v>
      </c>
      <c r="F361" t="s">
        <v>779</v>
      </c>
      <c r="G361" s="48">
        <v>80</v>
      </c>
      <c r="I361" s="30"/>
    </row>
    <row r="362" spans="3:9">
      <c r="C362" t="s">
        <v>514</v>
      </c>
      <c r="D362" t="s">
        <v>780</v>
      </c>
      <c r="E362" t="s">
        <v>781</v>
      </c>
      <c r="F362" t="s">
        <v>782</v>
      </c>
      <c r="G362" s="48">
        <v>74</v>
      </c>
      <c r="I362" s="30"/>
    </row>
    <row r="363" spans="3:9">
      <c r="C363" t="s">
        <v>514</v>
      </c>
      <c r="D363" t="s">
        <v>780</v>
      </c>
      <c r="E363" t="s">
        <v>783</v>
      </c>
      <c r="F363" t="s">
        <v>784</v>
      </c>
      <c r="G363" s="48">
        <v>80</v>
      </c>
      <c r="I363" s="30"/>
    </row>
    <row r="364" spans="3:9">
      <c r="C364" t="s">
        <v>514</v>
      </c>
      <c r="D364" t="s">
        <v>780</v>
      </c>
      <c r="E364" t="s">
        <v>785</v>
      </c>
      <c r="F364" t="s">
        <v>786</v>
      </c>
      <c r="G364" s="48">
        <v>86</v>
      </c>
      <c r="I364" s="30"/>
    </row>
    <row r="365" spans="3:9">
      <c r="C365" t="s">
        <v>514</v>
      </c>
      <c r="D365" t="s">
        <v>780</v>
      </c>
      <c r="E365" t="s">
        <v>787</v>
      </c>
      <c r="F365" t="s">
        <v>788</v>
      </c>
      <c r="G365" s="48">
        <v>80</v>
      </c>
      <c r="I365" s="30"/>
    </row>
    <row r="366" spans="3:9">
      <c r="C366" t="s">
        <v>514</v>
      </c>
      <c r="D366" t="s">
        <v>780</v>
      </c>
      <c r="E366" t="s">
        <v>789</v>
      </c>
      <c r="F366" t="s">
        <v>790</v>
      </c>
      <c r="G366" s="48">
        <v>74</v>
      </c>
      <c r="I366" s="30"/>
    </row>
    <row r="367" spans="3:9">
      <c r="C367" t="s">
        <v>514</v>
      </c>
      <c r="D367" t="s">
        <v>780</v>
      </c>
      <c r="E367" t="s">
        <v>791</v>
      </c>
      <c r="F367" t="s">
        <v>792</v>
      </c>
      <c r="G367" s="48">
        <v>86</v>
      </c>
      <c r="I367" s="30"/>
    </row>
    <row r="368" spans="3:9">
      <c r="C368" t="s">
        <v>514</v>
      </c>
      <c r="D368" t="s">
        <v>780</v>
      </c>
      <c r="E368" t="s">
        <v>793</v>
      </c>
      <c r="F368" t="s">
        <v>794</v>
      </c>
      <c r="G368" s="48">
        <v>80</v>
      </c>
      <c r="I368" s="30"/>
    </row>
    <row r="369" spans="3:9">
      <c r="C369" t="s">
        <v>514</v>
      </c>
      <c r="D369" t="s">
        <v>795</v>
      </c>
      <c r="E369" t="s">
        <v>796</v>
      </c>
      <c r="F369" t="s">
        <v>797</v>
      </c>
      <c r="G369" s="48">
        <v>92</v>
      </c>
      <c r="I369" s="30"/>
    </row>
    <row r="370" spans="3:9">
      <c r="C370" t="s">
        <v>514</v>
      </c>
      <c r="D370" t="s">
        <v>795</v>
      </c>
      <c r="E370" t="s">
        <v>798</v>
      </c>
      <c r="F370" t="s">
        <v>799</v>
      </c>
      <c r="G370" s="48">
        <v>86</v>
      </c>
      <c r="I370" s="30"/>
    </row>
    <row r="371" spans="3:9">
      <c r="C371" t="s">
        <v>514</v>
      </c>
      <c r="D371" t="s">
        <v>795</v>
      </c>
      <c r="E371" t="s">
        <v>800</v>
      </c>
      <c r="F371" t="s">
        <v>801</v>
      </c>
      <c r="G371" s="48">
        <v>80</v>
      </c>
      <c r="I371" s="30"/>
    </row>
    <row r="372" spans="3:9">
      <c r="C372" t="s">
        <v>514</v>
      </c>
      <c r="D372" t="s">
        <v>802</v>
      </c>
      <c r="E372" t="s">
        <v>803</v>
      </c>
      <c r="F372" t="s">
        <v>804</v>
      </c>
      <c r="G372" s="48">
        <v>80</v>
      </c>
      <c r="I372" s="30"/>
    </row>
    <row r="373" spans="3:9">
      <c r="C373" t="s">
        <v>514</v>
      </c>
      <c r="D373" t="s">
        <v>802</v>
      </c>
      <c r="E373" t="s">
        <v>805</v>
      </c>
      <c r="F373" t="s">
        <v>806</v>
      </c>
      <c r="G373" s="48">
        <v>74</v>
      </c>
      <c r="I373" s="30"/>
    </row>
    <row r="374" spans="3:9">
      <c r="C374" t="s">
        <v>514</v>
      </c>
      <c r="D374" t="s">
        <v>802</v>
      </c>
      <c r="E374" t="s">
        <v>807</v>
      </c>
      <c r="F374" t="s">
        <v>808</v>
      </c>
      <c r="G374" s="48">
        <v>80</v>
      </c>
      <c r="I374" s="30"/>
    </row>
    <row r="375" spans="3:9">
      <c r="C375" t="s">
        <v>514</v>
      </c>
      <c r="D375" t="s">
        <v>802</v>
      </c>
      <c r="E375" t="s">
        <v>809</v>
      </c>
      <c r="F375" t="s">
        <v>810</v>
      </c>
      <c r="G375" s="48">
        <v>74</v>
      </c>
      <c r="I375" s="30"/>
    </row>
    <row r="376" spans="3:9">
      <c r="C376" t="s">
        <v>514</v>
      </c>
      <c r="D376" t="s">
        <v>802</v>
      </c>
      <c r="E376" t="s">
        <v>811</v>
      </c>
      <c r="F376" t="s">
        <v>812</v>
      </c>
      <c r="G376" s="48">
        <v>86</v>
      </c>
      <c r="I376" s="30"/>
    </row>
    <row r="377" spans="3:9">
      <c r="C377" t="s">
        <v>514</v>
      </c>
      <c r="D377" t="s">
        <v>802</v>
      </c>
      <c r="E377" t="s">
        <v>813</v>
      </c>
      <c r="F377" t="s">
        <v>814</v>
      </c>
      <c r="G377" s="48">
        <v>74</v>
      </c>
      <c r="I377" s="30"/>
    </row>
    <row r="378" spans="3:9">
      <c r="C378" t="s">
        <v>514</v>
      </c>
      <c r="D378" t="s">
        <v>802</v>
      </c>
      <c r="E378" t="s">
        <v>815</v>
      </c>
      <c r="F378" t="s">
        <v>816</v>
      </c>
      <c r="G378" s="48">
        <v>68</v>
      </c>
      <c r="I378" s="30"/>
    </row>
    <row r="379" spans="3:9">
      <c r="C379" t="s">
        <v>514</v>
      </c>
      <c r="D379" t="s">
        <v>802</v>
      </c>
      <c r="E379" t="s">
        <v>817</v>
      </c>
      <c r="F379" t="s">
        <v>818</v>
      </c>
      <c r="G379" s="48">
        <v>86</v>
      </c>
      <c r="I379" s="30"/>
    </row>
    <row r="380" spans="3:9">
      <c r="C380" t="s">
        <v>514</v>
      </c>
      <c r="D380" t="s">
        <v>802</v>
      </c>
      <c r="E380" t="s">
        <v>819</v>
      </c>
      <c r="F380" t="s">
        <v>820</v>
      </c>
      <c r="G380" s="48">
        <v>80</v>
      </c>
      <c r="I380" s="30"/>
    </row>
    <row r="381" spans="3:9">
      <c r="C381" t="s">
        <v>514</v>
      </c>
      <c r="D381" t="s">
        <v>802</v>
      </c>
      <c r="E381" t="s">
        <v>821</v>
      </c>
      <c r="F381" t="s">
        <v>822</v>
      </c>
      <c r="G381" s="48">
        <v>68</v>
      </c>
      <c r="I381" s="30"/>
    </row>
    <row r="382" spans="3:9">
      <c r="C382" t="s">
        <v>514</v>
      </c>
      <c r="D382" t="s">
        <v>802</v>
      </c>
      <c r="E382" t="s">
        <v>823</v>
      </c>
      <c r="F382" t="s">
        <v>824</v>
      </c>
      <c r="G382" s="48">
        <v>80</v>
      </c>
      <c r="I382" s="30"/>
    </row>
    <row r="383" spans="3:9">
      <c r="C383" t="s">
        <v>514</v>
      </c>
      <c r="D383" t="s">
        <v>825</v>
      </c>
      <c r="E383" t="s">
        <v>826</v>
      </c>
      <c r="F383" t="s">
        <v>827</v>
      </c>
      <c r="G383" s="48">
        <v>86</v>
      </c>
      <c r="I383" s="30"/>
    </row>
    <row r="384" spans="3:9">
      <c r="C384" t="s">
        <v>514</v>
      </c>
      <c r="D384" t="s">
        <v>825</v>
      </c>
      <c r="E384" t="s">
        <v>828</v>
      </c>
      <c r="F384" t="s">
        <v>829</v>
      </c>
      <c r="G384" s="48">
        <v>92</v>
      </c>
      <c r="I384" s="30"/>
    </row>
    <row r="385" spans="3:9">
      <c r="C385" t="s">
        <v>514</v>
      </c>
      <c r="D385" t="s">
        <v>825</v>
      </c>
      <c r="E385" t="s">
        <v>830</v>
      </c>
      <c r="F385" t="s">
        <v>831</v>
      </c>
      <c r="G385" s="48">
        <v>80</v>
      </c>
      <c r="I385" s="30"/>
    </row>
    <row r="386" spans="3:9">
      <c r="C386" t="s">
        <v>514</v>
      </c>
      <c r="D386" t="s">
        <v>832</v>
      </c>
      <c r="E386" t="s">
        <v>833</v>
      </c>
      <c r="F386" t="s">
        <v>834</v>
      </c>
      <c r="G386" s="48">
        <v>80</v>
      </c>
      <c r="I386" s="30"/>
    </row>
    <row r="387" spans="3:9">
      <c r="C387" t="s">
        <v>514</v>
      </c>
      <c r="D387" t="s">
        <v>832</v>
      </c>
      <c r="E387" t="s">
        <v>835</v>
      </c>
      <c r="F387" t="s">
        <v>836</v>
      </c>
      <c r="G387" s="48">
        <v>86</v>
      </c>
      <c r="I387" s="30"/>
    </row>
    <row r="388" spans="3:9">
      <c r="C388" t="s">
        <v>514</v>
      </c>
      <c r="D388" t="s">
        <v>837</v>
      </c>
      <c r="E388" t="s">
        <v>838</v>
      </c>
      <c r="F388" t="s">
        <v>839</v>
      </c>
      <c r="G388" s="48">
        <v>68</v>
      </c>
      <c r="I388" s="30"/>
    </row>
    <row r="389" spans="3:9">
      <c r="C389" t="s">
        <v>514</v>
      </c>
      <c r="D389" t="s">
        <v>837</v>
      </c>
      <c r="E389" t="s">
        <v>840</v>
      </c>
      <c r="F389" t="s">
        <v>841</v>
      </c>
      <c r="G389" s="48">
        <v>68</v>
      </c>
      <c r="I389" s="30"/>
    </row>
    <row r="390" spans="3:9">
      <c r="C390" t="s">
        <v>514</v>
      </c>
      <c r="D390" t="s">
        <v>837</v>
      </c>
      <c r="E390" t="s">
        <v>842</v>
      </c>
      <c r="F390" t="s">
        <v>843</v>
      </c>
      <c r="G390" s="48">
        <v>68</v>
      </c>
      <c r="I390" s="30"/>
    </row>
    <row r="391" spans="3:9">
      <c r="C391" t="s">
        <v>514</v>
      </c>
      <c r="D391" t="s">
        <v>844</v>
      </c>
      <c r="E391" t="s">
        <v>845</v>
      </c>
      <c r="F391" t="s">
        <v>846</v>
      </c>
      <c r="G391" s="48">
        <v>80</v>
      </c>
      <c r="I391" s="30"/>
    </row>
    <row r="392" spans="3:9">
      <c r="C392" t="s">
        <v>514</v>
      </c>
      <c r="D392" t="s">
        <v>844</v>
      </c>
      <c r="E392" t="s">
        <v>847</v>
      </c>
      <c r="F392" t="s">
        <v>848</v>
      </c>
      <c r="G392" s="48">
        <v>74</v>
      </c>
      <c r="I392" s="30"/>
    </row>
    <row r="393" spans="3:9">
      <c r="C393" t="s">
        <v>514</v>
      </c>
      <c r="D393" t="s">
        <v>844</v>
      </c>
      <c r="E393" s="4" t="s">
        <v>849</v>
      </c>
      <c r="F393" s="4" t="s">
        <v>850</v>
      </c>
      <c r="G393" s="48">
        <v>74</v>
      </c>
      <c r="I393" s="30"/>
    </row>
    <row r="394" spans="3:9">
      <c r="C394" t="s">
        <v>514</v>
      </c>
      <c r="D394" t="s">
        <v>844</v>
      </c>
      <c r="E394" s="4" t="s">
        <v>851</v>
      </c>
      <c r="F394" s="4" t="s">
        <v>852</v>
      </c>
      <c r="G394" s="48">
        <v>80</v>
      </c>
      <c r="I394" s="30"/>
    </row>
    <row r="395" spans="3:9">
      <c r="C395" t="s">
        <v>514</v>
      </c>
      <c r="D395" t="s">
        <v>853</v>
      </c>
      <c r="E395" t="s">
        <v>854</v>
      </c>
      <c r="F395" t="s">
        <v>855</v>
      </c>
      <c r="G395" s="48">
        <v>80</v>
      </c>
      <c r="I395" s="30"/>
    </row>
    <row r="396" spans="3:9">
      <c r="C396" t="s">
        <v>514</v>
      </c>
      <c r="D396" t="s">
        <v>853</v>
      </c>
      <c r="E396" t="s">
        <v>856</v>
      </c>
      <c r="F396" t="s">
        <v>857</v>
      </c>
      <c r="G396" s="48">
        <v>74</v>
      </c>
      <c r="I396" s="30"/>
    </row>
    <row r="397" spans="3:9">
      <c r="C397" t="s">
        <v>514</v>
      </c>
      <c r="D397" t="s">
        <v>853</v>
      </c>
      <c r="E397" t="s">
        <v>858</v>
      </c>
      <c r="F397" t="s">
        <v>859</v>
      </c>
      <c r="G397" s="48">
        <v>80</v>
      </c>
      <c r="I397" s="30"/>
    </row>
    <row r="398" spans="3:9">
      <c r="C398" t="s">
        <v>514</v>
      </c>
      <c r="D398" t="s">
        <v>853</v>
      </c>
      <c r="E398" t="s">
        <v>860</v>
      </c>
      <c r="F398" t="s">
        <v>861</v>
      </c>
      <c r="G398" s="48">
        <v>80</v>
      </c>
      <c r="I398" s="30"/>
    </row>
    <row r="399" spans="3:9">
      <c r="C399" t="s">
        <v>514</v>
      </c>
      <c r="D399" t="s">
        <v>853</v>
      </c>
      <c r="E399" t="s">
        <v>862</v>
      </c>
      <c r="F399" t="s">
        <v>863</v>
      </c>
      <c r="G399" s="48">
        <v>74</v>
      </c>
      <c r="I399" s="30"/>
    </row>
    <row r="400" spans="3:9">
      <c r="C400" t="s">
        <v>514</v>
      </c>
      <c r="D400" t="s">
        <v>853</v>
      </c>
      <c r="E400" t="s">
        <v>864</v>
      </c>
      <c r="F400" t="s">
        <v>865</v>
      </c>
      <c r="G400" s="48">
        <v>68</v>
      </c>
      <c r="I400" s="30"/>
    </row>
    <row r="401" spans="3:9">
      <c r="C401" t="s">
        <v>514</v>
      </c>
      <c r="D401" t="s">
        <v>853</v>
      </c>
      <c r="E401" t="s">
        <v>866</v>
      </c>
      <c r="F401" t="s">
        <v>867</v>
      </c>
      <c r="G401" s="48">
        <v>74</v>
      </c>
      <c r="I401" s="30"/>
    </row>
    <row r="402" spans="3:9">
      <c r="C402" t="s">
        <v>514</v>
      </c>
      <c r="D402" t="s">
        <v>853</v>
      </c>
      <c r="E402" t="s">
        <v>868</v>
      </c>
      <c r="F402" t="s">
        <v>869</v>
      </c>
      <c r="G402" s="48">
        <v>74</v>
      </c>
      <c r="I402" s="30"/>
    </row>
    <row r="403" spans="3:9">
      <c r="C403" t="s">
        <v>514</v>
      </c>
      <c r="D403" t="s">
        <v>853</v>
      </c>
      <c r="E403" t="s">
        <v>870</v>
      </c>
      <c r="F403" t="s">
        <v>871</v>
      </c>
      <c r="G403" s="48">
        <v>74</v>
      </c>
      <c r="I403" s="30"/>
    </row>
    <row r="404" spans="3:9">
      <c r="C404" t="s">
        <v>514</v>
      </c>
      <c r="D404" t="s">
        <v>853</v>
      </c>
      <c r="E404" t="s">
        <v>648</v>
      </c>
      <c r="F404" t="s">
        <v>872</v>
      </c>
      <c r="G404" s="48">
        <v>74</v>
      </c>
      <c r="I404" s="30"/>
    </row>
    <row r="405" spans="3:9">
      <c r="C405" t="s">
        <v>514</v>
      </c>
      <c r="D405" t="s">
        <v>873</v>
      </c>
      <c r="E405" t="s">
        <v>874</v>
      </c>
      <c r="F405" t="s">
        <v>875</v>
      </c>
      <c r="G405" s="48">
        <v>80</v>
      </c>
      <c r="I405" s="30"/>
    </row>
    <row r="406" spans="3:9">
      <c r="C406" t="s">
        <v>514</v>
      </c>
      <c r="D406" t="s">
        <v>876</v>
      </c>
      <c r="E406" t="s">
        <v>877</v>
      </c>
      <c r="F406" t="s">
        <v>878</v>
      </c>
      <c r="G406" s="48">
        <v>74</v>
      </c>
      <c r="I406" s="30"/>
    </row>
    <row r="407" spans="3:9">
      <c r="C407" t="s">
        <v>514</v>
      </c>
      <c r="D407" t="s">
        <v>876</v>
      </c>
      <c r="E407" t="s">
        <v>879</v>
      </c>
      <c r="F407" t="s">
        <v>880</v>
      </c>
      <c r="G407" s="48">
        <v>80</v>
      </c>
      <c r="I407" s="30"/>
    </row>
    <row r="408" spans="3:9">
      <c r="C408" t="s">
        <v>514</v>
      </c>
      <c r="D408" t="s">
        <v>876</v>
      </c>
      <c r="E408" t="s">
        <v>862</v>
      </c>
      <c r="F408" t="s">
        <v>881</v>
      </c>
      <c r="G408" s="48">
        <v>74</v>
      </c>
      <c r="I408" s="30"/>
    </row>
    <row r="409" spans="3:9">
      <c r="C409" t="s">
        <v>514</v>
      </c>
      <c r="D409" t="s">
        <v>876</v>
      </c>
      <c r="E409" t="s">
        <v>882</v>
      </c>
      <c r="F409" t="s">
        <v>883</v>
      </c>
      <c r="G409" s="48">
        <v>74</v>
      </c>
      <c r="I409" s="30"/>
    </row>
    <row r="410" spans="3:9">
      <c r="C410" t="s">
        <v>514</v>
      </c>
      <c r="D410" t="s">
        <v>876</v>
      </c>
      <c r="E410" t="s">
        <v>884</v>
      </c>
      <c r="F410" t="s">
        <v>885</v>
      </c>
      <c r="G410" s="48">
        <v>74</v>
      </c>
      <c r="I410" s="30"/>
    </row>
    <row r="411" spans="3:9">
      <c r="C411" t="s">
        <v>514</v>
      </c>
      <c r="D411" t="s">
        <v>876</v>
      </c>
      <c r="E411" t="s">
        <v>886</v>
      </c>
      <c r="F411" t="s">
        <v>887</v>
      </c>
      <c r="G411" s="48">
        <v>74</v>
      </c>
      <c r="I411" s="30"/>
    </row>
    <row r="412" spans="3:9">
      <c r="C412" t="s">
        <v>514</v>
      </c>
      <c r="D412" t="s">
        <v>876</v>
      </c>
      <c r="E412" t="s">
        <v>888</v>
      </c>
      <c r="F412" t="s">
        <v>889</v>
      </c>
      <c r="G412" s="48">
        <v>74</v>
      </c>
      <c r="I412" s="30"/>
    </row>
    <row r="413" spans="3:9">
      <c r="C413" t="s">
        <v>514</v>
      </c>
      <c r="D413" t="s">
        <v>890</v>
      </c>
      <c r="E413" t="s">
        <v>891</v>
      </c>
      <c r="F413" t="s">
        <v>892</v>
      </c>
      <c r="G413" s="48">
        <v>80</v>
      </c>
      <c r="I413" s="30"/>
    </row>
    <row r="414" spans="3:9">
      <c r="C414" t="s">
        <v>514</v>
      </c>
      <c r="D414" t="s">
        <v>890</v>
      </c>
      <c r="E414" t="s">
        <v>893</v>
      </c>
      <c r="F414" t="s">
        <v>894</v>
      </c>
      <c r="G414" s="48">
        <v>86</v>
      </c>
      <c r="I414" s="30"/>
    </row>
    <row r="415" spans="3:9">
      <c r="C415" t="s">
        <v>514</v>
      </c>
      <c r="D415" t="s">
        <v>890</v>
      </c>
      <c r="E415" t="s">
        <v>895</v>
      </c>
      <c r="F415" t="s">
        <v>896</v>
      </c>
      <c r="G415" s="48">
        <v>80</v>
      </c>
      <c r="I415" s="30"/>
    </row>
    <row r="416" spans="3:9">
      <c r="C416" t="s">
        <v>514</v>
      </c>
      <c r="D416" t="s">
        <v>890</v>
      </c>
      <c r="E416" t="s">
        <v>897</v>
      </c>
      <c r="F416" t="s">
        <v>898</v>
      </c>
      <c r="G416" s="48">
        <v>80</v>
      </c>
      <c r="I416" s="30"/>
    </row>
    <row r="417" spans="3:9">
      <c r="C417" t="s">
        <v>514</v>
      </c>
      <c r="D417" t="s">
        <v>890</v>
      </c>
      <c r="E417" t="s">
        <v>899</v>
      </c>
      <c r="F417" t="s">
        <v>900</v>
      </c>
      <c r="G417" s="48">
        <v>86</v>
      </c>
      <c r="I417" s="30"/>
    </row>
    <row r="418" spans="3:9">
      <c r="C418" t="s">
        <v>514</v>
      </c>
      <c r="D418" t="s">
        <v>890</v>
      </c>
      <c r="E418" t="s">
        <v>901</v>
      </c>
      <c r="F418" t="s">
        <v>902</v>
      </c>
      <c r="G418" s="48">
        <v>80</v>
      </c>
      <c r="I418" s="30"/>
    </row>
    <row r="419" spans="3:9">
      <c r="C419" t="s">
        <v>514</v>
      </c>
      <c r="D419" t="s">
        <v>890</v>
      </c>
      <c r="E419" t="s">
        <v>903</v>
      </c>
      <c r="F419" t="s">
        <v>904</v>
      </c>
      <c r="G419" s="48">
        <v>86</v>
      </c>
      <c r="I419" s="30"/>
    </row>
    <row r="420" spans="3:9">
      <c r="C420" t="s">
        <v>514</v>
      </c>
      <c r="D420" t="s">
        <v>890</v>
      </c>
      <c r="E420" t="s">
        <v>905</v>
      </c>
      <c r="F420" t="s">
        <v>906</v>
      </c>
      <c r="G420" s="48">
        <v>80</v>
      </c>
      <c r="I420" s="30"/>
    </row>
    <row r="421" spans="3:9">
      <c r="C421" t="s">
        <v>514</v>
      </c>
      <c r="D421" t="s">
        <v>890</v>
      </c>
      <c r="E421" t="s">
        <v>907</v>
      </c>
      <c r="F421" t="s">
        <v>908</v>
      </c>
      <c r="G421" s="48">
        <v>80</v>
      </c>
      <c r="I421" s="30"/>
    </row>
    <row r="422" spans="3:9">
      <c r="C422" t="s">
        <v>514</v>
      </c>
      <c r="D422" t="s">
        <v>890</v>
      </c>
      <c r="E422" t="s">
        <v>909</v>
      </c>
      <c r="F422" t="s">
        <v>910</v>
      </c>
      <c r="G422" s="48">
        <v>74</v>
      </c>
      <c r="I422" s="30"/>
    </row>
    <row r="423" spans="3:9">
      <c r="C423" t="s">
        <v>514</v>
      </c>
      <c r="D423" t="s">
        <v>911</v>
      </c>
      <c r="E423" t="s">
        <v>912</v>
      </c>
      <c r="F423" t="s">
        <v>913</v>
      </c>
      <c r="G423" s="48">
        <v>80</v>
      </c>
      <c r="I423" s="30"/>
    </row>
    <row r="424" spans="3:9">
      <c r="C424" t="s">
        <v>514</v>
      </c>
      <c r="D424" t="s">
        <v>911</v>
      </c>
      <c r="E424" t="s">
        <v>914</v>
      </c>
      <c r="F424" t="s">
        <v>915</v>
      </c>
      <c r="G424" s="48">
        <v>74</v>
      </c>
      <c r="I424" s="30"/>
    </row>
    <row r="425" spans="3:9">
      <c r="C425" t="s">
        <v>514</v>
      </c>
      <c r="D425" t="s">
        <v>911</v>
      </c>
      <c r="E425" t="s">
        <v>916</v>
      </c>
      <c r="F425" t="s">
        <v>917</v>
      </c>
      <c r="G425" s="48">
        <v>80</v>
      </c>
      <c r="I425" s="30"/>
    </row>
    <row r="426" spans="3:9">
      <c r="C426" t="s">
        <v>514</v>
      </c>
      <c r="D426" t="s">
        <v>911</v>
      </c>
      <c r="E426" t="s">
        <v>918</v>
      </c>
      <c r="F426" t="s">
        <v>919</v>
      </c>
      <c r="G426" s="48">
        <v>74</v>
      </c>
      <c r="I426" s="30"/>
    </row>
    <row r="427" spans="3:9">
      <c r="C427" t="s">
        <v>514</v>
      </c>
      <c r="D427" t="s">
        <v>920</v>
      </c>
      <c r="E427" t="s">
        <v>921</v>
      </c>
      <c r="F427" t="s">
        <v>922</v>
      </c>
      <c r="G427" s="48">
        <v>80</v>
      </c>
      <c r="I427" s="30"/>
    </row>
    <row r="428" spans="3:9">
      <c r="C428" t="s">
        <v>514</v>
      </c>
      <c r="D428" t="s">
        <v>920</v>
      </c>
      <c r="E428" t="s">
        <v>923</v>
      </c>
      <c r="F428" t="s">
        <v>924</v>
      </c>
      <c r="G428" s="48">
        <v>86</v>
      </c>
      <c r="I428" s="30"/>
    </row>
    <row r="429" spans="3:9">
      <c r="C429" t="s">
        <v>514</v>
      </c>
      <c r="D429" t="s">
        <v>925</v>
      </c>
      <c r="E429" t="s">
        <v>926</v>
      </c>
      <c r="F429" t="s">
        <v>927</v>
      </c>
      <c r="G429" s="48">
        <v>86</v>
      </c>
      <c r="I429" s="30"/>
    </row>
    <row r="430" spans="3:9">
      <c r="C430" t="s">
        <v>514</v>
      </c>
      <c r="D430" t="s">
        <v>925</v>
      </c>
      <c r="E430" t="s">
        <v>928</v>
      </c>
      <c r="F430" t="s">
        <v>929</v>
      </c>
      <c r="G430" s="48">
        <v>74</v>
      </c>
      <c r="I430" s="30"/>
    </row>
    <row r="431" spans="3:9">
      <c r="C431" t="s">
        <v>514</v>
      </c>
      <c r="D431" t="s">
        <v>925</v>
      </c>
      <c r="E431" t="s">
        <v>930</v>
      </c>
      <c r="F431" t="s">
        <v>931</v>
      </c>
      <c r="G431" s="48">
        <v>80</v>
      </c>
      <c r="I431" s="30"/>
    </row>
    <row r="432" spans="3:9">
      <c r="C432" t="s">
        <v>514</v>
      </c>
      <c r="D432" t="s">
        <v>925</v>
      </c>
      <c r="E432" t="s">
        <v>932</v>
      </c>
      <c r="F432" t="s">
        <v>933</v>
      </c>
      <c r="G432" s="48">
        <v>86</v>
      </c>
      <c r="I432" s="30"/>
    </row>
    <row r="433" spans="3:9">
      <c r="C433" t="s">
        <v>514</v>
      </c>
      <c r="D433" t="s">
        <v>925</v>
      </c>
      <c r="E433" t="s">
        <v>934</v>
      </c>
      <c r="F433" t="s">
        <v>935</v>
      </c>
      <c r="G433" s="48">
        <v>86</v>
      </c>
      <c r="I433" s="30"/>
    </row>
    <row r="434" spans="3:9">
      <c r="C434" t="s">
        <v>514</v>
      </c>
      <c r="D434" t="s">
        <v>925</v>
      </c>
      <c r="E434" t="s">
        <v>936</v>
      </c>
      <c r="F434" t="s">
        <v>937</v>
      </c>
      <c r="G434" s="48">
        <v>80</v>
      </c>
      <c r="I434" s="30"/>
    </row>
    <row r="435" spans="3:9">
      <c r="C435" t="s">
        <v>514</v>
      </c>
      <c r="D435" t="s">
        <v>925</v>
      </c>
      <c r="E435" t="s">
        <v>305</v>
      </c>
      <c r="F435" t="s">
        <v>938</v>
      </c>
      <c r="G435" s="48">
        <v>86</v>
      </c>
      <c r="I435" s="30"/>
    </row>
    <row r="436" spans="3:9">
      <c r="C436" t="s">
        <v>514</v>
      </c>
      <c r="D436" t="s">
        <v>925</v>
      </c>
      <c r="E436" t="s">
        <v>939</v>
      </c>
      <c r="F436" t="s">
        <v>940</v>
      </c>
      <c r="G436" s="48">
        <v>86</v>
      </c>
      <c r="I436" s="30"/>
    </row>
    <row r="437" spans="3:9">
      <c r="C437" t="s">
        <v>514</v>
      </c>
      <c r="D437" t="s">
        <v>925</v>
      </c>
      <c r="E437" t="s">
        <v>941</v>
      </c>
      <c r="F437" t="s">
        <v>942</v>
      </c>
      <c r="G437" s="48">
        <v>92</v>
      </c>
      <c r="I437" s="30"/>
    </row>
    <row r="438" spans="3:9">
      <c r="C438" t="s">
        <v>514</v>
      </c>
      <c r="D438" t="s">
        <v>925</v>
      </c>
      <c r="E438" t="s">
        <v>943</v>
      </c>
      <c r="F438" t="s">
        <v>944</v>
      </c>
      <c r="G438" s="48">
        <v>80</v>
      </c>
      <c r="I438" s="30"/>
    </row>
    <row r="439" spans="3:9">
      <c r="C439" t="s">
        <v>514</v>
      </c>
      <c r="D439" t="s">
        <v>925</v>
      </c>
      <c r="E439" t="s">
        <v>945</v>
      </c>
      <c r="F439" t="s">
        <v>946</v>
      </c>
      <c r="G439" s="48">
        <v>80</v>
      </c>
      <c r="I439" s="30"/>
    </row>
    <row r="440" spans="3:9">
      <c r="C440" t="s">
        <v>514</v>
      </c>
      <c r="D440" t="s">
        <v>925</v>
      </c>
      <c r="E440" t="s">
        <v>947</v>
      </c>
      <c r="F440" t="s">
        <v>948</v>
      </c>
      <c r="G440" s="48">
        <v>80</v>
      </c>
      <c r="I440" s="30"/>
    </row>
    <row r="441" spans="3:9">
      <c r="C441" t="s">
        <v>514</v>
      </c>
      <c r="D441" t="s">
        <v>925</v>
      </c>
      <c r="E441" t="s">
        <v>949</v>
      </c>
      <c r="F441" t="s">
        <v>950</v>
      </c>
      <c r="G441" s="48">
        <v>86</v>
      </c>
      <c r="I441" s="30"/>
    </row>
    <row r="442" spans="3:9">
      <c r="C442" t="s">
        <v>514</v>
      </c>
      <c r="D442" t="s">
        <v>925</v>
      </c>
      <c r="E442" t="s">
        <v>830</v>
      </c>
      <c r="F442" t="s">
        <v>951</v>
      </c>
      <c r="G442" s="48">
        <v>80</v>
      </c>
      <c r="I442" s="30"/>
    </row>
    <row r="443" spans="3:9">
      <c r="C443" t="s">
        <v>514</v>
      </c>
      <c r="D443" t="s">
        <v>925</v>
      </c>
      <c r="E443" t="s">
        <v>952</v>
      </c>
      <c r="F443" t="s">
        <v>953</v>
      </c>
      <c r="G443" s="48">
        <v>80</v>
      </c>
      <c r="I443" s="30"/>
    </row>
    <row r="444" spans="3:9">
      <c r="C444" t="s">
        <v>514</v>
      </c>
      <c r="D444" t="s">
        <v>925</v>
      </c>
      <c r="E444" t="s">
        <v>954</v>
      </c>
      <c r="F444" t="s">
        <v>955</v>
      </c>
      <c r="G444" s="48">
        <v>80</v>
      </c>
      <c r="I444" s="30"/>
    </row>
    <row r="445" spans="3:9">
      <c r="C445" t="s">
        <v>514</v>
      </c>
      <c r="D445" t="s">
        <v>925</v>
      </c>
      <c r="E445" t="s">
        <v>956</v>
      </c>
      <c r="F445" t="s">
        <v>957</v>
      </c>
      <c r="G445" s="48">
        <v>92</v>
      </c>
      <c r="I445" s="30"/>
    </row>
    <row r="446" spans="3:9">
      <c r="C446" t="s">
        <v>514</v>
      </c>
      <c r="D446" t="s">
        <v>925</v>
      </c>
      <c r="E446" t="s">
        <v>958</v>
      </c>
      <c r="F446" t="s">
        <v>959</v>
      </c>
      <c r="G446" s="48">
        <v>80</v>
      </c>
      <c r="I446" s="30"/>
    </row>
    <row r="447" spans="3:9">
      <c r="C447" t="s">
        <v>514</v>
      </c>
      <c r="D447" t="s">
        <v>925</v>
      </c>
      <c r="E447" t="s">
        <v>960</v>
      </c>
      <c r="F447" t="s">
        <v>961</v>
      </c>
      <c r="G447" s="48">
        <v>80</v>
      </c>
      <c r="I447" s="30"/>
    </row>
    <row r="448" spans="3:9">
      <c r="C448" t="s">
        <v>514</v>
      </c>
      <c r="D448" t="s">
        <v>962</v>
      </c>
      <c r="E448" t="s">
        <v>963</v>
      </c>
      <c r="F448" t="s">
        <v>964</v>
      </c>
      <c r="G448" s="48">
        <v>86</v>
      </c>
      <c r="I448" s="30"/>
    </row>
    <row r="449" spans="3:9">
      <c r="C449" t="s">
        <v>514</v>
      </c>
      <c r="D449" t="s">
        <v>962</v>
      </c>
      <c r="E449" t="s">
        <v>965</v>
      </c>
      <c r="F449" t="s">
        <v>966</v>
      </c>
      <c r="G449" s="48">
        <v>80</v>
      </c>
      <c r="I449" s="30"/>
    </row>
    <row r="450" spans="3:9">
      <c r="C450" t="s">
        <v>514</v>
      </c>
      <c r="D450" t="s">
        <v>962</v>
      </c>
      <c r="E450" t="s">
        <v>967</v>
      </c>
      <c r="F450" t="s">
        <v>968</v>
      </c>
      <c r="G450" s="48">
        <v>80</v>
      </c>
      <c r="I450" s="30"/>
    </row>
    <row r="451" spans="3:9">
      <c r="C451" t="s">
        <v>514</v>
      </c>
      <c r="D451" t="s">
        <v>962</v>
      </c>
      <c r="E451" t="s">
        <v>969</v>
      </c>
      <c r="F451" t="s">
        <v>970</v>
      </c>
      <c r="G451" s="48">
        <v>74</v>
      </c>
      <c r="I451" s="30"/>
    </row>
    <row r="452" spans="3:9">
      <c r="C452" t="s">
        <v>514</v>
      </c>
      <c r="D452" t="s">
        <v>962</v>
      </c>
      <c r="E452" t="s">
        <v>971</v>
      </c>
      <c r="F452" t="s">
        <v>972</v>
      </c>
      <c r="G452" s="48">
        <v>74</v>
      </c>
      <c r="I452" s="30"/>
    </row>
    <row r="453" spans="3:9">
      <c r="C453" t="s">
        <v>514</v>
      </c>
      <c r="D453" t="s">
        <v>962</v>
      </c>
      <c r="E453" t="s">
        <v>973</v>
      </c>
      <c r="F453" t="s">
        <v>974</v>
      </c>
      <c r="G453" s="48">
        <v>68</v>
      </c>
      <c r="I453" s="30"/>
    </row>
    <row r="454" spans="3:9">
      <c r="C454" t="s">
        <v>514</v>
      </c>
      <c r="D454" t="s">
        <v>975</v>
      </c>
      <c r="E454" t="s">
        <v>976</v>
      </c>
      <c r="F454" t="s">
        <v>977</v>
      </c>
      <c r="G454" s="48">
        <v>80</v>
      </c>
      <c r="I454" s="30"/>
    </row>
    <row r="455" spans="3:9">
      <c r="C455" t="s">
        <v>514</v>
      </c>
      <c r="D455" t="s">
        <v>978</v>
      </c>
      <c r="E455" t="s">
        <v>979</v>
      </c>
      <c r="F455" t="s">
        <v>980</v>
      </c>
      <c r="G455" s="48">
        <v>80</v>
      </c>
      <c r="I455" s="30"/>
    </row>
    <row r="456" spans="3:9">
      <c r="C456" t="s">
        <v>514</v>
      </c>
      <c r="D456" t="s">
        <v>978</v>
      </c>
      <c r="E456" t="s">
        <v>981</v>
      </c>
      <c r="F456" t="s">
        <v>982</v>
      </c>
      <c r="G456" s="48">
        <v>86</v>
      </c>
      <c r="I456" s="30"/>
    </row>
    <row r="457" spans="3:9">
      <c r="C457" t="s">
        <v>514</v>
      </c>
      <c r="D457" t="s">
        <v>978</v>
      </c>
      <c r="E457" t="s">
        <v>983</v>
      </c>
      <c r="F457" t="s">
        <v>984</v>
      </c>
      <c r="G457" s="48">
        <v>80</v>
      </c>
      <c r="I457" s="30"/>
    </row>
    <row r="458" spans="3:9">
      <c r="C458" t="s">
        <v>514</v>
      </c>
      <c r="D458" t="s">
        <v>978</v>
      </c>
      <c r="E458" t="s">
        <v>985</v>
      </c>
      <c r="F458" t="s">
        <v>986</v>
      </c>
      <c r="G458" s="48">
        <v>80</v>
      </c>
      <c r="I458" s="30"/>
    </row>
    <row r="459" spans="3:9">
      <c r="C459" t="s">
        <v>514</v>
      </c>
      <c r="D459" t="s">
        <v>978</v>
      </c>
      <c r="E459" t="s">
        <v>987</v>
      </c>
      <c r="F459" t="s">
        <v>988</v>
      </c>
      <c r="G459" s="48">
        <v>92</v>
      </c>
      <c r="I459" s="30"/>
    </row>
    <row r="460" spans="3:9">
      <c r="C460" t="s">
        <v>514</v>
      </c>
      <c r="D460" t="s">
        <v>978</v>
      </c>
      <c r="E460" t="s">
        <v>800</v>
      </c>
      <c r="F460" t="s">
        <v>989</v>
      </c>
      <c r="G460" s="48">
        <v>86</v>
      </c>
      <c r="I460" s="30"/>
    </row>
    <row r="461" spans="3:9">
      <c r="C461" t="s">
        <v>514</v>
      </c>
      <c r="D461" t="s">
        <v>978</v>
      </c>
      <c r="E461" t="s">
        <v>990</v>
      </c>
      <c r="F461" t="s">
        <v>991</v>
      </c>
      <c r="G461" s="48">
        <v>86</v>
      </c>
      <c r="I461" s="30"/>
    </row>
    <row r="462" spans="3:9">
      <c r="C462" t="s">
        <v>514</v>
      </c>
      <c r="D462" t="s">
        <v>992</v>
      </c>
      <c r="E462" t="s">
        <v>993</v>
      </c>
      <c r="F462" t="s">
        <v>994</v>
      </c>
      <c r="G462" s="48">
        <v>74</v>
      </c>
      <c r="I462" s="30"/>
    </row>
    <row r="463" spans="3:9">
      <c r="C463" t="s">
        <v>514</v>
      </c>
      <c r="D463" t="s">
        <v>992</v>
      </c>
      <c r="E463" t="s">
        <v>995</v>
      </c>
      <c r="F463" t="s">
        <v>996</v>
      </c>
      <c r="G463" s="48">
        <v>80</v>
      </c>
      <c r="I463" s="30"/>
    </row>
    <row r="464" spans="3:9">
      <c r="C464" t="s">
        <v>514</v>
      </c>
      <c r="D464" t="s">
        <v>992</v>
      </c>
      <c r="E464" t="s">
        <v>997</v>
      </c>
      <c r="F464" t="s">
        <v>998</v>
      </c>
      <c r="G464" s="48">
        <v>80</v>
      </c>
      <c r="I464" s="30"/>
    </row>
    <row r="465" spans="3:9">
      <c r="C465" t="s">
        <v>514</v>
      </c>
      <c r="D465" t="s">
        <v>992</v>
      </c>
      <c r="E465" t="s">
        <v>999</v>
      </c>
      <c r="F465" t="s">
        <v>1000</v>
      </c>
      <c r="G465" s="48">
        <v>68</v>
      </c>
      <c r="I465" s="30"/>
    </row>
    <row r="466" spans="3:9">
      <c r="C466" t="s">
        <v>514</v>
      </c>
      <c r="D466" t="s">
        <v>992</v>
      </c>
      <c r="E466" t="s">
        <v>1001</v>
      </c>
      <c r="F466" t="s">
        <v>1002</v>
      </c>
      <c r="G466" s="48">
        <v>74</v>
      </c>
      <c r="I466" s="30"/>
    </row>
    <row r="467" spans="3:9">
      <c r="C467" t="s">
        <v>514</v>
      </c>
      <c r="D467" t="s">
        <v>992</v>
      </c>
      <c r="E467" t="s">
        <v>1003</v>
      </c>
      <c r="F467" t="s">
        <v>1004</v>
      </c>
      <c r="G467" s="48">
        <v>80</v>
      </c>
      <c r="I467" s="30"/>
    </row>
    <row r="468" spans="3:9">
      <c r="C468" t="s">
        <v>514</v>
      </c>
      <c r="D468" t="s">
        <v>992</v>
      </c>
      <c r="E468" t="s">
        <v>1005</v>
      </c>
      <c r="F468" t="s">
        <v>1006</v>
      </c>
      <c r="G468" s="48">
        <v>74</v>
      </c>
      <c r="I468" s="30"/>
    </row>
    <row r="469" spans="3:9">
      <c r="C469" t="s">
        <v>514</v>
      </c>
      <c r="D469" t="s">
        <v>992</v>
      </c>
      <c r="E469" t="s">
        <v>1007</v>
      </c>
      <c r="F469" t="s">
        <v>1008</v>
      </c>
      <c r="G469" s="48">
        <v>80</v>
      </c>
      <c r="I469" s="30"/>
    </row>
    <row r="470" spans="3:9">
      <c r="C470" t="s">
        <v>514</v>
      </c>
      <c r="D470" t="s">
        <v>992</v>
      </c>
      <c r="E470" t="s">
        <v>1009</v>
      </c>
      <c r="F470" t="s">
        <v>1010</v>
      </c>
      <c r="G470" s="48">
        <v>80</v>
      </c>
      <c r="I470" s="30"/>
    </row>
    <row r="471" spans="3:9">
      <c r="C471" t="s">
        <v>514</v>
      </c>
      <c r="D471" t="s">
        <v>992</v>
      </c>
      <c r="E471" t="s">
        <v>1011</v>
      </c>
      <c r="F471" t="s">
        <v>1012</v>
      </c>
      <c r="G471" s="48">
        <v>92</v>
      </c>
      <c r="I471" s="30"/>
    </row>
    <row r="472" spans="3:9">
      <c r="C472" t="s">
        <v>514</v>
      </c>
      <c r="D472" t="s">
        <v>992</v>
      </c>
      <c r="E472" t="s">
        <v>1013</v>
      </c>
      <c r="F472" t="s">
        <v>1014</v>
      </c>
      <c r="G472" s="48">
        <v>80</v>
      </c>
      <c r="I472" s="30"/>
    </row>
    <row r="473" spans="3:9">
      <c r="C473" t="s">
        <v>514</v>
      </c>
      <c r="D473" t="s">
        <v>992</v>
      </c>
      <c r="E473" t="s">
        <v>1015</v>
      </c>
      <c r="F473" t="s">
        <v>1016</v>
      </c>
      <c r="G473" s="48">
        <v>74</v>
      </c>
      <c r="I473" s="30"/>
    </row>
    <row r="474" spans="3:9">
      <c r="C474" t="s">
        <v>514</v>
      </c>
      <c r="D474" t="s">
        <v>992</v>
      </c>
      <c r="E474" t="s">
        <v>1017</v>
      </c>
      <c r="F474" t="s">
        <v>1018</v>
      </c>
      <c r="G474" s="48">
        <v>74</v>
      </c>
      <c r="I474" s="30"/>
    </row>
    <row r="475" spans="3:9">
      <c r="C475" t="s">
        <v>514</v>
      </c>
      <c r="D475" t="s">
        <v>1019</v>
      </c>
      <c r="E475" t="s">
        <v>1020</v>
      </c>
      <c r="F475" t="s">
        <v>1021</v>
      </c>
      <c r="G475" s="48">
        <v>80</v>
      </c>
      <c r="I475" s="30"/>
    </row>
    <row r="476" spans="3:9">
      <c r="C476" t="s">
        <v>514</v>
      </c>
      <c r="D476" t="s">
        <v>1019</v>
      </c>
      <c r="E476" t="s">
        <v>1022</v>
      </c>
      <c r="F476" t="s">
        <v>1023</v>
      </c>
      <c r="G476" s="48">
        <v>80</v>
      </c>
      <c r="I476" s="30"/>
    </row>
    <row r="477" spans="3:9">
      <c r="C477" t="s">
        <v>514</v>
      </c>
      <c r="D477" t="s">
        <v>1024</v>
      </c>
      <c r="E477" t="s">
        <v>1025</v>
      </c>
      <c r="F477" t="s">
        <v>1026</v>
      </c>
      <c r="G477" s="48">
        <v>92</v>
      </c>
      <c r="I477" s="30"/>
    </row>
    <row r="478" spans="3:9">
      <c r="C478" t="s">
        <v>514</v>
      </c>
      <c r="D478" t="s">
        <v>1024</v>
      </c>
      <c r="E478" t="s">
        <v>791</v>
      </c>
      <c r="F478" t="s">
        <v>1027</v>
      </c>
      <c r="G478" s="48">
        <v>74</v>
      </c>
      <c r="I478" s="30"/>
    </row>
    <row r="479" spans="3:9">
      <c r="C479" t="s">
        <v>514</v>
      </c>
      <c r="D479" t="s">
        <v>1024</v>
      </c>
      <c r="E479" t="s">
        <v>1028</v>
      </c>
      <c r="F479" t="s">
        <v>1029</v>
      </c>
      <c r="G479" s="48">
        <v>80</v>
      </c>
      <c r="I479" s="30"/>
    </row>
    <row r="480" spans="3:9">
      <c r="C480" t="s">
        <v>514</v>
      </c>
      <c r="D480" t="s">
        <v>1024</v>
      </c>
      <c r="E480" t="s">
        <v>1030</v>
      </c>
      <c r="F480" t="s">
        <v>1031</v>
      </c>
      <c r="G480" s="48">
        <v>74</v>
      </c>
      <c r="I480" s="30"/>
    </row>
    <row r="481" spans="3:9">
      <c r="C481" t="s">
        <v>514</v>
      </c>
      <c r="D481" t="s">
        <v>1032</v>
      </c>
      <c r="E481" t="s">
        <v>1033</v>
      </c>
      <c r="F481" t="s">
        <v>1034</v>
      </c>
      <c r="G481" s="48">
        <v>80</v>
      </c>
      <c r="I481" s="30"/>
    </row>
    <row r="482" spans="3:9">
      <c r="C482" t="s">
        <v>514</v>
      </c>
      <c r="D482" t="s">
        <v>1032</v>
      </c>
      <c r="E482" t="s">
        <v>525</v>
      </c>
      <c r="F482" t="s">
        <v>1035</v>
      </c>
      <c r="G482" s="48">
        <v>74</v>
      </c>
      <c r="I482" s="30"/>
    </row>
    <row r="483" spans="3:9">
      <c r="C483" t="s">
        <v>514</v>
      </c>
      <c r="D483" t="s">
        <v>1032</v>
      </c>
      <c r="E483" t="s">
        <v>1036</v>
      </c>
      <c r="F483" t="s">
        <v>1037</v>
      </c>
      <c r="G483" s="48">
        <v>74</v>
      </c>
      <c r="I483" s="30"/>
    </row>
    <row r="484" spans="3:9">
      <c r="C484" t="s">
        <v>514</v>
      </c>
      <c r="D484" t="s">
        <v>1038</v>
      </c>
      <c r="E484" t="s">
        <v>1039</v>
      </c>
      <c r="F484" t="s">
        <v>1040</v>
      </c>
      <c r="G484" s="48">
        <v>86</v>
      </c>
      <c r="I484" s="30"/>
    </row>
    <row r="485" spans="3:9">
      <c r="C485" t="s">
        <v>514</v>
      </c>
      <c r="D485" t="s">
        <v>1038</v>
      </c>
      <c r="E485" t="s">
        <v>1041</v>
      </c>
      <c r="F485" t="s">
        <v>1042</v>
      </c>
      <c r="G485" s="48">
        <v>74</v>
      </c>
      <c r="I485" s="30"/>
    </row>
    <row r="486" spans="3:9">
      <c r="C486" t="s">
        <v>514</v>
      </c>
      <c r="D486" t="s">
        <v>1038</v>
      </c>
      <c r="E486" t="s">
        <v>1043</v>
      </c>
      <c r="F486" t="s">
        <v>1044</v>
      </c>
      <c r="G486" s="48">
        <v>74</v>
      </c>
      <c r="I486" s="30"/>
    </row>
    <row r="487" spans="3:9">
      <c r="C487" t="s">
        <v>514</v>
      </c>
      <c r="D487" t="s">
        <v>1038</v>
      </c>
      <c r="E487" t="s">
        <v>1045</v>
      </c>
      <c r="F487" t="s">
        <v>1046</v>
      </c>
      <c r="G487" s="48">
        <v>74</v>
      </c>
      <c r="I487" s="30"/>
    </row>
    <row r="488" spans="3:9">
      <c r="C488" t="s">
        <v>514</v>
      </c>
      <c r="D488" t="s">
        <v>1038</v>
      </c>
      <c r="E488" t="s">
        <v>1047</v>
      </c>
      <c r="F488" t="s">
        <v>1048</v>
      </c>
      <c r="G488" s="48">
        <v>86</v>
      </c>
      <c r="I488" s="30"/>
    </row>
    <row r="489" spans="3:9">
      <c r="C489" t="s">
        <v>514</v>
      </c>
      <c r="D489" t="s">
        <v>1049</v>
      </c>
      <c r="E489" t="s">
        <v>1050</v>
      </c>
      <c r="F489" t="s">
        <v>1051</v>
      </c>
      <c r="G489" s="48">
        <v>80</v>
      </c>
      <c r="I489" s="30"/>
    </row>
    <row r="490" spans="3:9">
      <c r="C490" t="s">
        <v>514</v>
      </c>
      <c r="D490" t="s">
        <v>1049</v>
      </c>
      <c r="E490" t="s">
        <v>1052</v>
      </c>
      <c r="F490" t="s">
        <v>1053</v>
      </c>
      <c r="G490" s="48">
        <v>80</v>
      </c>
      <c r="I490" s="30"/>
    </row>
    <row r="491" spans="3:9">
      <c r="C491" t="s">
        <v>514</v>
      </c>
      <c r="D491" t="s">
        <v>1049</v>
      </c>
      <c r="E491" t="s">
        <v>1054</v>
      </c>
      <c r="F491" t="s">
        <v>1055</v>
      </c>
      <c r="G491" s="48">
        <v>68</v>
      </c>
      <c r="I491" s="30"/>
    </row>
    <row r="492" spans="3:9">
      <c r="C492" t="s">
        <v>514</v>
      </c>
      <c r="D492" t="s">
        <v>1049</v>
      </c>
      <c r="E492" t="s">
        <v>709</v>
      </c>
      <c r="F492" t="s">
        <v>1056</v>
      </c>
      <c r="G492" s="48">
        <v>80</v>
      </c>
      <c r="I492" s="30"/>
    </row>
    <row r="493" spans="3:9">
      <c r="C493" t="s">
        <v>514</v>
      </c>
      <c r="D493" t="s">
        <v>1049</v>
      </c>
      <c r="E493" t="s">
        <v>1057</v>
      </c>
      <c r="F493" t="s">
        <v>1058</v>
      </c>
      <c r="G493" s="48">
        <v>74</v>
      </c>
      <c r="I493" s="30"/>
    </row>
    <row r="494" spans="3:9">
      <c r="C494" t="s">
        <v>514</v>
      </c>
      <c r="D494" t="s">
        <v>1049</v>
      </c>
      <c r="E494" t="s">
        <v>1059</v>
      </c>
      <c r="F494" t="s">
        <v>1060</v>
      </c>
      <c r="G494" s="48">
        <v>80</v>
      </c>
      <c r="I494" s="30"/>
    </row>
    <row r="495" spans="3:9">
      <c r="C495" t="s">
        <v>514</v>
      </c>
      <c r="D495" t="s">
        <v>1049</v>
      </c>
      <c r="E495" t="s">
        <v>1061</v>
      </c>
      <c r="F495" t="s">
        <v>1062</v>
      </c>
      <c r="G495" s="48">
        <v>74</v>
      </c>
      <c r="I495" s="30"/>
    </row>
    <row r="496" spans="3:9">
      <c r="C496" t="s">
        <v>514</v>
      </c>
      <c r="D496" t="s">
        <v>1049</v>
      </c>
      <c r="E496" t="s">
        <v>1063</v>
      </c>
      <c r="F496" t="s">
        <v>1064</v>
      </c>
      <c r="G496" s="48">
        <v>74</v>
      </c>
      <c r="I496" s="30"/>
    </row>
    <row r="497" spans="3:9">
      <c r="C497" t="s">
        <v>514</v>
      </c>
      <c r="D497" t="s">
        <v>1049</v>
      </c>
      <c r="E497" t="s">
        <v>1065</v>
      </c>
      <c r="F497" t="s">
        <v>1066</v>
      </c>
      <c r="G497" s="48">
        <v>80</v>
      </c>
      <c r="I497" s="30"/>
    </row>
    <row r="498" spans="3:9">
      <c r="C498" t="s">
        <v>514</v>
      </c>
      <c r="D498" t="s">
        <v>1049</v>
      </c>
      <c r="E498" t="s">
        <v>1067</v>
      </c>
      <c r="F498" t="s">
        <v>1068</v>
      </c>
      <c r="G498" s="48">
        <v>74</v>
      </c>
      <c r="I498" s="30"/>
    </row>
    <row r="499" spans="3:9">
      <c r="C499" t="s">
        <v>514</v>
      </c>
      <c r="D499" t="s">
        <v>1049</v>
      </c>
      <c r="E499" t="s">
        <v>1069</v>
      </c>
      <c r="F499" t="s">
        <v>1070</v>
      </c>
      <c r="G499" s="48">
        <v>74</v>
      </c>
      <c r="I499" s="30"/>
    </row>
    <row r="500" spans="3:9">
      <c r="C500" t="s">
        <v>514</v>
      </c>
      <c r="D500" t="s">
        <v>1071</v>
      </c>
      <c r="E500" t="s">
        <v>1072</v>
      </c>
      <c r="F500" t="s">
        <v>1073</v>
      </c>
      <c r="G500" s="48">
        <v>86</v>
      </c>
      <c r="I500" s="30"/>
    </row>
    <row r="501" spans="3:9">
      <c r="C501" t="s">
        <v>514</v>
      </c>
      <c r="D501" t="s">
        <v>1071</v>
      </c>
      <c r="E501" t="s">
        <v>1074</v>
      </c>
      <c r="F501" t="s">
        <v>1075</v>
      </c>
      <c r="G501" s="48">
        <v>92</v>
      </c>
      <c r="I501" s="30"/>
    </row>
    <row r="502" spans="3:9">
      <c r="C502" t="s">
        <v>514</v>
      </c>
      <c r="D502" t="s">
        <v>1071</v>
      </c>
      <c r="E502" t="s">
        <v>1076</v>
      </c>
      <c r="F502" t="s">
        <v>1077</v>
      </c>
      <c r="G502" s="48">
        <v>74</v>
      </c>
      <c r="I502" s="30"/>
    </row>
    <row r="503" spans="3:9">
      <c r="C503" t="s">
        <v>514</v>
      </c>
      <c r="D503" t="s">
        <v>1071</v>
      </c>
      <c r="E503" t="s">
        <v>1078</v>
      </c>
      <c r="F503" t="s">
        <v>1079</v>
      </c>
      <c r="G503" s="48">
        <v>80</v>
      </c>
      <c r="I503" s="30"/>
    </row>
    <row r="504" spans="3:9">
      <c r="C504" t="s">
        <v>514</v>
      </c>
      <c r="D504" t="s">
        <v>1080</v>
      </c>
      <c r="E504" t="s">
        <v>1081</v>
      </c>
      <c r="F504" t="s">
        <v>1082</v>
      </c>
      <c r="G504" s="48">
        <v>68</v>
      </c>
      <c r="I504" s="30"/>
    </row>
    <row r="505" spans="3:9">
      <c r="C505" t="s">
        <v>514</v>
      </c>
      <c r="D505" t="s">
        <v>1080</v>
      </c>
      <c r="E505" t="s">
        <v>1083</v>
      </c>
      <c r="F505" t="s">
        <v>1084</v>
      </c>
      <c r="G505" s="48">
        <v>80</v>
      </c>
      <c r="I505" s="30"/>
    </row>
    <row r="506" spans="3:9">
      <c r="C506" t="s">
        <v>514</v>
      </c>
      <c r="D506" t="s">
        <v>1080</v>
      </c>
      <c r="E506" t="s">
        <v>1085</v>
      </c>
      <c r="F506" t="s">
        <v>1086</v>
      </c>
      <c r="G506" s="48">
        <v>80</v>
      </c>
      <c r="I506" s="30"/>
    </row>
    <row r="507" spans="3:9">
      <c r="C507" t="s">
        <v>514</v>
      </c>
      <c r="D507" t="s">
        <v>1080</v>
      </c>
      <c r="E507" t="s">
        <v>1087</v>
      </c>
      <c r="F507" t="s">
        <v>1088</v>
      </c>
      <c r="G507" s="48">
        <v>68</v>
      </c>
      <c r="I507" s="30"/>
    </row>
    <row r="508" spans="3:9">
      <c r="C508" t="s">
        <v>514</v>
      </c>
      <c r="D508" t="s">
        <v>1080</v>
      </c>
      <c r="E508" t="s">
        <v>155</v>
      </c>
      <c r="F508" t="s">
        <v>1089</v>
      </c>
      <c r="G508" s="48">
        <v>80</v>
      </c>
      <c r="I508" s="30"/>
    </row>
    <row r="509" spans="3:9">
      <c r="C509" t="s">
        <v>514</v>
      </c>
      <c r="D509" t="s">
        <v>1080</v>
      </c>
      <c r="E509" t="s">
        <v>1090</v>
      </c>
      <c r="F509" t="s">
        <v>1091</v>
      </c>
      <c r="G509" s="48">
        <v>74</v>
      </c>
      <c r="I509" s="30"/>
    </row>
    <row r="510" spans="3:9">
      <c r="C510" t="s">
        <v>514</v>
      </c>
      <c r="D510" t="s">
        <v>1080</v>
      </c>
      <c r="E510" t="s">
        <v>1092</v>
      </c>
      <c r="F510" t="s">
        <v>1093</v>
      </c>
      <c r="G510" s="48">
        <v>74</v>
      </c>
      <c r="I510" s="30"/>
    </row>
    <row r="511" spans="3:9">
      <c r="C511" t="s">
        <v>514</v>
      </c>
      <c r="D511" t="s">
        <v>1080</v>
      </c>
      <c r="E511" t="s">
        <v>1094</v>
      </c>
      <c r="F511" t="s">
        <v>1095</v>
      </c>
      <c r="G511" s="48">
        <v>68</v>
      </c>
      <c r="I511" s="30"/>
    </row>
    <row r="512" spans="3:9">
      <c r="C512" t="s">
        <v>514</v>
      </c>
      <c r="D512" t="s">
        <v>1080</v>
      </c>
      <c r="E512" t="s">
        <v>1096</v>
      </c>
      <c r="F512" t="s">
        <v>1097</v>
      </c>
      <c r="G512" s="48">
        <v>80</v>
      </c>
      <c r="I512" s="30"/>
    </row>
    <row r="513" spans="3:9">
      <c r="C513" t="s">
        <v>514</v>
      </c>
      <c r="D513" t="s">
        <v>1098</v>
      </c>
      <c r="E513" t="s">
        <v>1099</v>
      </c>
      <c r="F513" t="s">
        <v>1100</v>
      </c>
      <c r="G513" s="48">
        <v>86</v>
      </c>
      <c r="I513" s="30"/>
    </row>
    <row r="514" spans="3:9">
      <c r="C514" t="s">
        <v>514</v>
      </c>
      <c r="D514" t="s">
        <v>1098</v>
      </c>
      <c r="E514" t="s">
        <v>886</v>
      </c>
      <c r="F514" t="s">
        <v>1101</v>
      </c>
      <c r="G514" s="48">
        <v>86</v>
      </c>
      <c r="I514" s="30"/>
    </row>
    <row r="515" spans="3:9">
      <c r="C515" t="s">
        <v>514</v>
      </c>
      <c r="D515" t="s">
        <v>1098</v>
      </c>
      <c r="E515" t="s">
        <v>1102</v>
      </c>
      <c r="F515" t="s">
        <v>1103</v>
      </c>
      <c r="G515" s="48">
        <v>74</v>
      </c>
      <c r="I515" s="30"/>
    </row>
    <row r="516" spans="3:9">
      <c r="C516" t="s">
        <v>514</v>
      </c>
      <c r="D516" t="s">
        <v>1098</v>
      </c>
      <c r="E516" t="s">
        <v>1104</v>
      </c>
      <c r="F516" t="s">
        <v>1105</v>
      </c>
      <c r="G516" s="48">
        <v>86</v>
      </c>
      <c r="I516" s="30"/>
    </row>
    <row r="517" spans="3:9">
      <c r="C517" t="s">
        <v>514</v>
      </c>
      <c r="D517" t="s">
        <v>1098</v>
      </c>
      <c r="E517" t="s">
        <v>1106</v>
      </c>
      <c r="F517" t="s">
        <v>1107</v>
      </c>
      <c r="G517" s="48">
        <v>86</v>
      </c>
      <c r="I517" s="30"/>
    </row>
    <row r="518" spans="3:9">
      <c r="C518" t="s">
        <v>514</v>
      </c>
      <c r="D518" t="s">
        <v>1108</v>
      </c>
      <c r="E518" t="s">
        <v>1109</v>
      </c>
      <c r="F518" t="s">
        <v>1110</v>
      </c>
      <c r="G518" s="48">
        <v>86</v>
      </c>
      <c r="I518" s="30"/>
    </row>
    <row r="519" spans="3:9">
      <c r="C519" t="s">
        <v>514</v>
      </c>
      <c r="D519" t="s">
        <v>1108</v>
      </c>
      <c r="E519" t="s">
        <v>1111</v>
      </c>
      <c r="F519" t="s">
        <v>1112</v>
      </c>
      <c r="G519" s="48">
        <v>86</v>
      </c>
      <c r="I519" s="30"/>
    </row>
    <row r="520" spans="3:9">
      <c r="C520" t="s">
        <v>514</v>
      </c>
      <c r="D520" t="s">
        <v>1108</v>
      </c>
      <c r="E520" t="s">
        <v>1113</v>
      </c>
      <c r="F520" t="s">
        <v>1114</v>
      </c>
      <c r="G520" s="48">
        <v>80</v>
      </c>
      <c r="I520" s="30"/>
    </row>
    <row r="521" spans="3:9">
      <c r="C521" t="s">
        <v>514</v>
      </c>
      <c r="D521" t="s">
        <v>1108</v>
      </c>
      <c r="E521" t="s">
        <v>1115</v>
      </c>
      <c r="F521" t="s">
        <v>1116</v>
      </c>
      <c r="G521" s="48">
        <v>92</v>
      </c>
      <c r="I521" s="30"/>
    </row>
    <row r="522" spans="3:9">
      <c r="C522" t="s">
        <v>514</v>
      </c>
      <c r="D522" t="s">
        <v>1108</v>
      </c>
      <c r="E522" t="s">
        <v>1117</v>
      </c>
      <c r="F522" t="s">
        <v>1118</v>
      </c>
      <c r="G522" s="48">
        <v>86</v>
      </c>
      <c r="I522" s="30"/>
    </row>
    <row r="523" spans="3:9">
      <c r="C523" t="s">
        <v>514</v>
      </c>
      <c r="D523" t="s">
        <v>1108</v>
      </c>
      <c r="E523" t="s">
        <v>1119</v>
      </c>
      <c r="F523" t="s">
        <v>1120</v>
      </c>
      <c r="G523" s="48">
        <v>92</v>
      </c>
      <c r="I523" s="30"/>
    </row>
    <row r="524" spans="3:9">
      <c r="C524" t="s">
        <v>514</v>
      </c>
      <c r="D524" t="s">
        <v>1108</v>
      </c>
      <c r="E524" t="s">
        <v>1121</v>
      </c>
      <c r="F524" t="s">
        <v>1122</v>
      </c>
      <c r="G524" s="48">
        <v>86</v>
      </c>
      <c r="I524" s="30"/>
    </row>
    <row r="525" spans="3:9">
      <c r="C525" t="s">
        <v>514</v>
      </c>
      <c r="D525" t="s">
        <v>1108</v>
      </c>
      <c r="E525" t="s">
        <v>1123</v>
      </c>
      <c r="F525" t="s">
        <v>1124</v>
      </c>
      <c r="G525" s="48">
        <v>86</v>
      </c>
    </row>
    <row r="526" spans="3:9">
      <c r="C526" t="s">
        <v>514</v>
      </c>
      <c r="D526" t="s">
        <v>1108</v>
      </c>
      <c r="E526" t="s">
        <v>163</v>
      </c>
      <c r="F526" t="s">
        <v>1125</v>
      </c>
      <c r="G526" s="48">
        <v>86</v>
      </c>
    </row>
    <row r="527" spans="3:9">
      <c r="C527" t="s">
        <v>514</v>
      </c>
      <c r="D527" t="s">
        <v>1126</v>
      </c>
      <c r="E527" t="s">
        <v>1127</v>
      </c>
      <c r="F527" t="s">
        <v>1128</v>
      </c>
      <c r="G527" s="48">
        <v>80</v>
      </c>
    </row>
    <row r="528" spans="3:9">
      <c r="C528" t="s">
        <v>514</v>
      </c>
      <c r="D528" t="s">
        <v>1126</v>
      </c>
      <c r="E528" t="s">
        <v>1129</v>
      </c>
      <c r="F528" t="s">
        <v>1130</v>
      </c>
      <c r="G528" s="48">
        <v>80</v>
      </c>
    </row>
    <row r="529" spans="3:7">
      <c r="C529" t="s">
        <v>514</v>
      </c>
      <c r="D529" t="s">
        <v>1126</v>
      </c>
      <c r="E529" t="s">
        <v>1131</v>
      </c>
      <c r="F529" t="s">
        <v>1132</v>
      </c>
      <c r="G529" s="48">
        <v>80</v>
      </c>
    </row>
    <row r="530" spans="3:7">
      <c r="C530" t="s">
        <v>514</v>
      </c>
      <c r="D530" t="s">
        <v>1133</v>
      </c>
      <c r="E530" s="4" t="s">
        <v>1134</v>
      </c>
      <c r="F530" s="4" t="s">
        <v>1135</v>
      </c>
      <c r="G530" s="48">
        <v>68</v>
      </c>
    </row>
    <row r="531" spans="3:7">
      <c r="C531" t="s">
        <v>514</v>
      </c>
      <c r="D531" t="s">
        <v>1133</v>
      </c>
      <c r="E531" t="s">
        <v>1025</v>
      </c>
      <c r="F531" t="s">
        <v>1136</v>
      </c>
      <c r="G531" s="48">
        <v>68</v>
      </c>
    </row>
    <row r="532" spans="3:7">
      <c r="C532" t="s">
        <v>514</v>
      </c>
      <c r="D532" t="s">
        <v>1137</v>
      </c>
      <c r="E532" t="s">
        <v>1138</v>
      </c>
      <c r="F532" t="s">
        <v>1139</v>
      </c>
      <c r="G532" s="48">
        <v>74</v>
      </c>
    </row>
    <row r="533" spans="3:7">
      <c r="C533" t="s">
        <v>514</v>
      </c>
      <c r="D533" t="s">
        <v>1137</v>
      </c>
      <c r="E533" t="s">
        <v>1140</v>
      </c>
      <c r="F533" t="s">
        <v>1141</v>
      </c>
      <c r="G533" s="48">
        <v>92</v>
      </c>
    </row>
    <row r="534" spans="3:7">
      <c r="C534" t="s">
        <v>514</v>
      </c>
      <c r="D534" t="s">
        <v>1142</v>
      </c>
      <c r="E534" t="s">
        <v>1143</v>
      </c>
      <c r="F534" t="s">
        <v>1144</v>
      </c>
      <c r="G534" s="48">
        <v>146</v>
      </c>
    </row>
    <row r="535" spans="3:7">
      <c r="C535" t="s">
        <v>514</v>
      </c>
      <c r="D535" t="s">
        <v>1142</v>
      </c>
      <c r="E535" t="s">
        <v>1145</v>
      </c>
      <c r="F535" t="s">
        <v>1146</v>
      </c>
      <c r="G535" s="48">
        <v>163</v>
      </c>
    </row>
    <row r="536" spans="3:7">
      <c r="C536" t="s">
        <v>514</v>
      </c>
      <c r="D536" t="s">
        <v>1142</v>
      </c>
      <c r="E536" t="s">
        <v>1147</v>
      </c>
      <c r="F536" t="s">
        <v>1148</v>
      </c>
      <c r="G536" s="48">
        <v>180</v>
      </c>
    </row>
    <row r="537" spans="3:7">
      <c r="C537" t="s">
        <v>514</v>
      </c>
      <c r="D537" t="s">
        <v>1142</v>
      </c>
      <c r="E537" t="s">
        <v>1149</v>
      </c>
      <c r="F537" t="s">
        <v>1150</v>
      </c>
      <c r="G537" s="48">
        <v>165</v>
      </c>
    </row>
    <row r="538" spans="3:7">
      <c r="C538" t="s">
        <v>514</v>
      </c>
      <c r="D538" t="s">
        <v>1142</v>
      </c>
      <c r="E538" t="s">
        <v>1151</v>
      </c>
      <c r="F538" t="s">
        <v>1152</v>
      </c>
      <c r="G538" s="48">
        <v>153</v>
      </c>
    </row>
    <row r="539" spans="3:7">
      <c r="C539" t="s">
        <v>514</v>
      </c>
      <c r="D539" t="s">
        <v>1142</v>
      </c>
      <c r="E539" t="s">
        <v>1153</v>
      </c>
      <c r="F539" t="s">
        <v>1154</v>
      </c>
      <c r="G539" s="48">
        <v>163</v>
      </c>
    </row>
    <row r="540" spans="3:7">
      <c r="C540" t="s">
        <v>514</v>
      </c>
      <c r="D540" t="s">
        <v>1142</v>
      </c>
      <c r="E540" t="s">
        <v>1155</v>
      </c>
      <c r="F540" t="s">
        <v>1156</v>
      </c>
      <c r="G540" s="48">
        <v>163</v>
      </c>
    </row>
    <row r="541" spans="3:7">
      <c r="C541" t="s">
        <v>514</v>
      </c>
      <c r="D541" t="s">
        <v>1157</v>
      </c>
      <c r="E541" t="s">
        <v>1158</v>
      </c>
      <c r="F541" t="s">
        <v>1159</v>
      </c>
      <c r="G541" s="48">
        <v>148</v>
      </c>
    </row>
    <row r="542" spans="3:7">
      <c r="C542" t="s">
        <v>514</v>
      </c>
      <c r="D542" t="s">
        <v>1157</v>
      </c>
      <c r="E542" t="s">
        <v>1160</v>
      </c>
      <c r="F542" t="s">
        <v>1161</v>
      </c>
      <c r="G542" s="48">
        <v>133</v>
      </c>
    </row>
    <row r="543" spans="3:7">
      <c r="C543" t="s">
        <v>514</v>
      </c>
      <c r="D543" t="s">
        <v>1157</v>
      </c>
      <c r="E543" t="s">
        <v>1155</v>
      </c>
      <c r="F543" t="s">
        <v>1162</v>
      </c>
      <c r="G543" s="48">
        <v>143</v>
      </c>
    </row>
    <row r="544" spans="3:7">
      <c r="C544" t="s">
        <v>514</v>
      </c>
      <c r="D544" t="s">
        <v>1163</v>
      </c>
      <c r="E544" t="s">
        <v>1155</v>
      </c>
      <c r="F544" t="s">
        <v>1164</v>
      </c>
      <c r="G544" s="48">
        <v>68</v>
      </c>
    </row>
    <row r="545" spans="1:7">
      <c r="C545" t="s">
        <v>1165</v>
      </c>
      <c r="D545" t="s">
        <v>1166</v>
      </c>
      <c r="E545" t="s">
        <v>38</v>
      </c>
      <c r="F545" t="s">
        <v>1167</v>
      </c>
      <c r="G545" s="48">
        <v>149</v>
      </c>
    </row>
    <row r="546" spans="1:7">
      <c r="C546" t="s">
        <v>1165</v>
      </c>
      <c r="D546" t="s">
        <v>1168</v>
      </c>
      <c r="E546" t="s">
        <v>38</v>
      </c>
      <c r="F546" t="s">
        <v>1169</v>
      </c>
      <c r="G546" s="48">
        <v>173</v>
      </c>
    </row>
    <row r="547" spans="1:7">
      <c r="C547" t="s">
        <v>1165</v>
      </c>
      <c r="D547" t="s">
        <v>1155</v>
      </c>
      <c r="E547" t="s">
        <v>38</v>
      </c>
      <c r="F547" t="s">
        <v>1170</v>
      </c>
      <c r="G547" s="48">
        <v>149</v>
      </c>
    </row>
    <row r="548" spans="1:7">
      <c r="G548" s="48"/>
    </row>
    <row r="550" spans="1:7" ht="16.149999999999999">
      <c r="A550" s="11" t="s">
        <v>1171</v>
      </c>
      <c r="B550" s="6"/>
      <c r="C550" s="13"/>
      <c r="G550" s="48"/>
    </row>
    <row r="551" spans="1:7">
      <c r="A551" t="s">
        <v>36</v>
      </c>
      <c r="C551" s="18"/>
      <c r="G551" s="48"/>
    </row>
    <row r="552" spans="1:7">
      <c r="A552" t="s">
        <v>42</v>
      </c>
      <c r="C552" s="13"/>
      <c r="G552" s="48"/>
    </row>
    <row r="553" spans="1:7">
      <c r="A553" t="s">
        <v>50</v>
      </c>
      <c r="C553" s="13"/>
      <c r="G553" s="48"/>
    </row>
    <row r="554" spans="1:7">
      <c r="A554" t="s">
        <v>60</v>
      </c>
      <c r="B554" s="6"/>
      <c r="C554" s="13"/>
      <c r="G554" s="48"/>
    </row>
    <row r="555" spans="1:7">
      <c r="A555" t="s">
        <v>63</v>
      </c>
      <c r="B555" s="17"/>
      <c r="C555" s="19"/>
      <c r="G555" s="48"/>
    </row>
    <row r="556" spans="1:7">
      <c r="A556" t="s">
        <v>79</v>
      </c>
      <c r="B556" s="17"/>
      <c r="C556" s="19"/>
      <c r="G556" s="48"/>
    </row>
    <row r="557" spans="1:7">
      <c r="A557" t="s">
        <v>91</v>
      </c>
      <c r="B557" s="17"/>
      <c r="C557" s="19"/>
      <c r="G557" s="48"/>
    </row>
    <row r="558" spans="1:7">
      <c r="A558" t="s">
        <v>121</v>
      </c>
      <c r="B558" s="17"/>
      <c r="C558" s="19"/>
      <c r="G558" s="48"/>
    </row>
    <row r="559" spans="1:7">
      <c r="A559" t="s">
        <v>175</v>
      </c>
      <c r="B559" s="17"/>
      <c r="C559" s="19"/>
      <c r="G559" s="48"/>
    </row>
    <row r="560" spans="1:7">
      <c r="A560" t="s">
        <v>178</v>
      </c>
      <c r="B560" s="17"/>
      <c r="C560" s="19"/>
      <c r="G560" s="48"/>
    </row>
    <row r="561" spans="1:7">
      <c r="A561" t="s">
        <v>182</v>
      </c>
      <c r="B561" s="17"/>
      <c r="C561" s="19"/>
      <c r="G561" s="48"/>
    </row>
    <row r="562" spans="1:7">
      <c r="A562" t="s">
        <v>210</v>
      </c>
      <c r="B562" s="17"/>
      <c r="C562" s="19"/>
      <c r="G562" s="48"/>
    </row>
    <row r="563" spans="1:7">
      <c r="A563" t="s">
        <v>214</v>
      </c>
      <c r="G563" s="48"/>
    </row>
    <row r="564" spans="1:7">
      <c r="A564" t="s">
        <v>229</v>
      </c>
      <c r="G564" s="48"/>
    </row>
    <row r="565" spans="1:7">
      <c r="A565" t="s">
        <v>232</v>
      </c>
      <c r="G565" s="48"/>
    </row>
    <row r="566" spans="1:7">
      <c r="A566" t="s">
        <v>246</v>
      </c>
      <c r="G566" s="48"/>
    </row>
    <row r="567" spans="1:7">
      <c r="A567" t="s">
        <v>258</v>
      </c>
      <c r="G567" s="48"/>
    </row>
    <row r="568" spans="1:7">
      <c r="A568" t="s">
        <v>262</v>
      </c>
      <c r="G568" s="48"/>
    </row>
    <row r="569" spans="1:7">
      <c r="A569" t="s">
        <v>265</v>
      </c>
      <c r="G569" s="48"/>
    </row>
    <row r="570" spans="1:7">
      <c r="A570" t="s">
        <v>268</v>
      </c>
      <c r="G570" s="48"/>
    </row>
    <row r="571" spans="1:7">
      <c r="A571" t="s">
        <v>271</v>
      </c>
      <c r="G571" s="48"/>
    </row>
    <row r="572" spans="1:7">
      <c r="A572" t="s">
        <v>275</v>
      </c>
      <c r="G572" s="48"/>
    </row>
    <row r="573" spans="1:7">
      <c r="A573" t="s">
        <v>279</v>
      </c>
      <c r="G573" s="48"/>
    </row>
    <row r="574" spans="1:7">
      <c r="A574" t="s">
        <v>291</v>
      </c>
      <c r="G574" s="48"/>
    </row>
    <row r="575" spans="1:7">
      <c r="A575" t="s">
        <v>303</v>
      </c>
      <c r="G575" s="48"/>
    </row>
    <row r="576" spans="1:7">
      <c r="A576" t="s">
        <v>317</v>
      </c>
      <c r="G576" s="48"/>
    </row>
    <row r="577" spans="1:7">
      <c r="A577" t="s">
        <v>309</v>
      </c>
      <c r="G577" s="48"/>
    </row>
    <row r="578" spans="1:7">
      <c r="A578" t="s">
        <v>401</v>
      </c>
      <c r="G578" s="48"/>
    </row>
    <row r="579" spans="1:7">
      <c r="A579" t="s">
        <v>22</v>
      </c>
      <c r="G579" s="48"/>
    </row>
    <row r="580" spans="1:7">
      <c r="A580" t="s">
        <v>417</v>
      </c>
      <c r="G580" s="48"/>
    </row>
    <row r="581" spans="1:7">
      <c r="A581" t="s">
        <v>425</v>
      </c>
      <c r="G581" s="48"/>
    </row>
    <row r="582" spans="1:7">
      <c r="A582" t="s">
        <v>433</v>
      </c>
      <c r="G582" s="48"/>
    </row>
    <row r="583" spans="1:7">
      <c r="A583" s="4" t="s">
        <v>441</v>
      </c>
      <c r="G583" s="48"/>
    </row>
    <row r="584" spans="1:7">
      <c r="A584" s="4" t="s">
        <v>444</v>
      </c>
      <c r="G584" s="48"/>
    </row>
    <row r="585" spans="1:7">
      <c r="A585" s="4" t="s">
        <v>447</v>
      </c>
      <c r="G585" s="48"/>
    </row>
    <row r="586" spans="1:7">
      <c r="A586" s="4" t="s">
        <v>451</v>
      </c>
      <c r="G586" s="48"/>
    </row>
    <row r="587" spans="1:7">
      <c r="A587" t="s">
        <v>457</v>
      </c>
      <c r="G587" s="48"/>
    </row>
    <row r="588" spans="1:7">
      <c r="A588" s="4" t="s">
        <v>461</v>
      </c>
      <c r="G588" s="48"/>
    </row>
    <row r="589" spans="1:7">
      <c r="A589" s="4" t="s">
        <v>467</v>
      </c>
      <c r="G589" s="48"/>
    </row>
    <row r="590" spans="1:7">
      <c r="A590" t="s">
        <v>483</v>
      </c>
      <c r="G590" s="48"/>
    </row>
    <row r="591" spans="1:7">
      <c r="A591" t="s">
        <v>491</v>
      </c>
      <c r="G591" s="48"/>
    </row>
    <row r="592" spans="1:7">
      <c r="A592" t="s">
        <v>511</v>
      </c>
      <c r="G592" s="48"/>
    </row>
    <row r="593" spans="1:7">
      <c r="A593" t="s">
        <v>1165</v>
      </c>
      <c r="G593" s="48"/>
    </row>
    <row r="594" spans="1:7">
      <c r="A594" t="s">
        <v>514</v>
      </c>
      <c r="G594" s="48"/>
    </row>
    <row r="599" spans="1:7">
      <c r="A599" s="6" t="s">
        <v>7</v>
      </c>
      <c r="G599" s="48"/>
    </row>
    <row r="600" spans="1:7">
      <c r="A600" s="13" t="s">
        <v>21</v>
      </c>
      <c r="B600" s="18"/>
      <c r="G600" s="48"/>
    </row>
    <row r="601" spans="1:7">
      <c r="A601" s="13" t="s">
        <v>1172</v>
      </c>
      <c r="G601" s="48"/>
    </row>
    <row r="603" spans="1:7">
      <c r="A603" s="6" t="s">
        <v>17</v>
      </c>
      <c r="G603" s="48"/>
    </row>
    <row r="604" spans="1:7">
      <c r="A604" s="17" t="s">
        <v>24</v>
      </c>
      <c r="B604" s="19">
        <v>0</v>
      </c>
      <c r="G604" s="48"/>
    </row>
    <row r="605" spans="1:7">
      <c r="A605" s="17" t="s">
        <v>1173</v>
      </c>
      <c r="B605" s="19">
        <v>0.16</v>
      </c>
      <c r="G605" s="48"/>
    </row>
    <row r="606" spans="1:7">
      <c r="A606" s="17" t="s">
        <v>1174</v>
      </c>
      <c r="B606" s="19">
        <v>0.4</v>
      </c>
      <c r="G606" s="48"/>
    </row>
    <row r="607" spans="1:7">
      <c r="A607" s="17" t="s">
        <v>1175</v>
      </c>
      <c r="B607" s="19">
        <v>0.56000000000000005</v>
      </c>
      <c r="G607" s="48"/>
    </row>
    <row r="608" spans="1:7">
      <c r="A608" s="17" t="s">
        <v>1176</v>
      </c>
      <c r="B608" s="19">
        <v>0.8</v>
      </c>
      <c r="G608" s="48"/>
    </row>
    <row r="609" spans="1:7">
      <c r="A609" s="17" t="s">
        <v>1177</v>
      </c>
      <c r="B609" s="19">
        <v>0.24</v>
      </c>
      <c r="G609" s="48"/>
    </row>
    <row r="610" spans="1:7">
      <c r="A610" s="17" t="s">
        <v>1178</v>
      </c>
      <c r="B610" s="19">
        <v>0.64</v>
      </c>
      <c r="G610" s="48"/>
    </row>
    <row r="611" spans="1:7">
      <c r="A611" s="17" t="s">
        <v>1179</v>
      </c>
      <c r="B611" s="19">
        <v>0.4</v>
      </c>
      <c r="G611" s="48"/>
    </row>
    <row r="612" spans="1:7">
      <c r="B612"/>
      <c r="G612" s="48"/>
    </row>
    <row r="613" spans="1:7">
      <c r="A613" s="6" t="s">
        <v>1180</v>
      </c>
      <c r="G613" s="48"/>
    </row>
    <row r="614" spans="1:7">
      <c r="A614" s="13" t="s">
        <v>1181</v>
      </c>
      <c r="G614" s="48"/>
    </row>
    <row r="615" spans="1:7">
      <c r="A615" s="13" t="s">
        <v>1182</v>
      </c>
      <c r="G615" s="48"/>
    </row>
    <row r="616" spans="1:7">
      <c r="A616" s="13" t="s">
        <v>1183</v>
      </c>
      <c r="G616" s="48"/>
    </row>
    <row r="617" spans="1:7">
      <c r="A617" s="13" t="s">
        <v>1184</v>
      </c>
      <c r="G617" s="48"/>
    </row>
    <row r="618" spans="1:7">
      <c r="A618" s="13" t="s">
        <v>1185</v>
      </c>
      <c r="G618" s="48"/>
    </row>
    <row r="619" spans="1:7">
      <c r="A619" s="13" t="s">
        <v>1186</v>
      </c>
      <c r="G619" s="48"/>
    </row>
    <row r="620" spans="1:7">
      <c r="A620" s="13" t="s">
        <v>1187</v>
      </c>
      <c r="G620" s="48"/>
    </row>
    <row r="621" spans="1:7">
      <c r="A621" s="13" t="s">
        <v>1188</v>
      </c>
      <c r="G621" s="48"/>
    </row>
    <row r="622" spans="1:7">
      <c r="A622" s="13" t="s">
        <v>1189</v>
      </c>
      <c r="G622" s="48"/>
    </row>
    <row r="623" spans="1:7">
      <c r="A623" s="13" t="s">
        <v>1190</v>
      </c>
      <c r="G623" s="48"/>
    </row>
    <row r="624" spans="1:7">
      <c r="A624" s="13" t="s">
        <v>1191</v>
      </c>
      <c r="G624" s="48"/>
    </row>
    <row r="625" spans="1:1">
      <c r="A625" s="13" t="s">
        <v>1192</v>
      </c>
    </row>
    <row r="626" spans="1:1">
      <c r="A626" s="13" t="s">
        <v>1193</v>
      </c>
    </row>
    <row r="627" spans="1:1">
      <c r="A627" s="13" t="s">
        <v>1194</v>
      </c>
    </row>
    <row r="628" spans="1:1">
      <c r="A628" s="13" t="s">
        <v>1195</v>
      </c>
    </row>
    <row r="629" spans="1:1">
      <c r="A629" s="13" t="s">
        <v>1196</v>
      </c>
    </row>
    <row r="630" spans="1:1">
      <c r="A630" s="13" t="s">
        <v>1197</v>
      </c>
    </row>
    <row r="631" spans="1:1">
      <c r="A631" s="13" t="s">
        <v>1198</v>
      </c>
    </row>
    <row r="632" spans="1:1">
      <c r="A632" s="13" t="s">
        <v>1199</v>
      </c>
    </row>
    <row r="633" spans="1:1">
      <c r="A633" s="13" t="s">
        <v>1200</v>
      </c>
    </row>
    <row r="634" spans="1:1">
      <c r="A634" s="13" t="s">
        <v>1201</v>
      </c>
    </row>
    <row r="635" spans="1:1">
      <c r="A635" s="13" t="s">
        <v>1202</v>
      </c>
    </row>
    <row r="637" spans="1:1">
      <c r="A637" s="6" t="s">
        <v>1203</v>
      </c>
    </row>
    <row r="638" spans="1:1">
      <c r="A638" s="13" t="s">
        <v>1204</v>
      </c>
    </row>
    <row r="639" spans="1:1">
      <c r="A639" s="13" t="s">
        <v>1205</v>
      </c>
    </row>
    <row r="640" spans="1:1">
      <c r="A640" s="13" t="s">
        <v>1206</v>
      </c>
    </row>
    <row r="641" spans="1:1">
      <c r="A641" s="13" t="s">
        <v>1207</v>
      </c>
    </row>
    <row r="642" spans="1:1">
      <c r="A642" s="13" t="s">
        <v>1208</v>
      </c>
    </row>
    <row r="643" spans="1:1">
      <c r="A643" s="13" t="s">
        <v>1209</v>
      </c>
    </row>
    <row r="644" spans="1:1">
      <c r="A644" s="13" t="s">
        <v>1210</v>
      </c>
    </row>
    <row r="645" spans="1:1">
      <c r="A645" s="13" t="s">
        <v>1211</v>
      </c>
    </row>
    <row r="646" spans="1:1">
      <c r="A646" s="13" t="s">
        <v>1212</v>
      </c>
    </row>
    <row r="647" spans="1:1">
      <c r="A647" s="13" t="s">
        <v>1213</v>
      </c>
    </row>
    <row r="648" spans="1:1">
      <c r="A648" s="13" t="s">
        <v>1214</v>
      </c>
    </row>
    <row r="649" spans="1:1">
      <c r="A649" s="13" t="s">
        <v>1215</v>
      </c>
    </row>
    <row r="650" spans="1:1">
      <c r="A650" s="13" t="s">
        <v>1216</v>
      </c>
    </row>
    <row r="651" spans="1:1">
      <c r="A651" s="13" t="s">
        <v>1217</v>
      </c>
    </row>
    <row r="652" spans="1:1">
      <c r="A652" s="13" t="s">
        <v>1218</v>
      </c>
    </row>
    <row r="653" spans="1:1">
      <c r="A653" s="13" t="s">
        <v>1219</v>
      </c>
    </row>
    <row r="655" spans="1:1">
      <c r="A655" s="6" t="s">
        <v>8</v>
      </c>
    </row>
    <row r="656" spans="1:1">
      <c r="A656" s="13" t="s">
        <v>1220</v>
      </c>
    </row>
    <row r="657" spans="1:1">
      <c r="A657" s="13" t="s">
        <v>1221</v>
      </c>
    </row>
    <row r="658" spans="1:1">
      <c r="A658" s="13" t="s">
        <v>1222</v>
      </c>
    </row>
    <row r="659" spans="1:1">
      <c r="A659" s="13" t="s">
        <v>1223</v>
      </c>
    </row>
    <row r="660" spans="1:1">
      <c r="A660" s="13" t="s">
        <v>1224</v>
      </c>
    </row>
    <row r="661" spans="1:1">
      <c r="A661" s="13" t="s">
        <v>1225</v>
      </c>
    </row>
    <row r="662" spans="1:1">
      <c r="A662" s="13" t="s">
        <v>1226</v>
      </c>
    </row>
    <row r="663" spans="1:1">
      <c r="A663" s="13" t="s">
        <v>1227</v>
      </c>
    </row>
    <row r="664" spans="1:1">
      <c r="A664" s="13" t="s">
        <v>1228</v>
      </c>
    </row>
    <row r="665" spans="1:1">
      <c r="A665" s="13" t="s">
        <v>1229</v>
      </c>
    </row>
    <row r="666" spans="1:1">
      <c r="A666" s="13" t="s">
        <v>1230</v>
      </c>
    </row>
    <row r="667" spans="1:1">
      <c r="A667" s="13" t="s">
        <v>1231</v>
      </c>
    </row>
    <row r="668" spans="1:1">
      <c r="A668" s="13" t="s">
        <v>1232</v>
      </c>
    </row>
    <row r="669" spans="1:1">
      <c r="A669" s="13" t="s">
        <v>1233</v>
      </c>
    </row>
    <row r="670" spans="1:1">
      <c r="A670" s="13" t="s">
        <v>1234</v>
      </c>
    </row>
    <row r="671" spans="1:1">
      <c r="A671" s="13" t="s">
        <v>1235</v>
      </c>
    </row>
    <row r="672" spans="1:1">
      <c r="A672" s="13" t="s">
        <v>1236</v>
      </c>
    </row>
    <row r="673" spans="1:1">
      <c r="A673" s="13" t="s">
        <v>1237</v>
      </c>
    </row>
    <row r="674" spans="1:1">
      <c r="A674" s="13" t="s">
        <v>1238</v>
      </c>
    </row>
    <row r="675" spans="1:1">
      <c r="A675" s="13" t="s">
        <v>1239</v>
      </c>
    </row>
    <row r="676" spans="1:1">
      <c r="A676" s="13" t="s">
        <v>1240</v>
      </c>
    </row>
    <row r="677" spans="1:1">
      <c r="A677" s="13" t="s">
        <v>1241</v>
      </c>
    </row>
    <row r="678" spans="1:1">
      <c r="A678" s="13" t="s">
        <v>1242</v>
      </c>
    </row>
    <row r="679" spans="1:1">
      <c r="A679" s="13" t="s">
        <v>1243</v>
      </c>
    </row>
    <row r="680" spans="1:1">
      <c r="A680" s="13" t="s">
        <v>1244</v>
      </c>
    </row>
    <row r="682" spans="1:1">
      <c r="A682" s="6" t="s">
        <v>1245</v>
      </c>
    </row>
    <row r="683" spans="1:1">
      <c r="A683" s="13" t="s">
        <v>1246</v>
      </c>
    </row>
    <row r="684" spans="1:1">
      <c r="A684" s="13" t="s">
        <v>1247</v>
      </c>
    </row>
    <row r="685" spans="1:1">
      <c r="A685" s="13" t="s">
        <v>1248</v>
      </c>
    </row>
    <row r="686" spans="1:1">
      <c r="A686" s="13" t="s">
        <v>1249</v>
      </c>
    </row>
    <row r="687" spans="1:1">
      <c r="A687" s="13" t="s">
        <v>1250</v>
      </c>
    </row>
    <row r="688" spans="1:1">
      <c r="A688" s="13" t="s">
        <v>1251</v>
      </c>
    </row>
    <row r="689" spans="1:1">
      <c r="A689" s="13" t="s">
        <v>1252</v>
      </c>
    </row>
    <row r="690" spans="1:1">
      <c r="A690" s="13" t="s">
        <v>1253</v>
      </c>
    </row>
    <row r="691" spans="1:1">
      <c r="A691" s="13" t="s">
        <v>1254</v>
      </c>
    </row>
    <row r="692" spans="1:1">
      <c r="A692" s="13" t="s">
        <v>1255</v>
      </c>
    </row>
    <row r="693" spans="1:1">
      <c r="A693" s="13" t="s">
        <v>1256</v>
      </c>
    </row>
    <row r="694" spans="1:1">
      <c r="A694" s="13" t="s">
        <v>1257</v>
      </c>
    </row>
    <row r="695" spans="1:1">
      <c r="A695" s="13" t="s">
        <v>1258</v>
      </c>
    </row>
    <row r="696" spans="1:1">
      <c r="A696" s="13" t="s">
        <v>1259</v>
      </c>
    </row>
    <row r="697" spans="1:1">
      <c r="A697" s="13" t="s">
        <v>1260</v>
      </c>
    </row>
    <row r="698" spans="1:1">
      <c r="A698" s="13" t="s">
        <v>1261</v>
      </c>
    </row>
    <row r="699" spans="1:1">
      <c r="A699" s="13" t="s">
        <v>1262</v>
      </c>
    </row>
    <row r="700" spans="1:1">
      <c r="A700" s="13" t="s">
        <v>1263</v>
      </c>
    </row>
    <row r="701" spans="1:1">
      <c r="A701" s="13" t="s">
        <v>1264</v>
      </c>
    </row>
    <row r="702" spans="1:1">
      <c r="A702" s="13" t="s">
        <v>1265</v>
      </c>
    </row>
    <row r="703" spans="1:1">
      <c r="A703" s="13" t="s">
        <v>1266</v>
      </c>
    </row>
    <row r="704" spans="1:1">
      <c r="A704" s="13" t="s">
        <v>1267</v>
      </c>
    </row>
    <row r="705" spans="1:1">
      <c r="A705" s="13" t="s">
        <v>1268</v>
      </c>
    </row>
    <row r="706" spans="1:1">
      <c r="A706" s="13" t="s">
        <v>1269</v>
      </c>
    </row>
    <row r="707" spans="1:1">
      <c r="A707" s="13" t="s">
        <v>1270</v>
      </c>
    </row>
    <row r="708" spans="1:1">
      <c r="A708" s="13" t="s">
        <v>1271</v>
      </c>
    </row>
    <row r="709" spans="1:1">
      <c r="A709" s="13" t="s">
        <v>1272</v>
      </c>
    </row>
    <row r="710" spans="1:1">
      <c r="A710" s="13" t="s">
        <v>1273</v>
      </c>
    </row>
    <row r="711" spans="1:1">
      <c r="A711" s="13" t="s">
        <v>1274</v>
      </c>
    </row>
    <row r="712" spans="1:1">
      <c r="A712" s="13" t="s">
        <v>1275</v>
      </c>
    </row>
    <row r="713" spans="1:1">
      <c r="A713" s="13" t="s">
        <v>1276</v>
      </c>
    </row>
    <row r="714" spans="1:1">
      <c r="A714" s="13" t="s">
        <v>1277</v>
      </c>
    </row>
    <row r="715" spans="1:1">
      <c r="A715" s="13" t="s">
        <v>1278</v>
      </c>
    </row>
    <row r="716" spans="1:1">
      <c r="A716" s="13" t="s">
        <v>1279</v>
      </c>
    </row>
  </sheetData>
  <sheetProtection sheet="1" objects="1" scenarios="1"/>
  <phoneticPr fontId="4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MediaLengthInSeconds xmlns="f2466082-b6bf-4153-98c3-3c41e85fda18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2FBEB6-CED9-46D3-B1F0-2DDE82A3835B}"/>
</file>

<file path=customXml/itemProps2.xml><?xml version="1.0" encoding="utf-8"?>
<ds:datastoreItem xmlns:ds="http://schemas.openxmlformats.org/officeDocument/2006/customXml" ds:itemID="{4FD473BF-3223-448D-ADD4-8D1290E7A936}"/>
</file>

<file path=customXml/itemProps3.xml><?xml version="1.0" encoding="utf-8"?>
<ds:datastoreItem xmlns:ds="http://schemas.openxmlformats.org/officeDocument/2006/customXml" ds:itemID="{94A062D5-4BB2-475C-B93F-9FC681CF3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jtrimarchi</dc:creator>
  <cp:keywords/>
  <dc:description/>
  <cp:lastModifiedBy>Mariel Barbosa Amador</cp:lastModifiedBy>
  <cp:revision/>
  <dcterms:created xsi:type="dcterms:W3CDTF">2009-12-18T22:17:54Z</dcterms:created>
  <dcterms:modified xsi:type="dcterms:W3CDTF">2026-07-13T20:22:07Z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61400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