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defaultThemeVersion="124226"/>
  <xr:revisionPtr revIDLastSave="421" documentId="6_{A3DE2760-1494-4123-AEC9-D1454BC2128C}" xr6:coauthVersionLast="47" xr6:coauthVersionMax="47" xr10:uidLastSave="{58E5EDF0-A564-4F9E-A6F2-DE0FF63A84B0}"/>
  <bookViews>
    <workbookView xWindow="-120" yWindow="-120" windowWidth="29040" windowHeight="15720" xr2:uid="{00000000-000D-0000-FFFF-FFFF00000000}"/>
  </bookViews>
  <sheets>
    <sheet name="APP" sheetId="1" r:id="rId1"/>
    <sheet name="Lis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1" l="1"/>
  <c r="I47" i="1"/>
  <c r="I57" i="1"/>
</calcChain>
</file>

<file path=xl/sharedStrings.xml><?xml version="1.0" encoding="utf-8"?>
<sst xmlns="http://schemas.openxmlformats.org/spreadsheetml/2006/main" count="260" uniqueCount="75">
  <si>
    <t>ANNUAL PROCUREMENT PLAN</t>
  </si>
  <si>
    <t xml:space="preserve">Prepared by: </t>
  </si>
  <si>
    <t>Funder/Grant or Dept.:</t>
  </si>
  <si>
    <t>Contract / Agreement No. (if Applicable):</t>
  </si>
  <si>
    <t xml:space="preserve">Period Covered: </t>
  </si>
  <si>
    <t>January 1, 2025 to June 30, 2025</t>
  </si>
  <si>
    <t>No.</t>
  </si>
  <si>
    <t>Item
description
(What to procure)</t>
  </si>
  <si>
    <t>Deadline to submit Purchase Requisition Form</t>
  </si>
  <si>
    <t>Day and month when goods/services  must be received</t>
  </si>
  <si>
    <t>Quantity (How
many)</t>
  </si>
  <si>
    <t>Expected delivery location/procurement region</t>
  </si>
  <si>
    <t>Responsible Staff Member for the Purchase Requisition Form</t>
  </si>
  <si>
    <t>Estimated Cost
COP</t>
  </si>
  <si>
    <t>Procurement method (select from drop down)</t>
  </si>
  <si>
    <t>Type of Procurement (select from drop down)</t>
  </si>
  <si>
    <t>Donor prior approval and/or wavier required? (select from drop down)</t>
  </si>
  <si>
    <t>Cartilla diálogo social 2 (Tomo 1 y 2) - diseño e impresión</t>
  </si>
  <si>
    <t>Bogota</t>
  </si>
  <si>
    <t>Carolina Hernández</t>
  </si>
  <si>
    <t>Small purchase</t>
  </si>
  <si>
    <t xml:space="preserve">Technical - Workplan </t>
  </si>
  <si>
    <t>Neither needed</t>
  </si>
  <si>
    <t>Cápsulas (6) diálogo social Ministerio del Trabajo</t>
  </si>
  <si>
    <t>Cartilla interactiva Diálogo Social</t>
  </si>
  <si>
    <t>Contratación encuestas actores clave para indicador 9a</t>
  </si>
  <si>
    <t>Bogotá</t>
  </si>
  <si>
    <t>Catalina Useche</t>
  </si>
  <si>
    <t>Micro-purchase</t>
  </si>
  <si>
    <t>Campaña ugpp cuñas</t>
  </si>
  <si>
    <t>Campaña ugpp folletos digitales</t>
  </si>
  <si>
    <t>Video conclusiones Evaluación integral</t>
  </si>
  <si>
    <t>Testimoniales graduandos</t>
  </si>
  <si>
    <t>Slide Deck proyecto</t>
  </si>
  <si>
    <t>Quote cards</t>
  </si>
  <si>
    <t>Historia de vida trabajador 1</t>
  </si>
  <si>
    <t>Historia de vida trabajador 2</t>
  </si>
  <si>
    <t>Historia de vida trabajador 3</t>
  </si>
  <si>
    <t>Historia de vida Empresa 1</t>
  </si>
  <si>
    <t>Historia de vida Empresa 2</t>
  </si>
  <si>
    <t>Facilitadores Escuela de Diálogo Social</t>
  </si>
  <si>
    <t>Buenaventura, Barranquilla, Cartagena, Santa Marta</t>
  </si>
  <si>
    <t>Ana María Hernández</t>
  </si>
  <si>
    <t>Video de cierre</t>
  </si>
  <si>
    <t>Contrato con ESTARTER</t>
  </si>
  <si>
    <t>Catherine Ramos</t>
  </si>
  <si>
    <t xml:space="preserve">Operational </t>
  </si>
  <si>
    <t>Facilitador taller virtual Liderazgo para mujeres</t>
  </si>
  <si>
    <t>Libia Alba</t>
  </si>
  <si>
    <t>Ampliación contrato Enrique Borda</t>
  </si>
  <si>
    <t>Monto agotable o hasta la finalización del proyecto</t>
  </si>
  <si>
    <t>Contrato asesor en derecho laboral</t>
  </si>
  <si>
    <t>Webinar rendición de cuentas cierre proyecto</t>
  </si>
  <si>
    <t>Diseño de cartilla interactiva para empleadores sobre aportes al sistema de la seguridad social</t>
  </si>
  <si>
    <t>Libia Alba y Carolina Hernandez</t>
  </si>
  <si>
    <t>Emisión de cuñas UGPP</t>
  </si>
  <si>
    <t>Facilitadores OCA - gobernanza</t>
  </si>
  <si>
    <t>Pastora Gonzalez</t>
  </si>
  <si>
    <t>Facilitadores OCA - género</t>
  </si>
  <si>
    <t>Facilitadores OCA - comunicaciones</t>
  </si>
  <si>
    <t>Facilitadores OCA - proyectos</t>
  </si>
  <si>
    <t>Consultor cierre OCA - Raquel patron</t>
  </si>
  <si>
    <t xml:space="preserve">Total: </t>
  </si>
  <si>
    <t>Reviewed and Approved by:</t>
  </si>
  <si>
    <t>Date:</t>
  </si>
  <si>
    <t>Signature:</t>
  </si>
  <si>
    <t>Competitive proposal</t>
  </si>
  <si>
    <t>Non-competitive (sole source)</t>
  </si>
  <si>
    <t>Both prior approval &amp; wavier needed</t>
  </si>
  <si>
    <t>Prior approval needed</t>
  </si>
  <si>
    <t>Wavier needed</t>
  </si>
  <si>
    <t>Preguntas frecuentes</t>
  </si>
  <si>
    <t>M&amp;E</t>
  </si>
  <si>
    <t>INTERVENCIÓN</t>
  </si>
  <si>
    <t>Webinar midterm (USDOL)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</si>
</sst>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(* #,##0.00_);_(* \(#,##0.00\);_(* &quot;-&quot;??_);_(@_)"/>
    <numFmt numFmtId="165" formatCode="[$$-409]#,##0.00"/>
    <numFmt numFmtId="166" formatCode="[$-F800]dddd\,\ mmmm\ dd\,\ yyyy"/>
  </numFmts>
  <fonts count="9" x14ac:knownFonts="1">
    <font>
      <sz val="10"/>
      <name val="Arial"/>
    </font>
    <font>
      <b/>
      <sz val="11"/>
      <name val="Times New Roman"/>
      <family val="1"/>
    </font>
    <font>
      <sz val="11"/>
      <name val="Times New Roman"/>
      <family val="1"/>
    </font>
    <font>
      <b/>
      <sz val="18"/>
      <name val="Times New Roman"/>
      <family val="1"/>
    </font>
    <font>
      <b/>
      <i/>
      <sz val="11"/>
      <name val="Times New Roman"/>
      <family val="1"/>
    </font>
    <font>
      <sz val="10"/>
      <name val="Arial"/>
      <family val="2"/>
    </font>
    <font>
      <sz val="10"/>
      <name val="Arial"/>
    </font>
    <font>
      <b/>
      <sz val="8"/>
      <name val="Times New Roman"/>
      <family val="1"/>
    </font>
    <font>
      <sz val="11"/>
      <color rgb="FF92D05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61">
    <xf numFmtId="0" fontId="0" fillId="0" borderId="0" xfId="0"/>
    <xf numFmtId="166" fontId="0" fillId="0" borderId="0" xfId="0" applyNumberFormat="1"/>
    <xf numFmtId="0" fontId="2" fillId="0" borderId="0" xfId="0" applyFont="1"/>
    <xf numFmtId="0" fontId="1" fillId="0" borderId="0" xfId="0" applyFont="1"/>
    <xf numFmtId="166" fontId="1" fillId="0" borderId="0" xfId="0" applyNumberFormat="1" applyFont="1"/>
    <xf numFmtId="4" fontId="2" fillId="0" borderId="1" xfId="0" applyNumberFormat="1" applyFont="1" applyBorder="1"/>
    <xf numFmtId="166" fontId="2" fillId="0" borderId="0" xfId="0" applyNumberFormat="1" applyFont="1"/>
    <xf numFmtId="0" fontId="2" fillId="0" borderId="2" xfId="0" applyFont="1" applyBorder="1"/>
    <xf numFmtId="14" fontId="2" fillId="0" borderId="2" xfId="0" applyNumberFormat="1" applyFont="1" applyBorder="1"/>
    <xf numFmtId="166" fontId="2" fillId="0" borderId="1" xfId="0" applyNumberFormat="1" applyFont="1" applyBorder="1" applyAlignment="1">
      <alignment horizontal="left"/>
    </xf>
    <xf numFmtId="0" fontId="4" fillId="0" borderId="0" xfId="0" applyFont="1"/>
    <xf numFmtId="0" fontId="1" fillId="0" borderId="1" xfId="0" applyFont="1" applyBorder="1"/>
    <xf numFmtId="166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165" fontId="1" fillId="0" borderId="1" xfId="0" applyNumberFormat="1" applyFont="1" applyBorder="1"/>
    <xf numFmtId="166" fontId="0" fillId="0" borderId="2" xfId="0" applyNumberFormat="1" applyBorder="1"/>
    <xf numFmtId="166" fontId="2" fillId="0" borderId="2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left"/>
    </xf>
    <xf numFmtId="14" fontId="2" fillId="0" borderId="0" xfId="0" applyNumberFormat="1" applyFont="1"/>
    <xf numFmtId="0" fontId="1" fillId="0" borderId="1" xfId="0" applyFont="1" applyBorder="1" applyAlignment="1">
      <alignment vertical="center" wrapText="1"/>
    </xf>
    <xf numFmtId="2" fontId="2" fillId="0" borderId="1" xfId="1" applyNumberFormat="1" applyFont="1" applyBorder="1" applyAlignment="1"/>
    <xf numFmtId="49" fontId="2" fillId="0" borderId="1" xfId="0" applyNumberFormat="1" applyFont="1" applyBorder="1" applyAlignment="1">
      <alignment wrapText="1"/>
    </xf>
    <xf numFmtId="0" fontId="2" fillId="0" borderId="3" xfId="0" applyFont="1" applyBorder="1" applyAlignment="1">
      <alignment horizontal="center"/>
    </xf>
    <xf numFmtId="166" fontId="2" fillId="0" borderId="3" xfId="0" applyNumberFormat="1" applyFont="1" applyBorder="1" applyAlignment="1">
      <alignment horizontal="left"/>
    </xf>
    <xf numFmtId="49" fontId="2" fillId="0" borderId="3" xfId="0" applyNumberFormat="1" applyFont="1" applyBorder="1"/>
    <xf numFmtId="44" fontId="2" fillId="0" borderId="3" xfId="2" applyFont="1" applyBorder="1"/>
    <xf numFmtId="49" fontId="2" fillId="0" borderId="3" xfId="0" applyNumberFormat="1" applyFont="1" applyBorder="1" applyAlignment="1">
      <alignment horizontal="left"/>
    </xf>
    <xf numFmtId="4" fontId="2" fillId="0" borderId="3" xfId="0" applyNumberFormat="1" applyFont="1" applyBorder="1"/>
    <xf numFmtId="166" fontId="2" fillId="0" borderId="4" xfId="0" applyNumberFormat="1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166" fontId="2" fillId="0" borderId="5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4" fontId="2" fillId="0" borderId="5" xfId="0" applyNumberFormat="1" applyFont="1" applyBorder="1"/>
    <xf numFmtId="0" fontId="2" fillId="0" borderId="6" xfId="0" applyFont="1" applyBorder="1" applyAlignment="1">
      <alignment horizontal="center"/>
    </xf>
    <xf numFmtId="166" fontId="2" fillId="0" borderId="6" xfId="0" applyNumberFormat="1" applyFont="1" applyBorder="1" applyAlignment="1">
      <alignment horizontal="left"/>
    </xf>
    <xf numFmtId="49" fontId="2" fillId="0" borderId="6" xfId="0" applyNumberFormat="1" applyFont="1" applyBorder="1"/>
    <xf numFmtId="49" fontId="2" fillId="0" borderId="6" xfId="0" applyNumberFormat="1" applyFont="1" applyBorder="1" applyAlignment="1">
      <alignment horizontal="left"/>
    </xf>
    <xf numFmtId="4" fontId="2" fillId="0" borderId="6" xfId="0" applyNumberFormat="1" applyFont="1" applyBorder="1"/>
    <xf numFmtId="0" fontId="2" fillId="0" borderId="3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1" xfId="1" applyNumberFormat="1" applyFont="1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1" fontId="2" fillId="0" borderId="5" xfId="1" applyNumberFormat="1" applyFont="1" applyBorder="1" applyAlignment="1">
      <alignment horizontal="center"/>
    </xf>
    <xf numFmtId="2" fontId="2" fillId="0" borderId="3" xfId="1" applyNumberFormat="1" applyFont="1" applyBorder="1" applyAlignment="1">
      <alignment horizontal="center"/>
    </xf>
    <xf numFmtId="0" fontId="2" fillId="0" borderId="3" xfId="1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left" wrapText="1"/>
    </xf>
    <xf numFmtId="0" fontId="2" fillId="0" borderId="3" xfId="1" applyNumberFormat="1" applyFont="1" applyBorder="1" applyAlignment="1">
      <alignment horizontal="right"/>
    </xf>
    <xf numFmtId="0" fontId="2" fillId="0" borderId="0" xfId="1" applyNumberFormat="1" applyFont="1" applyBorder="1" applyAlignment="1">
      <alignment horizontal="right"/>
    </xf>
    <xf numFmtId="4" fontId="2" fillId="3" borderId="3" xfId="0" applyNumberFormat="1" applyFont="1" applyFill="1" applyBorder="1"/>
    <xf numFmtId="0" fontId="3" fillId="2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/>
    </xf>
    <xf numFmtId="49" fontId="8" fillId="0" borderId="3" xfId="0" applyNumberFormat="1" applyFont="1" applyBorder="1" applyAlignment="1">
      <alignment horizontal="left" wrapText="1"/>
    </xf>
    <xf numFmtId="49" fontId="8" fillId="0" borderId="1" xfId="0" applyNumberFormat="1" applyFont="1" applyBorder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3"/>
  <sheetViews>
    <sheetView tabSelected="1" topLeftCell="A11" zoomScale="115" zoomScaleNormal="115" workbookViewId="0">
      <selection activeCell="M40" sqref="M40"/>
    </sheetView>
  </sheetViews>
  <sheetFormatPr baseColWidth="10" defaultColWidth="11.42578125" defaultRowHeight="12.75" x14ac:dyDescent="0.2"/>
  <cols>
    <col min="1" max="2" width="14.140625" customWidth="1"/>
    <col min="3" max="3" width="38.5703125" customWidth="1"/>
    <col min="4" max="5" width="36.5703125" style="1" hidden="1" customWidth="1"/>
    <col min="6" max="6" width="14.42578125" hidden="1" customWidth="1"/>
    <col min="7" max="7" width="24.85546875" hidden="1" customWidth="1"/>
    <col min="8" max="8" width="24.85546875" customWidth="1"/>
    <col min="9" max="9" width="21.5703125" bestFit="1" customWidth="1"/>
    <col min="10" max="11" width="22.140625" style="1" customWidth="1"/>
    <col min="12" max="12" width="26" style="1" customWidth="1"/>
  </cols>
  <sheetData>
    <row r="1" spans="1:12" s="2" customFormat="1" ht="22.5" x14ac:dyDescent="0.3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s="2" customFormat="1" ht="15" x14ac:dyDescent="0.25">
      <c r="A2" s="10" t="s">
        <v>1</v>
      </c>
      <c r="B2" s="10"/>
      <c r="C2" s="55"/>
      <c r="D2" s="55"/>
      <c r="E2" s="55"/>
      <c r="F2" s="55"/>
    </row>
    <row r="3" spans="1:12" s="2" customFormat="1" ht="15" x14ac:dyDescent="0.25">
      <c r="A3" s="10" t="s">
        <v>2</v>
      </c>
      <c r="B3" s="10"/>
      <c r="C3" s="55"/>
      <c r="D3" s="55"/>
      <c r="E3" s="55"/>
      <c r="F3" s="55"/>
    </row>
    <row r="4" spans="1:12" s="2" customFormat="1" ht="15" x14ac:dyDescent="0.25">
      <c r="A4" s="10" t="s">
        <v>3</v>
      </c>
      <c r="B4" s="10"/>
      <c r="C4" s="55"/>
      <c r="D4" s="55"/>
      <c r="E4" s="55"/>
      <c r="F4" s="55"/>
    </row>
    <row r="5" spans="1:12" s="2" customFormat="1" ht="15" x14ac:dyDescent="0.25">
      <c r="A5" s="10" t="s">
        <v>4</v>
      </c>
      <c r="B5" s="10"/>
      <c r="C5" s="55" t="s">
        <v>5</v>
      </c>
      <c r="D5" s="55"/>
      <c r="E5" s="55"/>
      <c r="F5" s="55"/>
    </row>
    <row r="6" spans="1:12" s="2" customFormat="1" ht="15" x14ac:dyDescent="0.25">
      <c r="A6" s="3"/>
      <c r="B6" s="3"/>
      <c r="C6" s="3"/>
      <c r="D6" s="4"/>
      <c r="E6" s="4"/>
      <c r="F6" s="3"/>
      <c r="G6" s="3"/>
      <c r="H6" s="3"/>
      <c r="I6" s="3"/>
      <c r="J6" s="4"/>
      <c r="K6" s="4"/>
      <c r="L6" s="4"/>
    </row>
    <row r="7" spans="1:12" s="2" customFormat="1" ht="57" x14ac:dyDescent="0.25">
      <c r="A7" s="17" t="s">
        <v>6</v>
      </c>
      <c r="B7" s="57" t="s">
        <v>73</v>
      </c>
      <c r="C7" s="18" t="s">
        <v>7</v>
      </c>
      <c r="D7" s="18" t="s">
        <v>8</v>
      </c>
      <c r="E7" s="18" t="s">
        <v>9</v>
      </c>
      <c r="F7" s="22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</row>
    <row r="8" spans="1:12" s="2" customFormat="1" ht="39.75" customHeight="1" x14ac:dyDescent="0.25">
      <c r="A8" s="13">
        <v>1</v>
      </c>
      <c r="B8" s="13">
        <v>2</v>
      </c>
      <c r="C8" s="42" t="s">
        <v>17</v>
      </c>
      <c r="D8" s="9">
        <v>45667</v>
      </c>
      <c r="E8" s="9">
        <v>45681</v>
      </c>
      <c r="F8" s="45">
        <v>2400</v>
      </c>
      <c r="G8" s="19" t="s">
        <v>18</v>
      </c>
      <c r="H8" s="19" t="s">
        <v>19</v>
      </c>
      <c r="I8" s="5">
        <v>12000000</v>
      </c>
      <c r="J8" s="31" t="s">
        <v>20</v>
      </c>
      <c r="K8" s="9" t="s">
        <v>21</v>
      </c>
      <c r="L8" s="9" t="s">
        <v>22</v>
      </c>
    </row>
    <row r="9" spans="1:12" s="2" customFormat="1" ht="43.5" customHeight="1" x14ac:dyDescent="0.25">
      <c r="A9" s="13">
        <v>2</v>
      </c>
      <c r="B9" s="13">
        <v>1</v>
      </c>
      <c r="C9" s="42" t="s">
        <v>23</v>
      </c>
      <c r="D9" s="9">
        <v>45667</v>
      </c>
      <c r="E9" s="9">
        <v>45723</v>
      </c>
      <c r="F9" s="46">
        <v>5</v>
      </c>
      <c r="G9" s="20" t="s">
        <v>18</v>
      </c>
      <c r="H9" s="20" t="s">
        <v>19</v>
      </c>
      <c r="I9" s="5">
        <v>40000000</v>
      </c>
      <c r="J9" s="9" t="s">
        <v>20</v>
      </c>
      <c r="K9" s="9" t="s">
        <v>21</v>
      </c>
      <c r="L9" s="9" t="s">
        <v>22</v>
      </c>
    </row>
    <row r="10" spans="1:12" s="2" customFormat="1" ht="35.25" customHeight="1" x14ac:dyDescent="0.25">
      <c r="A10" s="32">
        <v>3</v>
      </c>
      <c r="B10" s="32">
        <v>2</v>
      </c>
      <c r="C10" s="43" t="s">
        <v>24</v>
      </c>
      <c r="D10" s="33">
        <v>45687</v>
      </c>
      <c r="E10" s="33">
        <v>45744</v>
      </c>
      <c r="F10" s="47">
        <v>1</v>
      </c>
      <c r="G10" s="34" t="s">
        <v>18</v>
      </c>
      <c r="H10" s="34" t="s">
        <v>19</v>
      </c>
      <c r="I10" s="35">
        <v>20000000</v>
      </c>
      <c r="J10" s="9" t="s">
        <v>20</v>
      </c>
      <c r="K10" s="9" t="s">
        <v>21</v>
      </c>
      <c r="L10" s="9" t="s">
        <v>22</v>
      </c>
    </row>
    <row r="11" spans="1:12" s="2" customFormat="1" ht="67.5" customHeight="1" x14ac:dyDescent="0.25">
      <c r="A11" s="25">
        <v>4</v>
      </c>
      <c r="B11" s="25"/>
      <c r="C11" s="59" t="s">
        <v>25</v>
      </c>
      <c r="D11" s="26">
        <v>45703</v>
      </c>
      <c r="E11" s="26">
        <v>45777</v>
      </c>
      <c r="F11" s="48">
        <v>1</v>
      </c>
      <c r="G11" s="27" t="s">
        <v>26</v>
      </c>
      <c r="H11" s="27" t="s">
        <v>27</v>
      </c>
      <c r="I11" s="28">
        <v>5000000</v>
      </c>
      <c r="J11" s="31" t="s">
        <v>28</v>
      </c>
      <c r="K11" s="9" t="s">
        <v>21</v>
      </c>
      <c r="L11" s="9" t="s">
        <v>22</v>
      </c>
    </row>
    <row r="12" spans="1:12" s="2" customFormat="1" ht="18.75" customHeight="1" x14ac:dyDescent="0.25">
      <c r="A12" s="25">
        <v>5</v>
      </c>
      <c r="B12" s="25">
        <v>1</v>
      </c>
      <c r="C12" s="41" t="s">
        <v>29</v>
      </c>
      <c r="D12" s="26">
        <v>45639</v>
      </c>
      <c r="E12" s="26">
        <v>45660</v>
      </c>
      <c r="F12" s="49">
        <v>6</v>
      </c>
      <c r="G12" s="27" t="s">
        <v>26</v>
      </c>
      <c r="H12" s="29" t="s">
        <v>19</v>
      </c>
      <c r="I12" s="30">
        <v>14400000</v>
      </c>
      <c r="J12" s="31" t="s">
        <v>20</v>
      </c>
      <c r="K12" s="9" t="s">
        <v>21</v>
      </c>
      <c r="L12" s="9" t="s">
        <v>22</v>
      </c>
    </row>
    <row r="13" spans="1:12" s="2" customFormat="1" ht="18.75" customHeight="1" x14ac:dyDescent="0.25">
      <c r="A13" s="25">
        <v>6</v>
      </c>
      <c r="B13" s="25">
        <v>1</v>
      </c>
      <c r="C13" s="41" t="s">
        <v>30</v>
      </c>
      <c r="D13" s="26">
        <v>45646</v>
      </c>
      <c r="E13" s="26">
        <v>45660</v>
      </c>
      <c r="F13" s="49">
        <v>2</v>
      </c>
      <c r="G13" s="27" t="s">
        <v>26</v>
      </c>
      <c r="H13" s="29" t="s">
        <v>19</v>
      </c>
      <c r="I13" s="30">
        <v>3000000</v>
      </c>
      <c r="J13" s="31" t="s">
        <v>28</v>
      </c>
      <c r="K13" s="9" t="s">
        <v>21</v>
      </c>
      <c r="L13" s="9" t="s">
        <v>22</v>
      </c>
    </row>
    <row r="14" spans="1:12" s="2" customFormat="1" ht="18.75" customHeight="1" x14ac:dyDescent="0.25">
      <c r="A14" s="25">
        <v>10</v>
      </c>
      <c r="B14" s="25">
        <v>1</v>
      </c>
      <c r="C14" s="41" t="s">
        <v>71</v>
      </c>
      <c r="D14" s="26">
        <v>45674</v>
      </c>
      <c r="E14" s="26">
        <v>45709</v>
      </c>
      <c r="F14" s="49">
        <v>1</v>
      </c>
      <c r="G14" s="27" t="s">
        <v>26</v>
      </c>
      <c r="H14" s="29" t="s">
        <v>19</v>
      </c>
      <c r="I14" s="53">
        <v>8000000</v>
      </c>
      <c r="J14" s="31" t="s">
        <v>28</v>
      </c>
      <c r="K14" s="9" t="s">
        <v>21</v>
      </c>
      <c r="L14" s="9" t="s">
        <v>22</v>
      </c>
    </row>
    <row r="15" spans="1:12" s="2" customFormat="1" ht="18.75" hidden="1" customHeight="1" x14ac:dyDescent="0.25">
      <c r="A15" s="25">
        <v>11</v>
      </c>
      <c r="B15" s="25"/>
      <c r="C15" s="41" t="s">
        <v>31</v>
      </c>
      <c r="D15" s="26"/>
      <c r="E15" s="26"/>
      <c r="F15" s="48"/>
      <c r="G15" s="27"/>
      <c r="H15" s="27"/>
      <c r="I15" s="30"/>
      <c r="J15" s="31"/>
      <c r="K15" s="9" t="s">
        <v>21</v>
      </c>
      <c r="L15" s="9" t="s">
        <v>22</v>
      </c>
    </row>
    <row r="16" spans="1:12" s="2" customFormat="1" ht="18.75" hidden="1" customHeight="1" x14ac:dyDescent="0.25">
      <c r="A16" s="25">
        <v>12</v>
      </c>
      <c r="B16" s="25"/>
      <c r="C16" s="41" t="s">
        <v>32</v>
      </c>
      <c r="D16" s="26"/>
      <c r="E16" s="26"/>
      <c r="F16" s="48"/>
      <c r="G16" s="27"/>
      <c r="H16" s="27"/>
      <c r="I16" s="30"/>
      <c r="J16" s="31"/>
      <c r="K16" s="9" t="s">
        <v>21</v>
      </c>
      <c r="L16" s="9" t="s">
        <v>22</v>
      </c>
    </row>
    <row r="17" spans="1:12" s="2" customFormat="1" ht="18.75" hidden="1" customHeight="1" x14ac:dyDescent="0.25">
      <c r="A17" s="25">
        <v>13</v>
      </c>
      <c r="B17" s="25"/>
      <c r="C17" s="41" t="s">
        <v>33</v>
      </c>
      <c r="D17" s="26"/>
      <c r="E17" s="26"/>
      <c r="F17" s="48"/>
      <c r="G17" s="27"/>
      <c r="H17" s="27"/>
      <c r="I17" s="30"/>
      <c r="J17" s="31"/>
      <c r="K17" s="9" t="s">
        <v>21</v>
      </c>
      <c r="L17" s="9" t="s">
        <v>22</v>
      </c>
    </row>
    <row r="18" spans="1:12" s="2" customFormat="1" ht="18.75" hidden="1" customHeight="1" x14ac:dyDescent="0.25">
      <c r="A18" s="25">
        <v>14</v>
      </c>
      <c r="B18" s="25"/>
      <c r="C18" s="41" t="s">
        <v>34</v>
      </c>
      <c r="D18" s="26"/>
      <c r="E18" s="26"/>
      <c r="F18" s="48"/>
      <c r="G18" s="27"/>
      <c r="H18" s="27"/>
      <c r="I18" s="30"/>
      <c r="J18" s="31"/>
      <c r="K18" s="9" t="s">
        <v>21</v>
      </c>
      <c r="L18" s="9" t="s">
        <v>22</v>
      </c>
    </row>
    <row r="19" spans="1:12" s="2" customFormat="1" ht="18.75" hidden="1" customHeight="1" x14ac:dyDescent="0.25">
      <c r="A19" s="25">
        <v>15</v>
      </c>
      <c r="B19" s="25"/>
      <c r="C19" s="41" t="s">
        <v>35</v>
      </c>
      <c r="D19" s="26"/>
      <c r="E19" s="26"/>
      <c r="F19" s="48"/>
      <c r="G19" s="27"/>
      <c r="H19" s="27"/>
      <c r="I19" s="30"/>
      <c r="J19" s="31"/>
      <c r="K19" s="9" t="s">
        <v>21</v>
      </c>
      <c r="L19" s="9" t="s">
        <v>22</v>
      </c>
    </row>
    <row r="20" spans="1:12" s="2" customFormat="1" ht="18.75" hidden="1" customHeight="1" x14ac:dyDescent="0.25">
      <c r="A20" s="25">
        <v>16</v>
      </c>
      <c r="B20" s="25"/>
      <c r="C20" s="41" t="s">
        <v>36</v>
      </c>
      <c r="D20" s="26"/>
      <c r="E20" s="26"/>
      <c r="F20" s="48"/>
      <c r="G20" s="27"/>
      <c r="H20" s="27"/>
      <c r="I20" s="30"/>
      <c r="J20" s="31"/>
      <c r="K20" s="9" t="s">
        <v>21</v>
      </c>
      <c r="L20" s="9" t="s">
        <v>22</v>
      </c>
    </row>
    <row r="21" spans="1:12" s="2" customFormat="1" ht="18.75" hidden="1" customHeight="1" x14ac:dyDescent="0.25">
      <c r="A21" s="25">
        <v>17</v>
      </c>
      <c r="B21" s="25"/>
      <c r="C21" s="41" t="s">
        <v>37</v>
      </c>
      <c r="D21" s="26"/>
      <c r="E21" s="26"/>
      <c r="F21" s="48"/>
      <c r="G21" s="27"/>
      <c r="H21" s="27"/>
      <c r="I21" s="30"/>
      <c r="J21" s="31"/>
      <c r="K21" s="9" t="s">
        <v>21</v>
      </c>
      <c r="L21" s="9" t="s">
        <v>22</v>
      </c>
    </row>
    <row r="22" spans="1:12" s="2" customFormat="1" ht="18.75" hidden="1" customHeight="1" x14ac:dyDescent="0.25">
      <c r="A22" s="25">
        <v>18</v>
      </c>
      <c r="B22" s="25"/>
      <c r="C22" s="41" t="s">
        <v>38</v>
      </c>
      <c r="D22" s="26"/>
      <c r="E22" s="26"/>
      <c r="F22" s="48"/>
      <c r="G22" s="27"/>
      <c r="H22" s="27"/>
      <c r="I22" s="30"/>
      <c r="J22" s="31"/>
      <c r="K22" s="9" t="s">
        <v>21</v>
      </c>
      <c r="L22" s="9" t="s">
        <v>22</v>
      </c>
    </row>
    <row r="23" spans="1:12" s="2" customFormat="1" ht="18.75" hidden="1" customHeight="1" x14ac:dyDescent="0.25">
      <c r="A23" s="25">
        <v>19</v>
      </c>
      <c r="B23" s="25"/>
      <c r="C23" s="41" t="s">
        <v>39</v>
      </c>
      <c r="D23" s="26"/>
      <c r="E23" s="26"/>
      <c r="F23" s="48"/>
      <c r="G23" s="27"/>
      <c r="H23" s="27"/>
      <c r="I23" s="30"/>
      <c r="J23" s="31"/>
      <c r="K23" s="9" t="s">
        <v>21</v>
      </c>
      <c r="L23" s="9" t="s">
        <v>22</v>
      </c>
    </row>
    <row r="24" spans="1:12" s="2" customFormat="1" ht="18.75" hidden="1" customHeight="1" x14ac:dyDescent="0.25">
      <c r="A24" s="25">
        <v>20</v>
      </c>
      <c r="B24" s="25"/>
      <c r="C24" s="29"/>
      <c r="D24" s="26"/>
      <c r="E24" s="26"/>
      <c r="F24" s="48"/>
      <c r="G24" s="27"/>
      <c r="H24" s="27"/>
      <c r="I24" s="30"/>
      <c r="J24" s="31"/>
      <c r="K24" s="9" t="s">
        <v>21</v>
      </c>
      <c r="L24" s="9" t="s">
        <v>22</v>
      </c>
    </row>
    <row r="25" spans="1:12" s="2" customFormat="1" ht="18.75" hidden="1" customHeight="1" x14ac:dyDescent="0.25">
      <c r="A25" s="25">
        <v>21</v>
      </c>
      <c r="B25" s="25"/>
      <c r="C25" s="29"/>
      <c r="D25" s="26"/>
      <c r="E25" s="26"/>
      <c r="F25" s="48"/>
      <c r="G25" s="27"/>
      <c r="H25" s="27"/>
      <c r="I25" s="30"/>
      <c r="J25" s="31"/>
      <c r="K25" s="9" t="s">
        <v>21</v>
      </c>
      <c r="L25" s="9" t="s">
        <v>22</v>
      </c>
    </row>
    <row r="26" spans="1:12" s="2" customFormat="1" ht="18.75" hidden="1" customHeight="1" x14ac:dyDescent="0.25">
      <c r="A26" s="25">
        <v>22</v>
      </c>
      <c r="B26" s="25"/>
      <c r="C26" s="29"/>
      <c r="D26" s="26"/>
      <c r="E26" s="26"/>
      <c r="F26" s="48"/>
      <c r="G26" s="27"/>
      <c r="H26" s="27"/>
      <c r="I26" s="30"/>
      <c r="J26" s="31"/>
      <c r="K26" s="9" t="s">
        <v>21</v>
      </c>
      <c r="L26" s="9" t="s">
        <v>22</v>
      </c>
    </row>
    <row r="27" spans="1:12" s="2" customFormat="1" ht="18.75" hidden="1" customHeight="1" x14ac:dyDescent="0.25">
      <c r="A27" s="25">
        <v>23</v>
      </c>
      <c r="B27" s="25"/>
      <c r="C27" s="29"/>
      <c r="D27" s="26"/>
      <c r="E27" s="26"/>
      <c r="F27" s="48"/>
      <c r="G27" s="27"/>
      <c r="H27" s="27"/>
      <c r="I27" s="30"/>
      <c r="J27" s="31"/>
      <c r="K27" s="9" t="s">
        <v>21</v>
      </c>
      <c r="L27" s="9" t="s">
        <v>22</v>
      </c>
    </row>
    <row r="28" spans="1:12" s="2" customFormat="1" ht="18.75" hidden="1" customHeight="1" x14ac:dyDescent="0.25">
      <c r="A28" s="25">
        <v>24</v>
      </c>
      <c r="B28" s="25"/>
      <c r="C28" s="29"/>
      <c r="D28" s="26"/>
      <c r="E28" s="26"/>
      <c r="F28" s="48"/>
      <c r="G28" s="27"/>
      <c r="H28" s="27"/>
      <c r="I28" s="30"/>
      <c r="J28" s="31"/>
      <c r="K28" s="9" t="s">
        <v>21</v>
      </c>
      <c r="L28" s="9" t="s">
        <v>22</v>
      </c>
    </row>
    <row r="29" spans="1:12" s="2" customFormat="1" ht="18.75" hidden="1" customHeight="1" x14ac:dyDescent="0.25">
      <c r="A29" s="25">
        <v>25</v>
      </c>
      <c r="B29" s="25"/>
      <c r="C29" s="29"/>
      <c r="D29" s="26"/>
      <c r="E29" s="26"/>
      <c r="F29" s="48"/>
      <c r="G29" s="27"/>
      <c r="H29" s="27"/>
      <c r="I29" s="30"/>
      <c r="J29" s="31"/>
      <c r="K29" s="9" t="s">
        <v>21</v>
      </c>
      <c r="L29" s="9" t="s">
        <v>22</v>
      </c>
    </row>
    <row r="30" spans="1:12" s="2" customFormat="1" ht="18.75" hidden="1" customHeight="1" x14ac:dyDescent="0.25">
      <c r="A30" s="25">
        <v>26</v>
      </c>
      <c r="B30" s="25"/>
      <c r="C30" s="29"/>
      <c r="D30" s="26"/>
      <c r="E30" s="26"/>
      <c r="F30" s="48"/>
      <c r="G30" s="27"/>
      <c r="H30" s="27"/>
      <c r="I30" s="30"/>
      <c r="J30" s="31"/>
      <c r="K30" s="9" t="s">
        <v>21</v>
      </c>
      <c r="L30" s="9" t="s">
        <v>22</v>
      </c>
    </row>
    <row r="31" spans="1:12" s="2" customFormat="1" ht="18.75" hidden="1" customHeight="1" x14ac:dyDescent="0.25">
      <c r="A31" s="25">
        <v>27</v>
      </c>
      <c r="B31" s="25"/>
      <c r="C31" s="29"/>
      <c r="D31" s="26"/>
      <c r="E31" s="26"/>
      <c r="F31" s="48"/>
      <c r="G31" s="27"/>
      <c r="H31" s="27"/>
      <c r="I31" s="30"/>
      <c r="J31" s="31"/>
      <c r="K31" s="9" t="s">
        <v>21</v>
      </c>
      <c r="L31" s="9" t="s">
        <v>22</v>
      </c>
    </row>
    <row r="32" spans="1:12" s="2" customFormat="1" ht="18.75" hidden="1" customHeight="1" x14ac:dyDescent="0.25">
      <c r="A32" s="25">
        <v>28</v>
      </c>
      <c r="B32" s="25"/>
      <c r="C32" s="29"/>
      <c r="D32" s="26"/>
      <c r="E32" s="26"/>
      <c r="F32" s="48"/>
      <c r="G32" s="27"/>
      <c r="H32" s="27"/>
      <c r="I32" s="30"/>
      <c r="J32" s="31"/>
      <c r="K32" s="9" t="s">
        <v>21</v>
      </c>
      <c r="L32" s="9" t="s">
        <v>22</v>
      </c>
    </row>
    <row r="33" spans="1:12" s="2" customFormat="1" ht="18.75" hidden="1" customHeight="1" x14ac:dyDescent="0.25">
      <c r="A33" s="25">
        <v>29</v>
      </c>
      <c r="B33" s="25"/>
      <c r="C33" s="29"/>
      <c r="D33" s="26"/>
      <c r="E33" s="26"/>
      <c r="F33" s="48"/>
      <c r="G33" s="27"/>
      <c r="H33" s="27"/>
      <c r="I33" s="30"/>
      <c r="J33" s="31"/>
      <c r="K33" s="9" t="s">
        <v>21</v>
      </c>
      <c r="L33" s="9" t="s">
        <v>22</v>
      </c>
    </row>
    <row r="34" spans="1:12" s="2" customFormat="1" ht="18.75" hidden="1" customHeight="1" x14ac:dyDescent="0.25">
      <c r="A34" s="25">
        <v>30</v>
      </c>
      <c r="B34" s="25"/>
      <c r="C34" s="29"/>
      <c r="D34" s="26"/>
      <c r="E34" s="26"/>
      <c r="F34" s="48"/>
      <c r="G34" s="27"/>
      <c r="H34" s="27"/>
      <c r="I34" s="30"/>
      <c r="J34" s="31"/>
      <c r="K34" s="9" t="s">
        <v>21</v>
      </c>
      <c r="L34" s="9" t="s">
        <v>22</v>
      </c>
    </row>
    <row r="35" spans="1:12" s="2" customFormat="1" ht="18" customHeight="1" x14ac:dyDescent="0.25">
      <c r="A35" s="25">
        <v>11</v>
      </c>
      <c r="B35" s="25" t="s">
        <v>72</v>
      </c>
      <c r="C35" s="29" t="s">
        <v>31</v>
      </c>
      <c r="D35" s="26">
        <v>45674</v>
      </c>
      <c r="E35" s="26">
        <v>45708</v>
      </c>
      <c r="F35" s="49">
        <v>1</v>
      </c>
      <c r="G35" s="27" t="s">
        <v>26</v>
      </c>
      <c r="H35" s="29" t="s">
        <v>19</v>
      </c>
      <c r="I35" s="30">
        <v>4000000</v>
      </c>
      <c r="J35" s="31" t="s">
        <v>28</v>
      </c>
      <c r="K35" s="9" t="s">
        <v>21</v>
      </c>
      <c r="L35" s="9" t="s">
        <v>22</v>
      </c>
    </row>
    <row r="36" spans="1:12" s="2" customFormat="1" ht="18" customHeight="1" x14ac:dyDescent="0.25">
      <c r="A36" s="25">
        <v>12</v>
      </c>
      <c r="B36" s="25" t="s">
        <v>72</v>
      </c>
      <c r="C36" s="29" t="s">
        <v>32</v>
      </c>
      <c r="D36" s="26">
        <v>45674</v>
      </c>
      <c r="E36" s="26">
        <v>45708</v>
      </c>
      <c r="F36" s="49">
        <v>4</v>
      </c>
      <c r="G36" s="27" t="s">
        <v>26</v>
      </c>
      <c r="H36" s="29" t="s">
        <v>19</v>
      </c>
      <c r="I36" s="30">
        <v>2500000</v>
      </c>
      <c r="J36" s="31" t="s">
        <v>28</v>
      </c>
      <c r="K36" s="9" t="s">
        <v>21</v>
      </c>
      <c r="L36" s="9" t="s">
        <v>22</v>
      </c>
    </row>
    <row r="37" spans="1:12" s="2" customFormat="1" ht="18" customHeight="1" x14ac:dyDescent="0.25">
      <c r="A37" s="25">
        <v>13</v>
      </c>
      <c r="B37" s="25" t="s">
        <v>72</v>
      </c>
      <c r="C37" s="29" t="s">
        <v>35</v>
      </c>
      <c r="D37" s="26">
        <v>45646</v>
      </c>
      <c r="E37" s="26">
        <v>45660</v>
      </c>
      <c r="F37" s="49">
        <v>1</v>
      </c>
      <c r="G37" s="27" t="s">
        <v>26</v>
      </c>
      <c r="H37" s="29" t="s">
        <v>19</v>
      </c>
      <c r="I37" s="30">
        <v>1500000</v>
      </c>
      <c r="J37" s="31" t="s">
        <v>28</v>
      </c>
      <c r="K37" s="9" t="s">
        <v>21</v>
      </c>
      <c r="L37" s="9" t="s">
        <v>22</v>
      </c>
    </row>
    <row r="38" spans="1:12" s="2" customFormat="1" ht="17.25" customHeight="1" x14ac:dyDescent="0.25">
      <c r="A38" s="25">
        <v>14</v>
      </c>
      <c r="B38" s="25" t="s">
        <v>72</v>
      </c>
      <c r="C38" s="29" t="s">
        <v>36</v>
      </c>
      <c r="D38" s="26">
        <v>45665</v>
      </c>
      <c r="E38" s="26">
        <v>45679</v>
      </c>
      <c r="F38" s="49">
        <v>1</v>
      </c>
      <c r="G38" s="27" t="s">
        <v>26</v>
      </c>
      <c r="H38" s="29" t="s">
        <v>19</v>
      </c>
      <c r="I38" s="30">
        <v>1500000</v>
      </c>
      <c r="J38" s="31" t="s">
        <v>28</v>
      </c>
      <c r="K38" s="9" t="s">
        <v>21</v>
      </c>
      <c r="L38" s="9" t="s">
        <v>22</v>
      </c>
    </row>
    <row r="39" spans="1:12" s="2" customFormat="1" ht="18.75" customHeight="1" x14ac:dyDescent="0.25">
      <c r="A39" s="25">
        <v>15</v>
      </c>
      <c r="B39" s="25" t="s">
        <v>72</v>
      </c>
      <c r="C39" s="29" t="s">
        <v>37</v>
      </c>
      <c r="D39" s="26">
        <v>45672</v>
      </c>
      <c r="E39" s="26">
        <v>45686</v>
      </c>
      <c r="F39" s="49">
        <v>1</v>
      </c>
      <c r="G39" s="27" t="s">
        <v>26</v>
      </c>
      <c r="H39" s="29" t="s">
        <v>19</v>
      </c>
      <c r="I39" s="30">
        <v>1500000</v>
      </c>
      <c r="J39" s="31" t="s">
        <v>28</v>
      </c>
      <c r="K39" s="9" t="s">
        <v>21</v>
      </c>
      <c r="L39" s="9" t="s">
        <v>22</v>
      </c>
    </row>
    <row r="40" spans="1:12" s="2" customFormat="1" ht="18.75" customHeight="1" x14ac:dyDescent="0.25">
      <c r="A40" s="25">
        <v>16</v>
      </c>
      <c r="B40" s="25" t="s">
        <v>72</v>
      </c>
      <c r="C40" s="29" t="s">
        <v>38</v>
      </c>
      <c r="D40" s="26">
        <v>45694</v>
      </c>
      <c r="E40" s="26">
        <v>45708</v>
      </c>
      <c r="F40" s="49">
        <v>1</v>
      </c>
      <c r="G40" s="27" t="s">
        <v>26</v>
      </c>
      <c r="H40" s="29" t="s">
        <v>19</v>
      </c>
      <c r="I40" s="30">
        <v>1500000</v>
      </c>
      <c r="J40" s="31" t="s">
        <v>28</v>
      </c>
      <c r="K40" s="9" t="s">
        <v>21</v>
      </c>
      <c r="L40" s="9" t="s">
        <v>22</v>
      </c>
    </row>
    <row r="41" spans="1:12" s="2" customFormat="1" ht="18.75" customHeight="1" x14ac:dyDescent="0.25">
      <c r="A41" s="36">
        <v>17</v>
      </c>
      <c r="B41" s="25" t="s">
        <v>72</v>
      </c>
      <c r="C41" s="39" t="s">
        <v>39</v>
      </c>
      <c r="D41" s="37">
        <v>45694</v>
      </c>
      <c r="E41" s="37">
        <v>45708</v>
      </c>
      <c r="F41" s="49">
        <v>1</v>
      </c>
      <c r="G41" s="38" t="s">
        <v>26</v>
      </c>
      <c r="H41" s="39" t="s">
        <v>19</v>
      </c>
      <c r="I41" s="40">
        <v>1500000</v>
      </c>
      <c r="J41" s="9" t="s">
        <v>28</v>
      </c>
      <c r="K41" s="9" t="s">
        <v>21</v>
      </c>
      <c r="L41" s="9" t="s">
        <v>22</v>
      </c>
    </row>
    <row r="42" spans="1:12" s="2" customFormat="1" ht="32.25" customHeight="1" x14ac:dyDescent="0.25">
      <c r="A42" s="13">
        <v>18</v>
      </c>
      <c r="B42" s="56"/>
      <c r="C42" s="44" t="s">
        <v>40</v>
      </c>
      <c r="D42" s="9">
        <v>45702</v>
      </c>
      <c r="E42" s="9">
        <v>45744</v>
      </c>
      <c r="F42" s="46">
        <v>4</v>
      </c>
      <c r="G42" s="24" t="s">
        <v>41</v>
      </c>
      <c r="H42" s="19" t="s">
        <v>42</v>
      </c>
      <c r="I42" s="5">
        <v>14000000</v>
      </c>
      <c r="J42" s="9" t="s">
        <v>20</v>
      </c>
      <c r="K42" s="9" t="s">
        <v>21</v>
      </c>
      <c r="L42" s="9" t="s">
        <v>22</v>
      </c>
    </row>
    <row r="43" spans="1:12" s="2" customFormat="1" ht="34.5" customHeight="1" x14ac:dyDescent="0.25">
      <c r="A43" s="13">
        <v>19</v>
      </c>
      <c r="B43" s="25" t="s">
        <v>72</v>
      </c>
      <c r="C43" s="2" t="s">
        <v>43</v>
      </c>
      <c r="D43" s="9">
        <v>45749</v>
      </c>
      <c r="E43" s="9">
        <v>45792</v>
      </c>
      <c r="F43" s="49">
        <v>1</v>
      </c>
      <c r="G43" s="38" t="s">
        <v>26</v>
      </c>
      <c r="H43" s="39" t="s">
        <v>19</v>
      </c>
      <c r="I43" s="5">
        <v>5000000</v>
      </c>
      <c r="J43" s="9" t="s">
        <v>28</v>
      </c>
      <c r="K43" s="9" t="s">
        <v>21</v>
      </c>
      <c r="L43" s="9" t="s">
        <v>22</v>
      </c>
    </row>
    <row r="44" spans="1:12" s="2" customFormat="1" ht="18.75" customHeight="1" x14ac:dyDescent="0.25">
      <c r="A44" s="13">
        <v>20</v>
      </c>
      <c r="B44" s="13"/>
      <c r="C44" s="19" t="s">
        <v>44</v>
      </c>
      <c r="D44" s="9">
        <v>45663</v>
      </c>
      <c r="E44" s="9">
        <v>45823</v>
      </c>
      <c r="F44" s="23">
        <v>1</v>
      </c>
      <c r="G44" s="19" t="s">
        <v>26</v>
      </c>
      <c r="H44" s="19" t="s">
        <v>45</v>
      </c>
      <c r="I44" s="5">
        <v>20000000</v>
      </c>
      <c r="J44" s="9" t="s">
        <v>20</v>
      </c>
      <c r="K44" s="9" t="s">
        <v>46</v>
      </c>
      <c r="L44" s="9" t="s">
        <v>22</v>
      </c>
    </row>
    <row r="45" spans="1:12" s="2" customFormat="1" ht="18.75" customHeight="1" x14ac:dyDescent="0.25">
      <c r="A45" s="13">
        <v>22</v>
      </c>
      <c r="B45" s="13"/>
      <c r="C45" s="19" t="s">
        <v>47</v>
      </c>
      <c r="D45" s="9">
        <v>45708</v>
      </c>
      <c r="E45" s="9">
        <v>45716</v>
      </c>
      <c r="F45" s="23">
        <v>1</v>
      </c>
      <c r="G45" s="19" t="s">
        <v>26</v>
      </c>
      <c r="H45" s="19" t="s">
        <v>48</v>
      </c>
      <c r="I45" s="5">
        <v>1500000</v>
      </c>
      <c r="J45" s="9" t="s">
        <v>28</v>
      </c>
      <c r="K45" s="9" t="s">
        <v>21</v>
      </c>
      <c r="L45" s="9" t="s">
        <v>22</v>
      </c>
    </row>
    <row r="46" spans="1:12" s="2" customFormat="1" ht="30.75" customHeight="1" x14ac:dyDescent="0.25">
      <c r="A46" s="13">
        <v>23</v>
      </c>
      <c r="B46" s="13" t="s">
        <v>72</v>
      </c>
      <c r="C46" s="60" t="s">
        <v>49</v>
      </c>
      <c r="D46" s="50">
        <v>45729</v>
      </c>
      <c r="E46" s="50" t="s">
        <v>50</v>
      </c>
      <c r="F46" s="23">
        <v>1</v>
      </c>
      <c r="G46" s="19" t="s">
        <v>26</v>
      </c>
      <c r="H46" s="19" t="s">
        <v>48</v>
      </c>
      <c r="I46" s="5">
        <f>434000*70</f>
        <v>30380000</v>
      </c>
      <c r="J46" s="9" t="s">
        <v>20</v>
      </c>
      <c r="K46" s="9" t="s">
        <v>21</v>
      </c>
      <c r="L46" s="9" t="s">
        <v>22</v>
      </c>
    </row>
    <row r="47" spans="1:12" s="2" customFormat="1" ht="18.75" customHeight="1" x14ac:dyDescent="0.25">
      <c r="A47" s="13">
        <v>24</v>
      </c>
      <c r="B47" s="13"/>
      <c r="C47" s="19" t="s">
        <v>51</v>
      </c>
      <c r="D47" s="9">
        <v>45687</v>
      </c>
      <c r="E47" s="9">
        <v>45777</v>
      </c>
      <c r="F47" s="23">
        <v>1</v>
      </c>
      <c r="G47" s="19" t="s">
        <v>26</v>
      </c>
      <c r="H47" s="19"/>
      <c r="I47" s="5">
        <f>(50*4300)*30</f>
        <v>6450000</v>
      </c>
      <c r="J47" s="9" t="s">
        <v>28</v>
      </c>
      <c r="K47" s="9" t="s">
        <v>21</v>
      </c>
      <c r="L47" s="9" t="s">
        <v>22</v>
      </c>
    </row>
    <row r="48" spans="1:12" s="2" customFormat="1" ht="18.75" customHeight="1" x14ac:dyDescent="0.25">
      <c r="A48" s="13">
        <v>25</v>
      </c>
      <c r="B48" s="13" t="s">
        <v>72</v>
      </c>
      <c r="C48" s="58" t="s">
        <v>52</v>
      </c>
      <c r="D48" s="9">
        <v>45762</v>
      </c>
      <c r="E48" s="9">
        <v>45777</v>
      </c>
      <c r="F48" s="23">
        <v>1</v>
      </c>
      <c r="G48" s="19" t="s">
        <v>26</v>
      </c>
      <c r="H48" s="19" t="s">
        <v>27</v>
      </c>
      <c r="I48" s="5">
        <v>5000000</v>
      </c>
      <c r="J48" s="9" t="s">
        <v>28</v>
      </c>
      <c r="K48" s="9" t="s">
        <v>21</v>
      </c>
      <c r="L48" s="9" t="s">
        <v>22</v>
      </c>
    </row>
    <row r="49" spans="1:12" s="2" customFormat="1" ht="18.75" customHeight="1" x14ac:dyDescent="0.25">
      <c r="A49" s="13"/>
      <c r="B49" s="13" t="s">
        <v>72</v>
      </c>
      <c r="C49" s="20" t="s">
        <v>74</v>
      </c>
      <c r="D49" s="9"/>
      <c r="E49" s="9"/>
      <c r="F49" s="23"/>
      <c r="G49" s="19"/>
      <c r="H49" s="19" t="s">
        <v>19</v>
      </c>
      <c r="I49" s="5">
        <v>5000000</v>
      </c>
      <c r="J49" s="9" t="s">
        <v>28</v>
      </c>
      <c r="K49" s="9" t="s">
        <v>21</v>
      </c>
      <c r="L49" s="9" t="s">
        <v>22</v>
      </c>
    </row>
    <row r="50" spans="1:12" s="2" customFormat="1" ht="48" customHeight="1" x14ac:dyDescent="0.25">
      <c r="A50" s="13">
        <v>26</v>
      </c>
      <c r="B50" s="13">
        <v>1</v>
      </c>
      <c r="C50" s="42" t="s">
        <v>53</v>
      </c>
      <c r="D50" s="9">
        <v>45687</v>
      </c>
      <c r="E50" s="9">
        <v>45716</v>
      </c>
      <c r="F50" s="23">
        <v>1</v>
      </c>
      <c r="G50" s="19" t="s">
        <v>26</v>
      </c>
      <c r="H50" s="24" t="s">
        <v>54</v>
      </c>
      <c r="I50" s="5">
        <v>20000000</v>
      </c>
      <c r="J50" s="9" t="s">
        <v>20</v>
      </c>
      <c r="K50" s="9" t="s">
        <v>21</v>
      </c>
      <c r="L50" s="9" t="s">
        <v>22</v>
      </c>
    </row>
    <row r="51" spans="1:12" s="2" customFormat="1" ht="18.75" customHeight="1" x14ac:dyDescent="0.25">
      <c r="A51" s="13">
        <v>27</v>
      </c>
      <c r="B51" s="13">
        <v>1</v>
      </c>
      <c r="C51" s="20" t="s">
        <v>55</v>
      </c>
      <c r="D51" s="9">
        <v>45687</v>
      </c>
      <c r="E51" s="9">
        <v>45716</v>
      </c>
      <c r="F51" s="51">
        <v>6</v>
      </c>
      <c r="G51" s="19" t="s">
        <v>26</v>
      </c>
      <c r="H51" s="19" t="s">
        <v>19</v>
      </c>
      <c r="I51" s="5">
        <v>30000000</v>
      </c>
      <c r="J51" s="9" t="s">
        <v>20</v>
      </c>
      <c r="K51" s="9" t="s">
        <v>21</v>
      </c>
      <c r="L51" s="9" t="s">
        <v>22</v>
      </c>
    </row>
    <row r="52" spans="1:12" s="2" customFormat="1" ht="18.75" customHeight="1" x14ac:dyDescent="0.25">
      <c r="A52" s="13"/>
      <c r="B52" s="13"/>
      <c r="C52" s="20" t="s">
        <v>56</v>
      </c>
      <c r="D52" s="9">
        <v>45702</v>
      </c>
      <c r="E52" s="9">
        <v>45730</v>
      </c>
      <c r="F52" s="52">
        <v>1</v>
      </c>
      <c r="G52" s="19"/>
      <c r="H52" s="19" t="s">
        <v>57</v>
      </c>
      <c r="I52" s="5">
        <v>4000000</v>
      </c>
      <c r="J52" s="9" t="s">
        <v>28</v>
      </c>
      <c r="K52" s="9" t="s">
        <v>21</v>
      </c>
      <c r="L52" s="9" t="s">
        <v>22</v>
      </c>
    </row>
    <row r="53" spans="1:12" s="2" customFormat="1" ht="18.75" customHeight="1" x14ac:dyDescent="0.25">
      <c r="A53" s="13"/>
      <c r="B53" s="13"/>
      <c r="C53" s="20" t="s">
        <v>58</v>
      </c>
      <c r="D53" s="9">
        <v>45702</v>
      </c>
      <c r="E53" s="9">
        <v>45730</v>
      </c>
      <c r="F53" s="52">
        <v>1</v>
      </c>
      <c r="G53" s="19"/>
      <c r="H53" s="19" t="s">
        <v>57</v>
      </c>
      <c r="I53" s="5">
        <v>4000000</v>
      </c>
      <c r="J53" s="9" t="s">
        <v>28</v>
      </c>
      <c r="K53" s="9" t="s">
        <v>21</v>
      </c>
      <c r="L53" s="9" t="s">
        <v>22</v>
      </c>
    </row>
    <row r="54" spans="1:12" s="2" customFormat="1" ht="18.75" customHeight="1" x14ac:dyDescent="0.25">
      <c r="A54" s="13">
        <v>28</v>
      </c>
      <c r="B54" s="13"/>
      <c r="C54" s="20" t="s">
        <v>59</v>
      </c>
      <c r="D54" s="9">
        <v>45702</v>
      </c>
      <c r="E54" s="9">
        <v>45730</v>
      </c>
      <c r="F54" s="23">
        <v>1</v>
      </c>
      <c r="G54" s="19"/>
      <c r="H54" s="19" t="s">
        <v>57</v>
      </c>
      <c r="I54" s="5">
        <v>4000000</v>
      </c>
      <c r="J54" s="9" t="s">
        <v>28</v>
      </c>
      <c r="K54" s="9" t="s">
        <v>21</v>
      </c>
      <c r="L54" s="9" t="s">
        <v>22</v>
      </c>
    </row>
    <row r="55" spans="1:12" s="2" customFormat="1" ht="18.75" customHeight="1" x14ac:dyDescent="0.25">
      <c r="A55" s="13">
        <v>29</v>
      </c>
      <c r="B55" s="13"/>
      <c r="C55" s="20" t="s">
        <v>60</v>
      </c>
      <c r="D55" s="9">
        <v>45730</v>
      </c>
      <c r="E55" s="9">
        <v>45761</v>
      </c>
      <c r="F55" s="23">
        <v>1</v>
      </c>
      <c r="G55" s="19"/>
      <c r="H55" s="19" t="s">
        <v>57</v>
      </c>
      <c r="I55" s="5">
        <v>4000000</v>
      </c>
      <c r="J55" s="9" t="s">
        <v>28</v>
      </c>
      <c r="K55" s="9" t="s">
        <v>21</v>
      </c>
      <c r="L55" s="9" t="s">
        <v>22</v>
      </c>
    </row>
    <row r="56" spans="1:12" s="2" customFormat="1" ht="18.75" customHeight="1" x14ac:dyDescent="0.25">
      <c r="A56" s="13">
        <v>30</v>
      </c>
      <c r="B56" s="13"/>
      <c r="C56" s="20" t="s">
        <v>61</v>
      </c>
      <c r="D56" s="9">
        <v>45702</v>
      </c>
      <c r="E56" s="9">
        <v>45777</v>
      </c>
      <c r="F56" s="23">
        <v>1</v>
      </c>
      <c r="G56" s="19"/>
      <c r="H56" s="19" t="s">
        <v>57</v>
      </c>
      <c r="I56" s="5">
        <v>6000000</v>
      </c>
      <c r="J56" s="9" t="s">
        <v>28</v>
      </c>
      <c r="K56" s="9" t="s">
        <v>21</v>
      </c>
      <c r="L56" s="9" t="s">
        <v>22</v>
      </c>
    </row>
    <row r="57" spans="1:12" s="3" customFormat="1" ht="19.5" customHeight="1" x14ac:dyDescent="0.2">
      <c r="A57" s="11" t="s">
        <v>62</v>
      </c>
      <c r="B57" s="11"/>
      <c r="C57" s="11"/>
      <c r="D57" s="12"/>
      <c r="E57" s="12"/>
      <c r="F57" s="11"/>
      <c r="G57" s="11"/>
      <c r="H57" s="11"/>
      <c r="I57" s="14">
        <f>SUM(I8:I56)</f>
        <v>275730000</v>
      </c>
      <c r="J57" s="12"/>
      <c r="K57" s="12"/>
      <c r="L57" s="12"/>
    </row>
    <row r="58" spans="1:12" s="2" customFormat="1" ht="15" x14ac:dyDescent="0.25">
      <c r="D58" s="6"/>
      <c r="E58" s="6"/>
      <c r="J58" s="6"/>
      <c r="K58" s="6"/>
      <c r="L58" s="6"/>
    </row>
    <row r="59" spans="1:12" s="2" customFormat="1" ht="15" x14ac:dyDescent="0.25">
      <c r="A59" s="6"/>
      <c r="B59" s="6"/>
    </row>
    <row r="60" spans="1:12" s="2" customFormat="1" ht="15" x14ac:dyDescent="0.25">
      <c r="A60" s="3" t="s">
        <v>63</v>
      </c>
      <c r="B60" s="3"/>
      <c r="C60" s="7"/>
      <c r="D60" s="16"/>
      <c r="E60" s="16"/>
      <c r="F60" s="2" t="s">
        <v>64</v>
      </c>
      <c r="G60" s="8"/>
      <c r="H60" s="21"/>
      <c r="J60" s="6"/>
      <c r="K60" s="6"/>
      <c r="L60" s="6"/>
    </row>
    <row r="63" spans="1:12" ht="15" x14ac:dyDescent="0.25">
      <c r="A63" s="3" t="s">
        <v>65</v>
      </c>
      <c r="B63" s="3"/>
      <c r="C63" s="7"/>
      <c r="D63" s="15"/>
      <c r="E63" s="15"/>
    </row>
  </sheetData>
  <mergeCells count="5">
    <mergeCell ref="A1:L1"/>
    <mergeCell ref="C2:F2"/>
    <mergeCell ref="C3:F3"/>
    <mergeCell ref="C4:F4"/>
    <mergeCell ref="C5:F5"/>
  </mergeCells>
  <phoneticPr fontId="0" type="noConversion"/>
  <pageMargins left="0.75" right="0.75" top="1" bottom="1" header="0.5" footer="0.5"/>
  <pageSetup scale="57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4BC8E79-71F0-477B-B6B9-105B243F25A6}">
          <x14:formula1>
            <xm:f>Lists!$A$1:$A$4</xm:f>
          </x14:formula1>
          <xm:sqref>J8:J48 J50:J56 J49</xm:sqref>
        </x14:dataValidation>
        <x14:dataValidation type="list" allowBlank="1" showInputMessage="1" showErrorMessage="1" xr:uid="{331CC947-ECE2-45A6-A5F2-A9FA9A64D993}">
          <x14:formula1>
            <xm:f>Lists!$A$7:$A$10</xm:f>
          </x14:formula1>
          <xm:sqref>L8:L48 L50:L56 L49</xm:sqref>
        </x14:dataValidation>
        <x14:dataValidation type="list" allowBlank="1" showInputMessage="1" showErrorMessage="1" xr:uid="{BEE86851-C493-4AB2-B7FA-25AF98C4CD1E}">
          <x14:formula1>
            <xm:f>Lists!$A$12:$A$13</xm:f>
          </x14:formula1>
          <xm:sqref>K8:K48 K50:K56 K49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0D49-2C7A-4711-92F2-1A40B8870EC6}">
  <dimension ref="A1:A13"/>
  <sheetViews>
    <sheetView workbookViewId="0">
      <selection activeCell="A14" sqref="A14"/>
    </sheetView>
  </sheetViews>
  <sheetFormatPr baseColWidth="10" defaultColWidth="8.85546875" defaultRowHeight="12.75" x14ac:dyDescent="0.2"/>
  <sheetData>
    <row r="1" spans="1:1" x14ac:dyDescent="0.2">
      <c r="A1" t="s">
        <v>28</v>
      </c>
    </row>
    <row r="2" spans="1:1" x14ac:dyDescent="0.2">
      <c r="A2" t="s">
        <v>20</v>
      </c>
    </row>
    <row r="3" spans="1:1" x14ac:dyDescent="0.2">
      <c r="A3" t="s">
        <v>66</v>
      </c>
    </row>
    <row r="4" spans="1:1" x14ac:dyDescent="0.2">
      <c r="A4" t="s">
        <v>67</v>
      </c>
    </row>
    <row r="7" spans="1:1" x14ac:dyDescent="0.2">
      <c r="A7" t="s">
        <v>68</v>
      </c>
    </row>
    <row r="8" spans="1:1" x14ac:dyDescent="0.2">
      <c r="A8" t="s">
        <v>22</v>
      </c>
    </row>
    <row r="9" spans="1:1" x14ac:dyDescent="0.2">
      <c r="A9" t="s">
        <v>69</v>
      </c>
    </row>
    <row r="10" spans="1:1" x14ac:dyDescent="0.2">
      <c r="A10" t="s">
        <v>70</v>
      </c>
    </row>
    <row r="12" spans="1:1" x14ac:dyDescent="0.2">
      <c r="A12" t="s">
        <v>21</v>
      </c>
    </row>
    <row r="13" spans="1:1" x14ac:dyDescent="0.2">
      <c r="A13" t="s">
        <v>46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  <SharedWithUsers xmlns="dc808d36-874f-4b27-aec2-2fd649817929">
      <UserInfo>
        <DisplayName>Azucena Sandoval</DisplayName>
        <AccountId>1438</AccountId>
        <AccountType/>
      </UserInfo>
      <UserInfo>
        <DisplayName>Saskia Cabrera Padilla</DisplayName>
        <AccountId>989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48711D3-DEC6-4A2D-A651-6984EECBCCE6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54B53C74-C978-4049-987D-CB68A68C55CD}"/>
</file>

<file path=customXml/itemProps3.xml><?xml version="1.0" encoding="utf-8"?>
<ds:datastoreItem xmlns:ds="http://schemas.openxmlformats.org/officeDocument/2006/customXml" ds:itemID="{185AF8F5-F77F-4F35-B0CB-96A9A3418C0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D3E9D98-C632-49A9-8B93-27E099ED8196}">
  <ds:schemaRefs>
    <ds:schemaRef ds:uri="http://purl.org/dc/elements/1.1/"/>
    <ds:schemaRef ds:uri="http://schemas.microsoft.com/office/infopath/2007/PartnerControls"/>
    <ds:schemaRef ds:uri="f2466082-b6bf-4153-98c3-3c41e85fda18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dc808d36-874f-4b27-aec2-2fd649817929"/>
    <ds:schemaRef ds:uri="http://www.w3.org/XML/1998/namespac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APP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2022-07-18T03:14:52Z</dcterms:created>
  <dcterms:modified xsi:type="dcterms:W3CDTF">2025-01-24T21:04:00Z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